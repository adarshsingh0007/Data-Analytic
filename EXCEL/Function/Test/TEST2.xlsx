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UTURE\EXCEL\INTRODUCTION\"/>
    </mc:Choice>
  </mc:AlternateContent>
  <xr:revisionPtr revIDLastSave="0" documentId="8_{FA876407-EA7F-42E3-A342-149D876E96C5}" xr6:coauthVersionLast="47" xr6:coauthVersionMax="47" xr10:uidLastSave="{00000000-0000-0000-0000-000000000000}"/>
  <bookViews>
    <workbookView xWindow="-110" yWindow="-110" windowWidth="19420" windowHeight="11020" activeTab="1" xr2:uid="{59A4903A-A5B9-4ABD-8A9F-83E5BCCCF795}"/>
  </bookViews>
  <sheets>
    <sheet name="Dataset" sheetId="1" r:id="rId1"/>
    <sheet name="Q1&amp;Q2&amp;Q3&amp;Q4&amp;Q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2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2" i="2"/>
  <c r="J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</calcChain>
</file>

<file path=xl/sharedStrings.xml><?xml version="1.0" encoding="utf-8"?>
<sst xmlns="http://schemas.openxmlformats.org/spreadsheetml/2006/main" count="1023" uniqueCount="235">
  <si>
    <t>Order_ID</t>
  </si>
  <si>
    <t>Customer_Name</t>
  </si>
  <si>
    <t>Product</t>
  </si>
  <si>
    <t>Order_Date</t>
  </si>
  <si>
    <t>Delivery_Date</t>
  </si>
  <si>
    <t>Quantity</t>
  </si>
  <si>
    <t>Price</t>
  </si>
  <si>
    <t>Region</t>
  </si>
  <si>
    <t>Status</t>
  </si>
  <si>
    <t>O001</t>
  </si>
  <si>
    <t>Sonal Reddy</t>
  </si>
  <si>
    <t>Keyboard</t>
  </si>
  <si>
    <t>West</t>
  </si>
  <si>
    <t>Cancelled</t>
  </si>
  <si>
    <t>O002</t>
  </si>
  <si>
    <t>Varun Iyer</t>
  </si>
  <si>
    <t>Monitor</t>
  </si>
  <si>
    <t>North</t>
  </si>
  <si>
    <t>Pending</t>
  </si>
  <si>
    <t>O003</t>
  </si>
  <si>
    <t>Arjun Kaur</t>
  </si>
  <si>
    <t>Smartwatch</t>
  </si>
  <si>
    <t>Delivered</t>
  </si>
  <si>
    <t>O004</t>
  </si>
  <si>
    <t>Pallavi Malhotra</t>
  </si>
  <si>
    <t>Sofa</t>
  </si>
  <si>
    <t>O005</t>
  </si>
  <si>
    <t>Divya Kulkarni</t>
  </si>
  <si>
    <t>O006</t>
  </si>
  <si>
    <t>Neha Malhotra</t>
  </si>
  <si>
    <t>Speaker</t>
  </si>
  <si>
    <t>O007</t>
  </si>
  <si>
    <t>Varun Gupta</t>
  </si>
  <si>
    <t>Desk</t>
  </si>
  <si>
    <t>South</t>
  </si>
  <si>
    <t>O008</t>
  </si>
  <si>
    <t>Rohan Vardhan</t>
  </si>
  <si>
    <t>O009</t>
  </si>
  <si>
    <t>Aman Kaur</t>
  </si>
  <si>
    <t>Chair</t>
  </si>
  <si>
    <t>O010</t>
  </si>
  <si>
    <t>Ravi Yadav</t>
  </si>
  <si>
    <t>Tablet</t>
  </si>
  <si>
    <t>East</t>
  </si>
  <si>
    <t>O011</t>
  </si>
  <si>
    <t>Kunal Menon</t>
  </si>
  <si>
    <t>O012</t>
  </si>
  <si>
    <t>Nitin Malhotra</t>
  </si>
  <si>
    <t>O013</t>
  </si>
  <si>
    <t>Kavita Shah</t>
  </si>
  <si>
    <t>O014</t>
  </si>
  <si>
    <t>Mohit Menon</t>
  </si>
  <si>
    <t>O015</t>
  </si>
  <si>
    <t>Neeraj Das</t>
  </si>
  <si>
    <t>O016</t>
  </si>
  <si>
    <t>Pooja Kaur</t>
  </si>
  <si>
    <t>O017</t>
  </si>
  <si>
    <t>Rahul Desai</t>
  </si>
  <si>
    <t>Bed</t>
  </si>
  <si>
    <t>O018</t>
  </si>
  <si>
    <t>Rohit Patil</t>
  </si>
  <si>
    <t>O019</t>
  </si>
  <si>
    <t>Mohit Khan</t>
  </si>
  <si>
    <t>Laptop</t>
  </si>
  <si>
    <t>O020</t>
  </si>
  <si>
    <t>Ritu Malhotra</t>
  </si>
  <si>
    <t>Table</t>
  </si>
  <si>
    <t>O021</t>
  </si>
  <si>
    <t>Arjun Vardhan</t>
  </si>
  <si>
    <t>O022</t>
  </si>
  <si>
    <t>Rashmi Shah</t>
  </si>
  <si>
    <t>O023</t>
  </si>
  <si>
    <t>Ritu Joshi</t>
  </si>
  <si>
    <t>O024</t>
  </si>
  <si>
    <t>Aman Menon</t>
  </si>
  <si>
    <t>O025</t>
  </si>
  <si>
    <t>Karan Sharma</t>
  </si>
  <si>
    <t>Cabinet</t>
  </si>
  <si>
    <t>O026</t>
  </si>
  <si>
    <t>Tina Jain</t>
  </si>
  <si>
    <t>O027</t>
  </si>
  <si>
    <t>Shalini Patel</t>
  </si>
  <si>
    <t>O028</t>
  </si>
  <si>
    <t>Priya Kumar</t>
  </si>
  <si>
    <t>Mouse</t>
  </si>
  <si>
    <t>O029</t>
  </si>
  <si>
    <t>Nitin Sinha</t>
  </si>
  <si>
    <t>O030</t>
  </si>
  <si>
    <t>Dev Iyer</t>
  </si>
  <si>
    <t>O031</t>
  </si>
  <si>
    <t>Vikram Joshi</t>
  </si>
  <si>
    <t>O032</t>
  </si>
  <si>
    <t>Sachin Sinha</t>
  </si>
  <si>
    <t>O033</t>
  </si>
  <si>
    <t>Simran Singh</t>
  </si>
  <si>
    <t>O034</t>
  </si>
  <si>
    <t>Varun Joshi</t>
  </si>
  <si>
    <t>O035</t>
  </si>
  <si>
    <t>Neha Tiwari</t>
  </si>
  <si>
    <t>O036</t>
  </si>
  <si>
    <t>Mohit Roy</t>
  </si>
  <si>
    <t>O037</t>
  </si>
  <si>
    <t>Kavita Khan</t>
  </si>
  <si>
    <t>O038</t>
  </si>
  <si>
    <t>Nupur Shah</t>
  </si>
  <si>
    <t>O039</t>
  </si>
  <si>
    <t>Sunita Vardhan</t>
  </si>
  <si>
    <t>O040</t>
  </si>
  <si>
    <t>Manish Tiwari</t>
  </si>
  <si>
    <t>O041</t>
  </si>
  <si>
    <t>Sunita Iyer</t>
  </si>
  <si>
    <t>O042</t>
  </si>
  <si>
    <t>Karan Sinha</t>
  </si>
  <si>
    <t>O043</t>
  </si>
  <si>
    <t>Deepak Sharma</t>
  </si>
  <si>
    <t>O044</t>
  </si>
  <si>
    <t>Kiran Sinha</t>
  </si>
  <si>
    <t>O045</t>
  </si>
  <si>
    <t>Geeta Kumar</t>
  </si>
  <si>
    <t>O046</t>
  </si>
  <si>
    <t>Riya Desai</t>
  </si>
  <si>
    <t>O047</t>
  </si>
  <si>
    <t>Divya Reddy</t>
  </si>
  <si>
    <t>O048</t>
  </si>
  <si>
    <t>Karthik Gupta</t>
  </si>
  <si>
    <t>O049</t>
  </si>
  <si>
    <t>O050</t>
  </si>
  <si>
    <t>Rohan Kumar</t>
  </si>
  <si>
    <t>Headphones</t>
  </si>
  <si>
    <t>O051</t>
  </si>
  <si>
    <t>Karthik Khan</t>
  </si>
  <si>
    <t>O052</t>
  </si>
  <si>
    <t>Megha Menon</t>
  </si>
  <si>
    <t>O053</t>
  </si>
  <si>
    <t>Karthik Desai</t>
  </si>
  <si>
    <t>O054</t>
  </si>
  <si>
    <t>Pallavi Vardhan</t>
  </si>
  <si>
    <t>O055</t>
  </si>
  <si>
    <t>Ravi Tiwari</t>
  </si>
  <si>
    <t>Phone</t>
  </si>
  <si>
    <t>O056</t>
  </si>
  <si>
    <t>Varun Kumar</t>
  </si>
  <si>
    <t>O057</t>
  </si>
  <si>
    <t>Rahul Arora</t>
  </si>
  <si>
    <t>O058</t>
  </si>
  <si>
    <t>Ravi Desai</t>
  </si>
  <si>
    <t>O059</t>
  </si>
  <si>
    <t>Suraj Gupta</t>
  </si>
  <si>
    <t>O060</t>
  </si>
  <si>
    <t>Neha Kumar</t>
  </si>
  <si>
    <t>O061</t>
  </si>
  <si>
    <t>Alok Iyer</t>
  </si>
  <si>
    <t>O062</t>
  </si>
  <si>
    <t>Rohan Patil</t>
  </si>
  <si>
    <t>O063</t>
  </si>
  <si>
    <t>Pallavi Patel</t>
  </si>
  <si>
    <t>O064</t>
  </si>
  <si>
    <t>Geeta Tiwari</t>
  </si>
  <si>
    <t>O065</t>
  </si>
  <si>
    <t>Kavita Singh</t>
  </si>
  <si>
    <t>O066</t>
  </si>
  <si>
    <t>Vikram Sharma</t>
  </si>
  <si>
    <t>O067</t>
  </si>
  <si>
    <t>Simran Agarwal</t>
  </si>
  <si>
    <t>O068</t>
  </si>
  <si>
    <t>Kavita Kumar</t>
  </si>
  <si>
    <t>O069</t>
  </si>
  <si>
    <t>Shalini Shah</t>
  </si>
  <si>
    <t>O070</t>
  </si>
  <si>
    <t>Aman Agarwal</t>
  </si>
  <si>
    <t>O071</t>
  </si>
  <si>
    <t>Ajay Nair</t>
  </si>
  <si>
    <t>O072</t>
  </si>
  <si>
    <t>Rashmi Agarwal</t>
  </si>
  <si>
    <t>O073</t>
  </si>
  <si>
    <t>Ankit Menon</t>
  </si>
  <si>
    <t>O074</t>
  </si>
  <si>
    <t>Ajay Vardhan</t>
  </si>
  <si>
    <t>O075</t>
  </si>
  <si>
    <t>Ankit Reddy</t>
  </si>
  <si>
    <t>O076</t>
  </si>
  <si>
    <t>Rohan Tiwari</t>
  </si>
  <si>
    <t>O077</t>
  </si>
  <si>
    <t>Amit Singh</t>
  </si>
  <si>
    <t>O078</t>
  </si>
  <si>
    <t>Ankit Kumar</t>
  </si>
  <si>
    <t>O079</t>
  </si>
  <si>
    <t>Ajay Roy</t>
  </si>
  <si>
    <t>O080</t>
  </si>
  <si>
    <t>Sneha Khan</t>
  </si>
  <si>
    <t>O081</t>
  </si>
  <si>
    <t>Aditya Vardhan</t>
  </si>
  <si>
    <t>O082</t>
  </si>
  <si>
    <t>Rashmi Das</t>
  </si>
  <si>
    <t>O083</t>
  </si>
  <si>
    <t>Sneha Gupta</t>
  </si>
  <si>
    <t>O084</t>
  </si>
  <si>
    <t>Tina Shah</t>
  </si>
  <si>
    <t>O085</t>
  </si>
  <si>
    <t>Mohit Gupta</t>
  </si>
  <si>
    <t>O086</t>
  </si>
  <si>
    <t>rashmi Gupta</t>
  </si>
  <si>
    <t>O087</t>
  </si>
  <si>
    <t>Rohit kulkarni</t>
  </si>
  <si>
    <t>O088</t>
  </si>
  <si>
    <t>AMIT Patil</t>
  </si>
  <si>
    <t>O089</t>
  </si>
  <si>
    <t>Shalini Joshi</t>
  </si>
  <si>
    <t>O090</t>
  </si>
  <si>
    <t>Neha Iyer</t>
  </si>
  <si>
    <t>O091</t>
  </si>
  <si>
    <t>Nisha Shah</t>
  </si>
  <si>
    <t>O092</t>
  </si>
  <si>
    <t>ROHIT KHAN</t>
  </si>
  <si>
    <t>O093</t>
  </si>
  <si>
    <t>Preeti Reddy</t>
  </si>
  <si>
    <t>O094</t>
  </si>
  <si>
    <t>Neeraj Khan</t>
  </si>
  <si>
    <t>O095</t>
  </si>
  <si>
    <t>MeGha Menon</t>
  </si>
  <si>
    <t>O096</t>
  </si>
  <si>
    <t>NeeRAJ Mehta</t>
  </si>
  <si>
    <t>O097</t>
  </si>
  <si>
    <t>Deepak Reddy</t>
  </si>
  <si>
    <t>O098</t>
  </si>
  <si>
    <t>Mohit nair</t>
  </si>
  <si>
    <t>O099</t>
  </si>
  <si>
    <t>Ritu Reddy</t>
  </si>
  <si>
    <t>O100</t>
  </si>
  <si>
    <t>GEEta Reddy</t>
  </si>
  <si>
    <t>ORDER</t>
  </si>
  <si>
    <t>FIRST NAME</t>
  </si>
  <si>
    <t>CUSTOMER NAME</t>
  </si>
  <si>
    <t>DELIVERY DATE</t>
  </si>
  <si>
    <t>DELIVERY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</si>
</sst>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15" fontId="2" fillId="0" borderId="3" xfId="0" applyNumberFormat="1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1" fillId="2" borderId="4" xfId="0" applyFont="1" applyFill="1" applyBorder="1" applyAlignment="1">
      <alignment horizontal="center" vertical="top" wrapText="1"/>
    </xf>
    <xf numFmtId="0" fontId="0" fillId="2" borderId="0" xfId="0" applyFill="1"/>
    <xf numFmtId="0" fontId="1" fillId="3" borderId="4" xfId="0" applyFont="1" applyFill="1" applyBorder="1" applyAlignment="1">
      <alignment horizontal="center" vertical="top" wrapText="1"/>
    </xf>
    <xf numFmtId="0" fontId="0" fillId="3" borderId="0" xfId="0" applyFill="1"/>
    <xf numFmtId="0" fontId="1" fillId="4" borderId="4" xfId="0" applyFont="1" applyFill="1" applyBorder="1" applyAlignment="1">
      <alignment horizontal="center" vertical="top" wrapText="1"/>
    </xf>
    <xf numFmtId="0" fontId="0" fillId="4" borderId="0" xfId="0" applyFill="1"/>
    <xf numFmtId="0" fontId="0" fillId="5" borderId="0" xfId="0" applyFill="1"/>
    <xf numFmtId="0" fontId="0" fillId="5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2D41-73FD-4E02-8BBC-7AD7CA297264}">
  <dimension ref="A1:I101"/>
  <sheetViews>
    <sheetView topLeftCell="A85" workbookViewId="0">
      <selection activeCell="N92" sqref="N92"/>
    </sheetView>
  </sheetViews>
  <sheetFormatPr defaultRowHeight="14.5" x14ac:dyDescent="0.35"/>
  <cols>
    <col min="1" max="1" width="8.54296875" bestFit="1" customWidth="1"/>
    <col min="2" max="2" width="15.36328125" customWidth="1"/>
    <col min="3" max="3" width="14.7265625" customWidth="1"/>
    <col min="4" max="4" width="12.08984375" customWidth="1"/>
    <col min="5" max="5" width="13.81640625" customWidth="1"/>
    <col min="6" max="6" width="8.1796875" bestFit="1" customWidth="1"/>
    <col min="7" max="7" width="5.81640625" bestFit="1" customWidth="1"/>
    <col min="8" max="8" width="6.453125" bestFit="1" customWidth="1"/>
  </cols>
  <sheetData>
    <row r="1" spans="1:9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9.5" thickBot="1" x14ac:dyDescent="0.4">
      <c r="A2" s="3" t="s">
        <v>9</v>
      </c>
      <c r="B2" s="3" t="s">
        <v>10</v>
      </c>
      <c r="C2" s="3" t="s">
        <v>11</v>
      </c>
      <c r="D2" s="4">
        <v>45671</v>
      </c>
      <c r="E2" s="4">
        <v>45682</v>
      </c>
      <c r="F2" s="5">
        <v>1</v>
      </c>
      <c r="G2" s="5">
        <v>9497</v>
      </c>
      <c r="H2" s="3" t="s">
        <v>12</v>
      </c>
      <c r="I2" s="3" t="s">
        <v>13</v>
      </c>
    </row>
    <row r="3" spans="1:9" ht="15" thickBot="1" x14ac:dyDescent="0.4">
      <c r="A3" s="3" t="s">
        <v>14</v>
      </c>
      <c r="B3" s="3" t="s">
        <v>15</v>
      </c>
      <c r="C3" s="3" t="s">
        <v>16</v>
      </c>
      <c r="D3" s="4">
        <v>45667</v>
      </c>
      <c r="E3" s="4">
        <v>45678</v>
      </c>
      <c r="F3" s="5">
        <v>1</v>
      </c>
      <c r="G3" s="5">
        <v>8232</v>
      </c>
      <c r="H3" s="3" t="s">
        <v>17</v>
      </c>
      <c r="I3" s="3" t="s">
        <v>18</v>
      </c>
    </row>
    <row r="4" spans="1:9" ht="15" thickBot="1" x14ac:dyDescent="0.4">
      <c r="A4" s="3" t="s">
        <v>19</v>
      </c>
      <c r="B4" s="3" t="s">
        <v>20</v>
      </c>
      <c r="C4" s="3" t="s">
        <v>21</v>
      </c>
      <c r="D4" s="4">
        <v>45707</v>
      </c>
      <c r="E4" s="4">
        <v>45716</v>
      </c>
      <c r="F4" s="5">
        <v>1</v>
      </c>
      <c r="G4" s="5">
        <v>12436</v>
      </c>
      <c r="H4" s="3" t="s">
        <v>12</v>
      </c>
      <c r="I4" s="3" t="s">
        <v>22</v>
      </c>
    </row>
    <row r="5" spans="1:9" ht="15" thickBot="1" x14ac:dyDescent="0.4">
      <c r="A5" s="3" t="s">
        <v>23</v>
      </c>
      <c r="B5" s="3" t="s">
        <v>24</v>
      </c>
      <c r="C5" s="3" t="s">
        <v>25</v>
      </c>
      <c r="D5" s="4">
        <v>45674</v>
      </c>
      <c r="E5" s="4">
        <v>45686</v>
      </c>
      <c r="F5" s="5">
        <v>3</v>
      </c>
      <c r="G5" s="5">
        <v>38830</v>
      </c>
      <c r="H5" s="3" t="s">
        <v>17</v>
      </c>
      <c r="I5" s="3" t="s">
        <v>22</v>
      </c>
    </row>
    <row r="6" spans="1:9" ht="15" thickBot="1" x14ac:dyDescent="0.4">
      <c r="A6" s="3" t="s">
        <v>26</v>
      </c>
      <c r="B6" s="3" t="s">
        <v>27</v>
      </c>
      <c r="C6" s="3" t="s">
        <v>16</v>
      </c>
      <c r="D6" s="4">
        <v>45720</v>
      </c>
      <c r="E6" s="4">
        <v>45726</v>
      </c>
      <c r="F6" s="5">
        <v>2</v>
      </c>
      <c r="G6" s="5">
        <v>7193</v>
      </c>
      <c r="H6" s="3" t="s">
        <v>12</v>
      </c>
      <c r="I6" s="3" t="s">
        <v>18</v>
      </c>
    </row>
    <row r="7" spans="1:9" ht="15" thickBot="1" x14ac:dyDescent="0.4">
      <c r="A7" s="3" t="s">
        <v>28</v>
      </c>
      <c r="B7" s="3" t="s">
        <v>29</v>
      </c>
      <c r="C7" s="3" t="s">
        <v>30</v>
      </c>
      <c r="D7" s="4">
        <v>45696</v>
      </c>
      <c r="E7" s="4">
        <v>45701</v>
      </c>
      <c r="F7" s="5">
        <v>5</v>
      </c>
      <c r="G7" s="5">
        <v>36419</v>
      </c>
      <c r="H7" s="3" t="s">
        <v>12</v>
      </c>
      <c r="I7" s="3" t="s">
        <v>22</v>
      </c>
    </row>
    <row r="8" spans="1:9" ht="15" thickBot="1" x14ac:dyDescent="0.4">
      <c r="A8" s="3" t="s">
        <v>31</v>
      </c>
      <c r="B8" s="3" t="s">
        <v>32</v>
      </c>
      <c r="C8" s="3" t="s">
        <v>33</v>
      </c>
      <c r="D8" s="4">
        <v>45722</v>
      </c>
      <c r="E8" s="4">
        <v>45735</v>
      </c>
      <c r="F8" s="5">
        <v>3</v>
      </c>
      <c r="G8" s="5">
        <v>6681</v>
      </c>
      <c r="H8" s="3" t="s">
        <v>34</v>
      </c>
      <c r="I8" s="3" t="s">
        <v>18</v>
      </c>
    </row>
    <row r="9" spans="1:9" ht="29.5" thickBot="1" x14ac:dyDescent="0.4">
      <c r="A9" s="3" t="s">
        <v>35</v>
      </c>
      <c r="B9" s="3" t="s">
        <v>36</v>
      </c>
      <c r="C9" s="3" t="s">
        <v>25</v>
      </c>
      <c r="D9" s="4">
        <v>45685</v>
      </c>
      <c r="E9" s="4">
        <v>45699</v>
      </c>
      <c r="F9" s="5">
        <v>5</v>
      </c>
      <c r="G9" s="5">
        <v>59258</v>
      </c>
      <c r="H9" s="3" t="s">
        <v>12</v>
      </c>
      <c r="I9" s="3" t="s">
        <v>13</v>
      </c>
    </row>
    <row r="10" spans="1:9" ht="15" thickBot="1" x14ac:dyDescent="0.4">
      <c r="A10" s="3" t="s">
        <v>37</v>
      </c>
      <c r="B10" s="3" t="s">
        <v>38</v>
      </c>
      <c r="C10" s="3" t="s">
        <v>39</v>
      </c>
      <c r="D10" s="4">
        <v>45686</v>
      </c>
      <c r="E10" s="4">
        <v>45698</v>
      </c>
      <c r="F10" s="5">
        <v>5</v>
      </c>
      <c r="G10" s="5">
        <v>53392</v>
      </c>
      <c r="H10" s="3" t="s">
        <v>34</v>
      </c>
      <c r="I10" s="3" t="s">
        <v>18</v>
      </c>
    </row>
    <row r="11" spans="1:9" ht="15" thickBot="1" x14ac:dyDescent="0.4">
      <c r="A11" s="3" t="s">
        <v>40</v>
      </c>
      <c r="B11" s="3" t="s">
        <v>41</v>
      </c>
      <c r="C11" s="3" t="s">
        <v>42</v>
      </c>
      <c r="D11" s="4">
        <v>45688</v>
      </c>
      <c r="E11" s="4">
        <v>45702</v>
      </c>
      <c r="F11" s="5">
        <v>5</v>
      </c>
      <c r="G11" s="5">
        <v>52334</v>
      </c>
      <c r="H11" s="3" t="s">
        <v>43</v>
      </c>
      <c r="I11" s="3" t="s">
        <v>18</v>
      </c>
    </row>
    <row r="12" spans="1:9" ht="15" thickBot="1" x14ac:dyDescent="0.4">
      <c r="A12" s="3" t="s">
        <v>44</v>
      </c>
      <c r="B12" s="3" t="s">
        <v>45</v>
      </c>
      <c r="C12" s="3" t="s">
        <v>16</v>
      </c>
      <c r="D12" s="4">
        <v>45722</v>
      </c>
      <c r="E12" s="4">
        <v>45729</v>
      </c>
      <c r="F12" s="5">
        <v>2</v>
      </c>
      <c r="G12" s="5">
        <v>50550</v>
      </c>
      <c r="H12" s="3" t="s">
        <v>43</v>
      </c>
      <c r="I12" s="3" t="s">
        <v>22</v>
      </c>
    </row>
    <row r="13" spans="1:9" ht="15" thickBot="1" x14ac:dyDescent="0.4">
      <c r="A13" s="3" t="s">
        <v>46</v>
      </c>
      <c r="B13" s="3" t="s">
        <v>47</v>
      </c>
      <c r="C13" s="3" t="s">
        <v>33</v>
      </c>
      <c r="D13" s="4">
        <v>45692</v>
      </c>
      <c r="E13" s="4">
        <v>45703</v>
      </c>
      <c r="F13" s="5">
        <v>2</v>
      </c>
      <c r="G13" s="5">
        <v>69030</v>
      </c>
      <c r="H13" s="3" t="s">
        <v>34</v>
      </c>
      <c r="I13" s="3" t="s">
        <v>22</v>
      </c>
    </row>
    <row r="14" spans="1:9" ht="15" thickBot="1" x14ac:dyDescent="0.4">
      <c r="A14" s="3" t="s">
        <v>48</v>
      </c>
      <c r="B14" s="3" t="s">
        <v>49</v>
      </c>
      <c r="C14" s="3" t="s">
        <v>30</v>
      </c>
      <c r="D14" s="4">
        <v>45672</v>
      </c>
      <c r="E14" s="4">
        <v>45680</v>
      </c>
      <c r="F14" s="5">
        <v>4</v>
      </c>
      <c r="G14" s="5">
        <v>50709</v>
      </c>
      <c r="H14" s="3" t="s">
        <v>17</v>
      </c>
      <c r="I14" s="3" t="s">
        <v>18</v>
      </c>
    </row>
    <row r="15" spans="1:9" ht="15" thickBot="1" x14ac:dyDescent="0.4">
      <c r="A15" s="3" t="s">
        <v>50</v>
      </c>
      <c r="B15" s="3" t="s">
        <v>51</v>
      </c>
      <c r="C15" s="3" t="s">
        <v>11</v>
      </c>
      <c r="D15" s="4">
        <v>45727</v>
      </c>
      <c r="E15" s="4">
        <v>45740</v>
      </c>
      <c r="F15" s="5">
        <v>6</v>
      </c>
      <c r="G15" s="5">
        <v>48808</v>
      </c>
      <c r="H15" s="3" t="s">
        <v>43</v>
      </c>
      <c r="I15" s="3" t="s">
        <v>22</v>
      </c>
    </row>
    <row r="16" spans="1:9" ht="15" thickBot="1" x14ac:dyDescent="0.4">
      <c r="A16" s="3" t="s">
        <v>52</v>
      </c>
      <c r="B16" s="3" t="s">
        <v>53</v>
      </c>
      <c r="C16" s="3" t="s">
        <v>16</v>
      </c>
      <c r="D16" s="4">
        <v>45664</v>
      </c>
      <c r="E16" s="4">
        <v>45669</v>
      </c>
      <c r="F16" s="5">
        <v>1</v>
      </c>
      <c r="G16" s="5">
        <v>65648</v>
      </c>
      <c r="H16" s="3" t="s">
        <v>12</v>
      </c>
      <c r="I16" s="3" t="s">
        <v>22</v>
      </c>
    </row>
    <row r="17" spans="1:9" ht="15" thickBot="1" x14ac:dyDescent="0.4">
      <c r="A17" s="3" t="s">
        <v>54</v>
      </c>
      <c r="B17" s="3" t="s">
        <v>55</v>
      </c>
      <c r="C17" s="3" t="s">
        <v>33</v>
      </c>
      <c r="D17" s="4">
        <v>45674</v>
      </c>
      <c r="E17" s="4">
        <v>45688</v>
      </c>
      <c r="F17" s="5">
        <v>4</v>
      </c>
      <c r="G17" s="5">
        <v>3975</v>
      </c>
      <c r="H17" s="3" t="s">
        <v>34</v>
      </c>
      <c r="I17" s="3" t="s">
        <v>18</v>
      </c>
    </row>
    <row r="18" spans="1:9" ht="15" thickBot="1" x14ac:dyDescent="0.4">
      <c r="A18" s="3" t="s">
        <v>56</v>
      </c>
      <c r="B18" s="3" t="s">
        <v>57</v>
      </c>
      <c r="C18" s="3" t="s">
        <v>58</v>
      </c>
      <c r="D18" s="4">
        <v>45667</v>
      </c>
      <c r="E18" s="4">
        <v>45672</v>
      </c>
      <c r="F18" s="5">
        <v>4</v>
      </c>
      <c r="G18" s="5">
        <v>56724</v>
      </c>
      <c r="H18" s="3" t="s">
        <v>43</v>
      </c>
      <c r="I18" s="3" t="s">
        <v>22</v>
      </c>
    </row>
    <row r="19" spans="1:9" ht="15" thickBot="1" x14ac:dyDescent="0.4">
      <c r="A19" s="3" t="s">
        <v>59</v>
      </c>
      <c r="B19" s="3" t="s">
        <v>60</v>
      </c>
      <c r="C19" s="3" t="s">
        <v>58</v>
      </c>
      <c r="D19" s="4">
        <v>45664</v>
      </c>
      <c r="E19" s="4">
        <v>45675</v>
      </c>
      <c r="F19" s="5">
        <v>2</v>
      </c>
      <c r="G19" s="5">
        <v>42861</v>
      </c>
      <c r="H19" s="3" t="s">
        <v>12</v>
      </c>
      <c r="I19" s="3" t="s">
        <v>18</v>
      </c>
    </row>
    <row r="20" spans="1:9" ht="15" thickBot="1" x14ac:dyDescent="0.4">
      <c r="A20" s="3" t="s">
        <v>61</v>
      </c>
      <c r="B20" s="3" t="s">
        <v>62</v>
      </c>
      <c r="C20" s="3" t="s">
        <v>63</v>
      </c>
      <c r="D20" s="4">
        <v>45721</v>
      </c>
      <c r="E20" s="4">
        <v>45723</v>
      </c>
      <c r="F20" s="5">
        <v>2</v>
      </c>
      <c r="G20" s="5">
        <v>47994</v>
      </c>
      <c r="H20" s="3" t="s">
        <v>34</v>
      </c>
      <c r="I20" s="3" t="s">
        <v>18</v>
      </c>
    </row>
    <row r="21" spans="1:9" ht="15" thickBot="1" x14ac:dyDescent="0.4">
      <c r="A21" s="3" t="s">
        <v>64</v>
      </c>
      <c r="B21" s="3" t="s">
        <v>65</v>
      </c>
      <c r="C21" s="3" t="s">
        <v>66</v>
      </c>
      <c r="D21" s="4">
        <v>45696</v>
      </c>
      <c r="E21" s="4">
        <v>45711</v>
      </c>
      <c r="F21" s="5">
        <v>4</v>
      </c>
      <c r="G21" s="5">
        <v>31475</v>
      </c>
      <c r="H21" s="3" t="s">
        <v>17</v>
      </c>
      <c r="I21" s="3" t="s">
        <v>18</v>
      </c>
    </row>
    <row r="22" spans="1:9" ht="15" thickBot="1" x14ac:dyDescent="0.4">
      <c r="A22" s="3" t="s">
        <v>67</v>
      </c>
      <c r="B22" s="3" t="s">
        <v>68</v>
      </c>
      <c r="C22" s="3" t="s">
        <v>39</v>
      </c>
      <c r="D22" s="4">
        <v>45677</v>
      </c>
      <c r="E22" s="4">
        <v>45686</v>
      </c>
      <c r="F22" s="5">
        <v>3</v>
      </c>
      <c r="G22" s="5">
        <v>40383</v>
      </c>
      <c r="H22" s="3" t="s">
        <v>43</v>
      </c>
      <c r="I22" s="3" t="s">
        <v>22</v>
      </c>
    </row>
    <row r="23" spans="1:9" ht="15" thickBot="1" x14ac:dyDescent="0.4">
      <c r="A23" s="3" t="s">
        <v>69</v>
      </c>
      <c r="B23" s="3" t="s">
        <v>70</v>
      </c>
      <c r="C23" s="3" t="s">
        <v>16</v>
      </c>
      <c r="D23" s="4">
        <v>45662</v>
      </c>
      <c r="E23" s="4">
        <v>45673</v>
      </c>
      <c r="F23" s="5">
        <v>1</v>
      </c>
      <c r="G23" s="5">
        <v>20536</v>
      </c>
      <c r="H23" s="3" t="s">
        <v>43</v>
      </c>
      <c r="I23" s="3" t="s">
        <v>22</v>
      </c>
    </row>
    <row r="24" spans="1:9" ht="15" thickBot="1" x14ac:dyDescent="0.4">
      <c r="A24" s="3" t="s">
        <v>71</v>
      </c>
      <c r="B24" s="3" t="s">
        <v>72</v>
      </c>
      <c r="C24" s="3" t="s">
        <v>25</v>
      </c>
      <c r="D24" s="4">
        <v>45714</v>
      </c>
      <c r="E24" s="4">
        <v>45720</v>
      </c>
      <c r="F24" s="5">
        <v>1</v>
      </c>
      <c r="G24" s="5">
        <v>30227</v>
      </c>
      <c r="H24" s="3" t="s">
        <v>17</v>
      </c>
      <c r="I24" s="3" t="s">
        <v>18</v>
      </c>
    </row>
    <row r="25" spans="1:9" ht="15" thickBot="1" x14ac:dyDescent="0.4">
      <c r="A25" s="3" t="s">
        <v>73</v>
      </c>
      <c r="B25" s="3" t="s">
        <v>74</v>
      </c>
      <c r="C25" s="3" t="s">
        <v>30</v>
      </c>
      <c r="D25" s="4">
        <v>45721</v>
      </c>
      <c r="E25" s="4">
        <v>45730</v>
      </c>
      <c r="F25" s="5">
        <v>3</v>
      </c>
      <c r="G25" s="5">
        <v>27921</v>
      </c>
      <c r="H25" s="3" t="s">
        <v>17</v>
      </c>
      <c r="I25" s="3" t="s">
        <v>22</v>
      </c>
    </row>
    <row r="26" spans="1:9" ht="15" thickBot="1" x14ac:dyDescent="0.4">
      <c r="A26" s="3" t="s">
        <v>75</v>
      </c>
      <c r="B26" s="3" t="s">
        <v>76</v>
      </c>
      <c r="C26" s="3" t="s">
        <v>77</v>
      </c>
      <c r="D26" s="4">
        <v>45668</v>
      </c>
      <c r="E26" s="4">
        <v>45678</v>
      </c>
      <c r="F26" s="5">
        <v>1</v>
      </c>
      <c r="G26" s="5">
        <v>61599</v>
      </c>
      <c r="H26" s="3" t="s">
        <v>34</v>
      </c>
      <c r="I26" s="3" t="s">
        <v>22</v>
      </c>
    </row>
    <row r="27" spans="1:9" ht="15" thickBot="1" x14ac:dyDescent="0.4">
      <c r="A27" s="3" t="s">
        <v>78</v>
      </c>
      <c r="B27" s="3" t="s">
        <v>79</v>
      </c>
      <c r="C27" s="3" t="s">
        <v>39</v>
      </c>
      <c r="D27" s="4">
        <v>45715</v>
      </c>
      <c r="E27" s="4">
        <v>45721</v>
      </c>
      <c r="F27" s="5">
        <v>1</v>
      </c>
      <c r="G27" s="5">
        <v>37877</v>
      </c>
      <c r="H27" s="3" t="s">
        <v>17</v>
      </c>
      <c r="I27" s="3" t="s">
        <v>22</v>
      </c>
    </row>
    <row r="28" spans="1:9" ht="15" thickBot="1" x14ac:dyDescent="0.4">
      <c r="A28" s="3" t="s">
        <v>80</v>
      </c>
      <c r="B28" s="3" t="s">
        <v>81</v>
      </c>
      <c r="C28" s="3" t="s">
        <v>58</v>
      </c>
      <c r="D28" s="4">
        <v>45674</v>
      </c>
      <c r="E28" s="4">
        <v>45678</v>
      </c>
      <c r="F28" s="5">
        <v>1</v>
      </c>
      <c r="G28" s="5">
        <v>4350</v>
      </c>
      <c r="H28" s="3" t="s">
        <v>43</v>
      </c>
      <c r="I28" s="3" t="s">
        <v>22</v>
      </c>
    </row>
    <row r="29" spans="1:9" ht="15" thickBot="1" x14ac:dyDescent="0.4">
      <c r="A29" s="3" t="s">
        <v>82</v>
      </c>
      <c r="B29" s="3" t="s">
        <v>83</v>
      </c>
      <c r="C29" s="3" t="s">
        <v>84</v>
      </c>
      <c r="D29" s="4">
        <v>45693</v>
      </c>
      <c r="E29" s="4">
        <v>45698</v>
      </c>
      <c r="F29" s="5">
        <v>5</v>
      </c>
      <c r="G29" s="5">
        <v>11087</v>
      </c>
      <c r="H29" s="3" t="s">
        <v>34</v>
      </c>
      <c r="I29" s="3" t="s">
        <v>18</v>
      </c>
    </row>
    <row r="30" spans="1:9" ht="15" thickBot="1" x14ac:dyDescent="0.4">
      <c r="A30" s="3" t="s">
        <v>85</v>
      </c>
      <c r="B30" s="3" t="s">
        <v>86</v>
      </c>
      <c r="C30" s="3" t="s">
        <v>11</v>
      </c>
      <c r="D30" s="4">
        <v>45717</v>
      </c>
      <c r="E30" s="4">
        <v>45726</v>
      </c>
      <c r="F30" s="5">
        <v>2</v>
      </c>
      <c r="G30" s="5">
        <v>64892</v>
      </c>
      <c r="H30" s="3" t="s">
        <v>17</v>
      </c>
      <c r="I30" s="3" t="s">
        <v>22</v>
      </c>
    </row>
    <row r="31" spans="1:9" ht="15" thickBot="1" x14ac:dyDescent="0.4">
      <c r="A31" s="3" t="s">
        <v>87</v>
      </c>
      <c r="B31" s="3" t="s">
        <v>88</v>
      </c>
      <c r="C31" s="3" t="s">
        <v>84</v>
      </c>
      <c r="D31" s="4">
        <v>45666</v>
      </c>
      <c r="E31" s="4">
        <v>45678</v>
      </c>
      <c r="F31" s="5">
        <v>5</v>
      </c>
      <c r="G31" s="5">
        <v>65773</v>
      </c>
      <c r="H31" s="3" t="s">
        <v>17</v>
      </c>
      <c r="I31" s="3" t="s">
        <v>22</v>
      </c>
    </row>
    <row r="32" spans="1:9" ht="29.5" thickBot="1" x14ac:dyDescent="0.4">
      <c r="A32" s="3" t="s">
        <v>89</v>
      </c>
      <c r="B32" s="3" t="s">
        <v>90</v>
      </c>
      <c r="C32" s="3" t="s">
        <v>66</v>
      </c>
      <c r="D32" s="4">
        <v>45681</v>
      </c>
      <c r="E32" s="4">
        <v>45683</v>
      </c>
      <c r="F32" s="5">
        <v>5</v>
      </c>
      <c r="G32" s="5">
        <v>67693</v>
      </c>
      <c r="H32" s="3" t="s">
        <v>17</v>
      </c>
      <c r="I32" s="3" t="s">
        <v>13</v>
      </c>
    </row>
    <row r="33" spans="1:9" ht="15" thickBot="1" x14ac:dyDescent="0.4">
      <c r="A33" s="3" t="s">
        <v>91</v>
      </c>
      <c r="B33" s="3" t="s">
        <v>92</v>
      </c>
      <c r="C33" s="3" t="s">
        <v>58</v>
      </c>
      <c r="D33" s="4">
        <v>45700</v>
      </c>
      <c r="E33" s="4">
        <v>45705</v>
      </c>
      <c r="F33" s="5">
        <v>4</v>
      </c>
      <c r="G33" s="5">
        <v>26320</v>
      </c>
      <c r="H33" s="3" t="s">
        <v>12</v>
      </c>
      <c r="I33" s="3" t="s">
        <v>22</v>
      </c>
    </row>
    <row r="34" spans="1:9" ht="15" thickBot="1" x14ac:dyDescent="0.4">
      <c r="A34" s="3" t="s">
        <v>93</v>
      </c>
      <c r="B34" s="3" t="s">
        <v>94</v>
      </c>
      <c r="C34" s="3" t="s">
        <v>58</v>
      </c>
      <c r="D34" s="4">
        <v>45720</v>
      </c>
      <c r="E34" s="4">
        <v>45730</v>
      </c>
      <c r="F34" s="5">
        <v>1</v>
      </c>
      <c r="G34" s="5">
        <v>42926</v>
      </c>
      <c r="H34" s="3" t="s">
        <v>12</v>
      </c>
      <c r="I34" s="3" t="s">
        <v>18</v>
      </c>
    </row>
    <row r="35" spans="1:9" ht="29.5" thickBot="1" x14ac:dyDescent="0.4">
      <c r="A35" s="3" t="s">
        <v>95</v>
      </c>
      <c r="B35" s="3" t="s">
        <v>96</v>
      </c>
      <c r="C35" s="3" t="s">
        <v>63</v>
      </c>
      <c r="D35" s="4">
        <v>45721</v>
      </c>
      <c r="E35" s="4">
        <v>45733</v>
      </c>
      <c r="F35" s="5">
        <v>1</v>
      </c>
      <c r="G35" s="5">
        <v>22275</v>
      </c>
      <c r="H35" s="3" t="s">
        <v>43</v>
      </c>
      <c r="I35" s="3" t="s">
        <v>13</v>
      </c>
    </row>
    <row r="36" spans="1:9" ht="15" thickBot="1" x14ac:dyDescent="0.4">
      <c r="A36" s="3" t="s">
        <v>97</v>
      </c>
      <c r="B36" s="3" t="s">
        <v>98</v>
      </c>
      <c r="C36" s="3" t="s">
        <v>21</v>
      </c>
      <c r="D36" s="4">
        <v>45671</v>
      </c>
      <c r="E36" s="4">
        <v>45677</v>
      </c>
      <c r="F36" s="5">
        <v>2</v>
      </c>
      <c r="G36" s="5">
        <v>60279</v>
      </c>
      <c r="H36" s="3" t="s">
        <v>43</v>
      </c>
      <c r="I36" s="3" t="s">
        <v>18</v>
      </c>
    </row>
    <row r="37" spans="1:9" ht="15" thickBot="1" x14ac:dyDescent="0.4">
      <c r="A37" s="3" t="s">
        <v>99</v>
      </c>
      <c r="B37" s="3" t="s">
        <v>100</v>
      </c>
      <c r="C37" s="3" t="s">
        <v>11</v>
      </c>
      <c r="D37" s="4">
        <v>45726</v>
      </c>
      <c r="E37" s="4">
        <v>45738</v>
      </c>
      <c r="F37" s="5">
        <v>2</v>
      </c>
      <c r="G37" s="5">
        <v>28865</v>
      </c>
      <c r="H37" s="3" t="s">
        <v>43</v>
      </c>
      <c r="I37" s="3" t="s">
        <v>22</v>
      </c>
    </row>
    <row r="38" spans="1:9" ht="15" thickBot="1" x14ac:dyDescent="0.4">
      <c r="A38" s="3" t="s">
        <v>101</v>
      </c>
      <c r="B38" s="3" t="s">
        <v>102</v>
      </c>
      <c r="C38" s="3" t="s">
        <v>25</v>
      </c>
      <c r="D38" s="4">
        <v>45698</v>
      </c>
      <c r="E38" s="4">
        <v>45709</v>
      </c>
      <c r="F38" s="5">
        <v>1</v>
      </c>
      <c r="G38" s="5">
        <v>21221</v>
      </c>
      <c r="H38" s="3" t="s">
        <v>17</v>
      </c>
      <c r="I38" s="3" t="s">
        <v>22</v>
      </c>
    </row>
    <row r="39" spans="1:9" ht="15" thickBot="1" x14ac:dyDescent="0.4">
      <c r="A39" s="3" t="s">
        <v>103</v>
      </c>
      <c r="B39" s="3" t="s">
        <v>104</v>
      </c>
      <c r="C39" s="3" t="s">
        <v>84</v>
      </c>
      <c r="D39" s="4">
        <v>45702</v>
      </c>
      <c r="E39" s="4">
        <v>45715</v>
      </c>
      <c r="F39" s="5">
        <v>5</v>
      </c>
      <c r="G39" s="5">
        <v>55559</v>
      </c>
      <c r="H39" s="3" t="s">
        <v>12</v>
      </c>
      <c r="I39" s="3" t="s">
        <v>22</v>
      </c>
    </row>
    <row r="40" spans="1:9" ht="15" thickBot="1" x14ac:dyDescent="0.4">
      <c r="A40" s="3" t="s">
        <v>105</v>
      </c>
      <c r="B40" s="3" t="s">
        <v>106</v>
      </c>
      <c r="C40" s="3" t="s">
        <v>66</v>
      </c>
      <c r="D40" s="4">
        <v>45661</v>
      </c>
      <c r="E40" s="4">
        <v>45675</v>
      </c>
      <c r="F40" s="5">
        <v>3</v>
      </c>
      <c r="G40" s="5">
        <v>2641</v>
      </c>
      <c r="H40" s="3" t="s">
        <v>34</v>
      </c>
      <c r="I40" s="3" t="s">
        <v>18</v>
      </c>
    </row>
    <row r="41" spans="1:9" ht="15" thickBot="1" x14ac:dyDescent="0.4">
      <c r="A41" s="3" t="s">
        <v>107</v>
      </c>
      <c r="B41" s="3" t="s">
        <v>108</v>
      </c>
      <c r="C41" s="3" t="s">
        <v>58</v>
      </c>
      <c r="D41" s="4">
        <v>45659</v>
      </c>
      <c r="E41" s="4">
        <v>45667</v>
      </c>
      <c r="F41" s="5">
        <v>2</v>
      </c>
      <c r="G41" s="5">
        <v>59131</v>
      </c>
      <c r="H41" s="3" t="s">
        <v>12</v>
      </c>
      <c r="I41" s="3" t="s">
        <v>18</v>
      </c>
    </row>
    <row r="42" spans="1:9" ht="15" thickBot="1" x14ac:dyDescent="0.4">
      <c r="A42" s="3" t="s">
        <v>109</v>
      </c>
      <c r="B42" s="3" t="s">
        <v>110</v>
      </c>
      <c r="C42" s="3" t="s">
        <v>77</v>
      </c>
      <c r="D42" s="4">
        <v>45713</v>
      </c>
      <c r="E42" s="4">
        <v>45717</v>
      </c>
      <c r="F42" s="5">
        <v>5</v>
      </c>
      <c r="G42" s="5">
        <v>63752</v>
      </c>
      <c r="H42" s="3" t="s">
        <v>34</v>
      </c>
      <c r="I42" s="3" t="s">
        <v>22</v>
      </c>
    </row>
    <row r="43" spans="1:9" ht="15" thickBot="1" x14ac:dyDescent="0.4">
      <c r="A43" s="3" t="s">
        <v>111</v>
      </c>
      <c r="B43" s="3" t="s">
        <v>112</v>
      </c>
      <c r="C43" s="3" t="s">
        <v>39</v>
      </c>
      <c r="D43" s="4">
        <v>45683</v>
      </c>
      <c r="E43" s="4">
        <v>45689</v>
      </c>
      <c r="F43" s="5">
        <v>4</v>
      </c>
      <c r="G43" s="5">
        <v>42104</v>
      </c>
      <c r="H43" s="3" t="s">
        <v>17</v>
      </c>
      <c r="I43" s="3" t="s">
        <v>18</v>
      </c>
    </row>
    <row r="44" spans="1:9" ht="29.5" thickBot="1" x14ac:dyDescent="0.4">
      <c r="A44" s="3" t="s">
        <v>113</v>
      </c>
      <c r="B44" s="3" t="s">
        <v>114</v>
      </c>
      <c r="C44" s="3" t="s">
        <v>25</v>
      </c>
      <c r="D44" s="4">
        <v>45705</v>
      </c>
      <c r="E44" s="4">
        <v>45710</v>
      </c>
      <c r="F44" s="5">
        <v>2</v>
      </c>
      <c r="G44" s="5">
        <v>26803</v>
      </c>
      <c r="H44" s="3" t="s">
        <v>34</v>
      </c>
      <c r="I44" s="3" t="s">
        <v>13</v>
      </c>
    </row>
    <row r="45" spans="1:9" ht="15" thickBot="1" x14ac:dyDescent="0.4">
      <c r="A45" s="3" t="s">
        <v>115</v>
      </c>
      <c r="B45" s="3" t="s">
        <v>116</v>
      </c>
      <c r="C45" s="3" t="s">
        <v>11</v>
      </c>
      <c r="D45" s="4">
        <v>45665</v>
      </c>
      <c r="E45" s="4">
        <v>45669</v>
      </c>
      <c r="F45" s="5">
        <v>5</v>
      </c>
      <c r="G45" s="5">
        <v>64309</v>
      </c>
      <c r="H45" s="3" t="s">
        <v>12</v>
      </c>
      <c r="I45" s="3" t="s">
        <v>22</v>
      </c>
    </row>
    <row r="46" spans="1:9" ht="15" thickBot="1" x14ac:dyDescent="0.4">
      <c r="A46" s="3" t="s">
        <v>117</v>
      </c>
      <c r="B46" s="3" t="s">
        <v>118</v>
      </c>
      <c r="C46" s="3" t="s">
        <v>63</v>
      </c>
      <c r="D46" s="4">
        <v>45717</v>
      </c>
      <c r="E46" s="4">
        <v>45730</v>
      </c>
      <c r="F46" s="5">
        <v>5</v>
      </c>
      <c r="G46" s="5">
        <v>60923</v>
      </c>
      <c r="H46" s="3" t="s">
        <v>12</v>
      </c>
      <c r="I46" s="3" t="s">
        <v>22</v>
      </c>
    </row>
    <row r="47" spans="1:9" ht="15" thickBot="1" x14ac:dyDescent="0.4">
      <c r="A47" s="3" t="s">
        <v>119</v>
      </c>
      <c r="B47" s="3" t="s">
        <v>120</v>
      </c>
      <c r="C47" s="3" t="s">
        <v>66</v>
      </c>
      <c r="D47" s="4">
        <v>45698</v>
      </c>
      <c r="E47" s="4">
        <v>45709</v>
      </c>
      <c r="F47" s="5">
        <v>1</v>
      </c>
      <c r="G47" s="5">
        <v>6488</v>
      </c>
      <c r="H47" s="3" t="s">
        <v>12</v>
      </c>
      <c r="I47" s="3" t="s">
        <v>22</v>
      </c>
    </row>
    <row r="48" spans="1:9" ht="15" thickBot="1" x14ac:dyDescent="0.4">
      <c r="A48" s="3" t="s">
        <v>121</v>
      </c>
      <c r="B48" s="3" t="s">
        <v>122</v>
      </c>
      <c r="C48" s="3" t="s">
        <v>21</v>
      </c>
      <c r="D48" s="4">
        <v>45671</v>
      </c>
      <c r="E48" s="4">
        <v>45677</v>
      </c>
      <c r="F48" s="5">
        <v>6</v>
      </c>
      <c r="G48" s="5">
        <v>45482</v>
      </c>
      <c r="H48" s="3" t="s">
        <v>12</v>
      </c>
      <c r="I48" s="3" t="s">
        <v>22</v>
      </c>
    </row>
    <row r="49" spans="1:9" ht="15" thickBot="1" x14ac:dyDescent="0.4">
      <c r="A49" s="3" t="s">
        <v>123</v>
      </c>
      <c r="B49" s="3" t="s">
        <v>124</v>
      </c>
      <c r="C49" s="3" t="s">
        <v>11</v>
      </c>
      <c r="D49" s="4">
        <v>45724</v>
      </c>
      <c r="E49" s="4">
        <v>45736</v>
      </c>
      <c r="F49" s="5">
        <v>1</v>
      </c>
      <c r="G49" s="5">
        <v>47310</v>
      </c>
      <c r="H49" s="3" t="s">
        <v>17</v>
      </c>
      <c r="I49" s="3" t="s">
        <v>22</v>
      </c>
    </row>
    <row r="50" spans="1:9" ht="15" thickBot="1" x14ac:dyDescent="0.4">
      <c r="A50" s="3" t="s">
        <v>125</v>
      </c>
      <c r="B50" s="3" t="s">
        <v>55</v>
      </c>
      <c r="C50" s="3" t="s">
        <v>84</v>
      </c>
      <c r="D50" s="4">
        <v>45678</v>
      </c>
      <c r="E50" s="4">
        <v>45692</v>
      </c>
      <c r="F50" s="5">
        <v>1</v>
      </c>
      <c r="G50" s="5">
        <v>16901</v>
      </c>
      <c r="H50" s="3" t="s">
        <v>34</v>
      </c>
      <c r="I50" s="3" t="s">
        <v>22</v>
      </c>
    </row>
    <row r="51" spans="1:9" ht="15" thickBot="1" x14ac:dyDescent="0.4">
      <c r="A51" s="3" t="s">
        <v>126</v>
      </c>
      <c r="B51" s="3" t="s">
        <v>127</v>
      </c>
      <c r="C51" s="3" t="s">
        <v>128</v>
      </c>
      <c r="D51" s="4">
        <v>45677</v>
      </c>
      <c r="E51" s="4">
        <v>45682</v>
      </c>
      <c r="F51" s="5">
        <v>4</v>
      </c>
      <c r="G51" s="5">
        <v>36642</v>
      </c>
      <c r="H51" s="3" t="s">
        <v>34</v>
      </c>
      <c r="I51" s="3" t="s">
        <v>22</v>
      </c>
    </row>
    <row r="52" spans="1:9" ht="15" thickBot="1" x14ac:dyDescent="0.4">
      <c r="A52" s="3" t="s">
        <v>129</v>
      </c>
      <c r="B52" s="3" t="s">
        <v>130</v>
      </c>
      <c r="C52" s="3" t="s">
        <v>16</v>
      </c>
      <c r="D52" s="4">
        <v>45719</v>
      </c>
      <c r="E52" s="4">
        <v>45722</v>
      </c>
      <c r="F52" s="5">
        <v>3</v>
      </c>
      <c r="G52" s="5">
        <v>45563</v>
      </c>
      <c r="H52" s="3" t="s">
        <v>43</v>
      </c>
      <c r="I52" s="3" t="s">
        <v>18</v>
      </c>
    </row>
    <row r="53" spans="1:9" ht="29.5" thickBot="1" x14ac:dyDescent="0.4">
      <c r="A53" s="3" t="s">
        <v>131</v>
      </c>
      <c r="B53" s="3" t="s">
        <v>132</v>
      </c>
      <c r="C53" s="3" t="s">
        <v>58</v>
      </c>
      <c r="D53" s="4">
        <v>45705</v>
      </c>
      <c r="E53" s="4">
        <v>45708</v>
      </c>
      <c r="F53" s="5">
        <v>4</v>
      </c>
      <c r="G53" s="5">
        <v>22996</v>
      </c>
      <c r="H53" s="3" t="s">
        <v>43</v>
      </c>
      <c r="I53" s="3" t="s">
        <v>13</v>
      </c>
    </row>
    <row r="54" spans="1:9" ht="15" thickBot="1" x14ac:dyDescent="0.4">
      <c r="A54" s="3" t="s">
        <v>133</v>
      </c>
      <c r="B54" s="3" t="s">
        <v>134</v>
      </c>
      <c r="C54" s="3" t="s">
        <v>39</v>
      </c>
      <c r="D54" s="4">
        <v>45692</v>
      </c>
      <c r="E54" s="4">
        <v>45698</v>
      </c>
      <c r="F54" s="5">
        <v>3</v>
      </c>
      <c r="G54" s="5">
        <v>44183</v>
      </c>
      <c r="H54" s="3" t="s">
        <v>34</v>
      </c>
      <c r="I54" s="3" t="s">
        <v>22</v>
      </c>
    </row>
    <row r="55" spans="1:9" ht="15" thickBot="1" x14ac:dyDescent="0.4">
      <c r="A55" s="3" t="s">
        <v>135</v>
      </c>
      <c r="B55" s="3" t="s">
        <v>136</v>
      </c>
      <c r="C55" s="3" t="s">
        <v>128</v>
      </c>
      <c r="D55" s="4">
        <v>45720</v>
      </c>
      <c r="E55" s="4">
        <v>45732</v>
      </c>
      <c r="F55" s="5">
        <v>5</v>
      </c>
      <c r="G55" s="5">
        <v>23977</v>
      </c>
      <c r="H55" s="3" t="s">
        <v>34</v>
      </c>
      <c r="I55" s="3" t="s">
        <v>18</v>
      </c>
    </row>
    <row r="56" spans="1:9" ht="15" thickBot="1" x14ac:dyDescent="0.4">
      <c r="A56" s="3" t="s">
        <v>137</v>
      </c>
      <c r="B56" s="3" t="s">
        <v>138</v>
      </c>
      <c r="C56" s="3" t="s">
        <v>139</v>
      </c>
      <c r="D56" s="4">
        <v>45718</v>
      </c>
      <c r="E56" s="4">
        <v>45727</v>
      </c>
      <c r="F56" s="5">
        <v>4</v>
      </c>
      <c r="G56" s="5">
        <v>61336</v>
      </c>
      <c r="H56" s="3" t="s">
        <v>17</v>
      </c>
      <c r="I56" s="3" t="s">
        <v>22</v>
      </c>
    </row>
    <row r="57" spans="1:9" ht="15" thickBot="1" x14ac:dyDescent="0.4">
      <c r="A57" s="3" t="s">
        <v>140</v>
      </c>
      <c r="B57" s="3" t="s">
        <v>141</v>
      </c>
      <c r="C57" s="3" t="s">
        <v>77</v>
      </c>
      <c r="D57" s="4">
        <v>45658</v>
      </c>
      <c r="E57" s="4">
        <v>45665</v>
      </c>
      <c r="F57" s="5">
        <v>3</v>
      </c>
      <c r="G57" s="5">
        <v>28560</v>
      </c>
      <c r="H57" s="3" t="s">
        <v>12</v>
      </c>
      <c r="I57" s="3" t="s">
        <v>18</v>
      </c>
    </row>
    <row r="58" spans="1:9" ht="15" thickBot="1" x14ac:dyDescent="0.4">
      <c r="A58" s="3" t="s">
        <v>142</v>
      </c>
      <c r="B58" s="3" t="s">
        <v>143</v>
      </c>
      <c r="C58" s="3" t="s">
        <v>21</v>
      </c>
      <c r="D58" s="4">
        <v>45697</v>
      </c>
      <c r="E58" s="4">
        <v>45706</v>
      </c>
      <c r="F58" s="5">
        <v>6</v>
      </c>
      <c r="G58" s="5">
        <v>17033</v>
      </c>
      <c r="H58" s="3" t="s">
        <v>34</v>
      </c>
      <c r="I58" s="3" t="s">
        <v>22</v>
      </c>
    </row>
    <row r="59" spans="1:9" ht="15" thickBot="1" x14ac:dyDescent="0.4">
      <c r="A59" s="3" t="s">
        <v>144</v>
      </c>
      <c r="B59" s="3" t="s">
        <v>145</v>
      </c>
      <c r="C59" s="3" t="s">
        <v>66</v>
      </c>
      <c r="D59" s="4">
        <v>45715</v>
      </c>
      <c r="E59" s="4">
        <v>45724</v>
      </c>
      <c r="F59" s="5">
        <v>4</v>
      </c>
      <c r="G59" s="5">
        <v>8225</v>
      </c>
      <c r="H59" s="3" t="s">
        <v>43</v>
      </c>
      <c r="I59" s="3" t="s">
        <v>22</v>
      </c>
    </row>
    <row r="60" spans="1:9" ht="15" thickBot="1" x14ac:dyDescent="0.4">
      <c r="A60" s="3" t="s">
        <v>146</v>
      </c>
      <c r="B60" s="3" t="s">
        <v>147</v>
      </c>
      <c r="C60" s="3" t="s">
        <v>128</v>
      </c>
      <c r="D60" s="4">
        <v>45727</v>
      </c>
      <c r="E60" s="4">
        <v>45729</v>
      </c>
      <c r="F60" s="5">
        <v>5</v>
      </c>
      <c r="G60" s="5">
        <v>32053</v>
      </c>
      <c r="H60" s="3" t="s">
        <v>17</v>
      </c>
      <c r="I60" s="3" t="s">
        <v>22</v>
      </c>
    </row>
    <row r="61" spans="1:9" ht="15" thickBot="1" x14ac:dyDescent="0.4">
      <c r="A61" s="3" t="s">
        <v>148</v>
      </c>
      <c r="B61" s="3" t="s">
        <v>149</v>
      </c>
      <c r="C61" s="3" t="s">
        <v>11</v>
      </c>
      <c r="D61" s="4">
        <v>45680</v>
      </c>
      <c r="E61" s="4">
        <v>45693</v>
      </c>
      <c r="F61" s="5">
        <v>1</v>
      </c>
      <c r="G61" s="5">
        <v>23765</v>
      </c>
      <c r="H61" s="3" t="s">
        <v>12</v>
      </c>
      <c r="I61" s="3" t="s">
        <v>22</v>
      </c>
    </row>
    <row r="62" spans="1:9" ht="15" thickBot="1" x14ac:dyDescent="0.4">
      <c r="A62" s="3" t="s">
        <v>150</v>
      </c>
      <c r="B62" s="3" t="s">
        <v>151</v>
      </c>
      <c r="C62" s="3" t="s">
        <v>33</v>
      </c>
      <c r="D62" s="4">
        <v>45708</v>
      </c>
      <c r="E62" s="4">
        <v>45716</v>
      </c>
      <c r="F62" s="5">
        <v>4</v>
      </c>
      <c r="G62" s="5">
        <v>63627</v>
      </c>
      <c r="H62" s="3" t="s">
        <v>43</v>
      </c>
      <c r="I62" s="3" t="s">
        <v>18</v>
      </c>
    </row>
    <row r="63" spans="1:9" ht="15" thickBot="1" x14ac:dyDescent="0.4">
      <c r="A63" s="3" t="s">
        <v>152</v>
      </c>
      <c r="B63" s="3" t="s">
        <v>153</v>
      </c>
      <c r="C63" s="3" t="s">
        <v>139</v>
      </c>
      <c r="D63" s="4">
        <v>45713</v>
      </c>
      <c r="E63" s="4">
        <v>45720</v>
      </c>
      <c r="F63" s="5">
        <v>6</v>
      </c>
      <c r="G63" s="5">
        <v>44304</v>
      </c>
      <c r="H63" s="3" t="s">
        <v>34</v>
      </c>
      <c r="I63" s="3" t="s">
        <v>22</v>
      </c>
    </row>
    <row r="64" spans="1:9" ht="15" thickBot="1" x14ac:dyDescent="0.4">
      <c r="A64" s="3" t="s">
        <v>154</v>
      </c>
      <c r="B64" s="3" t="s">
        <v>155</v>
      </c>
      <c r="C64" s="3" t="s">
        <v>11</v>
      </c>
      <c r="D64" s="4">
        <v>45688</v>
      </c>
      <c r="E64" s="4">
        <v>45701</v>
      </c>
      <c r="F64" s="5">
        <v>5</v>
      </c>
      <c r="G64" s="5">
        <v>27814</v>
      </c>
      <c r="H64" s="3" t="s">
        <v>17</v>
      </c>
      <c r="I64" s="3" t="s">
        <v>22</v>
      </c>
    </row>
    <row r="65" spans="1:9" ht="29.5" thickBot="1" x14ac:dyDescent="0.4">
      <c r="A65" s="3" t="s">
        <v>156</v>
      </c>
      <c r="B65" s="3" t="s">
        <v>157</v>
      </c>
      <c r="C65" s="3" t="s">
        <v>33</v>
      </c>
      <c r="D65" s="4">
        <v>45691</v>
      </c>
      <c r="E65" s="4">
        <v>45704</v>
      </c>
      <c r="F65" s="5">
        <v>2</v>
      </c>
      <c r="G65" s="5">
        <v>12746</v>
      </c>
      <c r="H65" s="3" t="s">
        <v>43</v>
      </c>
      <c r="I65" s="3" t="s">
        <v>13</v>
      </c>
    </row>
    <row r="66" spans="1:9" ht="15" thickBot="1" x14ac:dyDescent="0.4">
      <c r="A66" s="3" t="s">
        <v>158</v>
      </c>
      <c r="B66" s="3" t="s">
        <v>159</v>
      </c>
      <c r="C66" s="3" t="s">
        <v>58</v>
      </c>
      <c r="D66" s="4">
        <v>45713</v>
      </c>
      <c r="E66" s="4">
        <v>45723</v>
      </c>
      <c r="F66" s="5">
        <v>3</v>
      </c>
      <c r="G66" s="5">
        <v>66758</v>
      </c>
      <c r="H66" s="3" t="s">
        <v>43</v>
      </c>
      <c r="I66" s="3" t="s">
        <v>22</v>
      </c>
    </row>
    <row r="67" spans="1:9" ht="29.5" thickBot="1" x14ac:dyDescent="0.4">
      <c r="A67" s="3" t="s">
        <v>160</v>
      </c>
      <c r="B67" s="3" t="s">
        <v>161</v>
      </c>
      <c r="C67" s="3" t="s">
        <v>21</v>
      </c>
      <c r="D67" s="4">
        <v>45726</v>
      </c>
      <c r="E67" s="4">
        <v>45737</v>
      </c>
      <c r="F67" s="5">
        <v>1</v>
      </c>
      <c r="G67" s="5">
        <v>9833</v>
      </c>
      <c r="H67" s="3" t="s">
        <v>34</v>
      </c>
      <c r="I67" s="3" t="s">
        <v>13</v>
      </c>
    </row>
    <row r="68" spans="1:9" ht="15" thickBot="1" x14ac:dyDescent="0.4">
      <c r="A68" s="3" t="s">
        <v>162</v>
      </c>
      <c r="B68" s="3" t="s">
        <v>163</v>
      </c>
      <c r="C68" s="3" t="s">
        <v>66</v>
      </c>
      <c r="D68" s="4">
        <v>45716</v>
      </c>
      <c r="E68" s="4">
        <v>45725</v>
      </c>
      <c r="F68" s="5">
        <v>6</v>
      </c>
      <c r="G68" s="5">
        <v>19276</v>
      </c>
      <c r="H68" s="3" t="s">
        <v>34</v>
      </c>
      <c r="I68" s="3" t="s">
        <v>18</v>
      </c>
    </row>
    <row r="69" spans="1:9" ht="15" thickBot="1" x14ac:dyDescent="0.4">
      <c r="A69" s="3" t="s">
        <v>164</v>
      </c>
      <c r="B69" s="3" t="s">
        <v>165</v>
      </c>
      <c r="C69" s="3" t="s">
        <v>42</v>
      </c>
      <c r="D69" s="4">
        <v>45708</v>
      </c>
      <c r="E69" s="4">
        <v>45713</v>
      </c>
      <c r="F69" s="5">
        <v>5</v>
      </c>
      <c r="G69" s="5">
        <v>8589</v>
      </c>
      <c r="H69" s="3" t="s">
        <v>17</v>
      </c>
      <c r="I69" s="3" t="s">
        <v>22</v>
      </c>
    </row>
    <row r="70" spans="1:9" ht="15" thickBot="1" x14ac:dyDescent="0.4">
      <c r="A70" s="3" t="s">
        <v>166</v>
      </c>
      <c r="B70" s="3" t="s">
        <v>167</v>
      </c>
      <c r="C70" s="3" t="s">
        <v>21</v>
      </c>
      <c r="D70" s="4">
        <v>45696</v>
      </c>
      <c r="E70" s="4">
        <v>45709</v>
      </c>
      <c r="F70" s="5">
        <v>1</v>
      </c>
      <c r="G70" s="5">
        <v>24228</v>
      </c>
      <c r="H70" s="3" t="s">
        <v>34</v>
      </c>
      <c r="I70" s="3" t="s">
        <v>22</v>
      </c>
    </row>
    <row r="71" spans="1:9" ht="15" thickBot="1" x14ac:dyDescent="0.4">
      <c r="A71" s="3" t="s">
        <v>168</v>
      </c>
      <c r="B71" s="3" t="s">
        <v>169</v>
      </c>
      <c r="C71" s="3" t="s">
        <v>58</v>
      </c>
      <c r="D71" s="4">
        <v>45661</v>
      </c>
      <c r="E71" s="4">
        <v>45665</v>
      </c>
      <c r="F71" s="5">
        <v>6</v>
      </c>
      <c r="G71" s="5">
        <v>45999</v>
      </c>
      <c r="H71" s="3" t="s">
        <v>17</v>
      </c>
      <c r="I71" s="3" t="s">
        <v>22</v>
      </c>
    </row>
    <row r="72" spans="1:9" ht="15" thickBot="1" x14ac:dyDescent="0.4">
      <c r="A72" s="3" t="s">
        <v>170</v>
      </c>
      <c r="B72" s="3" t="s">
        <v>171</v>
      </c>
      <c r="C72" s="3" t="s">
        <v>77</v>
      </c>
      <c r="D72" s="4">
        <v>45714</v>
      </c>
      <c r="E72" s="4">
        <v>45725</v>
      </c>
      <c r="F72" s="5">
        <v>6</v>
      </c>
      <c r="G72" s="5">
        <v>16843</v>
      </c>
      <c r="H72" s="3" t="s">
        <v>17</v>
      </c>
      <c r="I72" s="3" t="s">
        <v>22</v>
      </c>
    </row>
    <row r="73" spans="1:9" ht="15" thickBot="1" x14ac:dyDescent="0.4">
      <c r="A73" s="3" t="s">
        <v>172</v>
      </c>
      <c r="B73" s="3" t="s">
        <v>173</v>
      </c>
      <c r="C73" s="3" t="s">
        <v>16</v>
      </c>
      <c r="D73" s="4">
        <v>45708</v>
      </c>
      <c r="E73" s="4">
        <v>45720</v>
      </c>
      <c r="F73" s="5">
        <v>5</v>
      </c>
      <c r="G73" s="5">
        <v>11432</v>
      </c>
      <c r="H73" s="3" t="s">
        <v>34</v>
      </c>
      <c r="I73" s="3" t="s">
        <v>22</v>
      </c>
    </row>
    <row r="74" spans="1:9" ht="15" thickBot="1" x14ac:dyDescent="0.4">
      <c r="A74" s="3" t="s">
        <v>174</v>
      </c>
      <c r="B74" s="3" t="s">
        <v>175</v>
      </c>
      <c r="C74" s="3" t="s">
        <v>66</v>
      </c>
      <c r="D74" s="4">
        <v>45703</v>
      </c>
      <c r="E74" s="4">
        <v>45712</v>
      </c>
      <c r="F74" s="5">
        <v>3</v>
      </c>
      <c r="G74" s="5">
        <v>6930</v>
      </c>
      <c r="H74" s="3" t="s">
        <v>43</v>
      </c>
      <c r="I74" s="3" t="s">
        <v>22</v>
      </c>
    </row>
    <row r="75" spans="1:9" ht="15" thickBot="1" x14ac:dyDescent="0.4">
      <c r="A75" s="3" t="s">
        <v>176</v>
      </c>
      <c r="B75" s="3" t="s">
        <v>177</v>
      </c>
      <c r="C75" s="3" t="s">
        <v>77</v>
      </c>
      <c r="D75" s="4">
        <v>45711</v>
      </c>
      <c r="E75" s="4">
        <v>45714</v>
      </c>
      <c r="F75" s="5">
        <v>2</v>
      </c>
      <c r="G75" s="5">
        <v>5931</v>
      </c>
      <c r="H75" s="3" t="s">
        <v>12</v>
      </c>
      <c r="I75" s="3" t="s">
        <v>22</v>
      </c>
    </row>
    <row r="76" spans="1:9" ht="15" thickBot="1" x14ac:dyDescent="0.4">
      <c r="A76" s="3" t="s">
        <v>178</v>
      </c>
      <c r="B76" s="3" t="s">
        <v>179</v>
      </c>
      <c r="C76" s="3" t="s">
        <v>21</v>
      </c>
      <c r="D76" s="4">
        <v>45717</v>
      </c>
      <c r="E76" s="4">
        <v>45721</v>
      </c>
      <c r="F76" s="5">
        <v>4</v>
      </c>
      <c r="G76" s="5">
        <v>42890</v>
      </c>
      <c r="H76" s="3" t="s">
        <v>12</v>
      </c>
      <c r="I76" s="3" t="s">
        <v>22</v>
      </c>
    </row>
    <row r="77" spans="1:9" ht="15" thickBot="1" x14ac:dyDescent="0.4">
      <c r="A77" s="3" t="s">
        <v>180</v>
      </c>
      <c r="B77" s="3" t="s">
        <v>181</v>
      </c>
      <c r="C77" s="3" t="s">
        <v>42</v>
      </c>
      <c r="D77" s="4">
        <v>45728</v>
      </c>
      <c r="E77" s="4">
        <v>45740</v>
      </c>
      <c r="F77" s="5">
        <v>4</v>
      </c>
      <c r="G77" s="5">
        <v>44533</v>
      </c>
      <c r="H77" s="3" t="s">
        <v>43</v>
      </c>
      <c r="I77" s="3" t="s">
        <v>22</v>
      </c>
    </row>
    <row r="78" spans="1:9" ht="15" thickBot="1" x14ac:dyDescent="0.4">
      <c r="A78" s="3" t="s">
        <v>182</v>
      </c>
      <c r="B78" s="3" t="s">
        <v>183</v>
      </c>
      <c r="C78" s="3" t="s">
        <v>11</v>
      </c>
      <c r="D78" s="4">
        <v>45711</v>
      </c>
      <c r="E78" s="4">
        <v>45716</v>
      </c>
      <c r="F78" s="5">
        <v>2</v>
      </c>
      <c r="G78" s="5">
        <v>46616</v>
      </c>
      <c r="H78" s="3" t="s">
        <v>34</v>
      </c>
      <c r="I78" s="3" t="s">
        <v>18</v>
      </c>
    </row>
    <row r="79" spans="1:9" ht="15" thickBot="1" x14ac:dyDescent="0.4">
      <c r="A79" s="3" t="s">
        <v>184</v>
      </c>
      <c r="B79" s="3" t="s">
        <v>185</v>
      </c>
      <c r="C79" s="3" t="s">
        <v>16</v>
      </c>
      <c r="D79" s="4">
        <v>45720</v>
      </c>
      <c r="E79" s="4">
        <v>45732</v>
      </c>
      <c r="F79" s="5">
        <v>3</v>
      </c>
      <c r="G79" s="5">
        <v>57016</v>
      </c>
      <c r="H79" s="3" t="s">
        <v>17</v>
      </c>
      <c r="I79" s="3" t="s">
        <v>22</v>
      </c>
    </row>
    <row r="80" spans="1:9" ht="29.5" thickBot="1" x14ac:dyDescent="0.4">
      <c r="A80" s="3" t="s">
        <v>186</v>
      </c>
      <c r="B80" s="3" t="s">
        <v>187</v>
      </c>
      <c r="C80" s="3" t="s">
        <v>30</v>
      </c>
      <c r="D80" s="4">
        <v>45671</v>
      </c>
      <c r="E80" s="4">
        <v>45686</v>
      </c>
      <c r="F80" s="5">
        <v>6</v>
      </c>
      <c r="G80" s="5">
        <v>37999</v>
      </c>
      <c r="H80" s="3" t="s">
        <v>34</v>
      </c>
      <c r="I80" s="3" t="s">
        <v>13</v>
      </c>
    </row>
    <row r="81" spans="1:9" ht="15" thickBot="1" x14ac:dyDescent="0.4">
      <c r="A81" s="3" t="s">
        <v>188</v>
      </c>
      <c r="B81" s="3" t="s">
        <v>189</v>
      </c>
      <c r="C81" s="3" t="s">
        <v>66</v>
      </c>
      <c r="D81" s="4">
        <v>45693</v>
      </c>
      <c r="E81" s="4">
        <v>45700</v>
      </c>
      <c r="F81" s="5">
        <v>5</v>
      </c>
      <c r="G81" s="5">
        <v>48493</v>
      </c>
      <c r="H81" s="3" t="s">
        <v>17</v>
      </c>
      <c r="I81" s="3" t="s">
        <v>22</v>
      </c>
    </row>
    <row r="82" spans="1:9" ht="15" thickBot="1" x14ac:dyDescent="0.4">
      <c r="A82" s="3" t="s">
        <v>190</v>
      </c>
      <c r="B82" s="3" t="s">
        <v>191</v>
      </c>
      <c r="C82" s="3" t="s">
        <v>25</v>
      </c>
      <c r="D82" s="4">
        <v>45713</v>
      </c>
      <c r="E82" s="4">
        <v>45721</v>
      </c>
      <c r="F82" s="5">
        <v>2</v>
      </c>
      <c r="G82" s="5">
        <v>11330</v>
      </c>
      <c r="H82" s="3" t="s">
        <v>43</v>
      </c>
      <c r="I82" s="3" t="s">
        <v>22</v>
      </c>
    </row>
    <row r="83" spans="1:9" ht="15" thickBot="1" x14ac:dyDescent="0.4">
      <c r="A83" s="3" t="s">
        <v>192</v>
      </c>
      <c r="B83" s="3" t="s">
        <v>193</v>
      </c>
      <c r="C83" s="3" t="s">
        <v>25</v>
      </c>
      <c r="D83" s="4">
        <v>45669</v>
      </c>
      <c r="E83" s="4">
        <v>45672</v>
      </c>
      <c r="F83" s="5">
        <v>3</v>
      </c>
      <c r="G83" s="5">
        <v>33535</v>
      </c>
      <c r="H83" s="3" t="s">
        <v>12</v>
      </c>
      <c r="I83" s="3" t="s">
        <v>22</v>
      </c>
    </row>
    <row r="84" spans="1:9" ht="15" thickBot="1" x14ac:dyDescent="0.4">
      <c r="A84" s="3" t="s">
        <v>194</v>
      </c>
      <c r="B84" s="3" t="s">
        <v>195</v>
      </c>
      <c r="C84" s="3" t="s">
        <v>139</v>
      </c>
      <c r="D84" s="4">
        <v>45698</v>
      </c>
      <c r="E84" s="4">
        <v>45712</v>
      </c>
      <c r="F84" s="5">
        <v>1</v>
      </c>
      <c r="G84" s="5">
        <v>2992</v>
      </c>
      <c r="H84" s="3" t="s">
        <v>34</v>
      </c>
      <c r="I84" s="3" t="s">
        <v>18</v>
      </c>
    </row>
    <row r="85" spans="1:9" ht="29.5" thickBot="1" x14ac:dyDescent="0.4">
      <c r="A85" s="3" t="s">
        <v>196</v>
      </c>
      <c r="B85" s="3" t="s">
        <v>197</v>
      </c>
      <c r="C85" s="3" t="s">
        <v>139</v>
      </c>
      <c r="D85" s="4">
        <v>45696</v>
      </c>
      <c r="E85" s="4">
        <v>45708</v>
      </c>
      <c r="F85" s="5">
        <v>5</v>
      </c>
      <c r="G85" s="5">
        <v>8734</v>
      </c>
      <c r="H85" s="3" t="s">
        <v>12</v>
      </c>
      <c r="I85" s="3" t="s">
        <v>13</v>
      </c>
    </row>
    <row r="86" spans="1:9" ht="15" thickBot="1" x14ac:dyDescent="0.4">
      <c r="A86" s="3" t="s">
        <v>198</v>
      </c>
      <c r="B86" s="3" t="s">
        <v>199</v>
      </c>
      <c r="C86" s="3" t="s">
        <v>84</v>
      </c>
      <c r="D86" s="4">
        <v>45715</v>
      </c>
      <c r="E86" s="4">
        <v>45719</v>
      </c>
      <c r="F86" s="5">
        <v>6</v>
      </c>
      <c r="G86" s="5">
        <v>45602</v>
      </c>
      <c r="H86" s="3" t="s">
        <v>43</v>
      </c>
      <c r="I86" s="3" t="s">
        <v>22</v>
      </c>
    </row>
    <row r="87" spans="1:9" ht="29.5" thickBot="1" x14ac:dyDescent="0.4">
      <c r="A87" s="3" t="s">
        <v>200</v>
      </c>
      <c r="B87" s="3" t="s">
        <v>201</v>
      </c>
      <c r="C87" s="3" t="s">
        <v>25</v>
      </c>
      <c r="D87" s="4">
        <v>45696</v>
      </c>
      <c r="E87" s="4">
        <v>45710</v>
      </c>
      <c r="F87" s="5">
        <v>3</v>
      </c>
      <c r="G87" s="5">
        <v>5818</v>
      </c>
      <c r="H87" s="3" t="s">
        <v>12</v>
      </c>
      <c r="I87" s="3" t="s">
        <v>13</v>
      </c>
    </row>
    <row r="88" spans="1:9" ht="15" thickBot="1" x14ac:dyDescent="0.4">
      <c r="A88" s="3" t="s">
        <v>202</v>
      </c>
      <c r="B88" s="3" t="s">
        <v>203</v>
      </c>
      <c r="C88" s="3" t="s">
        <v>66</v>
      </c>
      <c r="D88" s="4">
        <v>45708</v>
      </c>
      <c r="E88" s="4">
        <v>45712</v>
      </c>
      <c r="F88" s="5">
        <v>5</v>
      </c>
      <c r="G88" s="5">
        <v>63923</v>
      </c>
      <c r="H88" s="3" t="s">
        <v>12</v>
      </c>
      <c r="I88" s="3" t="s">
        <v>22</v>
      </c>
    </row>
    <row r="89" spans="1:9" ht="15" thickBot="1" x14ac:dyDescent="0.4">
      <c r="A89" s="3" t="s">
        <v>204</v>
      </c>
      <c r="B89" s="3" t="s">
        <v>205</v>
      </c>
      <c r="C89" s="3" t="s">
        <v>42</v>
      </c>
      <c r="D89" s="4">
        <v>45683</v>
      </c>
      <c r="E89" s="4">
        <v>45688</v>
      </c>
      <c r="F89" s="5">
        <v>5</v>
      </c>
      <c r="G89" s="5">
        <v>47222</v>
      </c>
      <c r="H89" s="3" t="s">
        <v>43</v>
      </c>
      <c r="I89" s="3" t="s">
        <v>22</v>
      </c>
    </row>
    <row r="90" spans="1:9" ht="15" thickBot="1" x14ac:dyDescent="0.4">
      <c r="A90" s="3" t="s">
        <v>206</v>
      </c>
      <c r="B90" s="3" t="s">
        <v>207</v>
      </c>
      <c r="C90" s="3" t="s">
        <v>66</v>
      </c>
      <c r="D90" s="4">
        <v>45720</v>
      </c>
      <c r="E90" s="4">
        <v>45727</v>
      </c>
      <c r="F90" s="5">
        <v>4</v>
      </c>
      <c r="G90" s="5">
        <v>61768</v>
      </c>
      <c r="H90" s="3" t="s">
        <v>34</v>
      </c>
      <c r="I90" s="3" t="s">
        <v>22</v>
      </c>
    </row>
    <row r="91" spans="1:9" ht="15" thickBot="1" x14ac:dyDescent="0.4">
      <c r="A91" s="3" t="s">
        <v>208</v>
      </c>
      <c r="B91" s="3" t="s">
        <v>209</v>
      </c>
      <c r="C91" s="3" t="s">
        <v>30</v>
      </c>
      <c r="D91" s="4">
        <v>45664</v>
      </c>
      <c r="E91" s="4">
        <v>45675</v>
      </c>
      <c r="F91" s="5">
        <v>2</v>
      </c>
      <c r="G91" s="5">
        <v>37005</v>
      </c>
      <c r="H91" s="3" t="s">
        <v>12</v>
      </c>
      <c r="I91" s="3" t="s">
        <v>22</v>
      </c>
    </row>
    <row r="92" spans="1:9" ht="29.5" thickBot="1" x14ac:dyDescent="0.4">
      <c r="A92" s="3" t="s">
        <v>210</v>
      </c>
      <c r="B92" s="3" t="s">
        <v>211</v>
      </c>
      <c r="C92" s="3" t="s">
        <v>63</v>
      </c>
      <c r="D92" s="4">
        <v>45707</v>
      </c>
      <c r="E92" s="4">
        <v>45715</v>
      </c>
      <c r="F92" s="5">
        <v>6</v>
      </c>
      <c r="G92" s="5">
        <v>15373</v>
      </c>
      <c r="H92" s="3" t="s">
        <v>12</v>
      </c>
      <c r="I92" s="3" t="s">
        <v>13</v>
      </c>
    </row>
    <row r="93" spans="1:9" ht="29.5" thickBot="1" x14ac:dyDescent="0.4">
      <c r="A93" s="3" t="s">
        <v>212</v>
      </c>
      <c r="B93" s="3" t="s">
        <v>213</v>
      </c>
      <c r="C93" s="3" t="s">
        <v>11</v>
      </c>
      <c r="D93" s="4">
        <v>45723</v>
      </c>
      <c r="E93" s="4">
        <v>45730</v>
      </c>
      <c r="F93" s="5">
        <v>4</v>
      </c>
      <c r="G93" s="5">
        <v>28349</v>
      </c>
      <c r="H93" s="3" t="s">
        <v>17</v>
      </c>
      <c r="I93" s="3" t="s">
        <v>13</v>
      </c>
    </row>
    <row r="94" spans="1:9" ht="15" thickBot="1" x14ac:dyDescent="0.4">
      <c r="A94" s="3" t="s">
        <v>214</v>
      </c>
      <c r="B94" s="3" t="s">
        <v>215</v>
      </c>
      <c r="C94" s="3" t="s">
        <v>30</v>
      </c>
      <c r="D94" s="4">
        <v>45719</v>
      </c>
      <c r="E94" s="4">
        <v>45721</v>
      </c>
      <c r="F94" s="5">
        <v>2</v>
      </c>
      <c r="G94" s="5">
        <v>9333</v>
      </c>
      <c r="H94" s="3" t="s">
        <v>43</v>
      </c>
      <c r="I94" s="3" t="s">
        <v>22</v>
      </c>
    </row>
    <row r="95" spans="1:9" ht="15" thickBot="1" x14ac:dyDescent="0.4">
      <c r="A95" s="3" t="s">
        <v>216</v>
      </c>
      <c r="B95" s="3" t="s">
        <v>217</v>
      </c>
      <c r="C95" s="3" t="s">
        <v>16</v>
      </c>
      <c r="D95" s="4">
        <v>45683</v>
      </c>
      <c r="E95" s="4">
        <v>45689</v>
      </c>
      <c r="F95" s="5">
        <v>4</v>
      </c>
      <c r="G95" s="5">
        <v>39697</v>
      </c>
      <c r="H95" s="3" t="s">
        <v>12</v>
      </c>
      <c r="I95" s="3" t="s">
        <v>22</v>
      </c>
    </row>
    <row r="96" spans="1:9" ht="15" thickBot="1" x14ac:dyDescent="0.4">
      <c r="A96" s="3" t="s">
        <v>218</v>
      </c>
      <c r="B96" s="3" t="s">
        <v>219</v>
      </c>
      <c r="C96" s="3" t="s">
        <v>58</v>
      </c>
      <c r="D96" s="4">
        <v>45681</v>
      </c>
      <c r="E96" s="4">
        <v>45684</v>
      </c>
      <c r="F96" s="5">
        <v>2</v>
      </c>
      <c r="G96" s="5">
        <v>51052</v>
      </c>
      <c r="H96" s="3" t="s">
        <v>34</v>
      </c>
      <c r="I96" s="3" t="s">
        <v>22</v>
      </c>
    </row>
    <row r="97" spans="1:9" ht="15" thickBot="1" x14ac:dyDescent="0.4">
      <c r="A97" s="3" t="s">
        <v>220</v>
      </c>
      <c r="B97" s="3" t="s">
        <v>221</v>
      </c>
      <c r="C97" s="3" t="s">
        <v>21</v>
      </c>
      <c r="D97" s="4">
        <v>45723</v>
      </c>
      <c r="E97" s="4">
        <v>45729</v>
      </c>
      <c r="F97" s="5">
        <v>6</v>
      </c>
      <c r="G97" s="5">
        <v>28248</v>
      </c>
      <c r="H97" s="3" t="s">
        <v>34</v>
      </c>
      <c r="I97" s="3" t="s">
        <v>22</v>
      </c>
    </row>
    <row r="98" spans="1:9" ht="15" thickBot="1" x14ac:dyDescent="0.4">
      <c r="A98" s="3" t="s">
        <v>222</v>
      </c>
      <c r="B98" s="3" t="s">
        <v>223</v>
      </c>
      <c r="C98" s="3" t="s">
        <v>42</v>
      </c>
      <c r="D98" s="4">
        <v>45679</v>
      </c>
      <c r="E98" s="4">
        <v>45684</v>
      </c>
      <c r="F98" s="5">
        <v>6</v>
      </c>
      <c r="G98" s="5">
        <v>38784</v>
      </c>
      <c r="H98" s="3" t="s">
        <v>12</v>
      </c>
      <c r="I98" s="3" t="s">
        <v>22</v>
      </c>
    </row>
    <row r="99" spans="1:9" ht="15" thickBot="1" x14ac:dyDescent="0.4">
      <c r="A99" s="3" t="s">
        <v>224</v>
      </c>
      <c r="B99" s="3" t="s">
        <v>225</v>
      </c>
      <c r="C99" s="3" t="s">
        <v>139</v>
      </c>
      <c r="D99" s="4">
        <v>45719</v>
      </c>
      <c r="E99" s="4">
        <v>45724</v>
      </c>
      <c r="F99" s="5">
        <v>5</v>
      </c>
      <c r="G99" s="5">
        <v>5900</v>
      </c>
      <c r="H99" s="3" t="s">
        <v>43</v>
      </c>
      <c r="I99" s="3" t="s">
        <v>22</v>
      </c>
    </row>
    <row r="100" spans="1:9" ht="15" thickBot="1" x14ac:dyDescent="0.4">
      <c r="A100" s="3" t="s">
        <v>226</v>
      </c>
      <c r="B100" s="3" t="s">
        <v>227</v>
      </c>
      <c r="C100" s="3" t="s">
        <v>25</v>
      </c>
      <c r="D100" s="4">
        <v>45675</v>
      </c>
      <c r="E100" s="4">
        <v>45689</v>
      </c>
      <c r="F100" s="5">
        <v>4</v>
      </c>
      <c r="G100" s="5">
        <v>16868</v>
      </c>
      <c r="H100" s="3" t="s">
        <v>34</v>
      </c>
      <c r="I100" s="3" t="s">
        <v>22</v>
      </c>
    </row>
    <row r="101" spans="1:9" ht="15" thickBot="1" x14ac:dyDescent="0.4">
      <c r="A101" s="3" t="s">
        <v>228</v>
      </c>
      <c r="B101" s="3" t="s">
        <v>229</v>
      </c>
      <c r="C101" s="3" t="s">
        <v>39</v>
      </c>
      <c r="D101" s="4">
        <v>45678</v>
      </c>
      <c r="E101" s="4">
        <v>45691</v>
      </c>
      <c r="F101" s="5">
        <v>2</v>
      </c>
      <c r="G101" s="5">
        <v>27529</v>
      </c>
      <c r="H101" s="3" t="s">
        <v>17</v>
      </c>
      <c r="I101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D9A4-29D9-4780-A7ED-F64324E5AFBB}">
  <dimension ref="A1:O101"/>
  <sheetViews>
    <sheetView tabSelected="1" workbookViewId="0">
      <selection activeCell="E11" sqref="E11"/>
    </sheetView>
  </sheetViews>
  <sheetFormatPr defaultRowHeight="14.5" x14ac:dyDescent="0.35"/>
  <cols>
    <col min="1" max="1" width="8.54296875" bestFit="1" customWidth="1"/>
    <col min="2" max="2" width="15.1796875" customWidth="1"/>
    <col min="3" max="3" width="11" customWidth="1"/>
    <col min="4" max="4" width="12.7265625" customWidth="1"/>
    <col min="5" max="5" width="12.6328125" customWidth="1"/>
    <col min="6" max="6" width="8.1796875" bestFit="1" customWidth="1"/>
    <col min="7" max="7" width="5.81640625" bestFit="1" customWidth="1"/>
    <col min="8" max="8" width="6.453125" bestFit="1" customWidth="1"/>
    <col min="10" max="10" width="15.54296875" style="7" customWidth="1"/>
    <col min="11" max="11" width="6.453125" style="9" customWidth="1"/>
    <col min="12" max="12" width="12.6328125" style="11" customWidth="1"/>
    <col min="13" max="13" width="9.08984375" style="12" customWidth="1"/>
    <col min="14" max="14" width="13.453125" style="14" customWidth="1"/>
  </cols>
  <sheetData>
    <row r="1" spans="1:15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230</v>
      </c>
      <c r="K1" s="8" t="s">
        <v>231</v>
      </c>
      <c r="L1" s="10" t="s">
        <v>232</v>
      </c>
      <c r="M1" s="12" t="s">
        <v>233</v>
      </c>
      <c r="N1" s="14" t="s">
        <v>234</v>
      </c>
    </row>
    <row r="2" spans="1:15" ht="29.5" thickBot="1" x14ac:dyDescent="0.4">
      <c r="A2" s="3" t="s">
        <v>9</v>
      </c>
      <c r="B2" s="3" t="s">
        <v>10</v>
      </c>
      <c r="C2" s="3" t="s">
        <v>11</v>
      </c>
      <c r="D2" s="4">
        <v>45671</v>
      </c>
      <c r="E2" s="4">
        <v>45682</v>
      </c>
      <c r="F2" s="5">
        <v>1</v>
      </c>
      <c r="G2" s="5">
        <v>9497</v>
      </c>
      <c r="H2" s="3" t="s">
        <v>12</v>
      </c>
      <c r="I2" s="3" t="s">
        <v>13</v>
      </c>
      <c r="J2" s="7" t="str">
        <f>IF(F2&gt;=3,"BULK ORDER","REGULAR ORDER")</f>
        <v>REGULAR ORDER</v>
      </c>
      <c r="K2" s="9" t="str">
        <f>_xlfn.TEXTBEFORE(B2," ")</f>
        <v>Sonal</v>
      </c>
      <c r="L2" s="11" t="str">
        <f>PROPER(TRIM(B2))</f>
        <v>Sonal Reddy</v>
      </c>
      <c r="M2" s="13">
        <f>NETWORKDAYS(D2,E2)</f>
        <v>9</v>
      </c>
      <c r="N2" s="14" t="str">
        <f>IF(M2&gt;7,"Late Delivery","On TIme")</f>
        <v>Late Delivery</v>
      </c>
      <c r="O2" t="str">
        <f>IF(AND(I2 = "Delivered", F2 &gt; 2), "Valid", "Review")</f>
        <v>Review</v>
      </c>
    </row>
    <row r="3" spans="1:15" ht="15" thickBot="1" x14ac:dyDescent="0.4">
      <c r="A3" s="3" t="s">
        <v>14</v>
      </c>
      <c r="B3" s="3" t="s">
        <v>15</v>
      </c>
      <c r="C3" s="3" t="s">
        <v>16</v>
      </c>
      <c r="D3" s="4">
        <v>45667</v>
      </c>
      <c r="E3" s="4">
        <v>45678</v>
      </c>
      <c r="F3" s="5">
        <v>1</v>
      </c>
      <c r="G3" s="5">
        <v>8232</v>
      </c>
      <c r="H3" s="3" t="s">
        <v>17</v>
      </c>
      <c r="I3" s="3" t="s">
        <v>18</v>
      </c>
      <c r="J3" s="7" t="str">
        <f t="shared" ref="J3:J66" si="0">IF(F3&gt;=3,"BULK  ORDER","REGULAR ORDER")</f>
        <v>REGULAR ORDER</v>
      </c>
      <c r="K3" s="9" t="str">
        <f t="shared" ref="K3:K66" si="1">_xlfn.TEXTBEFORE(B3," ")</f>
        <v>Varun</v>
      </c>
      <c r="L3" s="11" t="str">
        <f t="shared" ref="L3:L66" si="2">PROPER(TRIM(B3))</f>
        <v>Varun Iyer</v>
      </c>
      <c r="M3" s="13">
        <f t="shared" ref="M3:M66" si="3">NETWORKDAYS(D3,E3)</f>
        <v>8</v>
      </c>
      <c r="N3" s="14" t="str">
        <f t="shared" ref="N3:N66" si="4">IF(M3&gt;7,"Late Delivery","On TIme")</f>
        <v>Late Delivery</v>
      </c>
      <c r="O3" t="str">
        <f t="shared" ref="O3:O66" si="5">IF(AND(I3 = "Delivered", F3 &gt; 2), "Valid", "Review")</f>
        <v>Review</v>
      </c>
    </row>
    <row r="4" spans="1:15" ht="29.5" thickBot="1" x14ac:dyDescent="0.4">
      <c r="A4" s="3" t="s">
        <v>19</v>
      </c>
      <c r="B4" s="3" t="s">
        <v>20</v>
      </c>
      <c r="C4" s="3" t="s">
        <v>21</v>
      </c>
      <c r="D4" s="4">
        <v>45707</v>
      </c>
      <c r="E4" s="4">
        <v>45716</v>
      </c>
      <c r="F4" s="5">
        <v>1</v>
      </c>
      <c r="G4" s="5">
        <v>12436</v>
      </c>
      <c r="H4" s="3" t="s">
        <v>12</v>
      </c>
      <c r="I4" s="3" t="s">
        <v>22</v>
      </c>
      <c r="J4" s="7" t="str">
        <f t="shared" si="0"/>
        <v>REGULAR ORDER</v>
      </c>
      <c r="K4" s="9" t="str">
        <f t="shared" si="1"/>
        <v>Arjun</v>
      </c>
      <c r="L4" s="11" t="str">
        <f t="shared" si="2"/>
        <v>Arjun Kaur</v>
      </c>
      <c r="M4" s="13">
        <f t="shared" si="3"/>
        <v>8</v>
      </c>
      <c r="N4" s="14" t="str">
        <f t="shared" si="4"/>
        <v>Late Delivery</v>
      </c>
      <c r="O4" t="str">
        <f t="shared" si="5"/>
        <v>Review</v>
      </c>
    </row>
    <row r="5" spans="1:15" ht="15" thickBot="1" x14ac:dyDescent="0.4">
      <c r="A5" s="3" t="s">
        <v>23</v>
      </c>
      <c r="B5" s="3" t="s">
        <v>24</v>
      </c>
      <c r="C5" s="3" t="s">
        <v>25</v>
      </c>
      <c r="D5" s="4">
        <v>45674</v>
      </c>
      <c r="E5" s="4">
        <v>45686</v>
      </c>
      <c r="F5" s="5">
        <v>3</v>
      </c>
      <c r="G5" s="5">
        <v>38830</v>
      </c>
      <c r="H5" s="3" t="s">
        <v>17</v>
      </c>
      <c r="I5" s="3" t="s">
        <v>22</v>
      </c>
      <c r="J5" s="7" t="str">
        <f t="shared" si="0"/>
        <v>BULK  ORDER</v>
      </c>
      <c r="K5" s="9" t="str">
        <f t="shared" si="1"/>
        <v>Pallavi</v>
      </c>
      <c r="L5" s="11" t="str">
        <f t="shared" si="2"/>
        <v>Pallavi Malhotra</v>
      </c>
      <c r="M5" s="13">
        <f t="shared" si="3"/>
        <v>9</v>
      </c>
      <c r="N5" s="14" t="str">
        <f t="shared" si="4"/>
        <v>Late Delivery</v>
      </c>
      <c r="O5" t="str">
        <f t="shared" si="5"/>
        <v>Valid</v>
      </c>
    </row>
    <row r="6" spans="1:15" ht="15" thickBot="1" x14ac:dyDescent="0.4">
      <c r="A6" s="3" t="s">
        <v>26</v>
      </c>
      <c r="B6" s="3" t="s">
        <v>27</v>
      </c>
      <c r="C6" s="3" t="s">
        <v>16</v>
      </c>
      <c r="D6" s="4">
        <v>45720</v>
      </c>
      <c r="E6" s="4">
        <v>45726</v>
      </c>
      <c r="F6" s="5">
        <v>2</v>
      </c>
      <c r="G6" s="5">
        <v>7193</v>
      </c>
      <c r="H6" s="3" t="s">
        <v>12</v>
      </c>
      <c r="I6" s="3" t="s">
        <v>18</v>
      </c>
      <c r="J6" s="7" t="str">
        <f t="shared" si="0"/>
        <v>REGULAR ORDER</v>
      </c>
      <c r="K6" s="9" t="str">
        <f t="shared" si="1"/>
        <v>Divya</v>
      </c>
      <c r="L6" s="11" t="str">
        <f t="shared" si="2"/>
        <v>Divya Kulkarni</v>
      </c>
      <c r="M6" s="13">
        <f t="shared" si="3"/>
        <v>5</v>
      </c>
      <c r="N6" s="14" t="str">
        <f t="shared" si="4"/>
        <v>On TIme</v>
      </c>
      <c r="O6" t="str">
        <f t="shared" si="5"/>
        <v>Review</v>
      </c>
    </row>
    <row r="7" spans="1:15" ht="15" thickBot="1" x14ac:dyDescent="0.4">
      <c r="A7" s="3" t="s">
        <v>28</v>
      </c>
      <c r="B7" s="3" t="s">
        <v>29</v>
      </c>
      <c r="C7" s="3" t="s">
        <v>30</v>
      </c>
      <c r="D7" s="4">
        <v>45696</v>
      </c>
      <c r="E7" s="4">
        <v>45701</v>
      </c>
      <c r="F7" s="5">
        <v>5</v>
      </c>
      <c r="G7" s="5">
        <v>36419</v>
      </c>
      <c r="H7" s="3" t="s">
        <v>12</v>
      </c>
      <c r="I7" s="3" t="s">
        <v>22</v>
      </c>
      <c r="J7" s="7" t="str">
        <f t="shared" si="0"/>
        <v>BULK  ORDER</v>
      </c>
      <c r="K7" s="9" t="str">
        <f t="shared" si="1"/>
        <v>Neha</v>
      </c>
      <c r="L7" s="11" t="str">
        <f t="shared" si="2"/>
        <v>Neha Malhotra</v>
      </c>
      <c r="M7" s="13">
        <f t="shared" si="3"/>
        <v>4</v>
      </c>
      <c r="N7" s="14" t="str">
        <f t="shared" si="4"/>
        <v>On TIme</v>
      </c>
      <c r="O7" t="str">
        <f t="shared" si="5"/>
        <v>Valid</v>
      </c>
    </row>
    <row r="8" spans="1:15" ht="15" thickBot="1" x14ac:dyDescent="0.4">
      <c r="A8" s="3" t="s">
        <v>31</v>
      </c>
      <c r="B8" s="3" t="s">
        <v>32</v>
      </c>
      <c r="C8" s="3" t="s">
        <v>33</v>
      </c>
      <c r="D8" s="4">
        <v>45722</v>
      </c>
      <c r="E8" s="4">
        <v>45735</v>
      </c>
      <c r="F8" s="5">
        <v>3</v>
      </c>
      <c r="G8" s="5">
        <v>6681</v>
      </c>
      <c r="H8" s="3" t="s">
        <v>34</v>
      </c>
      <c r="I8" s="3" t="s">
        <v>18</v>
      </c>
      <c r="J8" s="7" t="str">
        <f t="shared" si="0"/>
        <v>BULK  ORDER</v>
      </c>
      <c r="K8" s="9" t="str">
        <f t="shared" si="1"/>
        <v>Varun</v>
      </c>
      <c r="L8" s="11" t="str">
        <f t="shared" si="2"/>
        <v>Varun Gupta</v>
      </c>
      <c r="M8" s="13">
        <f t="shared" si="3"/>
        <v>10</v>
      </c>
      <c r="N8" s="14" t="str">
        <f t="shared" si="4"/>
        <v>Late Delivery</v>
      </c>
      <c r="O8" t="str">
        <f t="shared" si="5"/>
        <v>Review</v>
      </c>
    </row>
    <row r="9" spans="1:15" ht="18.5" customHeight="1" thickBot="1" x14ac:dyDescent="0.4">
      <c r="A9" s="3" t="s">
        <v>35</v>
      </c>
      <c r="B9" s="3" t="s">
        <v>36</v>
      </c>
      <c r="C9" s="3" t="s">
        <v>25</v>
      </c>
      <c r="D9" s="4">
        <v>45685</v>
      </c>
      <c r="E9" s="4">
        <v>45699</v>
      </c>
      <c r="F9" s="5">
        <v>5</v>
      </c>
      <c r="G9" s="5">
        <v>59258</v>
      </c>
      <c r="H9" s="3" t="s">
        <v>12</v>
      </c>
      <c r="I9" s="3" t="s">
        <v>13</v>
      </c>
      <c r="J9" s="7" t="str">
        <f t="shared" si="0"/>
        <v>BULK  ORDER</v>
      </c>
      <c r="K9" s="9" t="str">
        <f t="shared" si="1"/>
        <v>Rohan</v>
      </c>
      <c r="L9" s="11" t="str">
        <f t="shared" si="2"/>
        <v>Rohan Vardhan</v>
      </c>
      <c r="M9" s="13">
        <f t="shared" si="3"/>
        <v>11</v>
      </c>
      <c r="N9" s="14" t="str">
        <f t="shared" si="4"/>
        <v>Late Delivery</v>
      </c>
      <c r="O9" t="str">
        <f t="shared" si="5"/>
        <v>Review</v>
      </c>
    </row>
    <row r="10" spans="1:15" ht="15" thickBot="1" x14ac:dyDescent="0.4">
      <c r="A10" s="3" t="s">
        <v>37</v>
      </c>
      <c r="B10" s="3" t="s">
        <v>38</v>
      </c>
      <c r="C10" s="3" t="s">
        <v>39</v>
      </c>
      <c r="D10" s="4">
        <v>45686</v>
      </c>
      <c r="E10" s="4">
        <v>45698</v>
      </c>
      <c r="F10" s="5">
        <v>5</v>
      </c>
      <c r="G10" s="5">
        <v>53392</v>
      </c>
      <c r="H10" s="3" t="s">
        <v>34</v>
      </c>
      <c r="I10" s="3" t="s">
        <v>18</v>
      </c>
      <c r="J10" s="7" t="str">
        <f t="shared" si="0"/>
        <v>BULK  ORDER</v>
      </c>
      <c r="K10" s="9" t="str">
        <f t="shared" si="1"/>
        <v>Aman</v>
      </c>
      <c r="L10" s="11" t="str">
        <f t="shared" si="2"/>
        <v>Aman Kaur</v>
      </c>
      <c r="M10" s="13">
        <f t="shared" si="3"/>
        <v>9</v>
      </c>
      <c r="N10" s="14" t="str">
        <f t="shared" si="4"/>
        <v>Late Delivery</v>
      </c>
      <c r="O10" t="str">
        <f t="shared" si="5"/>
        <v>Review</v>
      </c>
    </row>
    <row r="11" spans="1:15" ht="15" thickBot="1" x14ac:dyDescent="0.4">
      <c r="A11" s="3" t="s">
        <v>40</v>
      </c>
      <c r="B11" s="3" t="s">
        <v>41</v>
      </c>
      <c r="C11" s="3" t="s">
        <v>42</v>
      </c>
      <c r="D11" s="4">
        <v>45688</v>
      </c>
      <c r="E11" s="4">
        <v>45702</v>
      </c>
      <c r="F11" s="5">
        <v>5</v>
      </c>
      <c r="G11" s="5">
        <v>52334</v>
      </c>
      <c r="H11" s="3" t="s">
        <v>43</v>
      </c>
      <c r="I11" s="3" t="s">
        <v>18</v>
      </c>
      <c r="J11" s="7" t="str">
        <f t="shared" si="0"/>
        <v>BULK  ORDER</v>
      </c>
      <c r="K11" s="9" t="str">
        <f t="shared" si="1"/>
        <v>Ravi</v>
      </c>
      <c r="L11" s="11" t="str">
        <f t="shared" si="2"/>
        <v>Ravi Yadav</v>
      </c>
      <c r="M11" s="13">
        <f t="shared" si="3"/>
        <v>11</v>
      </c>
      <c r="N11" s="14" t="str">
        <f t="shared" si="4"/>
        <v>Late Delivery</v>
      </c>
      <c r="O11" t="str">
        <f t="shared" si="5"/>
        <v>Review</v>
      </c>
    </row>
    <row r="12" spans="1:15" ht="15" thickBot="1" x14ac:dyDescent="0.4">
      <c r="A12" s="3" t="s">
        <v>44</v>
      </c>
      <c r="B12" s="3" t="s">
        <v>45</v>
      </c>
      <c r="C12" s="3" t="s">
        <v>16</v>
      </c>
      <c r="D12" s="4">
        <v>45722</v>
      </c>
      <c r="E12" s="4">
        <v>45729</v>
      </c>
      <c r="F12" s="5">
        <v>2</v>
      </c>
      <c r="G12" s="5">
        <v>50550</v>
      </c>
      <c r="H12" s="3" t="s">
        <v>43</v>
      </c>
      <c r="I12" s="3" t="s">
        <v>22</v>
      </c>
      <c r="J12" s="7" t="str">
        <f t="shared" si="0"/>
        <v>REGULAR ORDER</v>
      </c>
      <c r="K12" s="9" t="str">
        <f t="shared" si="1"/>
        <v>Kunal</v>
      </c>
      <c r="L12" s="11" t="str">
        <f t="shared" si="2"/>
        <v>Kunal Menon</v>
      </c>
      <c r="M12" s="13">
        <f t="shared" si="3"/>
        <v>6</v>
      </c>
      <c r="N12" s="14" t="str">
        <f t="shared" si="4"/>
        <v>On TIme</v>
      </c>
      <c r="O12" t="str">
        <f t="shared" si="5"/>
        <v>Review</v>
      </c>
    </row>
    <row r="13" spans="1:15" ht="15" thickBot="1" x14ac:dyDescent="0.4">
      <c r="A13" s="3" t="s">
        <v>46</v>
      </c>
      <c r="B13" s="3" t="s">
        <v>47</v>
      </c>
      <c r="C13" s="3" t="s">
        <v>33</v>
      </c>
      <c r="D13" s="4">
        <v>45692</v>
      </c>
      <c r="E13" s="4">
        <v>45703</v>
      </c>
      <c r="F13" s="5">
        <v>2</v>
      </c>
      <c r="G13" s="5">
        <v>69030</v>
      </c>
      <c r="H13" s="3" t="s">
        <v>34</v>
      </c>
      <c r="I13" s="3" t="s">
        <v>22</v>
      </c>
      <c r="J13" s="7" t="str">
        <f t="shared" si="0"/>
        <v>REGULAR ORDER</v>
      </c>
      <c r="K13" s="9" t="str">
        <f t="shared" si="1"/>
        <v>Nitin</v>
      </c>
      <c r="L13" s="11" t="str">
        <f t="shared" si="2"/>
        <v>Nitin Malhotra</v>
      </c>
      <c r="M13" s="13">
        <f t="shared" si="3"/>
        <v>9</v>
      </c>
      <c r="N13" s="14" t="str">
        <f t="shared" si="4"/>
        <v>Late Delivery</v>
      </c>
      <c r="O13" t="str">
        <f t="shared" si="5"/>
        <v>Review</v>
      </c>
    </row>
    <row r="14" spans="1:15" ht="15" thickBot="1" x14ac:dyDescent="0.4">
      <c r="A14" s="3" t="s">
        <v>48</v>
      </c>
      <c r="B14" s="3" t="s">
        <v>49</v>
      </c>
      <c r="C14" s="3" t="s">
        <v>30</v>
      </c>
      <c r="D14" s="4">
        <v>45672</v>
      </c>
      <c r="E14" s="4">
        <v>45680</v>
      </c>
      <c r="F14" s="5">
        <v>4</v>
      </c>
      <c r="G14" s="5">
        <v>50709</v>
      </c>
      <c r="H14" s="3" t="s">
        <v>17</v>
      </c>
      <c r="I14" s="3" t="s">
        <v>18</v>
      </c>
      <c r="J14" s="7" t="str">
        <f t="shared" si="0"/>
        <v>BULK  ORDER</v>
      </c>
      <c r="K14" s="9" t="str">
        <f t="shared" si="1"/>
        <v>Kavita</v>
      </c>
      <c r="L14" s="11" t="str">
        <f t="shared" si="2"/>
        <v>Kavita Shah</v>
      </c>
      <c r="M14" s="13">
        <f t="shared" si="3"/>
        <v>7</v>
      </c>
      <c r="N14" s="14" t="str">
        <f t="shared" si="4"/>
        <v>On TIme</v>
      </c>
      <c r="O14" t="str">
        <f t="shared" si="5"/>
        <v>Review</v>
      </c>
    </row>
    <row r="15" spans="1:15" ht="15" thickBot="1" x14ac:dyDescent="0.4">
      <c r="A15" s="3" t="s">
        <v>50</v>
      </c>
      <c r="B15" s="3" t="s">
        <v>51</v>
      </c>
      <c r="C15" s="3" t="s">
        <v>11</v>
      </c>
      <c r="D15" s="4">
        <v>45727</v>
      </c>
      <c r="E15" s="4">
        <v>45740</v>
      </c>
      <c r="F15" s="5">
        <v>6</v>
      </c>
      <c r="G15" s="5">
        <v>48808</v>
      </c>
      <c r="H15" s="3" t="s">
        <v>43</v>
      </c>
      <c r="I15" s="3" t="s">
        <v>22</v>
      </c>
      <c r="J15" s="7" t="str">
        <f t="shared" si="0"/>
        <v>BULK  ORDER</v>
      </c>
      <c r="K15" s="9" t="str">
        <f t="shared" si="1"/>
        <v>Mohit</v>
      </c>
      <c r="L15" s="11" t="str">
        <f t="shared" si="2"/>
        <v>Mohit Menon</v>
      </c>
      <c r="M15" s="13">
        <f t="shared" si="3"/>
        <v>10</v>
      </c>
      <c r="N15" s="14" t="str">
        <f t="shared" si="4"/>
        <v>Late Delivery</v>
      </c>
      <c r="O15" t="str">
        <f t="shared" si="5"/>
        <v>Valid</v>
      </c>
    </row>
    <row r="16" spans="1:15" ht="15" thickBot="1" x14ac:dyDescent="0.4">
      <c r="A16" s="3" t="s">
        <v>52</v>
      </c>
      <c r="B16" s="3" t="s">
        <v>53</v>
      </c>
      <c r="C16" s="3" t="s">
        <v>16</v>
      </c>
      <c r="D16" s="4">
        <v>45664</v>
      </c>
      <c r="E16" s="4">
        <v>45669</v>
      </c>
      <c r="F16" s="5">
        <v>1</v>
      </c>
      <c r="G16" s="5">
        <v>65648</v>
      </c>
      <c r="H16" s="3" t="s">
        <v>12</v>
      </c>
      <c r="I16" s="3" t="s">
        <v>22</v>
      </c>
      <c r="J16" s="7" t="str">
        <f t="shared" si="0"/>
        <v>REGULAR ORDER</v>
      </c>
      <c r="K16" s="9" t="str">
        <f t="shared" si="1"/>
        <v>Neeraj</v>
      </c>
      <c r="L16" s="11" t="str">
        <f t="shared" si="2"/>
        <v>Neeraj Das</v>
      </c>
      <c r="M16" s="13">
        <f t="shared" si="3"/>
        <v>4</v>
      </c>
      <c r="N16" s="14" t="str">
        <f t="shared" si="4"/>
        <v>On TIme</v>
      </c>
      <c r="O16" t="str">
        <f t="shared" si="5"/>
        <v>Review</v>
      </c>
    </row>
    <row r="17" spans="1:15" ht="15" thickBot="1" x14ac:dyDescent="0.4">
      <c r="A17" s="3" t="s">
        <v>54</v>
      </c>
      <c r="B17" s="3" t="s">
        <v>55</v>
      </c>
      <c r="C17" s="3" t="s">
        <v>33</v>
      </c>
      <c r="D17" s="4">
        <v>45674</v>
      </c>
      <c r="E17" s="4">
        <v>45688</v>
      </c>
      <c r="F17" s="5">
        <v>4</v>
      </c>
      <c r="G17" s="5">
        <v>3975</v>
      </c>
      <c r="H17" s="3" t="s">
        <v>34</v>
      </c>
      <c r="I17" s="3" t="s">
        <v>18</v>
      </c>
      <c r="J17" s="7" t="str">
        <f t="shared" si="0"/>
        <v>BULK  ORDER</v>
      </c>
      <c r="K17" s="9" t="str">
        <f t="shared" si="1"/>
        <v>Pooja</v>
      </c>
      <c r="L17" s="11" t="str">
        <f t="shared" si="2"/>
        <v>Pooja Kaur</v>
      </c>
      <c r="M17" s="13">
        <f t="shared" si="3"/>
        <v>11</v>
      </c>
      <c r="N17" s="14" t="str">
        <f t="shared" si="4"/>
        <v>Late Delivery</v>
      </c>
      <c r="O17" t="str">
        <f t="shared" si="5"/>
        <v>Review</v>
      </c>
    </row>
    <row r="18" spans="1:15" ht="15" thickBot="1" x14ac:dyDescent="0.4">
      <c r="A18" s="3" t="s">
        <v>56</v>
      </c>
      <c r="B18" s="3" t="s">
        <v>57</v>
      </c>
      <c r="C18" s="3" t="s">
        <v>58</v>
      </c>
      <c r="D18" s="4">
        <v>45667</v>
      </c>
      <c r="E18" s="4">
        <v>45672</v>
      </c>
      <c r="F18" s="5">
        <v>4</v>
      </c>
      <c r="G18" s="5">
        <v>56724</v>
      </c>
      <c r="H18" s="3" t="s">
        <v>43</v>
      </c>
      <c r="I18" s="3" t="s">
        <v>22</v>
      </c>
      <c r="J18" s="7" t="str">
        <f t="shared" si="0"/>
        <v>BULK  ORDER</v>
      </c>
      <c r="K18" s="9" t="str">
        <f t="shared" si="1"/>
        <v>Rahul</v>
      </c>
      <c r="L18" s="11" t="str">
        <f t="shared" si="2"/>
        <v>Rahul Desai</v>
      </c>
      <c r="M18" s="13">
        <f t="shared" si="3"/>
        <v>4</v>
      </c>
      <c r="N18" s="14" t="str">
        <f t="shared" si="4"/>
        <v>On TIme</v>
      </c>
      <c r="O18" t="str">
        <f t="shared" si="5"/>
        <v>Valid</v>
      </c>
    </row>
    <row r="19" spans="1:15" ht="15" thickBot="1" x14ac:dyDescent="0.4">
      <c r="A19" s="3" t="s">
        <v>59</v>
      </c>
      <c r="B19" s="3" t="s">
        <v>60</v>
      </c>
      <c r="C19" s="3" t="s">
        <v>58</v>
      </c>
      <c r="D19" s="4">
        <v>45664</v>
      </c>
      <c r="E19" s="4">
        <v>45675</v>
      </c>
      <c r="F19" s="5">
        <v>2</v>
      </c>
      <c r="G19" s="5">
        <v>42861</v>
      </c>
      <c r="H19" s="3" t="s">
        <v>12</v>
      </c>
      <c r="I19" s="3" t="s">
        <v>18</v>
      </c>
      <c r="J19" s="7" t="str">
        <f t="shared" si="0"/>
        <v>REGULAR ORDER</v>
      </c>
      <c r="K19" s="9" t="str">
        <f t="shared" si="1"/>
        <v>Rohit</v>
      </c>
      <c r="L19" s="11" t="str">
        <f t="shared" si="2"/>
        <v>Rohit Patil</v>
      </c>
      <c r="M19" s="13">
        <f t="shared" si="3"/>
        <v>9</v>
      </c>
      <c r="N19" s="14" t="str">
        <f t="shared" si="4"/>
        <v>Late Delivery</v>
      </c>
      <c r="O19" t="str">
        <f t="shared" si="5"/>
        <v>Review</v>
      </c>
    </row>
    <row r="20" spans="1:15" ht="15" thickBot="1" x14ac:dyDescent="0.4">
      <c r="A20" s="3" t="s">
        <v>61</v>
      </c>
      <c r="B20" s="3" t="s">
        <v>62</v>
      </c>
      <c r="C20" s="3" t="s">
        <v>63</v>
      </c>
      <c r="D20" s="4">
        <v>45721</v>
      </c>
      <c r="E20" s="4">
        <v>45723</v>
      </c>
      <c r="F20" s="5">
        <v>2</v>
      </c>
      <c r="G20" s="5">
        <v>47994</v>
      </c>
      <c r="H20" s="3" t="s">
        <v>34</v>
      </c>
      <c r="I20" s="3" t="s">
        <v>18</v>
      </c>
      <c r="J20" s="7" t="str">
        <f t="shared" si="0"/>
        <v>REGULAR ORDER</v>
      </c>
      <c r="K20" s="9" t="str">
        <f t="shared" si="1"/>
        <v>Mohit</v>
      </c>
      <c r="L20" s="11" t="str">
        <f t="shared" si="2"/>
        <v>Mohit Khan</v>
      </c>
      <c r="M20" s="13">
        <f t="shared" si="3"/>
        <v>3</v>
      </c>
      <c r="N20" s="14" t="str">
        <f t="shared" si="4"/>
        <v>On TIme</v>
      </c>
      <c r="O20" t="str">
        <f t="shared" si="5"/>
        <v>Review</v>
      </c>
    </row>
    <row r="21" spans="1:15" ht="15" thickBot="1" x14ac:dyDescent="0.4">
      <c r="A21" s="3" t="s">
        <v>64</v>
      </c>
      <c r="B21" s="3" t="s">
        <v>65</v>
      </c>
      <c r="C21" s="3" t="s">
        <v>66</v>
      </c>
      <c r="D21" s="4">
        <v>45696</v>
      </c>
      <c r="E21" s="4">
        <v>45711</v>
      </c>
      <c r="F21" s="5">
        <v>4</v>
      </c>
      <c r="G21" s="5">
        <v>31475</v>
      </c>
      <c r="H21" s="3" t="s">
        <v>17</v>
      </c>
      <c r="I21" s="3" t="s">
        <v>18</v>
      </c>
      <c r="J21" s="7" t="str">
        <f t="shared" si="0"/>
        <v>BULK  ORDER</v>
      </c>
      <c r="K21" s="9" t="str">
        <f t="shared" si="1"/>
        <v>Ritu</v>
      </c>
      <c r="L21" s="11" t="str">
        <f t="shared" si="2"/>
        <v>Ritu Malhotra</v>
      </c>
      <c r="M21" s="13">
        <f t="shared" si="3"/>
        <v>10</v>
      </c>
      <c r="N21" s="14" t="str">
        <f t="shared" si="4"/>
        <v>Late Delivery</v>
      </c>
      <c r="O21" t="str">
        <f t="shared" si="5"/>
        <v>Review</v>
      </c>
    </row>
    <row r="22" spans="1:15" ht="15" thickBot="1" x14ac:dyDescent="0.4">
      <c r="A22" s="3" t="s">
        <v>67</v>
      </c>
      <c r="B22" s="3" t="s">
        <v>68</v>
      </c>
      <c r="C22" s="3" t="s">
        <v>39</v>
      </c>
      <c r="D22" s="4">
        <v>45677</v>
      </c>
      <c r="E22" s="4">
        <v>45686</v>
      </c>
      <c r="F22" s="5">
        <v>3</v>
      </c>
      <c r="G22" s="5">
        <v>40383</v>
      </c>
      <c r="H22" s="3" t="s">
        <v>43</v>
      </c>
      <c r="I22" s="3" t="s">
        <v>22</v>
      </c>
      <c r="J22" s="7" t="str">
        <f t="shared" si="0"/>
        <v>BULK  ORDER</v>
      </c>
      <c r="K22" s="9" t="str">
        <f t="shared" si="1"/>
        <v>Arjun</v>
      </c>
      <c r="L22" s="11" t="str">
        <f t="shared" si="2"/>
        <v>Arjun Vardhan</v>
      </c>
      <c r="M22" s="13">
        <f t="shared" si="3"/>
        <v>8</v>
      </c>
      <c r="N22" s="14" t="str">
        <f t="shared" si="4"/>
        <v>Late Delivery</v>
      </c>
      <c r="O22" t="str">
        <f t="shared" si="5"/>
        <v>Valid</v>
      </c>
    </row>
    <row r="23" spans="1:15" ht="15" thickBot="1" x14ac:dyDescent="0.4">
      <c r="A23" s="3" t="s">
        <v>69</v>
      </c>
      <c r="B23" s="3" t="s">
        <v>70</v>
      </c>
      <c r="C23" s="3" t="s">
        <v>16</v>
      </c>
      <c r="D23" s="4">
        <v>45662</v>
      </c>
      <c r="E23" s="4">
        <v>45673</v>
      </c>
      <c r="F23" s="5">
        <v>1</v>
      </c>
      <c r="G23" s="5">
        <v>20536</v>
      </c>
      <c r="H23" s="3" t="s">
        <v>43</v>
      </c>
      <c r="I23" s="3" t="s">
        <v>22</v>
      </c>
      <c r="J23" s="7" t="str">
        <f t="shared" si="0"/>
        <v>REGULAR ORDER</v>
      </c>
      <c r="K23" s="9" t="str">
        <f t="shared" si="1"/>
        <v>Rashmi</v>
      </c>
      <c r="L23" s="11" t="str">
        <f t="shared" si="2"/>
        <v>Rashmi Shah</v>
      </c>
      <c r="M23" s="13">
        <f t="shared" si="3"/>
        <v>9</v>
      </c>
      <c r="N23" s="14" t="str">
        <f t="shared" si="4"/>
        <v>Late Delivery</v>
      </c>
      <c r="O23" t="str">
        <f t="shared" si="5"/>
        <v>Review</v>
      </c>
    </row>
    <row r="24" spans="1:15" ht="15" thickBot="1" x14ac:dyDescent="0.4">
      <c r="A24" s="3" t="s">
        <v>71</v>
      </c>
      <c r="B24" s="3" t="s">
        <v>72</v>
      </c>
      <c r="C24" s="3" t="s">
        <v>25</v>
      </c>
      <c r="D24" s="4">
        <v>45714</v>
      </c>
      <c r="E24" s="4">
        <v>45720</v>
      </c>
      <c r="F24" s="5">
        <v>1</v>
      </c>
      <c r="G24" s="5">
        <v>30227</v>
      </c>
      <c r="H24" s="3" t="s">
        <v>17</v>
      </c>
      <c r="I24" s="3" t="s">
        <v>18</v>
      </c>
      <c r="J24" s="7" t="str">
        <f t="shared" si="0"/>
        <v>REGULAR ORDER</v>
      </c>
      <c r="K24" s="9" t="str">
        <f t="shared" si="1"/>
        <v>Ritu</v>
      </c>
      <c r="L24" s="11" t="str">
        <f t="shared" si="2"/>
        <v>Ritu Joshi</v>
      </c>
      <c r="M24" s="13">
        <f t="shared" si="3"/>
        <v>5</v>
      </c>
      <c r="N24" s="14" t="str">
        <f t="shared" si="4"/>
        <v>On TIme</v>
      </c>
      <c r="O24" t="str">
        <f t="shared" si="5"/>
        <v>Review</v>
      </c>
    </row>
    <row r="25" spans="1:15" ht="15" thickBot="1" x14ac:dyDescent="0.4">
      <c r="A25" s="3" t="s">
        <v>73</v>
      </c>
      <c r="B25" s="3" t="s">
        <v>74</v>
      </c>
      <c r="C25" s="3" t="s">
        <v>30</v>
      </c>
      <c r="D25" s="4">
        <v>45721</v>
      </c>
      <c r="E25" s="4">
        <v>45730</v>
      </c>
      <c r="F25" s="5">
        <v>3</v>
      </c>
      <c r="G25" s="5">
        <v>27921</v>
      </c>
      <c r="H25" s="3" t="s">
        <v>17</v>
      </c>
      <c r="I25" s="3" t="s">
        <v>22</v>
      </c>
      <c r="J25" s="7" t="str">
        <f t="shared" si="0"/>
        <v>BULK  ORDER</v>
      </c>
      <c r="K25" s="9" t="str">
        <f t="shared" si="1"/>
        <v>Aman</v>
      </c>
      <c r="L25" s="11" t="str">
        <f t="shared" si="2"/>
        <v>Aman Menon</v>
      </c>
      <c r="M25" s="13">
        <f t="shared" si="3"/>
        <v>8</v>
      </c>
      <c r="N25" s="14" t="str">
        <f t="shared" si="4"/>
        <v>Late Delivery</v>
      </c>
      <c r="O25" t="str">
        <f t="shared" si="5"/>
        <v>Valid</v>
      </c>
    </row>
    <row r="26" spans="1:15" ht="15" thickBot="1" x14ac:dyDescent="0.4">
      <c r="A26" s="3" t="s">
        <v>75</v>
      </c>
      <c r="B26" s="3" t="s">
        <v>76</v>
      </c>
      <c r="C26" s="3" t="s">
        <v>77</v>
      </c>
      <c r="D26" s="4">
        <v>45668</v>
      </c>
      <c r="E26" s="4">
        <v>45678</v>
      </c>
      <c r="F26" s="5">
        <v>1</v>
      </c>
      <c r="G26" s="5">
        <v>61599</v>
      </c>
      <c r="H26" s="3" t="s">
        <v>34</v>
      </c>
      <c r="I26" s="3" t="s">
        <v>22</v>
      </c>
      <c r="J26" s="7" t="str">
        <f t="shared" si="0"/>
        <v>REGULAR ORDER</v>
      </c>
      <c r="K26" s="9" t="str">
        <f t="shared" si="1"/>
        <v>Karan</v>
      </c>
      <c r="L26" s="11" t="str">
        <f t="shared" si="2"/>
        <v>Karan Sharma</v>
      </c>
      <c r="M26" s="13">
        <f t="shared" si="3"/>
        <v>7</v>
      </c>
      <c r="N26" s="14" t="str">
        <f t="shared" si="4"/>
        <v>On TIme</v>
      </c>
      <c r="O26" t="str">
        <f t="shared" si="5"/>
        <v>Review</v>
      </c>
    </row>
    <row r="27" spans="1:15" ht="15" thickBot="1" x14ac:dyDescent="0.4">
      <c r="A27" s="3" t="s">
        <v>78</v>
      </c>
      <c r="B27" s="3" t="s">
        <v>79</v>
      </c>
      <c r="C27" s="3" t="s">
        <v>39</v>
      </c>
      <c r="D27" s="4">
        <v>45715</v>
      </c>
      <c r="E27" s="4">
        <v>45721</v>
      </c>
      <c r="F27" s="5">
        <v>1</v>
      </c>
      <c r="G27" s="5">
        <v>37877</v>
      </c>
      <c r="H27" s="3" t="s">
        <v>17</v>
      </c>
      <c r="I27" s="3" t="s">
        <v>22</v>
      </c>
      <c r="J27" s="7" t="str">
        <f t="shared" si="0"/>
        <v>REGULAR ORDER</v>
      </c>
      <c r="K27" s="9" t="str">
        <f t="shared" si="1"/>
        <v>Tina</v>
      </c>
      <c r="L27" s="11" t="str">
        <f t="shared" si="2"/>
        <v>Tina Jain</v>
      </c>
      <c r="M27" s="13">
        <f t="shared" si="3"/>
        <v>5</v>
      </c>
      <c r="N27" s="14" t="str">
        <f t="shared" si="4"/>
        <v>On TIme</v>
      </c>
      <c r="O27" t="str">
        <f t="shared" si="5"/>
        <v>Review</v>
      </c>
    </row>
    <row r="28" spans="1:15" ht="15" thickBot="1" x14ac:dyDescent="0.4">
      <c r="A28" s="3" t="s">
        <v>80</v>
      </c>
      <c r="B28" s="3" t="s">
        <v>81</v>
      </c>
      <c r="C28" s="3" t="s">
        <v>58</v>
      </c>
      <c r="D28" s="4">
        <v>45674</v>
      </c>
      <c r="E28" s="4">
        <v>45678</v>
      </c>
      <c r="F28" s="5">
        <v>1</v>
      </c>
      <c r="G28" s="5">
        <v>4350</v>
      </c>
      <c r="H28" s="3" t="s">
        <v>43</v>
      </c>
      <c r="I28" s="3" t="s">
        <v>22</v>
      </c>
      <c r="J28" s="7" t="str">
        <f t="shared" si="0"/>
        <v>REGULAR ORDER</v>
      </c>
      <c r="K28" s="9" t="str">
        <f t="shared" si="1"/>
        <v>Shalini</v>
      </c>
      <c r="L28" s="11" t="str">
        <f t="shared" si="2"/>
        <v>Shalini Patel</v>
      </c>
      <c r="M28" s="13">
        <f t="shared" si="3"/>
        <v>3</v>
      </c>
      <c r="N28" s="14" t="str">
        <f t="shared" si="4"/>
        <v>On TIme</v>
      </c>
      <c r="O28" t="str">
        <f t="shared" si="5"/>
        <v>Review</v>
      </c>
    </row>
    <row r="29" spans="1:15" ht="15" thickBot="1" x14ac:dyDescent="0.4">
      <c r="A29" s="3" t="s">
        <v>82</v>
      </c>
      <c r="B29" s="3" t="s">
        <v>83</v>
      </c>
      <c r="C29" s="3" t="s">
        <v>84</v>
      </c>
      <c r="D29" s="4">
        <v>45693</v>
      </c>
      <c r="E29" s="4">
        <v>45698</v>
      </c>
      <c r="F29" s="5">
        <v>5</v>
      </c>
      <c r="G29" s="5">
        <v>11087</v>
      </c>
      <c r="H29" s="3" t="s">
        <v>34</v>
      </c>
      <c r="I29" s="3" t="s">
        <v>18</v>
      </c>
      <c r="J29" s="7" t="str">
        <f t="shared" si="0"/>
        <v>BULK  ORDER</v>
      </c>
      <c r="K29" s="9" t="str">
        <f t="shared" si="1"/>
        <v>Priya</v>
      </c>
      <c r="L29" s="11" t="str">
        <f t="shared" si="2"/>
        <v>Priya Kumar</v>
      </c>
      <c r="M29" s="13">
        <f t="shared" si="3"/>
        <v>4</v>
      </c>
      <c r="N29" s="14" t="str">
        <f t="shared" si="4"/>
        <v>On TIme</v>
      </c>
      <c r="O29" t="str">
        <f t="shared" si="5"/>
        <v>Review</v>
      </c>
    </row>
    <row r="30" spans="1:15" ht="15" thickBot="1" x14ac:dyDescent="0.4">
      <c r="A30" s="3" t="s">
        <v>85</v>
      </c>
      <c r="B30" s="3" t="s">
        <v>86</v>
      </c>
      <c r="C30" s="3" t="s">
        <v>11</v>
      </c>
      <c r="D30" s="4">
        <v>45717</v>
      </c>
      <c r="E30" s="4">
        <v>45726</v>
      </c>
      <c r="F30" s="5">
        <v>2</v>
      </c>
      <c r="G30" s="5">
        <v>64892</v>
      </c>
      <c r="H30" s="3" t="s">
        <v>17</v>
      </c>
      <c r="I30" s="3" t="s">
        <v>22</v>
      </c>
      <c r="J30" s="7" t="str">
        <f t="shared" si="0"/>
        <v>REGULAR ORDER</v>
      </c>
      <c r="K30" s="9" t="str">
        <f t="shared" si="1"/>
        <v>Nitin</v>
      </c>
      <c r="L30" s="11" t="str">
        <f t="shared" si="2"/>
        <v>Nitin Sinha</v>
      </c>
      <c r="M30" s="13">
        <f t="shared" si="3"/>
        <v>6</v>
      </c>
      <c r="N30" s="14" t="str">
        <f t="shared" si="4"/>
        <v>On TIme</v>
      </c>
      <c r="O30" t="str">
        <f t="shared" si="5"/>
        <v>Review</v>
      </c>
    </row>
    <row r="31" spans="1:15" ht="15" thickBot="1" x14ac:dyDescent="0.4">
      <c r="A31" s="3" t="s">
        <v>87</v>
      </c>
      <c r="B31" s="3" t="s">
        <v>88</v>
      </c>
      <c r="C31" s="3" t="s">
        <v>84</v>
      </c>
      <c r="D31" s="4">
        <v>45666</v>
      </c>
      <c r="E31" s="4">
        <v>45678</v>
      </c>
      <c r="F31" s="5">
        <v>5</v>
      </c>
      <c r="G31" s="5">
        <v>65773</v>
      </c>
      <c r="H31" s="3" t="s">
        <v>17</v>
      </c>
      <c r="I31" s="3" t="s">
        <v>22</v>
      </c>
      <c r="J31" s="7" t="str">
        <f t="shared" si="0"/>
        <v>BULK  ORDER</v>
      </c>
      <c r="K31" s="9" t="str">
        <f t="shared" si="1"/>
        <v>Dev</v>
      </c>
      <c r="L31" s="11" t="str">
        <f t="shared" si="2"/>
        <v>Dev Iyer</v>
      </c>
      <c r="M31" s="13">
        <f t="shared" si="3"/>
        <v>9</v>
      </c>
      <c r="N31" s="14" t="str">
        <f t="shared" si="4"/>
        <v>Late Delivery</v>
      </c>
      <c r="O31" t="str">
        <f t="shared" si="5"/>
        <v>Valid</v>
      </c>
    </row>
    <row r="32" spans="1:15" ht="29.5" thickBot="1" x14ac:dyDescent="0.4">
      <c r="A32" s="3" t="s">
        <v>89</v>
      </c>
      <c r="B32" s="3" t="s">
        <v>90</v>
      </c>
      <c r="C32" s="3" t="s">
        <v>66</v>
      </c>
      <c r="D32" s="4">
        <v>45681</v>
      </c>
      <c r="E32" s="4">
        <v>45683</v>
      </c>
      <c r="F32" s="5">
        <v>5</v>
      </c>
      <c r="G32" s="5">
        <v>67693</v>
      </c>
      <c r="H32" s="3" t="s">
        <v>17</v>
      </c>
      <c r="I32" s="3" t="s">
        <v>13</v>
      </c>
      <c r="J32" s="7" t="str">
        <f t="shared" si="0"/>
        <v>BULK  ORDER</v>
      </c>
      <c r="K32" s="9" t="str">
        <f t="shared" si="1"/>
        <v>Vikram</v>
      </c>
      <c r="L32" s="11" t="str">
        <f t="shared" si="2"/>
        <v>Vikram Joshi</v>
      </c>
      <c r="M32" s="13">
        <f t="shared" si="3"/>
        <v>1</v>
      </c>
      <c r="N32" s="14" t="str">
        <f t="shared" si="4"/>
        <v>On TIme</v>
      </c>
      <c r="O32" t="str">
        <f t="shared" si="5"/>
        <v>Review</v>
      </c>
    </row>
    <row r="33" spans="1:15" ht="15" thickBot="1" x14ac:dyDescent="0.4">
      <c r="A33" s="3" t="s">
        <v>91</v>
      </c>
      <c r="B33" s="3" t="s">
        <v>92</v>
      </c>
      <c r="C33" s="3" t="s">
        <v>58</v>
      </c>
      <c r="D33" s="4">
        <v>45700</v>
      </c>
      <c r="E33" s="4">
        <v>45705</v>
      </c>
      <c r="F33" s="5">
        <v>4</v>
      </c>
      <c r="G33" s="5">
        <v>26320</v>
      </c>
      <c r="H33" s="3" t="s">
        <v>12</v>
      </c>
      <c r="I33" s="3" t="s">
        <v>22</v>
      </c>
      <c r="J33" s="7" t="str">
        <f t="shared" si="0"/>
        <v>BULK  ORDER</v>
      </c>
      <c r="K33" s="9" t="str">
        <f t="shared" si="1"/>
        <v>Sachin</v>
      </c>
      <c r="L33" s="11" t="str">
        <f t="shared" si="2"/>
        <v>Sachin Sinha</v>
      </c>
      <c r="M33" s="13">
        <f t="shared" si="3"/>
        <v>4</v>
      </c>
      <c r="N33" s="14" t="str">
        <f t="shared" si="4"/>
        <v>On TIme</v>
      </c>
      <c r="O33" t="str">
        <f t="shared" si="5"/>
        <v>Valid</v>
      </c>
    </row>
    <row r="34" spans="1:15" ht="15" thickBot="1" x14ac:dyDescent="0.4">
      <c r="A34" s="3" t="s">
        <v>93</v>
      </c>
      <c r="B34" s="3" t="s">
        <v>94</v>
      </c>
      <c r="C34" s="3" t="s">
        <v>58</v>
      </c>
      <c r="D34" s="4">
        <v>45720</v>
      </c>
      <c r="E34" s="4">
        <v>45730</v>
      </c>
      <c r="F34" s="5">
        <v>1</v>
      </c>
      <c r="G34" s="5">
        <v>42926</v>
      </c>
      <c r="H34" s="3" t="s">
        <v>12</v>
      </c>
      <c r="I34" s="3" t="s">
        <v>18</v>
      </c>
      <c r="J34" s="7" t="str">
        <f t="shared" si="0"/>
        <v>REGULAR ORDER</v>
      </c>
      <c r="K34" s="9" t="str">
        <f t="shared" si="1"/>
        <v>Simran</v>
      </c>
      <c r="L34" s="11" t="str">
        <f t="shared" si="2"/>
        <v>Simran Singh</v>
      </c>
      <c r="M34" s="13">
        <f t="shared" si="3"/>
        <v>9</v>
      </c>
      <c r="N34" s="14" t="str">
        <f t="shared" si="4"/>
        <v>Late Delivery</v>
      </c>
      <c r="O34" t="str">
        <f t="shared" si="5"/>
        <v>Review</v>
      </c>
    </row>
    <row r="35" spans="1:15" ht="29.5" thickBot="1" x14ac:dyDescent="0.4">
      <c r="A35" s="3" t="s">
        <v>95</v>
      </c>
      <c r="B35" s="3" t="s">
        <v>96</v>
      </c>
      <c r="C35" s="3" t="s">
        <v>63</v>
      </c>
      <c r="D35" s="4">
        <v>45721</v>
      </c>
      <c r="E35" s="4">
        <v>45733</v>
      </c>
      <c r="F35" s="5">
        <v>1</v>
      </c>
      <c r="G35" s="5">
        <v>22275</v>
      </c>
      <c r="H35" s="3" t="s">
        <v>43</v>
      </c>
      <c r="I35" s="3" t="s">
        <v>13</v>
      </c>
      <c r="J35" s="7" t="str">
        <f t="shared" si="0"/>
        <v>REGULAR ORDER</v>
      </c>
      <c r="K35" s="9" t="str">
        <f t="shared" si="1"/>
        <v>Varun</v>
      </c>
      <c r="L35" s="11" t="str">
        <f t="shared" si="2"/>
        <v>Varun Joshi</v>
      </c>
      <c r="M35" s="13">
        <f t="shared" si="3"/>
        <v>9</v>
      </c>
      <c r="N35" s="14" t="str">
        <f t="shared" si="4"/>
        <v>Late Delivery</v>
      </c>
      <c r="O35" t="str">
        <f t="shared" si="5"/>
        <v>Review</v>
      </c>
    </row>
    <row r="36" spans="1:15" ht="29.5" thickBot="1" x14ac:dyDescent="0.4">
      <c r="A36" s="3" t="s">
        <v>97</v>
      </c>
      <c r="B36" s="3" t="s">
        <v>98</v>
      </c>
      <c r="C36" s="3" t="s">
        <v>21</v>
      </c>
      <c r="D36" s="4">
        <v>45671</v>
      </c>
      <c r="E36" s="4">
        <v>45677</v>
      </c>
      <c r="F36" s="5">
        <v>2</v>
      </c>
      <c r="G36" s="5">
        <v>60279</v>
      </c>
      <c r="H36" s="3" t="s">
        <v>43</v>
      </c>
      <c r="I36" s="3" t="s">
        <v>18</v>
      </c>
      <c r="J36" s="7" t="str">
        <f t="shared" si="0"/>
        <v>REGULAR ORDER</v>
      </c>
      <c r="K36" s="9" t="str">
        <f t="shared" si="1"/>
        <v>Neha</v>
      </c>
      <c r="L36" s="11" t="str">
        <f t="shared" si="2"/>
        <v>Neha Tiwari</v>
      </c>
      <c r="M36" s="13">
        <f t="shared" si="3"/>
        <v>5</v>
      </c>
      <c r="N36" s="14" t="str">
        <f t="shared" si="4"/>
        <v>On TIme</v>
      </c>
      <c r="O36" t="str">
        <f t="shared" si="5"/>
        <v>Review</v>
      </c>
    </row>
    <row r="37" spans="1:15" ht="15" thickBot="1" x14ac:dyDescent="0.4">
      <c r="A37" s="3" t="s">
        <v>99</v>
      </c>
      <c r="B37" s="3" t="s">
        <v>100</v>
      </c>
      <c r="C37" s="3" t="s">
        <v>11</v>
      </c>
      <c r="D37" s="4">
        <v>45726</v>
      </c>
      <c r="E37" s="4">
        <v>45738</v>
      </c>
      <c r="F37" s="5">
        <v>2</v>
      </c>
      <c r="G37" s="5">
        <v>28865</v>
      </c>
      <c r="H37" s="3" t="s">
        <v>43</v>
      </c>
      <c r="I37" s="3" t="s">
        <v>22</v>
      </c>
      <c r="J37" s="7" t="str">
        <f t="shared" si="0"/>
        <v>REGULAR ORDER</v>
      </c>
      <c r="K37" s="9" t="str">
        <f t="shared" si="1"/>
        <v>Mohit</v>
      </c>
      <c r="L37" s="11" t="str">
        <f t="shared" si="2"/>
        <v>Mohit Roy</v>
      </c>
      <c r="M37" s="13">
        <f t="shared" si="3"/>
        <v>10</v>
      </c>
      <c r="N37" s="14" t="str">
        <f t="shared" si="4"/>
        <v>Late Delivery</v>
      </c>
      <c r="O37" t="str">
        <f t="shared" si="5"/>
        <v>Review</v>
      </c>
    </row>
    <row r="38" spans="1:15" ht="15" thickBot="1" x14ac:dyDescent="0.4">
      <c r="A38" s="3" t="s">
        <v>101</v>
      </c>
      <c r="B38" s="3" t="s">
        <v>102</v>
      </c>
      <c r="C38" s="3" t="s">
        <v>25</v>
      </c>
      <c r="D38" s="4">
        <v>45698</v>
      </c>
      <c r="E38" s="4">
        <v>45709</v>
      </c>
      <c r="F38" s="5">
        <v>1</v>
      </c>
      <c r="G38" s="5">
        <v>21221</v>
      </c>
      <c r="H38" s="3" t="s">
        <v>17</v>
      </c>
      <c r="I38" s="3" t="s">
        <v>22</v>
      </c>
      <c r="J38" s="7" t="str">
        <f t="shared" si="0"/>
        <v>REGULAR ORDER</v>
      </c>
      <c r="K38" s="9" t="str">
        <f t="shared" si="1"/>
        <v>Kavita</v>
      </c>
      <c r="L38" s="11" t="str">
        <f t="shared" si="2"/>
        <v>Kavita Khan</v>
      </c>
      <c r="M38" s="13">
        <f t="shared" si="3"/>
        <v>10</v>
      </c>
      <c r="N38" s="14" t="str">
        <f t="shared" si="4"/>
        <v>Late Delivery</v>
      </c>
      <c r="O38" t="str">
        <f t="shared" si="5"/>
        <v>Review</v>
      </c>
    </row>
    <row r="39" spans="1:15" ht="15" thickBot="1" x14ac:dyDescent="0.4">
      <c r="A39" s="3" t="s">
        <v>103</v>
      </c>
      <c r="B39" s="3" t="s">
        <v>104</v>
      </c>
      <c r="C39" s="3" t="s">
        <v>84</v>
      </c>
      <c r="D39" s="4">
        <v>45702</v>
      </c>
      <c r="E39" s="4">
        <v>45715</v>
      </c>
      <c r="F39" s="5">
        <v>5</v>
      </c>
      <c r="G39" s="5">
        <v>55559</v>
      </c>
      <c r="H39" s="3" t="s">
        <v>12</v>
      </c>
      <c r="I39" s="3" t="s">
        <v>22</v>
      </c>
      <c r="J39" s="7" t="str">
        <f t="shared" si="0"/>
        <v>BULK  ORDER</v>
      </c>
      <c r="K39" s="9" t="str">
        <f t="shared" si="1"/>
        <v>Nupur</v>
      </c>
      <c r="L39" s="11" t="str">
        <f t="shared" si="2"/>
        <v>Nupur Shah</v>
      </c>
      <c r="M39" s="13">
        <f t="shared" si="3"/>
        <v>10</v>
      </c>
      <c r="N39" s="14" t="str">
        <f t="shared" si="4"/>
        <v>Late Delivery</v>
      </c>
      <c r="O39" t="str">
        <f t="shared" si="5"/>
        <v>Valid</v>
      </c>
    </row>
    <row r="40" spans="1:15" ht="15" thickBot="1" x14ac:dyDescent="0.4">
      <c r="A40" s="3" t="s">
        <v>105</v>
      </c>
      <c r="B40" s="3" t="s">
        <v>106</v>
      </c>
      <c r="C40" s="3" t="s">
        <v>66</v>
      </c>
      <c r="D40" s="4">
        <v>45661</v>
      </c>
      <c r="E40" s="4">
        <v>45675</v>
      </c>
      <c r="F40" s="5">
        <v>3</v>
      </c>
      <c r="G40" s="5">
        <v>2641</v>
      </c>
      <c r="H40" s="3" t="s">
        <v>34</v>
      </c>
      <c r="I40" s="3" t="s">
        <v>18</v>
      </c>
      <c r="J40" s="7" t="str">
        <f t="shared" si="0"/>
        <v>BULK  ORDER</v>
      </c>
      <c r="K40" s="9" t="str">
        <f t="shared" si="1"/>
        <v>Sunita</v>
      </c>
      <c r="L40" s="11" t="str">
        <f t="shared" si="2"/>
        <v>Sunita Vardhan</v>
      </c>
      <c r="M40" s="13">
        <f t="shared" si="3"/>
        <v>10</v>
      </c>
      <c r="N40" s="14" t="str">
        <f t="shared" si="4"/>
        <v>Late Delivery</v>
      </c>
      <c r="O40" t="str">
        <f t="shared" si="5"/>
        <v>Review</v>
      </c>
    </row>
    <row r="41" spans="1:15" ht="15" thickBot="1" x14ac:dyDescent="0.4">
      <c r="A41" s="3" t="s">
        <v>107</v>
      </c>
      <c r="B41" s="3" t="s">
        <v>108</v>
      </c>
      <c r="C41" s="3" t="s">
        <v>58</v>
      </c>
      <c r="D41" s="4">
        <v>45659</v>
      </c>
      <c r="E41" s="4">
        <v>45667</v>
      </c>
      <c r="F41" s="5">
        <v>2</v>
      </c>
      <c r="G41" s="5">
        <v>59131</v>
      </c>
      <c r="H41" s="3" t="s">
        <v>12</v>
      </c>
      <c r="I41" s="3" t="s">
        <v>18</v>
      </c>
      <c r="J41" s="7" t="str">
        <f t="shared" si="0"/>
        <v>REGULAR ORDER</v>
      </c>
      <c r="K41" s="9" t="str">
        <f t="shared" si="1"/>
        <v>Manish</v>
      </c>
      <c r="L41" s="11" t="str">
        <f t="shared" si="2"/>
        <v>Manish Tiwari</v>
      </c>
      <c r="M41" s="13">
        <f t="shared" si="3"/>
        <v>7</v>
      </c>
      <c r="N41" s="14" t="str">
        <f t="shared" si="4"/>
        <v>On TIme</v>
      </c>
      <c r="O41" t="str">
        <f t="shared" si="5"/>
        <v>Review</v>
      </c>
    </row>
    <row r="42" spans="1:15" ht="15" thickBot="1" x14ac:dyDescent="0.4">
      <c r="A42" s="3" t="s">
        <v>109</v>
      </c>
      <c r="B42" s="3" t="s">
        <v>110</v>
      </c>
      <c r="C42" s="3" t="s">
        <v>77</v>
      </c>
      <c r="D42" s="4">
        <v>45713</v>
      </c>
      <c r="E42" s="4">
        <v>45717</v>
      </c>
      <c r="F42" s="5">
        <v>5</v>
      </c>
      <c r="G42" s="5">
        <v>63752</v>
      </c>
      <c r="H42" s="3" t="s">
        <v>34</v>
      </c>
      <c r="I42" s="3" t="s">
        <v>22</v>
      </c>
      <c r="J42" s="7" t="str">
        <f t="shared" si="0"/>
        <v>BULK  ORDER</v>
      </c>
      <c r="K42" s="9" t="str">
        <f t="shared" si="1"/>
        <v>Sunita</v>
      </c>
      <c r="L42" s="11" t="str">
        <f t="shared" si="2"/>
        <v>Sunita Iyer</v>
      </c>
      <c r="M42" s="13">
        <f t="shared" si="3"/>
        <v>4</v>
      </c>
      <c r="N42" s="14" t="str">
        <f t="shared" si="4"/>
        <v>On TIme</v>
      </c>
      <c r="O42" t="str">
        <f t="shared" si="5"/>
        <v>Valid</v>
      </c>
    </row>
    <row r="43" spans="1:15" ht="15" thickBot="1" x14ac:dyDescent="0.4">
      <c r="A43" s="3" t="s">
        <v>111</v>
      </c>
      <c r="B43" s="3" t="s">
        <v>112</v>
      </c>
      <c r="C43" s="3" t="s">
        <v>39</v>
      </c>
      <c r="D43" s="4">
        <v>45683</v>
      </c>
      <c r="E43" s="4">
        <v>45689</v>
      </c>
      <c r="F43" s="5">
        <v>4</v>
      </c>
      <c r="G43" s="5">
        <v>42104</v>
      </c>
      <c r="H43" s="3" t="s">
        <v>17</v>
      </c>
      <c r="I43" s="3" t="s">
        <v>18</v>
      </c>
      <c r="J43" s="7" t="str">
        <f t="shared" si="0"/>
        <v>BULK  ORDER</v>
      </c>
      <c r="K43" s="9" t="str">
        <f t="shared" si="1"/>
        <v>Karan</v>
      </c>
      <c r="L43" s="11" t="str">
        <f t="shared" si="2"/>
        <v>Karan Sinha</v>
      </c>
      <c r="M43" s="13">
        <f t="shared" si="3"/>
        <v>5</v>
      </c>
      <c r="N43" s="14" t="str">
        <f t="shared" si="4"/>
        <v>On TIme</v>
      </c>
      <c r="O43" t="str">
        <f t="shared" si="5"/>
        <v>Review</v>
      </c>
    </row>
    <row r="44" spans="1:15" ht="29.5" thickBot="1" x14ac:dyDescent="0.4">
      <c r="A44" s="3" t="s">
        <v>113</v>
      </c>
      <c r="B44" s="3" t="s">
        <v>114</v>
      </c>
      <c r="C44" s="3" t="s">
        <v>25</v>
      </c>
      <c r="D44" s="4">
        <v>45705</v>
      </c>
      <c r="E44" s="4">
        <v>45710</v>
      </c>
      <c r="F44" s="5">
        <v>2</v>
      </c>
      <c r="G44" s="5">
        <v>26803</v>
      </c>
      <c r="H44" s="3" t="s">
        <v>34</v>
      </c>
      <c r="I44" s="3" t="s">
        <v>13</v>
      </c>
      <c r="J44" s="7" t="str">
        <f t="shared" si="0"/>
        <v>REGULAR ORDER</v>
      </c>
      <c r="K44" s="9" t="str">
        <f t="shared" si="1"/>
        <v>Deepak</v>
      </c>
      <c r="L44" s="11" t="str">
        <f t="shared" si="2"/>
        <v>Deepak Sharma</v>
      </c>
      <c r="M44" s="13">
        <f t="shared" si="3"/>
        <v>5</v>
      </c>
      <c r="N44" s="14" t="str">
        <f t="shared" si="4"/>
        <v>On TIme</v>
      </c>
      <c r="O44" t="str">
        <f t="shared" si="5"/>
        <v>Review</v>
      </c>
    </row>
    <row r="45" spans="1:15" ht="15" thickBot="1" x14ac:dyDescent="0.4">
      <c r="A45" s="3" t="s">
        <v>115</v>
      </c>
      <c r="B45" s="3" t="s">
        <v>116</v>
      </c>
      <c r="C45" s="3" t="s">
        <v>11</v>
      </c>
      <c r="D45" s="4">
        <v>45665</v>
      </c>
      <c r="E45" s="4">
        <v>45669</v>
      </c>
      <c r="F45" s="5">
        <v>5</v>
      </c>
      <c r="G45" s="5">
        <v>64309</v>
      </c>
      <c r="H45" s="3" t="s">
        <v>12</v>
      </c>
      <c r="I45" s="3" t="s">
        <v>22</v>
      </c>
      <c r="J45" s="7" t="str">
        <f t="shared" si="0"/>
        <v>BULK  ORDER</v>
      </c>
      <c r="K45" s="9" t="str">
        <f t="shared" si="1"/>
        <v>Kiran</v>
      </c>
      <c r="L45" s="11" t="str">
        <f t="shared" si="2"/>
        <v>Kiran Sinha</v>
      </c>
      <c r="M45" s="13">
        <f t="shared" si="3"/>
        <v>3</v>
      </c>
      <c r="N45" s="14" t="str">
        <f t="shared" si="4"/>
        <v>On TIme</v>
      </c>
      <c r="O45" t="str">
        <f t="shared" si="5"/>
        <v>Valid</v>
      </c>
    </row>
    <row r="46" spans="1:15" ht="15" thickBot="1" x14ac:dyDescent="0.4">
      <c r="A46" s="3" t="s">
        <v>117</v>
      </c>
      <c r="B46" s="3" t="s">
        <v>118</v>
      </c>
      <c r="C46" s="3" t="s">
        <v>63</v>
      </c>
      <c r="D46" s="4">
        <v>45717</v>
      </c>
      <c r="E46" s="4">
        <v>45730</v>
      </c>
      <c r="F46" s="5">
        <v>5</v>
      </c>
      <c r="G46" s="5">
        <v>60923</v>
      </c>
      <c r="H46" s="3" t="s">
        <v>12</v>
      </c>
      <c r="I46" s="3" t="s">
        <v>22</v>
      </c>
      <c r="J46" s="7" t="str">
        <f t="shared" si="0"/>
        <v>BULK  ORDER</v>
      </c>
      <c r="K46" s="9" t="str">
        <f t="shared" si="1"/>
        <v>Geeta</v>
      </c>
      <c r="L46" s="11" t="str">
        <f t="shared" si="2"/>
        <v>Geeta Kumar</v>
      </c>
      <c r="M46" s="13">
        <f t="shared" si="3"/>
        <v>10</v>
      </c>
      <c r="N46" s="14" t="str">
        <f t="shared" si="4"/>
        <v>Late Delivery</v>
      </c>
      <c r="O46" t="str">
        <f t="shared" si="5"/>
        <v>Valid</v>
      </c>
    </row>
    <row r="47" spans="1:15" ht="15" thickBot="1" x14ac:dyDescent="0.4">
      <c r="A47" s="3" t="s">
        <v>119</v>
      </c>
      <c r="B47" s="3" t="s">
        <v>120</v>
      </c>
      <c r="C47" s="3" t="s">
        <v>66</v>
      </c>
      <c r="D47" s="4">
        <v>45698</v>
      </c>
      <c r="E47" s="4">
        <v>45709</v>
      </c>
      <c r="F47" s="5">
        <v>1</v>
      </c>
      <c r="G47" s="5">
        <v>6488</v>
      </c>
      <c r="H47" s="3" t="s">
        <v>12</v>
      </c>
      <c r="I47" s="3" t="s">
        <v>22</v>
      </c>
      <c r="J47" s="7" t="str">
        <f t="shared" si="0"/>
        <v>REGULAR ORDER</v>
      </c>
      <c r="K47" s="9" t="str">
        <f t="shared" si="1"/>
        <v>Riya</v>
      </c>
      <c r="L47" s="11" t="str">
        <f t="shared" si="2"/>
        <v>Riya Desai</v>
      </c>
      <c r="M47" s="13">
        <f t="shared" si="3"/>
        <v>10</v>
      </c>
      <c r="N47" s="14" t="str">
        <f t="shared" si="4"/>
        <v>Late Delivery</v>
      </c>
      <c r="O47" t="str">
        <f t="shared" si="5"/>
        <v>Review</v>
      </c>
    </row>
    <row r="48" spans="1:15" ht="29.5" thickBot="1" x14ac:dyDescent="0.4">
      <c r="A48" s="3" t="s">
        <v>121</v>
      </c>
      <c r="B48" s="3" t="s">
        <v>122</v>
      </c>
      <c r="C48" s="3" t="s">
        <v>21</v>
      </c>
      <c r="D48" s="4">
        <v>45671</v>
      </c>
      <c r="E48" s="4">
        <v>45677</v>
      </c>
      <c r="F48" s="5">
        <v>6</v>
      </c>
      <c r="G48" s="5">
        <v>45482</v>
      </c>
      <c r="H48" s="3" t="s">
        <v>12</v>
      </c>
      <c r="I48" s="3" t="s">
        <v>22</v>
      </c>
      <c r="J48" s="7" t="str">
        <f t="shared" si="0"/>
        <v>BULK  ORDER</v>
      </c>
      <c r="K48" s="9" t="str">
        <f t="shared" si="1"/>
        <v>Divya</v>
      </c>
      <c r="L48" s="11" t="str">
        <f t="shared" si="2"/>
        <v>Divya Reddy</v>
      </c>
      <c r="M48" s="13">
        <f t="shared" si="3"/>
        <v>5</v>
      </c>
      <c r="N48" s="14" t="str">
        <f t="shared" si="4"/>
        <v>On TIme</v>
      </c>
      <c r="O48" t="str">
        <f t="shared" si="5"/>
        <v>Valid</v>
      </c>
    </row>
    <row r="49" spans="1:15" ht="15" thickBot="1" x14ac:dyDescent="0.4">
      <c r="A49" s="3" t="s">
        <v>123</v>
      </c>
      <c r="B49" s="3" t="s">
        <v>124</v>
      </c>
      <c r="C49" s="3" t="s">
        <v>11</v>
      </c>
      <c r="D49" s="4">
        <v>45724</v>
      </c>
      <c r="E49" s="4">
        <v>45736</v>
      </c>
      <c r="F49" s="5">
        <v>1</v>
      </c>
      <c r="G49" s="5">
        <v>47310</v>
      </c>
      <c r="H49" s="3" t="s">
        <v>17</v>
      </c>
      <c r="I49" s="3" t="s">
        <v>22</v>
      </c>
      <c r="J49" s="7" t="str">
        <f t="shared" si="0"/>
        <v>REGULAR ORDER</v>
      </c>
      <c r="K49" s="9" t="str">
        <f t="shared" si="1"/>
        <v>Karthik</v>
      </c>
      <c r="L49" s="11" t="str">
        <f t="shared" si="2"/>
        <v>Karthik Gupta</v>
      </c>
      <c r="M49" s="13">
        <f t="shared" si="3"/>
        <v>9</v>
      </c>
      <c r="N49" s="14" t="str">
        <f t="shared" si="4"/>
        <v>Late Delivery</v>
      </c>
      <c r="O49" t="str">
        <f t="shared" si="5"/>
        <v>Review</v>
      </c>
    </row>
    <row r="50" spans="1:15" ht="15" thickBot="1" x14ac:dyDescent="0.4">
      <c r="A50" s="3" t="s">
        <v>125</v>
      </c>
      <c r="B50" s="3" t="s">
        <v>55</v>
      </c>
      <c r="C50" s="3" t="s">
        <v>84</v>
      </c>
      <c r="D50" s="4">
        <v>45678</v>
      </c>
      <c r="E50" s="4">
        <v>45692</v>
      </c>
      <c r="F50" s="5">
        <v>1</v>
      </c>
      <c r="G50" s="5">
        <v>16901</v>
      </c>
      <c r="H50" s="3" t="s">
        <v>34</v>
      </c>
      <c r="I50" s="3" t="s">
        <v>22</v>
      </c>
      <c r="J50" s="7" t="str">
        <f t="shared" si="0"/>
        <v>REGULAR ORDER</v>
      </c>
      <c r="K50" s="9" t="str">
        <f t="shared" si="1"/>
        <v>Pooja</v>
      </c>
      <c r="L50" s="11" t="str">
        <f t="shared" si="2"/>
        <v>Pooja Kaur</v>
      </c>
      <c r="M50" s="13">
        <f t="shared" si="3"/>
        <v>11</v>
      </c>
      <c r="N50" s="14" t="str">
        <f t="shared" si="4"/>
        <v>Late Delivery</v>
      </c>
      <c r="O50" t="str">
        <f t="shared" si="5"/>
        <v>Review</v>
      </c>
    </row>
    <row r="51" spans="1:15" ht="29.5" thickBot="1" x14ac:dyDescent="0.4">
      <c r="A51" s="3" t="s">
        <v>126</v>
      </c>
      <c r="B51" s="3" t="s">
        <v>127</v>
      </c>
      <c r="C51" s="3" t="s">
        <v>128</v>
      </c>
      <c r="D51" s="4">
        <v>45677</v>
      </c>
      <c r="E51" s="4">
        <v>45682</v>
      </c>
      <c r="F51" s="5">
        <v>4</v>
      </c>
      <c r="G51" s="5">
        <v>36642</v>
      </c>
      <c r="H51" s="3" t="s">
        <v>34</v>
      </c>
      <c r="I51" s="3" t="s">
        <v>22</v>
      </c>
      <c r="J51" s="7" t="str">
        <f t="shared" si="0"/>
        <v>BULK  ORDER</v>
      </c>
      <c r="K51" s="9" t="str">
        <f t="shared" si="1"/>
        <v>Rohan</v>
      </c>
      <c r="L51" s="11" t="str">
        <f t="shared" si="2"/>
        <v>Rohan Kumar</v>
      </c>
      <c r="M51" s="13">
        <f t="shared" si="3"/>
        <v>5</v>
      </c>
      <c r="N51" s="14" t="str">
        <f t="shared" si="4"/>
        <v>On TIme</v>
      </c>
      <c r="O51" t="str">
        <f t="shared" si="5"/>
        <v>Valid</v>
      </c>
    </row>
    <row r="52" spans="1:15" ht="15" thickBot="1" x14ac:dyDescent="0.4">
      <c r="A52" s="3" t="s">
        <v>129</v>
      </c>
      <c r="B52" s="3" t="s">
        <v>130</v>
      </c>
      <c r="C52" s="3" t="s">
        <v>16</v>
      </c>
      <c r="D52" s="4">
        <v>45719</v>
      </c>
      <c r="E52" s="4">
        <v>45722</v>
      </c>
      <c r="F52" s="5">
        <v>3</v>
      </c>
      <c r="G52" s="5">
        <v>45563</v>
      </c>
      <c r="H52" s="3" t="s">
        <v>43</v>
      </c>
      <c r="I52" s="3" t="s">
        <v>18</v>
      </c>
      <c r="J52" s="7" t="str">
        <f t="shared" si="0"/>
        <v>BULK  ORDER</v>
      </c>
      <c r="K52" s="9" t="str">
        <f t="shared" si="1"/>
        <v>Karthik</v>
      </c>
      <c r="L52" s="11" t="str">
        <f t="shared" si="2"/>
        <v>Karthik Khan</v>
      </c>
      <c r="M52" s="13">
        <f t="shared" si="3"/>
        <v>4</v>
      </c>
      <c r="N52" s="14" t="str">
        <f t="shared" si="4"/>
        <v>On TIme</v>
      </c>
      <c r="O52" t="str">
        <f t="shared" si="5"/>
        <v>Review</v>
      </c>
    </row>
    <row r="53" spans="1:15" ht="29.5" thickBot="1" x14ac:dyDescent="0.4">
      <c r="A53" s="3" t="s">
        <v>131</v>
      </c>
      <c r="B53" s="3" t="s">
        <v>132</v>
      </c>
      <c r="C53" s="3" t="s">
        <v>58</v>
      </c>
      <c r="D53" s="4">
        <v>45705</v>
      </c>
      <c r="E53" s="4">
        <v>45708</v>
      </c>
      <c r="F53" s="5">
        <v>4</v>
      </c>
      <c r="G53" s="5">
        <v>22996</v>
      </c>
      <c r="H53" s="3" t="s">
        <v>43</v>
      </c>
      <c r="I53" s="3" t="s">
        <v>13</v>
      </c>
      <c r="J53" s="7" t="str">
        <f t="shared" si="0"/>
        <v>BULK  ORDER</v>
      </c>
      <c r="K53" s="9" t="str">
        <f t="shared" si="1"/>
        <v>Megha</v>
      </c>
      <c r="L53" s="11" t="str">
        <f t="shared" si="2"/>
        <v>Megha Menon</v>
      </c>
      <c r="M53" s="13">
        <f t="shared" si="3"/>
        <v>4</v>
      </c>
      <c r="N53" s="14" t="str">
        <f t="shared" si="4"/>
        <v>On TIme</v>
      </c>
      <c r="O53" t="str">
        <f t="shared" si="5"/>
        <v>Review</v>
      </c>
    </row>
    <row r="54" spans="1:15" ht="15" thickBot="1" x14ac:dyDescent="0.4">
      <c r="A54" s="3" t="s">
        <v>133</v>
      </c>
      <c r="B54" s="3" t="s">
        <v>134</v>
      </c>
      <c r="C54" s="3" t="s">
        <v>39</v>
      </c>
      <c r="D54" s="4">
        <v>45692</v>
      </c>
      <c r="E54" s="4">
        <v>45698</v>
      </c>
      <c r="F54" s="5">
        <v>3</v>
      </c>
      <c r="G54" s="5">
        <v>44183</v>
      </c>
      <c r="H54" s="3" t="s">
        <v>34</v>
      </c>
      <c r="I54" s="3" t="s">
        <v>22</v>
      </c>
      <c r="J54" s="7" t="str">
        <f t="shared" si="0"/>
        <v>BULK  ORDER</v>
      </c>
      <c r="K54" s="9" t="str">
        <f t="shared" si="1"/>
        <v>Karthik</v>
      </c>
      <c r="L54" s="11" t="str">
        <f t="shared" si="2"/>
        <v>Karthik Desai</v>
      </c>
      <c r="M54" s="13">
        <f t="shared" si="3"/>
        <v>5</v>
      </c>
      <c r="N54" s="14" t="str">
        <f t="shared" si="4"/>
        <v>On TIme</v>
      </c>
      <c r="O54" t="str">
        <f t="shared" si="5"/>
        <v>Valid</v>
      </c>
    </row>
    <row r="55" spans="1:15" ht="29.5" thickBot="1" x14ac:dyDescent="0.4">
      <c r="A55" s="3" t="s">
        <v>135</v>
      </c>
      <c r="B55" s="3" t="s">
        <v>136</v>
      </c>
      <c r="C55" s="3" t="s">
        <v>128</v>
      </c>
      <c r="D55" s="4">
        <v>45720</v>
      </c>
      <c r="E55" s="4">
        <v>45732</v>
      </c>
      <c r="F55" s="5">
        <v>5</v>
      </c>
      <c r="G55" s="5">
        <v>23977</v>
      </c>
      <c r="H55" s="3" t="s">
        <v>34</v>
      </c>
      <c r="I55" s="3" t="s">
        <v>18</v>
      </c>
      <c r="J55" s="7" t="str">
        <f t="shared" si="0"/>
        <v>BULK  ORDER</v>
      </c>
      <c r="K55" s="9" t="str">
        <f t="shared" si="1"/>
        <v>Pallavi</v>
      </c>
      <c r="L55" s="11" t="str">
        <f t="shared" si="2"/>
        <v>Pallavi Vardhan</v>
      </c>
      <c r="M55" s="13">
        <f t="shared" si="3"/>
        <v>9</v>
      </c>
      <c r="N55" s="14" t="str">
        <f t="shared" si="4"/>
        <v>Late Delivery</v>
      </c>
      <c r="O55" t="str">
        <f t="shared" si="5"/>
        <v>Review</v>
      </c>
    </row>
    <row r="56" spans="1:15" ht="15" thickBot="1" x14ac:dyDescent="0.4">
      <c r="A56" s="3" t="s">
        <v>137</v>
      </c>
      <c r="B56" s="3" t="s">
        <v>138</v>
      </c>
      <c r="C56" s="3" t="s">
        <v>139</v>
      </c>
      <c r="D56" s="4">
        <v>45718</v>
      </c>
      <c r="E56" s="4">
        <v>45727</v>
      </c>
      <c r="F56" s="5">
        <v>4</v>
      </c>
      <c r="G56" s="5">
        <v>61336</v>
      </c>
      <c r="H56" s="3" t="s">
        <v>17</v>
      </c>
      <c r="I56" s="3" t="s">
        <v>22</v>
      </c>
      <c r="J56" s="7" t="str">
        <f t="shared" si="0"/>
        <v>BULK  ORDER</v>
      </c>
      <c r="K56" s="9" t="str">
        <f t="shared" si="1"/>
        <v>Ravi</v>
      </c>
      <c r="L56" s="11" t="str">
        <f t="shared" si="2"/>
        <v>Ravi Tiwari</v>
      </c>
      <c r="M56" s="13">
        <f t="shared" si="3"/>
        <v>7</v>
      </c>
      <c r="N56" s="14" t="str">
        <f t="shared" si="4"/>
        <v>On TIme</v>
      </c>
      <c r="O56" t="str">
        <f t="shared" si="5"/>
        <v>Valid</v>
      </c>
    </row>
    <row r="57" spans="1:15" ht="15" thickBot="1" x14ac:dyDescent="0.4">
      <c r="A57" s="3" t="s">
        <v>140</v>
      </c>
      <c r="B57" s="3" t="s">
        <v>141</v>
      </c>
      <c r="C57" s="3" t="s">
        <v>77</v>
      </c>
      <c r="D57" s="4">
        <v>45658</v>
      </c>
      <c r="E57" s="4">
        <v>45665</v>
      </c>
      <c r="F57" s="5">
        <v>3</v>
      </c>
      <c r="G57" s="5">
        <v>28560</v>
      </c>
      <c r="H57" s="3" t="s">
        <v>12</v>
      </c>
      <c r="I57" s="3" t="s">
        <v>18</v>
      </c>
      <c r="J57" s="7" t="str">
        <f t="shared" si="0"/>
        <v>BULK  ORDER</v>
      </c>
      <c r="K57" s="9" t="str">
        <f t="shared" si="1"/>
        <v>Varun</v>
      </c>
      <c r="L57" s="11" t="str">
        <f t="shared" si="2"/>
        <v>Varun Kumar</v>
      </c>
      <c r="M57" s="13">
        <f t="shared" si="3"/>
        <v>6</v>
      </c>
      <c r="N57" s="14" t="str">
        <f t="shared" si="4"/>
        <v>On TIme</v>
      </c>
      <c r="O57" t="str">
        <f t="shared" si="5"/>
        <v>Review</v>
      </c>
    </row>
    <row r="58" spans="1:15" ht="29.5" thickBot="1" x14ac:dyDescent="0.4">
      <c r="A58" s="3" t="s">
        <v>142</v>
      </c>
      <c r="B58" s="3" t="s">
        <v>143</v>
      </c>
      <c r="C58" s="3" t="s">
        <v>21</v>
      </c>
      <c r="D58" s="4">
        <v>45697</v>
      </c>
      <c r="E58" s="4">
        <v>45706</v>
      </c>
      <c r="F58" s="5">
        <v>6</v>
      </c>
      <c r="G58" s="5">
        <v>17033</v>
      </c>
      <c r="H58" s="3" t="s">
        <v>34</v>
      </c>
      <c r="I58" s="3" t="s">
        <v>22</v>
      </c>
      <c r="J58" s="7" t="str">
        <f t="shared" si="0"/>
        <v>BULK  ORDER</v>
      </c>
      <c r="K58" s="9" t="str">
        <f t="shared" si="1"/>
        <v>Rahul</v>
      </c>
      <c r="L58" s="11" t="str">
        <f t="shared" si="2"/>
        <v>Rahul Arora</v>
      </c>
      <c r="M58" s="13">
        <f t="shared" si="3"/>
        <v>7</v>
      </c>
      <c r="N58" s="14" t="str">
        <f t="shared" si="4"/>
        <v>On TIme</v>
      </c>
      <c r="O58" t="str">
        <f t="shared" si="5"/>
        <v>Valid</v>
      </c>
    </row>
    <row r="59" spans="1:15" ht="15" thickBot="1" x14ac:dyDescent="0.4">
      <c r="A59" s="3" t="s">
        <v>144</v>
      </c>
      <c r="B59" s="3" t="s">
        <v>145</v>
      </c>
      <c r="C59" s="3" t="s">
        <v>66</v>
      </c>
      <c r="D59" s="4">
        <v>45715</v>
      </c>
      <c r="E59" s="4">
        <v>45724</v>
      </c>
      <c r="F59" s="5">
        <v>4</v>
      </c>
      <c r="G59" s="5">
        <v>8225</v>
      </c>
      <c r="H59" s="3" t="s">
        <v>43</v>
      </c>
      <c r="I59" s="3" t="s">
        <v>22</v>
      </c>
      <c r="J59" s="7" t="str">
        <f t="shared" si="0"/>
        <v>BULK  ORDER</v>
      </c>
      <c r="K59" s="9" t="str">
        <f t="shared" si="1"/>
        <v>Ravi</v>
      </c>
      <c r="L59" s="11" t="str">
        <f t="shared" si="2"/>
        <v>Ravi Desai</v>
      </c>
      <c r="M59" s="13">
        <f t="shared" si="3"/>
        <v>7</v>
      </c>
      <c r="N59" s="14" t="str">
        <f t="shared" si="4"/>
        <v>On TIme</v>
      </c>
      <c r="O59" t="str">
        <f t="shared" si="5"/>
        <v>Valid</v>
      </c>
    </row>
    <row r="60" spans="1:15" ht="29.5" thickBot="1" x14ac:dyDescent="0.4">
      <c r="A60" s="3" t="s">
        <v>146</v>
      </c>
      <c r="B60" s="3" t="s">
        <v>147</v>
      </c>
      <c r="C60" s="3" t="s">
        <v>128</v>
      </c>
      <c r="D60" s="4">
        <v>45727</v>
      </c>
      <c r="E60" s="4">
        <v>45729</v>
      </c>
      <c r="F60" s="5">
        <v>5</v>
      </c>
      <c r="G60" s="5">
        <v>32053</v>
      </c>
      <c r="H60" s="3" t="s">
        <v>17</v>
      </c>
      <c r="I60" s="3" t="s">
        <v>22</v>
      </c>
      <c r="J60" s="7" t="str">
        <f t="shared" si="0"/>
        <v>BULK  ORDER</v>
      </c>
      <c r="K60" s="9" t="str">
        <f t="shared" si="1"/>
        <v>Suraj</v>
      </c>
      <c r="L60" s="11" t="str">
        <f t="shared" si="2"/>
        <v>Suraj Gupta</v>
      </c>
      <c r="M60" s="13">
        <f t="shared" si="3"/>
        <v>3</v>
      </c>
      <c r="N60" s="14" t="str">
        <f t="shared" si="4"/>
        <v>On TIme</v>
      </c>
      <c r="O60" t="str">
        <f t="shared" si="5"/>
        <v>Valid</v>
      </c>
    </row>
    <row r="61" spans="1:15" ht="15" thickBot="1" x14ac:dyDescent="0.4">
      <c r="A61" s="3" t="s">
        <v>148</v>
      </c>
      <c r="B61" s="3" t="s">
        <v>149</v>
      </c>
      <c r="C61" s="3" t="s">
        <v>11</v>
      </c>
      <c r="D61" s="4">
        <v>45680</v>
      </c>
      <c r="E61" s="4">
        <v>45693</v>
      </c>
      <c r="F61" s="5">
        <v>1</v>
      </c>
      <c r="G61" s="5">
        <v>23765</v>
      </c>
      <c r="H61" s="3" t="s">
        <v>12</v>
      </c>
      <c r="I61" s="3" t="s">
        <v>22</v>
      </c>
      <c r="J61" s="7" t="str">
        <f t="shared" si="0"/>
        <v>REGULAR ORDER</v>
      </c>
      <c r="K61" s="9" t="str">
        <f t="shared" si="1"/>
        <v>Neha</v>
      </c>
      <c r="L61" s="11" t="str">
        <f t="shared" si="2"/>
        <v>Neha Kumar</v>
      </c>
      <c r="M61" s="13">
        <f t="shared" si="3"/>
        <v>10</v>
      </c>
      <c r="N61" s="14" t="str">
        <f t="shared" si="4"/>
        <v>Late Delivery</v>
      </c>
      <c r="O61" t="str">
        <f t="shared" si="5"/>
        <v>Review</v>
      </c>
    </row>
    <row r="62" spans="1:15" ht="15" thickBot="1" x14ac:dyDescent="0.4">
      <c r="A62" s="3" t="s">
        <v>150</v>
      </c>
      <c r="B62" s="3" t="s">
        <v>151</v>
      </c>
      <c r="C62" s="3" t="s">
        <v>33</v>
      </c>
      <c r="D62" s="4">
        <v>45708</v>
      </c>
      <c r="E62" s="4">
        <v>45716</v>
      </c>
      <c r="F62" s="5">
        <v>4</v>
      </c>
      <c r="G62" s="5">
        <v>63627</v>
      </c>
      <c r="H62" s="3" t="s">
        <v>43</v>
      </c>
      <c r="I62" s="3" t="s">
        <v>18</v>
      </c>
      <c r="J62" s="7" t="str">
        <f t="shared" si="0"/>
        <v>BULK  ORDER</v>
      </c>
      <c r="K62" s="9" t="str">
        <f t="shared" si="1"/>
        <v>Alok</v>
      </c>
      <c r="L62" s="11" t="str">
        <f t="shared" si="2"/>
        <v>Alok Iyer</v>
      </c>
      <c r="M62" s="13">
        <f t="shared" si="3"/>
        <v>7</v>
      </c>
      <c r="N62" s="14" t="str">
        <f t="shared" si="4"/>
        <v>On TIme</v>
      </c>
      <c r="O62" t="str">
        <f t="shared" si="5"/>
        <v>Review</v>
      </c>
    </row>
    <row r="63" spans="1:15" ht="15" thickBot="1" x14ac:dyDescent="0.4">
      <c r="A63" s="3" t="s">
        <v>152</v>
      </c>
      <c r="B63" s="3" t="s">
        <v>153</v>
      </c>
      <c r="C63" s="3" t="s">
        <v>139</v>
      </c>
      <c r="D63" s="4">
        <v>45713</v>
      </c>
      <c r="E63" s="4">
        <v>45720</v>
      </c>
      <c r="F63" s="5">
        <v>6</v>
      </c>
      <c r="G63" s="5">
        <v>44304</v>
      </c>
      <c r="H63" s="3" t="s">
        <v>34</v>
      </c>
      <c r="I63" s="3" t="s">
        <v>22</v>
      </c>
      <c r="J63" s="7" t="str">
        <f t="shared" si="0"/>
        <v>BULK  ORDER</v>
      </c>
      <c r="K63" s="9" t="str">
        <f t="shared" si="1"/>
        <v>Rohan</v>
      </c>
      <c r="L63" s="11" t="str">
        <f t="shared" si="2"/>
        <v>Rohan Patil</v>
      </c>
      <c r="M63" s="13">
        <f t="shared" si="3"/>
        <v>6</v>
      </c>
      <c r="N63" s="14" t="str">
        <f t="shared" si="4"/>
        <v>On TIme</v>
      </c>
      <c r="O63" t="str">
        <f t="shared" si="5"/>
        <v>Valid</v>
      </c>
    </row>
    <row r="64" spans="1:15" ht="15" thickBot="1" x14ac:dyDescent="0.4">
      <c r="A64" s="3" t="s">
        <v>154</v>
      </c>
      <c r="B64" s="3" t="s">
        <v>155</v>
      </c>
      <c r="C64" s="3" t="s">
        <v>11</v>
      </c>
      <c r="D64" s="4">
        <v>45688</v>
      </c>
      <c r="E64" s="4">
        <v>45701</v>
      </c>
      <c r="F64" s="5">
        <v>5</v>
      </c>
      <c r="G64" s="5">
        <v>27814</v>
      </c>
      <c r="H64" s="3" t="s">
        <v>17</v>
      </c>
      <c r="I64" s="3" t="s">
        <v>22</v>
      </c>
      <c r="J64" s="7" t="str">
        <f t="shared" si="0"/>
        <v>BULK  ORDER</v>
      </c>
      <c r="K64" s="9" t="str">
        <f t="shared" si="1"/>
        <v>Pallavi</v>
      </c>
      <c r="L64" s="11" t="str">
        <f t="shared" si="2"/>
        <v>Pallavi Patel</v>
      </c>
      <c r="M64" s="13">
        <f t="shared" si="3"/>
        <v>10</v>
      </c>
      <c r="N64" s="14" t="str">
        <f t="shared" si="4"/>
        <v>Late Delivery</v>
      </c>
      <c r="O64" t="str">
        <f t="shared" si="5"/>
        <v>Valid</v>
      </c>
    </row>
    <row r="65" spans="1:15" ht="29.5" thickBot="1" x14ac:dyDescent="0.4">
      <c r="A65" s="3" t="s">
        <v>156</v>
      </c>
      <c r="B65" s="3" t="s">
        <v>157</v>
      </c>
      <c r="C65" s="3" t="s">
        <v>33</v>
      </c>
      <c r="D65" s="4">
        <v>45691</v>
      </c>
      <c r="E65" s="4">
        <v>45704</v>
      </c>
      <c r="F65" s="5">
        <v>2</v>
      </c>
      <c r="G65" s="5">
        <v>12746</v>
      </c>
      <c r="H65" s="3" t="s">
        <v>43</v>
      </c>
      <c r="I65" s="3" t="s">
        <v>13</v>
      </c>
      <c r="J65" s="7" t="str">
        <f t="shared" si="0"/>
        <v>REGULAR ORDER</v>
      </c>
      <c r="K65" s="9" t="str">
        <f t="shared" si="1"/>
        <v>Geeta</v>
      </c>
      <c r="L65" s="11" t="str">
        <f t="shared" si="2"/>
        <v>Geeta Tiwari</v>
      </c>
      <c r="M65" s="13">
        <f t="shared" si="3"/>
        <v>10</v>
      </c>
      <c r="N65" s="14" t="str">
        <f t="shared" si="4"/>
        <v>Late Delivery</v>
      </c>
      <c r="O65" t="str">
        <f t="shared" si="5"/>
        <v>Review</v>
      </c>
    </row>
    <row r="66" spans="1:15" ht="15" thickBot="1" x14ac:dyDescent="0.4">
      <c r="A66" s="3" t="s">
        <v>158</v>
      </c>
      <c r="B66" s="3" t="s">
        <v>159</v>
      </c>
      <c r="C66" s="3" t="s">
        <v>58</v>
      </c>
      <c r="D66" s="4">
        <v>45713</v>
      </c>
      <c r="E66" s="4">
        <v>45723</v>
      </c>
      <c r="F66" s="5">
        <v>3</v>
      </c>
      <c r="G66" s="5">
        <v>66758</v>
      </c>
      <c r="H66" s="3" t="s">
        <v>43</v>
      </c>
      <c r="I66" s="3" t="s">
        <v>22</v>
      </c>
      <c r="J66" s="7" t="str">
        <f t="shared" si="0"/>
        <v>BULK  ORDER</v>
      </c>
      <c r="K66" s="9" t="str">
        <f t="shared" si="1"/>
        <v>Kavita</v>
      </c>
      <c r="L66" s="11" t="str">
        <f t="shared" si="2"/>
        <v>Kavita Singh</v>
      </c>
      <c r="M66" s="13">
        <f t="shared" si="3"/>
        <v>9</v>
      </c>
      <c r="N66" s="14" t="str">
        <f t="shared" si="4"/>
        <v>Late Delivery</v>
      </c>
      <c r="O66" t="str">
        <f t="shared" si="5"/>
        <v>Valid</v>
      </c>
    </row>
    <row r="67" spans="1:15" ht="29.5" thickBot="1" x14ac:dyDescent="0.4">
      <c r="A67" s="3" t="s">
        <v>160</v>
      </c>
      <c r="B67" s="3" t="s">
        <v>161</v>
      </c>
      <c r="C67" s="3" t="s">
        <v>21</v>
      </c>
      <c r="D67" s="4">
        <v>45726</v>
      </c>
      <c r="E67" s="4">
        <v>45737</v>
      </c>
      <c r="F67" s="5">
        <v>1</v>
      </c>
      <c r="G67" s="5">
        <v>9833</v>
      </c>
      <c r="H67" s="3" t="s">
        <v>34</v>
      </c>
      <c r="I67" s="3" t="s">
        <v>13</v>
      </c>
      <c r="J67" s="7" t="str">
        <f t="shared" ref="J67:J101" si="6">IF(F67&gt;=3,"BULK  ORDER","REGULAR ORDER")</f>
        <v>REGULAR ORDER</v>
      </c>
      <c r="K67" s="9" t="str">
        <f t="shared" ref="K67:K101" si="7">_xlfn.TEXTBEFORE(B67," ")</f>
        <v>Vikram</v>
      </c>
      <c r="L67" s="11" t="str">
        <f t="shared" ref="L67:L101" si="8">PROPER(TRIM(B67))</f>
        <v>Vikram Sharma</v>
      </c>
      <c r="M67" s="13">
        <f t="shared" ref="M67:M101" si="9">NETWORKDAYS(D67,E67)</f>
        <v>10</v>
      </c>
      <c r="N67" s="14" t="str">
        <f t="shared" ref="N67:N101" si="10">IF(M67&gt;7,"Late Delivery","On TIme")</f>
        <v>Late Delivery</v>
      </c>
      <c r="O67" t="str">
        <f t="shared" ref="O67:O101" si="11">IF(AND(I67 = "Delivered", F67 &gt; 2), "Valid", "Review")</f>
        <v>Review</v>
      </c>
    </row>
    <row r="68" spans="1:15" ht="15" thickBot="1" x14ac:dyDescent="0.4">
      <c r="A68" s="3" t="s">
        <v>162</v>
      </c>
      <c r="B68" s="3" t="s">
        <v>163</v>
      </c>
      <c r="C68" s="3" t="s">
        <v>66</v>
      </c>
      <c r="D68" s="4">
        <v>45716</v>
      </c>
      <c r="E68" s="4">
        <v>45725</v>
      </c>
      <c r="F68" s="5">
        <v>6</v>
      </c>
      <c r="G68" s="5">
        <v>19276</v>
      </c>
      <c r="H68" s="3" t="s">
        <v>34</v>
      </c>
      <c r="I68" s="3" t="s">
        <v>18</v>
      </c>
      <c r="J68" s="7" t="str">
        <f t="shared" si="6"/>
        <v>BULK  ORDER</v>
      </c>
      <c r="K68" s="9" t="str">
        <f t="shared" si="7"/>
        <v>Simran</v>
      </c>
      <c r="L68" s="11" t="str">
        <f t="shared" si="8"/>
        <v>Simran Agarwal</v>
      </c>
      <c r="M68" s="13">
        <f t="shared" si="9"/>
        <v>6</v>
      </c>
      <c r="N68" s="14" t="str">
        <f t="shared" si="10"/>
        <v>On TIme</v>
      </c>
      <c r="O68" t="str">
        <f t="shared" si="11"/>
        <v>Review</v>
      </c>
    </row>
    <row r="69" spans="1:15" ht="15" thickBot="1" x14ac:dyDescent="0.4">
      <c r="A69" s="3" t="s">
        <v>164</v>
      </c>
      <c r="B69" s="3" t="s">
        <v>165</v>
      </c>
      <c r="C69" s="3" t="s">
        <v>42</v>
      </c>
      <c r="D69" s="4">
        <v>45708</v>
      </c>
      <c r="E69" s="4">
        <v>45713</v>
      </c>
      <c r="F69" s="5">
        <v>5</v>
      </c>
      <c r="G69" s="5">
        <v>8589</v>
      </c>
      <c r="H69" s="3" t="s">
        <v>17</v>
      </c>
      <c r="I69" s="3" t="s">
        <v>22</v>
      </c>
      <c r="J69" s="7" t="str">
        <f t="shared" si="6"/>
        <v>BULK  ORDER</v>
      </c>
      <c r="K69" s="9" t="str">
        <f t="shared" si="7"/>
        <v>Kavita</v>
      </c>
      <c r="L69" s="11" t="str">
        <f t="shared" si="8"/>
        <v>Kavita Kumar</v>
      </c>
      <c r="M69" s="13">
        <f t="shared" si="9"/>
        <v>4</v>
      </c>
      <c r="N69" s="14" t="str">
        <f t="shared" si="10"/>
        <v>On TIme</v>
      </c>
      <c r="O69" t="str">
        <f t="shared" si="11"/>
        <v>Valid</v>
      </c>
    </row>
    <row r="70" spans="1:15" ht="29.5" thickBot="1" x14ac:dyDescent="0.4">
      <c r="A70" s="3" t="s">
        <v>166</v>
      </c>
      <c r="B70" s="3" t="s">
        <v>167</v>
      </c>
      <c r="C70" s="3" t="s">
        <v>21</v>
      </c>
      <c r="D70" s="4">
        <v>45696</v>
      </c>
      <c r="E70" s="4">
        <v>45709</v>
      </c>
      <c r="F70" s="5">
        <v>1</v>
      </c>
      <c r="G70" s="5">
        <v>24228</v>
      </c>
      <c r="H70" s="3" t="s">
        <v>34</v>
      </c>
      <c r="I70" s="3" t="s">
        <v>22</v>
      </c>
      <c r="J70" s="7" t="str">
        <f t="shared" si="6"/>
        <v>REGULAR ORDER</v>
      </c>
      <c r="K70" s="9" t="str">
        <f t="shared" si="7"/>
        <v>Shalini</v>
      </c>
      <c r="L70" s="11" t="str">
        <f t="shared" si="8"/>
        <v>Shalini Shah</v>
      </c>
      <c r="M70" s="13">
        <f t="shared" si="9"/>
        <v>10</v>
      </c>
      <c r="N70" s="14" t="str">
        <f t="shared" si="10"/>
        <v>Late Delivery</v>
      </c>
      <c r="O70" t="str">
        <f t="shared" si="11"/>
        <v>Review</v>
      </c>
    </row>
    <row r="71" spans="1:15" ht="15" thickBot="1" x14ac:dyDescent="0.4">
      <c r="A71" s="3" t="s">
        <v>168</v>
      </c>
      <c r="B71" s="3" t="s">
        <v>169</v>
      </c>
      <c r="C71" s="3" t="s">
        <v>58</v>
      </c>
      <c r="D71" s="4">
        <v>45661</v>
      </c>
      <c r="E71" s="4">
        <v>45665</v>
      </c>
      <c r="F71" s="5">
        <v>6</v>
      </c>
      <c r="G71" s="5">
        <v>45999</v>
      </c>
      <c r="H71" s="3" t="s">
        <v>17</v>
      </c>
      <c r="I71" s="3" t="s">
        <v>22</v>
      </c>
      <c r="J71" s="7" t="str">
        <f t="shared" si="6"/>
        <v>BULK  ORDER</v>
      </c>
      <c r="K71" s="9" t="str">
        <f t="shared" si="7"/>
        <v>Aman</v>
      </c>
      <c r="L71" s="11" t="str">
        <f t="shared" si="8"/>
        <v>Aman Agarwal</v>
      </c>
      <c r="M71" s="13">
        <f t="shared" si="9"/>
        <v>3</v>
      </c>
      <c r="N71" s="14" t="str">
        <f t="shared" si="10"/>
        <v>On TIme</v>
      </c>
      <c r="O71" t="str">
        <f t="shared" si="11"/>
        <v>Valid</v>
      </c>
    </row>
    <row r="72" spans="1:15" ht="15" thickBot="1" x14ac:dyDescent="0.4">
      <c r="A72" s="3" t="s">
        <v>170</v>
      </c>
      <c r="B72" s="3" t="s">
        <v>171</v>
      </c>
      <c r="C72" s="3" t="s">
        <v>77</v>
      </c>
      <c r="D72" s="4">
        <v>45714</v>
      </c>
      <c r="E72" s="4">
        <v>45725</v>
      </c>
      <c r="F72" s="5">
        <v>6</v>
      </c>
      <c r="G72" s="5">
        <v>16843</v>
      </c>
      <c r="H72" s="3" t="s">
        <v>17</v>
      </c>
      <c r="I72" s="3" t="s">
        <v>22</v>
      </c>
      <c r="J72" s="7" t="str">
        <f t="shared" si="6"/>
        <v>BULK  ORDER</v>
      </c>
      <c r="K72" s="9" t="str">
        <f t="shared" si="7"/>
        <v>Ajay</v>
      </c>
      <c r="L72" s="11" t="str">
        <f t="shared" si="8"/>
        <v>Ajay Nair</v>
      </c>
      <c r="M72" s="13">
        <f t="shared" si="9"/>
        <v>8</v>
      </c>
      <c r="N72" s="14" t="str">
        <f t="shared" si="10"/>
        <v>Late Delivery</v>
      </c>
      <c r="O72" t="str">
        <f t="shared" si="11"/>
        <v>Valid</v>
      </c>
    </row>
    <row r="73" spans="1:15" ht="15" thickBot="1" x14ac:dyDescent="0.4">
      <c r="A73" s="3" t="s">
        <v>172</v>
      </c>
      <c r="B73" s="3" t="s">
        <v>173</v>
      </c>
      <c r="C73" s="3" t="s">
        <v>16</v>
      </c>
      <c r="D73" s="4">
        <v>45708</v>
      </c>
      <c r="E73" s="4">
        <v>45720</v>
      </c>
      <c r="F73" s="5">
        <v>5</v>
      </c>
      <c r="G73" s="5">
        <v>11432</v>
      </c>
      <c r="H73" s="3" t="s">
        <v>34</v>
      </c>
      <c r="I73" s="3" t="s">
        <v>22</v>
      </c>
      <c r="J73" s="7" t="str">
        <f t="shared" si="6"/>
        <v>BULK  ORDER</v>
      </c>
      <c r="K73" s="9" t="str">
        <f t="shared" si="7"/>
        <v>Rashmi</v>
      </c>
      <c r="L73" s="11" t="str">
        <f t="shared" si="8"/>
        <v>Rashmi Agarwal</v>
      </c>
      <c r="M73" s="13">
        <f t="shared" si="9"/>
        <v>9</v>
      </c>
      <c r="N73" s="14" t="str">
        <f t="shared" si="10"/>
        <v>Late Delivery</v>
      </c>
      <c r="O73" t="str">
        <f t="shared" si="11"/>
        <v>Valid</v>
      </c>
    </row>
    <row r="74" spans="1:15" ht="15" thickBot="1" x14ac:dyDescent="0.4">
      <c r="A74" s="3" t="s">
        <v>174</v>
      </c>
      <c r="B74" s="3" t="s">
        <v>175</v>
      </c>
      <c r="C74" s="3" t="s">
        <v>66</v>
      </c>
      <c r="D74" s="4">
        <v>45703</v>
      </c>
      <c r="E74" s="4">
        <v>45712</v>
      </c>
      <c r="F74" s="5">
        <v>3</v>
      </c>
      <c r="G74" s="5">
        <v>6930</v>
      </c>
      <c r="H74" s="3" t="s">
        <v>43</v>
      </c>
      <c r="I74" s="3" t="s">
        <v>22</v>
      </c>
      <c r="J74" s="7" t="str">
        <f t="shared" si="6"/>
        <v>BULK  ORDER</v>
      </c>
      <c r="K74" s="9" t="str">
        <f t="shared" si="7"/>
        <v>Ankit</v>
      </c>
      <c r="L74" s="11" t="str">
        <f t="shared" si="8"/>
        <v>Ankit Menon</v>
      </c>
      <c r="M74" s="13">
        <f t="shared" si="9"/>
        <v>6</v>
      </c>
      <c r="N74" s="14" t="str">
        <f t="shared" si="10"/>
        <v>On TIme</v>
      </c>
      <c r="O74" t="str">
        <f t="shared" si="11"/>
        <v>Valid</v>
      </c>
    </row>
    <row r="75" spans="1:15" ht="15" thickBot="1" x14ac:dyDescent="0.4">
      <c r="A75" s="3" t="s">
        <v>176</v>
      </c>
      <c r="B75" s="3" t="s">
        <v>177</v>
      </c>
      <c r="C75" s="3" t="s">
        <v>77</v>
      </c>
      <c r="D75" s="4">
        <v>45711</v>
      </c>
      <c r="E75" s="4">
        <v>45714</v>
      </c>
      <c r="F75" s="5">
        <v>2</v>
      </c>
      <c r="G75" s="5">
        <v>5931</v>
      </c>
      <c r="H75" s="3" t="s">
        <v>12</v>
      </c>
      <c r="I75" s="3" t="s">
        <v>22</v>
      </c>
      <c r="J75" s="7" t="str">
        <f t="shared" si="6"/>
        <v>REGULAR ORDER</v>
      </c>
      <c r="K75" s="9" t="str">
        <f t="shared" si="7"/>
        <v>Ajay</v>
      </c>
      <c r="L75" s="11" t="str">
        <f t="shared" si="8"/>
        <v>Ajay Vardhan</v>
      </c>
      <c r="M75" s="13">
        <f t="shared" si="9"/>
        <v>3</v>
      </c>
      <c r="N75" s="14" t="str">
        <f t="shared" si="10"/>
        <v>On TIme</v>
      </c>
      <c r="O75" t="str">
        <f t="shared" si="11"/>
        <v>Review</v>
      </c>
    </row>
    <row r="76" spans="1:15" ht="29.5" thickBot="1" x14ac:dyDescent="0.4">
      <c r="A76" s="3" t="s">
        <v>178</v>
      </c>
      <c r="B76" s="3" t="s">
        <v>179</v>
      </c>
      <c r="C76" s="3" t="s">
        <v>21</v>
      </c>
      <c r="D76" s="4">
        <v>45717</v>
      </c>
      <c r="E76" s="4">
        <v>45721</v>
      </c>
      <c r="F76" s="5">
        <v>4</v>
      </c>
      <c r="G76" s="5">
        <v>42890</v>
      </c>
      <c r="H76" s="3" t="s">
        <v>12</v>
      </c>
      <c r="I76" s="3" t="s">
        <v>22</v>
      </c>
      <c r="J76" s="7" t="str">
        <f t="shared" si="6"/>
        <v>BULK  ORDER</v>
      </c>
      <c r="K76" s="9" t="str">
        <f t="shared" si="7"/>
        <v>Ankit</v>
      </c>
      <c r="L76" s="11" t="str">
        <f t="shared" si="8"/>
        <v>Ankit Reddy</v>
      </c>
      <c r="M76" s="13">
        <f t="shared" si="9"/>
        <v>3</v>
      </c>
      <c r="N76" s="14" t="str">
        <f t="shared" si="10"/>
        <v>On TIme</v>
      </c>
      <c r="O76" t="str">
        <f t="shared" si="11"/>
        <v>Valid</v>
      </c>
    </row>
    <row r="77" spans="1:15" ht="15" thickBot="1" x14ac:dyDescent="0.4">
      <c r="A77" s="3" t="s">
        <v>180</v>
      </c>
      <c r="B77" s="3" t="s">
        <v>181</v>
      </c>
      <c r="C77" s="3" t="s">
        <v>42</v>
      </c>
      <c r="D77" s="4">
        <v>45728</v>
      </c>
      <c r="E77" s="4">
        <v>45740</v>
      </c>
      <c r="F77" s="5">
        <v>4</v>
      </c>
      <c r="G77" s="5">
        <v>44533</v>
      </c>
      <c r="H77" s="3" t="s">
        <v>43</v>
      </c>
      <c r="I77" s="3" t="s">
        <v>22</v>
      </c>
      <c r="J77" s="7" t="str">
        <f t="shared" si="6"/>
        <v>BULK  ORDER</v>
      </c>
      <c r="K77" s="9" t="str">
        <f t="shared" si="7"/>
        <v>Rohan</v>
      </c>
      <c r="L77" s="11" t="str">
        <f t="shared" si="8"/>
        <v>Rohan Tiwari</v>
      </c>
      <c r="M77" s="13">
        <f t="shared" si="9"/>
        <v>9</v>
      </c>
      <c r="N77" s="14" t="str">
        <f t="shared" si="10"/>
        <v>Late Delivery</v>
      </c>
      <c r="O77" t="str">
        <f t="shared" si="11"/>
        <v>Valid</v>
      </c>
    </row>
    <row r="78" spans="1:15" ht="15" thickBot="1" x14ac:dyDescent="0.4">
      <c r="A78" s="3" t="s">
        <v>182</v>
      </c>
      <c r="B78" s="3" t="s">
        <v>183</v>
      </c>
      <c r="C78" s="3" t="s">
        <v>11</v>
      </c>
      <c r="D78" s="4">
        <v>45711</v>
      </c>
      <c r="E78" s="4">
        <v>45716</v>
      </c>
      <c r="F78" s="5">
        <v>2</v>
      </c>
      <c r="G78" s="5">
        <v>46616</v>
      </c>
      <c r="H78" s="3" t="s">
        <v>34</v>
      </c>
      <c r="I78" s="3" t="s">
        <v>18</v>
      </c>
      <c r="J78" s="7" t="str">
        <f t="shared" si="6"/>
        <v>REGULAR ORDER</v>
      </c>
      <c r="K78" s="9" t="str">
        <f t="shared" si="7"/>
        <v>Amit</v>
      </c>
      <c r="L78" s="11" t="str">
        <f t="shared" si="8"/>
        <v>Amit Singh</v>
      </c>
      <c r="M78" s="13">
        <f t="shared" si="9"/>
        <v>5</v>
      </c>
      <c r="N78" s="14" t="str">
        <f t="shared" si="10"/>
        <v>On TIme</v>
      </c>
      <c r="O78" t="str">
        <f t="shared" si="11"/>
        <v>Review</v>
      </c>
    </row>
    <row r="79" spans="1:15" ht="15" thickBot="1" x14ac:dyDescent="0.4">
      <c r="A79" s="3" t="s">
        <v>184</v>
      </c>
      <c r="B79" s="3" t="s">
        <v>185</v>
      </c>
      <c r="C79" s="3" t="s">
        <v>16</v>
      </c>
      <c r="D79" s="4">
        <v>45720</v>
      </c>
      <c r="E79" s="4">
        <v>45732</v>
      </c>
      <c r="F79" s="5">
        <v>3</v>
      </c>
      <c r="G79" s="5">
        <v>57016</v>
      </c>
      <c r="H79" s="3" t="s">
        <v>17</v>
      </c>
      <c r="I79" s="3" t="s">
        <v>22</v>
      </c>
      <c r="J79" s="7" t="str">
        <f t="shared" si="6"/>
        <v>BULK  ORDER</v>
      </c>
      <c r="K79" s="9" t="str">
        <f t="shared" si="7"/>
        <v>Ankit</v>
      </c>
      <c r="L79" s="11" t="str">
        <f t="shared" si="8"/>
        <v>Ankit Kumar</v>
      </c>
      <c r="M79" s="13">
        <f t="shared" si="9"/>
        <v>9</v>
      </c>
      <c r="N79" s="14" t="str">
        <f t="shared" si="10"/>
        <v>Late Delivery</v>
      </c>
      <c r="O79" t="str">
        <f t="shared" si="11"/>
        <v>Valid</v>
      </c>
    </row>
    <row r="80" spans="1:15" ht="29.5" thickBot="1" x14ac:dyDescent="0.4">
      <c r="A80" s="3" t="s">
        <v>186</v>
      </c>
      <c r="B80" s="3" t="s">
        <v>187</v>
      </c>
      <c r="C80" s="3" t="s">
        <v>30</v>
      </c>
      <c r="D80" s="4">
        <v>45671</v>
      </c>
      <c r="E80" s="4">
        <v>45686</v>
      </c>
      <c r="F80" s="5">
        <v>6</v>
      </c>
      <c r="G80" s="5">
        <v>37999</v>
      </c>
      <c r="H80" s="3" t="s">
        <v>34</v>
      </c>
      <c r="I80" s="3" t="s">
        <v>13</v>
      </c>
      <c r="J80" s="7" t="str">
        <f t="shared" si="6"/>
        <v>BULK  ORDER</v>
      </c>
      <c r="K80" s="9" t="str">
        <f t="shared" si="7"/>
        <v>Ajay</v>
      </c>
      <c r="L80" s="11" t="str">
        <f t="shared" si="8"/>
        <v>Ajay Roy</v>
      </c>
      <c r="M80" s="13">
        <f t="shared" si="9"/>
        <v>12</v>
      </c>
      <c r="N80" s="14" t="str">
        <f t="shared" si="10"/>
        <v>Late Delivery</v>
      </c>
      <c r="O80" t="str">
        <f t="shared" si="11"/>
        <v>Review</v>
      </c>
    </row>
    <row r="81" spans="1:15" ht="15" thickBot="1" x14ac:dyDescent="0.4">
      <c r="A81" s="3" t="s">
        <v>188</v>
      </c>
      <c r="B81" s="3" t="s">
        <v>189</v>
      </c>
      <c r="C81" s="3" t="s">
        <v>66</v>
      </c>
      <c r="D81" s="4">
        <v>45693</v>
      </c>
      <c r="E81" s="4">
        <v>45700</v>
      </c>
      <c r="F81" s="5">
        <v>5</v>
      </c>
      <c r="G81" s="5">
        <v>48493</v>
      </c>
      <c r="H81" s="3" t="s">
        <v>17</v>
      </c>
      <c r="I81" s="3" t="s">
        <v>22</v>
      </c>
      <c r="J81" s="7" t="str">
        <f t="shared" si="6"/>
        <v>BULK  ORDER</v>
      </c>
      <c r="K81" s="9" t="str">
        <f t="shared" si="7"/>
        <v>Sneha</v>
      </c>
      <c r="L81" s="11" t="str">
        <f t="shared" si="8"/>
        <v>Sneha Khan</v>
      </c>
      <c r="M81" s="13">
        <f t="shared" si="9"/>
        <v>6</v>
      </c>
      <c r="N81" s="14" t="str">
        <f t="shared" si="10"/>
        <v>On TIme</v>
      </c>
      <c r="O81" t="str">
        <f t="shared" si="11"/>
        <v>Valid</v>
      </c>
    </row>
    <row r="82" spans="1:15" ht="15" thickBot="1" x14ac:dyDescent="0.4">
      <c r="A82" s="3" t="s">
        <v>190</v>
      </c>
      <c r="B82" s="3" t="s">
        <v>191</v>
      </c>
      <c r="C82" s="3" t="s">
        <v>25</v>
      </c>
      <c r="D82" s="4">
        <v>45713</v>
      </c>
      <c r="E82" s="4">
        <v>45721</v>
      </c>
      <c r="F82" s="5">
        <v>2</v>
      </c>
      <c r="G82" s="5">
        <v>11330</v>
      </c>
      <c r="H82" s="3" t="s">
        <v>43</v>
      </c>
      <c r="I82" s="3" t="s">
        <v>22</v>
      </c>
      <c r="J82" s="7" t="str">
        <f t="shared" si="6"/>
        <v>REGULAR ORDER</v>
      </c>
      <c r="K82" s="9" t="str">
        <f t="shared" si="7"/>
        <v>Aditya</v>
      </c>
      <c r="L82" s="11" t="str">
        <f t="shared" si="8"/>
        <v>Aditya Vardhan</v>
      </c>
      <c r="M82" s="13">
        <f t="shared" si="9"/>
        <v>7</v>
      </c>
      <c r="N82" s="14" t="str">
        <f t="shared" si="10"/>
        <v>On TIme</v>
      </c>
      <c r="O82" t="str">
        <f t="shared" si="11"/>
        <v>Review</v>
      </c>
    </row>
    <row r="83" spans="1:15" ht="15" thickBot="1" x14ac:dyDescent="0.4">
      <c r="A83" s="3" t="s">
        <v>192</v>
      </c>
      <c r="B83" s="3" t="s">
        <v>193</v>
      </c>
      <c r="C83" s="3" t="s">
        <v>25</v>
      </c>
      <c r="D83" s="4">
        <v>45669</v>
      </c>
      <c r="E83" s="4">
        <v>45672</v>
      </c>
      <c r="F83" s="5">
        <v>3</v>
      </c>
      <c r="G83" s="5">
        <v>33535</v>
      </c>
      <c r="H83" s="3" t="s">
        <v>12</v>
      </c>
      <c r="I83" s="3" t="s">
        <v>22</v>
      </c>
      <c r="J83" s="7" t="str">
        <f t="shared" si="6"/>
        <v>BULK  ORDER</v>
      </c>
      <c r="K83" s="9" t="str">
        <f t="shared" si="7"/>
        <v>Rashmi</v>
      </c>
      <c r="L83" s="11" t="str">
        <f t="shared" si="8"/>
        <v>Rashmi Das</v>
      </c>
      <c r="M83" s="13">
        <f t="shared" si="9"/>
        <v>3</v>
      </c>
      <c r="N83" s="14" t="str">
        <f t="shared" si="10"/>
        <v>On TIme</v>
      </c>
      <c r="O83" t="str">
        <f t="shared" si="11"/>
        <v>Valid</v>
      </c>
    </row>
    <row r="84" spans="1:15" ht="15" thickBot="1" x14ac:dyDescent="0.4">
      <c r="A84" s="3" t="s">
        <v>194</v>
      </c>
      <c r="B84" s="3" t="s">
        <v>195</v>
      </c>
      <c r="C84" s="3" t="s">
        <v>139</v>
      </c>
      <c r="D84" s="4">
        <v>45698</v>
      </c>
      <c r="E84" s="4">
        <v>45712</v>
      </c>
      <c r="F84" s="5">
        <v>1</v>
      </c>
      <c r="G84" s="5">
        <v>2992</v>
      </c>
      <c r="H84" s="3" t="s">
        <v>34</v>
      </c>
      <c r="I84" s="3" t="s">
        <v>18</v>
      </c>
      <c r="J84" s="7" t="str">
        <f t="shared" si="6"/>
        <v>REGULAR ORDER</v>
      </c>
      <c r="K84" s="9" t="str">
        <f t="shared" si="7"/>
        <v>Sneha</v>
      </c>
      <c r="L84" s="11" t="str">
        <f t="shared" si="8"/>
        <v>Sneha Gupta</v>
      </c>
      <c r="M84" s="13">
        <f t="shared" si="9"/>
        <v>11</v>
      </c>
      <c r="N84" s="14" t="str">
        <f t="shared" si="10"/>
        <v>Late Delivery</v>
      </c>
      <c r="O84" t="str">
        <f t="shared" si="11"/>
        <v>Review</v>
      </c>
    </row>
    <row r="85" spans="1:15" ht="29.5" thickBot="1" x14ac:dyDescent="0.4">
      <c r="A85" s="3" t="s">
        <v>196</v>
      </c>
      <c r="B85" s="3" t="s">
        <v>197</v>
      </c>
      <c r="C85" s="3" t="s">
        <v>139</v>
      </c>
      <c r="D85" s="4">
        <v>45696</v>
      </c>
      <c r="E85" s="4">
        <v>45708</v>
      </c>
      <c r="F85" s="5">
        <v>5</v>
      </c>
      <c r="G85" s="5">
        <v>8734</v>
      </c>
      <c r="H85" s="3" t="s">
        <v>12</v>
      </c>
      <c r="I85" s="3" t="s">
        <v>13</v>
      </c>
      <c r="J85" s="7" t="str">
        <f t="shared" si="6"/>
        <v>BULK  ORDER</v>
      </c>
      <c r="K85" s="9" t="str">
        <f t="shared" si="7"/>
        <v>Tina</v>
      </c>
      <c r="L85" s="11" t="str">
        <f t="shared" si="8"/>
        <v>Tina Shah</v>
      </c>
      <c r="M85" s="13">
        <f t="shared" si="9"/>
        <v>9</v>
      </c>
      <c r="N85" s="14" t="str">
        <f t="shared" si="10"/>
        <v>Late Delivery</v>
      </c>
      <c r="O85" t="str">
        <f t="shared" si="11"/>
        <v>Review</v>
      </c>
    </row>
    <row r="86" spans="1:15" ht="15" thickBot="1" x14ac:dyDescent="0.4">
      <c r="A86" s="3" t="s">
        <v>198</v>
      </c>
      <c r="B86" s="3" t="s">
        <v>199</v>
      </c>
      <c r="C86" s="3" t="s">
        <v>84</v>
      </c>
      <c r="D86" s="4">
        <v>45715</v>
      </c>
      <c r="E86" s="4">
        <v>45719</v>
      </c>
      <c r="F86" s="5">
        <v>6</v>
      </c>
      <c r="G86" s="5">
        <v>45602</v>
      </c>
      <c r="H86" s="3" t="s">
        <v>43</v>
      </c>
      <c r="I86" s="3" t="s">
        <v>22</v>
      </c>
      <c r="J86" s="7" t="str">
        <f t="shared" si="6"/>
        <v>BULK  ORDER</v>
      </c>
      <c r="K86" s="9" t="str">
        <f t="shared" si="7"/>
        <v>Mohit</v>
      </c>
      <c r="L86" s="11" t="str">
        <f t="shared" si="8"/>
        <v>Mohit Gupta</v>
      </c>
      <c r="M86" s="13">
        <f t="shared" si="9"/>
        <v>3</v>
      </c>
      <c r="N86" s="14" t="str">
        <f t="shared" si="10"/>
        <v>On TIme</v>
      </c>
      <c r="O86" t="str">
        <f t="shared" si="11"/>
        <v>Valid</v>
      </c>
    </row>
    <row r="87" spans="1:15" ht="29.5" thickBot="1" x14ac:dyDescent="0.4">
      <c r="A87" s="3" t="s">
        <v>200</v>
      </c>
      <c r="B87" s="3" t="s">
        <v>201</v>
      </c>
      <c r="C87" s="3" t="s">
        <v>25</v>
      </c>
      <c r="D87" s="4">
        <v>45696</v>
      </c>
      <c r="E87" s="4">
        <v>45710</v>
      </c>
      <c r="F87" s="5">
        <v>3</v>
      </c>
      <c r="G87" s="5">
        <v>5818</v>
      </c>
      <c r="H87" s="3" t="s">
        <v>12</v>
      </c>
      <c r="I87" s="3" t="s">
        <v>13</v>
      </c>
      <c r="J87" s="7" t="str">
        <f t="shared" si="6"/>
        <v>BULK  ORDER</v>
      </c>
      <c r="K87" s="9" t="str">
        <f t="shared" si="7"/>
        <v>rashmi</v>
      </c>
      <c r="L87" s="11" t="str">
        <f t="shared" si="8"/>
        <v>Rashmi Gupta</v>
      </c>
      <c r="M87" s="13">
        <f t="shared" si="9"/>
        <v>10</v>
      </c>
      <c r="N87" s="14" t="str">
        <f t="shared" si="10"/>
        <v>Late Delivery</v>
      </c>
      <c r="O87" t="str">
        <f t="shared" si="11"/>
        <v>Review</v>
      </c>
    </row>
    <row r="88" spans="1:15" ht="15" thickBot="1" x14ac:dyDescent="0.4">
      <c r="A88" s="3" t="s">
        <v>202</v>
      </c>
      <c r="B88" s="3" t="s">
        <v>203</v>
      </c>
      <c r="C88" s="3" t="s">
        <v>66</v>
      </c>
      <c r="D88" s="4">
        <v>45708</v>
      </c>
      <c r="E88" s="4">
        <v>45712</v>
      </c>
      <c r="F88" s="5">
        <v>5</v>
      </c>
      <c r="G88" s="5">
        <v>63923</v>
      </c>
      <c r="H88" s="3" t="s">
        <v>12</v>
      </c>
      <c r="I88" s="3" t="s">
        <v>22</v>
      </c>
      <c r="J88" s="7" t="str">
        <f t="shared" si="6"/>
        <v>BULK  ORDER</v>
      </c>
      <c r="K88" s="9" t="str">
        <f t="shared" si="7"/>
        <v>Rohit</v>
      </c>
      <c r="L88" s="11" t="str">
        <f t="shared" si="8"/>
        <v>Rohit Kulkarni</v>
      </c>
      <c r="M88" s="13">
        <f t="shared" si="9"/>
        <v>3</v>
      </c>
      <c r="N88" s="14" t="str">
        <f t="shared" si="10"/>
        <v>On TIme</v>
      </c>
      <c r="O88" t="str">
        <f t="shared" si="11"/>
        <v>Valid</v>
      </c>
    </row>
    <row r="89" spans="1:15" ht="15" thickBot="1" x14ac:dyDescent="0.4">
      <c r="A89" s="3" t="s">
        <v>204</v>
      </c>
      <c r="B89" s="3" t="s">
        <v>205</v>
      </c>
      <c r="C89" s="3" t="s">
        <v>42</v>
      </c>
      <c r="D89" s="4">
        <v>45683</v>
      </c>
      <c r="E89" s="4">
        <v>45688</v>
      </c>
      <c r="F89" s="5">
        <v>5</v>
      </c>
      <c r="G89" s="5">
        <v>47222</v>
      </c>
      <c r="H89" s="3" t="s">
        <v>43</v>
      </c>
      <c r="I89" s="3" t="s">
        <v>22</v>
      </c>
      <c r="J89" s="7" t="str">
        <f t="shared" si="6"/>
        <v>BULK  ORDER</v>
      </c>
      <c r="K89" s="9" t="str">
        <f t="shared" si="7"/>
        <v>AMIT</v>
      </c>
      <c r="L89" s="11" t="str">
        <f t="shared" si="8"/>
        <v>Amit Patil</v>
      </c>
      <c r="M89" s="13">
        <f t="shared" si="9"/>
        <v>5</v>
      </c>
      <c r="N89" s="14" t="str">
        <f t="shared" si="10"/>
        <v>On TIme</v>
      </c>
      <c r="O89" t="str">
        <f t="shared" si="11"/>
        <v>Valid</v>
      </c>
    </row>
    <row r="90" spans="1:15" ht="15" thickBot="1" x14ac:dyDescent="0.4">
      <c r="A90" s="3" t="s">
        <v>206</v>
      </c>
      <c r="B90" s="3" t="s">
        <v>207</v>
      </c>
      <c r="C90" s="3" t="s">
        <v>66</v>
      </c>
      <c r="D90" s="4">
        <v>45720</v>
      </c>
      <c r="E90" s="4">
        <v>45727</v>
      </c>
      <c r="F90" s="5">
        <v>4</v>
      </c>
      <c r="G90" s="5">
        <v>61768</v>
      </c>
      <c r="H90" s="3" t="s">
        <v>34</v>
      </c>
      <c r="I90" s="3" t="s">
        <v>22</v>
      </c>
      <c r="J90" s="7" t="str">
        <f t="shared" si="6"/>
        <v>BULK  ORDER</v>
      </c>
      <c r="K90" s="9" t="str">
        <f t="shared" si="7"/>
        <v>Shalini</v>
      </c>
      <c r="L90" s="11" t="str">
        <f t="shared" si="8"/>
        <v>Shalini Joshi</v>
      </c>
      <c r="M90" s="13">
        <f t="shared" si="9"/>
        <v>6</v>
      </c>
      <c r="N90" s="14" t="str">
        <f t="shared" si="10"/>
        <v>On TIme</v>
      </c>
      <c r="O90" t="str">
        <f t="shared" si="11"/>
        <v>Valid</v>
      </c>
    </row>
    <row r="91" spans="1:15" ht="15" thickBot="1" x14ac:dyDescent="0.4">
      <c r="A91" s="3" t="s">
        <v>208</v>
      </c>
      <c r="B91" s="3" t="s">
        <v>209</v>
      </c>
      <c r="C91" s="3" t="s">
        <v>30</v>
      </c>
      <c r="D91" s="4">
        <v>45664</v>
      </c>
      <c r="E91" s="4">
        <v>45675</v>
      </c>
      <c r="F91" s="5">
        <v>2</v>
      </c>
      <c r="G91" s="5">
        <v>37005</v>
      </c>
      <c r="H91" s="3" t="s">
        <v>12</v>
      </c>
      <c r="I91" s="3" t="s">
        <v>22</v>
      </c>
      <c r="J91" s="7" t="str">
        <f t="shared" si="6"/>
        <v>REGULAR ORDER</v>
      </c>
      <c r="K91" s="9" t="str">
        <f t="shared" si="7"/>
        <v>Neha</v>
      </c>
      <c r="L91" s="11" t="str">
        <f t="shared" si="8"/>
        <v>Neha Iyer</v>
      </c>
      <c r="M91" s="13">
        <f t="shared" si="9"/>
        <v>9</v>
      </c>
      <c r="N91" s="14" t="str">
        <f t="shared" si="10"/>
        <v>Late Delivery</v>
      </c>
      <c r="O91" t="str">
        <f t="shared" si="11"/>
        <v>Review</v>
      </c>
    </row>
    <row r="92" spans="1:15" ht="29.5" thickBot="1" x14ac:dyDescent="0.4">
      <c r="A92" s="3" t="s">
        <v>210</v>
      </c>
      <c r="B92" s="3" t="s">
        <v>211</v>
      </c>
      <c r="C92" s="3" t="s">
        <v>63</v>
      </c>
      <c r="D92" s="4">
        <v>45707</v>
      </c>
      <c r="E92" s="4">
        <v>45715</v>
      </c>
      <c r="F92" s="5">
        <v>6</v>
      </c>
      <c r="G92" s="5">
        <v>15373</v>
      </c>
      <c r="H92" s="3" t="s">
        <v>12</v>
      </c>
      <c r="I92" s="3" t="s">
        <v>13</v>
      </c>
      <c r="J92" s="7" t="str">
        <f t="shared" si="6"/>
        <v>BULK  ORDER</v>
      </c>
      <c r="K92" s="9" t="str">
        <f t="shared" si="7"/>
        <v>Nisha</v>
      </c>
      <c r="L92" s="11" t="str">
        <f t="shared" si="8"/>
        <v>Nisha Shah</v>
      </c>
      <c r="M92" s="13">
        <f t="shared" si="9"/>
        <v>7</v>
      </c>
      <c r="N92" s="14" t="str">
        <f t="shared" si="10"/>
        <v>On TIme</v>
      </c>
      <c r="O92" t="str">
        <f t="shared" si="11"/>
        <v>Review</v>
      </c>
    </row>
    <row r="93" spans="1:15" ht="29.5" thickBot="1" x14ac:dyDescent="0.4">
      <c r="A93" s="3" t="s">
        <v>212</v>
      </c>
      <c r="B93" s="3" t="s">
        <v>213</v>
      </c>
      <c r="C93" s="3" t="s">
        <v>11</v>
      </c>
      <c r="D93" s="4">
        <v>45723</v>
      </c>
      <c r="E93" s="4">
        <v>45730</v>
      </c>
      <c r="F93" s="5">
        <v>4</v>
      </c>
      <c r="G93" s="5">
        <v>28349</v>
      </c>
      <c r="H93" s="3" t="s">
        <v>17</v>
      </c>
      <c r="I93" s="3" t="s">
        <v>13</v>
      </c>
      <c r="J93" s="7" t="str">
        <f t="shared" si="6"/>
        <v>BULK  ORDER</v>
      </c>
      <c r="K93" s="9" t="str">
        <f t="shared" si="7"/>
        <v>ROHIT</v>
      </c>
      <c r="L93" s="11" t="str">
        <f t="shared" si="8"/>
        <v>Rohit Khan</v>
      </c>
      <c r="M93" s="13">
        <f t="shared" si="9"/>
        <v>6</v>
      </c>
      <c r="N93" s="14" t="str">
        <f t="shared" si="10"/>
        <v>On TIme</v>
      </c>
      <c r="O93" t="str">
        <f t="shared" si="11"/>
        <v>Review</v>
      </c>
    </row>
    <row r="94" spans="1:15" ht="15" thickBot="1" x14ac:dyDescent="0.4">
      <c r="A94" s="3" t="s">
        <v>214</v>
      </c>
      <c r="B94" s="3" t="s">
        <v>215</v>
      </c>
      <c r="C94" s="3" t="s">
        <v>30</v>
      </c>
      <c r="D94" s="4">
        <v>45719</v>
      </c>
      <c r="E94" s="4">
        <v>45721</v>
      </c>
      <c r="F94" s="5">
        <v>2</v>
      </c>
      <c r="G94" s="5">
        <v>9333</v>
      </c>
      <c r="H94" s="3" t="s">
        <v>43</v>
      </c>
      <c r="I94" s="3" t="s">
        <v>22</v>
      </c>
      <c r="J94" s="7" t="str">
        <f t="shared" si="6"/>
        <v>REGULAR ORDER</v>
      </c>
      <c r="K94" s="9" t="str">
        <f t="shared" si="7"/>
        <v>Preeti</v>
      </c>
      <c r="L94" s="11" t="str">
        <f t="shared" si="8"/>
        <v>Preeti Reddy</v>
      </c>
      <c r="M94" s="13">
        <f t="shared" si="9"/>
        <v>3</v>
      </c>
      <c r="N94" s="14" t="str">
        <f t="shared" si="10"/>
        <v>On TIme</v>
      </c>
      <c r="O94" t="str">
        <f t="shared" si="11"/>
        <v>Review</v>
      </c>
    </row>
    <row r="95" spans="1:15" ht="15" thickBot="1" x14ac:dyDescent="0.4">
      <c r="A95" s="3" t="s">
        <v>216</v>
      </c>
      <c r="B95" s="3" t="s">
        <v>217</v>
      </c>
      <c r="C95" s="3" t="s">
        <v>16</v>
      </c>
      <c r="D95" s="4">
        <v>45683</v>
      </c>
      <c r="E95" s="4">
        <v>45689</v>
      </c>
      <c r="F95" s="5">
        <v>4</v>
      </c>
      <c r="G95" s="5">
        <v>39697</v>
      </c>
      <c r="H95" s="3" t="s">
        <v>12</v>
      </c>
      <c r="I95" s="3" t="s">
        <v>22</v>
      </c>
      <c r="J95" s="7" t="str">
        <f t="shared" si="6"/>
        <v>BULK  ORDER</v>
      </c>
      <c r="K95" s="9" t="str">
        <f t="shared" si="7"/>
        <v>Neeraj</v>
      </c>
      <c r="L95" s="11" t="str">
        <f t="shared" si="8"/>
        <v>Neeraj Khan</v>
      </c>
      <c r="M95" s="13">
        <f t="shared" si="9"/>
        <v>5</v>
      </c>
      <c r="N95" s="14" t="str">
        <f t="shared" si="10"/>
        <v>On TIme</v>
      </c>
      <c r="O95" t="str">
        <f t="shared" si="11"/>
        <v>Valid</v>
      </c>
    </row>
    <row r="96" spans="1:15" ht="15" thickBot="1" x14ac:dyDescent="0.4">
      <c r="A96" s="3" t="s">
        <v>218</v>
      </c>
      <c r="B96" s="3" t="s">
        <v>219</v>
      </c>
      <c r="C96" s="3" t="s">
        <v>58</v>
      </c>
      <c r="D96" s="4">
        <v>45681</v>
      </c>
      <c r="E96" s="4">
        <v>45684</v>
      </c>
      <c r="F96" s="5">
        <v>2</v>
      </c>
      <c r="G96" s="5">
        <v>51052</v>
      </c>
      <c r="H96" s="3" t="s">
        <v>34</v>
      </c>
      <c r="I96" s="3" t="s">
        <v>22</v>
      </c>
      <c r="J96" s="7" t="str">
        <f t="shared" si="6"/>
        <v>REGULAR ORDER</v>
      </c>
      <c r="K96" s="9" t="str">
        <f t="shared" si="7"/>
        <v>MeGha</v>
      </c>
      <c r="L96" s="11" t="str">
        <f t="shared" si="8"/>
        <v>Megha Menon</v>
      </c>
      <c r="M96" s="13">
        <f t="shared" si="9"/>
        <v>2</v>
      </c>
      <c r="N96" s="14" t="str">
        <f t="shared" si="10"/>
        <v>On TIme</v>
      </c>
      <c r="O96" t="str">
        <f t="shared" si="11"/>
        <v>Review</v>
      </c>
    </row>
    <row r="97" spans="1:15" ht="29.5" thickBot="1" x14ac:dyDescent="0.4">
      <c r="A97" s="3" t="s">
        <v>220</v>
      </c>
      <c r="B97" s="3" t="s">
        <v>221</v>
      </c>
      <c r="C97" s="3" t="s">
        <v>21</v>
      </c>
      <c r="D97" s="4">
        <v>45723</v>
      </c>
      <c r="E97" s="4">
        <v>45729</v>
      </c>
      <c r="F97" s="5">
        <v>6</v>
      </c>
      <c r="G97" s="5">
        <v>28248</v>
      </c>
      <c r="H97" s="3" t="s">
        <v>34</v>
      </c>
      <c r="I97" s="3" t="s">
        <v>22</v>
      </c>
      <c r="J97" s="7" t="str">
        <f t="shared" si="6"/>
        <v>BULK  ORDER</v>
      </c>
      <c r="K97" s="9" t="str">
        <f t="shared" si="7"/>
        <v>NeeRAJ</v>
      </c>
      <c r="L97" s="11" t="str">
        <f t="shared" si="8"/>
        <v>Neeraj Mehta</v>
      </c>
      <c r="M97" s="13">
        <f t="shared" si="9"/>
        <v>5</v>
      </c>
      <c r="N97" s="14" t="str">
        <f t="shared" si="10"/>
        <v>On TIme</v>
      </c>
      <c r="O97" t="str">
        <f t="shared" si="11"/>
        <v>Valid</v>
      </c>
    </row>
    <row r="98" spans="1:15" ht="15" thickBot="1" x14ac:dyDescent="0.4">
      <c r="A98" s="3" t="s">
        <v>222</v>
      </c>
      <c r="B98" s="3" t="s">
        <v>223</v>
      </c>
      <c r="C98" s="3" t="s">
        <v>42</v>
      </c>
      <c r="D98" s="4">
        <v>45679</v>
      </c>
      <c r="E98" s="4">
        <v>45684</v>
      </c>
      <c r="F98" s="5">
        <v>6</v>
      </c>
      <c r="G98" s="5">
        <v>38784</v>
      </c>
      <c r="H98" s="3" t="s">
        <v>12</v>
      </c>
      <c r="I98" s="3" t="s">
        <v>22</v>
      </c>
      <c r="J98" s="7" t="str">
        <f t="shared" si="6"/>
        <v>BULK  ORDER</v>
      </c>
      <c r="K98" s="9" t="str">
        <f t="shared" si="7"/>
        <v>Deepak</v>
      </c>
      <c r="L98" s="11" t="str">
        <f t="shared" si="8"/>
        <v>Deepak Reddy</v>
      </c>
      <c r="M98" s="13">
        <f t="shared" si="9"/>
        <v>4</v>
      </c>
      <c r="N98" s="14" t="str">
        <f t="shared" si="10"/>
        <v>On TIme</v>
      </c>
      <c r="O98" t="str">
        <f t="shared" si="11"/>
        <v>Valid</v>
      </c>
    </row>
    <row r="99" spans="1:15" ht="15" thickBot="1" x14ac:dyDescent="0.4">
      <c r="A99" s="3" t="s">
        <v>224</v>
      </c>
      <c r="B99" s="3" t="s">
        <v>225</v>
      </c>
      <c r="C99" s="3" t="s">
        <v>139</v>
      </c>
      <c r="D99" s="4">
        <v>45719</v>
      </c>
      <c r="E99" s="4">
        <v>45724</v>
      </c>
      <c r="F99" s="5">
        <v>5</v>
      </c>
      <c r="G99" s="5">
        <v>5900</v>
      </c>
      <c r="H99" s="3" t="s">
        <v>43</v>
      </c>
      <c r="I99" s="3" t="s">
        <v>22</v>
      </c>
      <c r="J99" s="7" t="str">
        <f t="shared" si="6"/>
        <v>BULK  ORDER</v>
      </c>
      <c r="K99" s="9" t="str">
        <f t="shared" si="7"/>
        <v>Mohit</v>
      </c>
      <c r="L99" s="11" t="str">
        <f t="shared" si="8"/>
        <v>Mohit Nair</v>
      </c>
      <c r="M99" s="13">
        <f t="shared" si="9"/>
        <v>5</v>
      </c>
      <c r="N99" s="14" t="str">
        <f t="shared" si="10"/>
        <v>On TIme</v>
      </c>
      <c r="O99" t="str">
        <f t="shared" si="11"/>
        <v>Valid</v>
      </c>
    </row>
    <row r="100" spans="1:15" ht="15" thickBot="1" x14ac:dyDescent="0.4">
      <c r="A100" s="3" t="s">
        <v>226</v>
      </c>
      <c r="B100" s="3" t="s">
        <v>227</v>
      </c>
      <c r="C100" s="3" t="s">
        <v>25</v>
      </c>
      <c r="D100" s="4">
        <v>45675</v>
      </c>
      <c r="E100" s="4">
        <v>45689</v>
      </c>
      <c r="F100" s="5">
        <v>4</v>
      </c>
      <c r="G100" s="5">
        <v>16868</v>
      </c>
      <c r="H100" s="3" t="s">
        <v>34</v>
      </c>
      <c r="I100" s="3" t="s">
        <v>22</v>
      </c>
      <c r="J100" s="7" t="str">
        <f t="shared" si="6"/>
        <v>BULK  ORDER</v>
      </c>
      <c r="K100" s="9" t="str">
        <f t="shared" si="7"/>
        <v>Ritu</v>
      </c>
      <c r="L100" s="11" t="str">
        <f t="shared" si="8"/>
        <v>Ritu Reddy</v>
      </c>
      <c r="M100" s="13">
        <f t="shared" si="9"/>
        <v>10</v>
      </c>
      <c r="N100" s="14" t="str">
        <f t="shared" si="10"/>
        <v>Late Delivery</v>
      </c>
      <c r="O100" t="str">
        <f t="shared" si="11"/>
        <v>Valid</v>
      </c>
    </row>
    <row r="101" spans="1:15" ht="15" thickBot="1" x14ac:dyDescent="0.4">
      <c r="A101" s="3" t="s">
        <v>228</v>
      </c>
      <c r="B101" s="3" t="s">
        <v>229</v>
      </c>
      <c r="C101" s="3" t="s">
        <v>39</v>
      </c>
      <c r="D101" s="4">
        <v>45678</v>
      </c>
      <c r="E101" s="4">
        <v>45691</v>
      </c>
      <c r="F101" s="5">
        <v>2</v>
      </c>
      <c r="G101" s="5">
        <v>27529</v>
      </c>
      <c r="H101" s="3" t="s">
        <v>17</v>
      </c>
      <c r="I101" s="3" t="s">
        <v>18</v>
      </c>
      <c r="J101" s="7" t="str">
        <f t="shared" si="6"/>
        <v>REGULAR ORDER</v>
      </c>
      <c r="K101" s="9" t="str">
        <f t="shared" si="7"/>
        <v>GEEta</v>
      </c>
      <c r="L101" s="11" t="str">
        <f t="shared" si="8"/>
        <v>Geeta Reddy</v>
      </c>
      <c r="M101" s="13">
        <f t="shared" si="9"/>
        <v>10</v>
      </c>
      <c r="N101" s="14" t="str">
        <f t="shared" si="10"/>
        <v>Late Delivery</v>
      </c>
      <c r="O101" t="str">
        <f t="shared" si="11"/>
        <v>Review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Q1&amp;Q2&amp;Q3&amp;Q4&amp;Q5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Singh</dc:creator>
  <cp:lastModifiedBy>Adarsh Singh</cp:lastModifiedBy>
  <dcterms:created xsi:type="dcterms:W3CDTF">2026-10-15T06:48:49Z</dcterms:created>
  <dcterms:modified xsi:type="dcterms:W3CDTF">2026-10-15T07:35:45Z</dcterms:modified>
</cp:coreProperties>
</file>