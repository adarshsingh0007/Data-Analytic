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pra\Documents\Grant Thorton\JLU\JLU Sem1\Excel Practice Files LPU\"/>
    </mc:Choice>
  </mc:AlternateContent>
  <xr:revisionPtr revIDLastSave="0" documentId="13_ncr:1_{B15EFE6B-F440-4084-97D7-3EDA8C593DFF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master Data" sheetId="2" r:id="rId1"/>
    <sheet name="Lookup1" sheetId="6" r:id="rId2"/>
    <sheet name="Lookup2" sheetId="8" r:id="rId3"/>
    <sheet name="Lookup3" sheetId="9" r:id="rId4"/>
    <sheet name="Sumif countif Averageif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10" l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<sst xmlns="http://schemas.openxmlformats.org/spreadsheetml/2006/main" count="363" uniqueCount="253">
  <si>
    <t>Emp ID</t>
  </si>
  <si>
    <t>Name Prefix</t>
  </si>
  <si>
    <t>First Name</t>
  </si>
  <si>
    <t>Middle Initial</t>
  </si>
  <si>
    <t>Last Name</t>
  </si>
  <si>
    <t>Gender</t>
  </si>
  <si>
    <t>E Mail</t>
  </si>
  <si>
    <t>Father's Name</t>
  </si>
  <si>
    <t>Mother's Name</t>
  </si>
  <si>
    <t>Mother's Maiden Name</t>
  </si>
  <si>
    <t>Date of Joining</t>
  </si>
  <si>
    <t>Salary</t>
  </si>
  <si>
    <t>City</t>
  </si>
  <si>
    <t>State</t>
  </si>
  <si>
    <t>Zip</t>
  </si>
  <si>
    <t>Region</t>
  </si>
  <si>
    <t>Ms.</t>
  </si>
  <si>
    <t>W</t>
  </si>
  <si>
    <t>F</t>
  </si>
  <si>
    <t>West</t>
  </si>
  <si>
    <t>Mr.</t>
  </si>
  <si>
    <t>Z</t>
  </si>
  <si>
    <t>M</t>
  </si>
  <si>
    <t>Midwest</t>
  </si>
  <si>
    <t>Drs.</t>
  </si>
  <si>
    <t>KY</t>
  </si>
  <si>
    <t>South</t>
  </si>
  <si>
    <t>Mrs.</t>
  </si>
  <si>
    <t>C</t>
  </si>
  <si>
    <t>Weiss</t>
  </si>
  <si>
    <t>IN</t>
  </si>
  <si>
    <t>Hon.</t>
  </si>
  <si>
    <t>L</t>
  </si>
  <si>
    <t>VA</t>
  </si>
  <si>
    <t>V</t>
  </si>
  <si>
    <t>PA</t>
  </si>
  <si>
    <t>Northeast</t>
  </si>
  <si>
    <t>Prof.</t>
  </si>
  <si>
    <t>H</t>
  </si>
  <si>
    <t>OR</t>
  </si>
  <si>
    <t>Dr.</t>
  </si>
  <si>
    <t>E</t>
  </si>
  <si>
    <t>N</t>
  </si>
  <si>
    <t>B</t>
  </si>
  <si>
    <t>NY</t>
  </si>
  <si>
    <t>D</t>
  </si>
  <si>
    <t>NE</t>
  </si>
  <si>
    <t>Singleton</t>
  </si>
  <si>
    <t>LA</t>
  </si>
  <si>
    <t>S</t>
  </si>
  <si>
    <t>Glass</t>
  </si>
  <si>
    <t>P</t>
  </si>
  <si>
    <t>Ashley</t>
  </si>
  <si>
    <t>WV</t>
  </si>
  <si>
    <t>Monroe</t>
  </si>
  <si>
    <t>A</t>
  </si>
  <si>
    <t>Rush</t>
  </si>
  <si>
    <t>Carney</t>
  </si>
  <si>
    <t>Shannon</t>
  </si>
  <si>
    <t>Giles</t>
  </si>
  <si>
    <t>Cabrera</t>
  </si>
  <si>
    <t>MO</t>
  </si>
  <si>
    <t>GA</t>
  </si>
  <si>
    <t>NC</t>
  </si>
  <si>
    <t>Paul</t>
  </si>
  <si>
    <t>Easton</t>
  </si>
  <si>
    <t>Douglas</t>
  </si>
  <si>
    <t>KS</t>
  </si>
  <si>
    <t>NH</t>
  </si>
  <si>
    <t>Mendez</t>
  </si>
  <si>
    <t>Sumner</t>
  </si>
  <si>
    <t>G</t>
  </si>
  <si>
    <t>Doris</t>
  </si>
  <si>
    <t>Glenn</t>
  </si>
  <si>
    <t>Howard Glenn</t>
  </si>
  <si>
    <t>Maxine Glenn</t>
  </si>
  <si>
    <t>Hayden</t>
  </si>
  <si>
    <t>Blaine</t>
  </si>
  <si>
    <t>Portland</t>
  </si>
  <si>
    <t>MN</t>
  </si>
  <si>
    <t>AL</t>
  </si>
  <si>
    <t>WI</t>
  </si>
  <si>
    <t>SD</t>
  </si>
  <si>
    <t>K</t>
  </si>
  <si>
    <t>Irwin</t>
  </si>
  <si>
    <t>Jenkins</t>
  </si>
  <si>
    <t>Duke</t>
  </si>
  <si>
    <t>Candy</t>
  </si>
  <si>
    <t>candy.singleton@hotmail.com</t>
  </si>
  <si>
    <t>Russ Singleton</t>
  </si>
  <si>
    <t>Nadine Singleton</t>
  </si>
  <si>
    <t>Ross</t>
  </si>
  <si>
    <t>Wetumpka</t>
  </si>
  <si>
    <t>Beach</t>
  </si>
  <si>
    <t>Holt</t>
  </si>
  <si>
    <t>UT</t>
  </si>
  <si>
    <t>Gill</t>
  </si>
  <si>
    <t>Frye</t>
  </si>
  <si>
    <t>Haynes</t>
  </si>
  <si>
    <t>NM</t>
  </si>
  <si>
    <t>Quentin</t>
  </si>
  <si>
    <t>Moreno</t>
  </si>
  <si>
    <t>Kingston</t>
  </si>
  <si>
    <t>Garland</t>
  </si>
  <si>
    <t>DE</t>
  </si>
  <si>
    <t>Riley</t>
  </si>
  <si>
    <t>monroe.beach@bp.com</t>
  </si>
  <si>
    <t>Vito Beach</t>
  </si>
  <si>
    <t>Adrienne Beach</t>
  </si>
  <si>
    <t>Hopkins</t>
  </si>
  <si>
    <t>Norwood</t>
  </si>
  <si>
    <t>Kendrick</t>
  </si>
  <si>
    <t>Miles</t>
  </si>
  <si>
    <t>kendrick.miles@ibm.com</t>
  </si>
  <si>
    <t>Refugio Miles</t>
  </si>
  <si>
    <t>Amelia Miles</t>
  </si>
  <si>
    <t>Heath</t>
  </si>
  <si>
    <t>Nashua</t>
  </si>
  <si>
    <t>Mitzi</t>
  </si>
  <si>
    <t>Lynch</t>
  </si>
  <si>
    <t>Mejia</t>
  </si>
  <si>
    <t>Lana</t>
  </si>
  <si>
    <t>Howard</t>
  </si>
  <si>
    <t>Donaldson</t>
  </si>
  <si>
    <t>Camacho</t>
  </si>
  <si>
    <t>Reba</t>
  </si>
  <si>
    <t>Chadwick</t>
  </si>
  <si>
    <t>Walton</t>
  </si>
  <si>
    <t>chadwick.walton@earthlink.net</t>
  </si>
  <si>
    <t>Lenard Walton</t>
  </si>
  <si>
    <t>Phyllis Walton</t>
  </si>
  <si>
    <t>Lattimer Mines</t>
  </si>
  <si>
    <t>Hayes</t>
  </si>
  <si>
    <t>lana.hayes@hotmail.com</t>
  </si>
  <si>
    <t>Shaun Hayes</t>
  </si>
  <si>
    <t>Penelope Hayes</t>
  </si>
  <si>
    <t>Shawnee Mission</t>
  </si>
  <si>
    <t>Noelle</t>
  </si>
  <si>
    <t>noelle.paul@yahoo.com</t>
  </si>
  <si>
    <t>Hiram Paul</t>
  </si>
  <si>
    <t>Aline Paul</t>
  </si>
  <si>
    <t>Crocker</t>
  </si>
  <si>
    <t>Lorrie</t>
  </si>
  <si>
    <t>Annmarie</t>
  </si>
  <si>
    <t>annmarie.frye@charter.net</t>
  </si>
  <si>
    <t>Rickey Frye</t>
  </si>
  <si>
    <t>Nannie Frye</t>
  </si>
  <si>
    <t>Battle</t>
  </si>
  <si>
    <t>Smithville</t>
  </si>
  <si>
    <t>Mueller</t>
  </si>
  <si>
    <t>mitzi.mueller@hotmail.com</t>
  </si>
  <si>
    <t>Blair Mueller</t>
  </si>
  <si>
    <t>Whitney Mueller</t>
  </si>
  <si>
    <t>Rockland</t>
  </si>
  <si>
    <t>Ochoa</t>
  </si>
  <si>
    <t>Bob</t>
  </si>
  <si>
    <t>bob.weiss@hotmail.com</t>
  </si>
  <si>
    <t>Vernon Weiss</t>
  </si>
  <si>
    <t>Dorothy Weiss</t>
  </si>
  <si>
    <t>North Collins</t>
  </si>
  <si>
    <t>Avery</t>
  </si>
  <si>
    <t>Gale</t>
  </si>
  <si>
    <t>Bird</t>
  </si>
  <si>
    <t>Lara</t>
  </si>
  <si>
    <t>Harvey</t>
  </si>
  <si>
    <t>Rodriquez</t>
  </si>
  <si>
    <t>gale.rodriquez@ibm.com</t>
  </si>
  <si>
    <t>Clement Rodriquez</t>
  </si>
  <si>
    <t>Alma Rodriquez</t>
  </si>
  <si>
    <t>Ford</t>
  </si>
  <si>
    <t>Dominique</t>
  </si>
  <si>
    <t>dominique.moreno@aol.com</t>
  </si>
  <si>
    <t>Mark Moreno</t>
  </si>
  <si>
    <t>Laverne Moreno</t>
  </si>
  <si>
    <t>Lynndyl</t>
  </si>
  <si>
    <t>Roseann</t>
  </si>
  <si>
    <t>roseann.riley@aol.com</t>
  </si>
  <si>
    <t>Logan Riley</t>
  </si>
  <si>
    <t>Janice Riley</t>
  </si>
  <si>
    <t>Rochford</t>
  </si>
  <si>
    <t>quentin.carney@gmail.com</t>
  </si>
  <si>
    <t>Norman Carney</t>
  </si>
  <si>
    <t>Karyn Carney</t>
  </si>
  <si>
    <t>Ellen</t>
  </si>
  <si>
    <t>ellen.bird@sbcglobal.net</t>
  </si>
  <si>
    <t>Dominique Bird</t>
  </si>
  <si>
    <t>Aline Bird</t>
  </si>
  <si>
    <t>Hurt</t>
  </si>
  <si>
    <t>Felix</t>
  </si>
  <si>
    <t>felix.haynes@aol.com</t>
  </si>
  <si>
    <t>Ben Haynes</t>
  </si>
  <si>
    <t>Geraldine Haynes</t>
  </si>
  <si>
    <t>Bejou</t>
  </si>
  <si>
    <t>Ellis</t>
  </si>
  <si>
    <t>Eddie</t>
  </si>
  <si>
    <t>eddie.irwin@hotmail.com</t>
  </si>
  <si>
    <t>Quinton Irwin</t>
  </si>
  <si>
    <t>Lee Irwin</t>
  </si>
  <si>
    <t>Valentine</t>
  </si>
  <si>
    <t>Four Oaks</t>
  </si>
  <si>
    <t>Tina</t>
  </si>
  <si>
    <t>tina.cabrera@gmail.com</t>
  </si>
  <si>
    <t>Marvin Cabrera</t>
  </si>
  <si>
    <t>Corina Cabrera</t>
  </si>
  <si>
    <t>Beulah</t>
  </si>
  <si>
    <t>Terrance</t>
  </si>
  <si>
    <t>terrance.duke@microsoft.com</t>
  </si>
  <si>
    <t>Phillip Duke</t>
  </si>
  <si>
    <t>Barbara Duke</t>
  </si>
  <si>
    <t>Junction City</t>
  </si>
  <si>
    <t>Nicole</t>
  </si>
  <si>
    <t>Bud Rodriquez</t>
  </si>
  <si>
    <t>Marisol Rodriquez</t>
  </si>
  <si>
    <t>Stevenson</t>
  </si>
  <si>
    <t>Ismael</t>
  </si>
  <si>
    <t>ismael.ellis@charter.net</t>
  </si>
  <si>
    <t>Brant Ellis</t>
  </si>
  <si>
    <t>Sophia Ellis</t>
  </si>
  <si>
    <t>Mont Vernon</t>
  </si>
  <si>
    <t>Browning</t>
  </si>
  <si>
    <t>reba.browning@hotmail.com</t>
  </si>
  <si>
    <t>Sammy Browning</t>
  </si>
  <si>
    <t>Angelita Browning</t>
  </si>
  <si>
    <t>Jerri</t>
  </si>
  <si>
    <t>jerri.douglas@yahoo.com</t>
  </si>
  <si>
    <t>Dudley Douglas</t>
  </si>
  <si>
    <t>Ladonna Douglas</t>
  </si>
  <si>
    <t>Gates</t>
  </si>
  <si>
    <t>ashley.ochoa@shell.com</t>
  </si>
  <si>
    <t>Rubin Ochoa</t>
  </si>
  <si>
    <t>Rachael Ochoa</t>
  </si>
  <si>
    <t>Phillips</t>
  </si>
  <si>
    <t>San Acacia</t>
  </si>
  <si>
    <t>Rocha</t>
  </si>
  <si>
    <t>lorrie.rocha@aol.com</t>
  </si>
  <si>
    <t>Simon Rocha</t>
  </si>
  <si>
    <t>Jodie Rocha</t>
  </si>
  <si>
    <t>Helen</t>
  </si>
  <si>
    <t>doris.giles@aol.com</t>
  </si>
  <si>
    <t>Kim Giles</t>
  </si>
  <si>
    <t>Rosanne Giles</t>
  </si>
  <si>
    <t>Ingram</t>
  </si>
  <si>
    <t>EmpID</t>
  </si>
  <si>
    <t>horis</t>
  </si>
  <si>
    <t>Email</t>
  </si>
  <si>
    <t>First name</t>
  </si>
  <si>
    <t>email id</t>
  </si>
  <si>
    <t>salary</t>
  </si>
  <si>
    <t xml:space="preserve">horis.glenn@yahoo.co.uk   </t>
  </si>
  <si>
    <t>Nicole.rodriquez@gmail.com</t>
  </si>
  <si>
    <t>Total Salary</t>
  </si>
  <si>
    <t>Avg Salary</t>
  </si>
  <si>
    <t>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</si>
</sst>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8" fillId="0" borderId="10" xfId="0" applyFont="1" applyBorder="1"/>
    <xf numFmtId="0" fontId="19" fillId="0" borderId="10" xfId="0" applyFont="1" applyBorder="1"/>
    <xf numFmtId="14" fontId="19" fillId="0" borderId="10" xfId="0" applyNumberFormat="1" applyFont="1" applyBorder="1"/>
    <xf numFmtId="0" fontId="22" fillId="0" borderId="10" xfId="0" applyFont="1" applyBorder="1"/>
    <xf numFmtId="0" fontId="20" fillId="0" borderId="10" xfId="0" applyFont="1" applyBorder="1"/>
    <xf numFmtId="0" fontId="21" fillId="0" borderId="10" xfId="0" applyFont="1" applyBorder="1"/>
    <xf numFmtId="0" fontId="23" fillId="0" borderId="0" xfId="0" applyFont="1"/>
    <xf numFmtId="0" fontId="21" fillId="0" borderId="0" xfId="0" applyFont="1"/>
    <xf numFmtId="0" fontId="24" fillId="0" borderId="10" xfId="0" applyFont="1" applyBorder="1" applyAlignment="1">
      <alignment horizontal="left"/>
    </xf>
    <xf numFmtId="0" fontId="25" fillId="0" borderId="10" xfId="0" applyFont="1" applyBorder="1" applyAlignment="1">
      <alignment horizontal="left"/>
    </xf>
    <xf numFmtId="0" fontId="25" fillId="0" borderId="10" xfId="0" applyFont="1" applyBorder="1"/>
    <xf numFmtId="0" fontId="26" fillId="0" borderId="10" xfId="0" applyFont="1" applyBorder="1"/>
    <xf numFmtId="0" fontId="23" fillId="0" borderId="10" xfId="0" applyFont="1" applyBorder="1"/>
    <xf numFmtId="0" fontId="0" fillId="0" borderId="10" xfId="0" applyBorder="1"/>
    <xf numFmtId="0" fontId="27" fillId="0" borderId="10" xfId="0" applyFont="1" applyBorder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0E980-750C-4B48-9A47-23BD942E2457}">
  <dimension ref="A1:P27"/>
  <sheetViews>
    <sheetView topLeftCell="L18" workbookViewId="0">
      <selection activeCell="P1" sqref="P1"/>
    </sheetView>
  </sheetViews>
  <sheetFormatPr defaultColWidth="16.6328125" defaultRowHeight="14.5" x14ac:dyDescent="0.35"/>
  <cols>
    <col min="1" max="1" width="11.1796875" bestFit="1" customWidth="1"/>
    <col min="2" max="2" width="18.54296875" bestFit="1" customWidth="1"/>
    <col min="3" max="3" width="16.36328125" bestFit="1" customWidth="1"/>
    <col min="4" max="4" width="19.6328125" bestFit="1" customWidth="1"/>
    <col min="5" max="5" width="15.90625" customWidth="1"/>
    <col min="6" max="6" width="11.453125" bestFit="1" customWidth="1"/>
    <col min="7" max="7" width="45.54296875" bestFit="1" customWidth="1"/>
    <col min="8" max="8" width="27.6328125" bestFit="1" customWidth="1"/>
    <col min="9" max="9" width="26.453125" bestFit="1" customWidth="1"/>
    <col min="10" max="10" width="34.81640625" bestFit="1" customWidth="1"/>
    <col min="11" max="11" width="22.08984375" bestFit="1" customWidth="1"/>
    <col min="12" max="12" width="12.90625" bestFit="1" customWidth="1"/>
    <col min="13" max="13" width="8.36328125" bestFit="1" customWidth="1"/>
    <col min="14" max="14" width="25.36328125" bestFit="1" customWidth="1"/>
    <col min="15" max="15" width="9.54296875" bestFit="1" customWidth="1"/>
    <col min="16" max="16" width="14.90625" bestFit="1" customWidth="1"/>
  </cols>
  <sheetData>
    <row r="1" spans="1:16" ht="23.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</v>
      </c>
      <c r="N1" s="1" t="s">
        <v>12</v>
      </c>
      <c r="O1" s="1" t="s">
        <v>14</v>
      </c>
      <c r="P1" s="1" t="s">
        <v>15</v>
      </c>
    </row>
    <row r="2" spans="1:16" ht="23.5" x14ac:dyDescent="0.55000000000000004">
      <c r="A2" s="2">
        <v>114425</v>
      </c>
      <c r="B2" s="2" t="s">
        <v>27</v>
      </c>
      <c r="C2" s="2" t="s">
        <v>243</v>
      </c>
      <c r="D2" s="2" t="s">
        <v>71</v>
      </c>
      <c r="E2" s="2" t="s">
        <v>73</v>
      </c>
      <c r="F2" s="2" t="s">
        <v>18</v>
      </c>
      <c r="G2" s="2" t="s">
        <v>248</v>
      </c>
      <c r="H2" s="2" t="s">
        <v>74</v>
      </c>
      <c r="I2" s="2" t="s">
        <v>75</v>
      </c>
      <c r="J2" s="2" t="s">
        <v>76</v>
      </c>
      <c r="K2" s="3">
        <v>37501</v>
      </c>
      <c r="L2" s="2">
        <v>2000000</v>
      </c>
      <c r="M2" s="2" t="s">
        <v>25</v>
      </c>
      <c r="N2" s="2" t="s">
        <v>77</v>
      </c>
      <c r="O2" s="2">
        <v>41124</v>
      </c>
      <c r="P2" s="2" t="s">
        <v>26</v>
      </c>
    </row>
    <row r="3" spans="1:16" ht="23.5" x14ac:dyDescent="0.55000000000000004">
      <c r="A3" s="2">
        <v>114862</v>
      </c>
      <c r="B3" s="2" t="s">
        <v>27</v>
      </c>
      <c r="C3" s="2" t="s">
        <v>210</v>
      </c>
      <c r="D3" s="2" t="s">
        <v>18</v>
      </c>
      <c r="E3" s="2" t="s">
        <v>165</v>
      </c>
      <c r="F3" s="2" t="s">
        <v>18</v>
      </c>
      <c r="G3" s="2" t="s">
        <v>249</v>
      </c>
      <c r="H3" s="2" t="s">
        <v>211</v>
      </c>
      <c r="I3" s="2" t="s">
        <v>212</v>
      </c>
      <c r="J3" s="2" t="s">
        <v>164</v>
      </c>
      <c r="K3" s="3">
        <v>37271</v>
      </c>
      <c r="L3" s="2">
        <v>46648</v>
      </c>
      <c r="M3" s="2" t="s">
        <v>67</v>
      </c>
      <c r="N3" s="2" t="s">
        <v>103</v>
      </c>
      <c r="O3" s="2">
        <v>66741</v>
      </c>
      <c r="P3" s="2" t="s">
        <v>23</v>
      </c>
    </row>
    <row r="4" spans="1:16" ht="23.5" x14ac:dyDescent="0.55000000000000004">
      <c r="A4" s="2">
        <v>116286</v>
      </c>
      <c r="B4" s="2" t="s">
        <v>31</v>
      </c>
      <c r="C4" s="2" t="s">
        <v>205</v>
      </c>
      <c r="D4" s="2" t="s">
        <v>42</v>
      </c>
      <c r="E4" s="2" t="s">
        <v>86</v>
      </c>
      <c r="F4" s="2" t="s">
        <v>22</v>
      </c>
      <c r="G4" s="2" t="s">
        <v>206</v>
      </c>
      <c r="H4" s="2" t="s">
        <v>207</v>
      </c>
      <c r="I4" s="2" t="s">
        <v>208</v>
      </c>
      <c r="J4" s="2" t="s">
        <v>85</v>
      </c>
      <c r="K4" s="3">
        <v>41447</v>
      </c>
      <c r="L4" s="2">
        <v>174683</v>
      </c>
      <c r="M4" s="2" t="s">
        <v>81</v>
      </c>
      <c r="N4" s="2" t="s">
        <v>209</v>
      </c>
      <c r="O4" s="2">
        <v>54443</v>
      </c>
      <c r="P4" s="2" t="s">
        <v>23</v>
      </c>
    </row>
    <row r="5" spans="1:16" ht="23.5" x14ac:dyDescent="0.55000000000000004">
      <c r="A5" s="2">
        <v>116530</v>
      </c>
      <c r="B5" s="2" t="s">
        <v>24</v>
      </c>
      <c r="C5" s="2" t="s">
        <v>137</v>
      </c>
      <c r="D5" s="2" t="s">
        <v>71</v>
      </c>
      <c r="E5" s="2" t="s">
        <v>64</v>
      </c>
      <c r="F5" s="2" t="s">
        <v>18</v>
      </c>
      <c r="G5" s="2" t="s">
        <v>138</v>
      </c>
      <c r="H5" s="2" t="s">
        <v>139</v>
      </c>
      <c r="I5" s="2" t="s">
        <v>140</v>
      </c>
      <c r="J5" s="2" t="s">
        <v>69</v>
      </c>
      <c r="K5" s="3">
        <v>32466</v>
      </c>
      <c r="L5" s="2">
        <v>190616</v>
      </c>
      <c r="M5" s="2" t="s">
        <v>82</v>
      </c>
      <c r="N5" s="2" t="s">
        <v>141</v>
      </c>
      <c r="O5" s="2">
        <v>57229</v>
      </c>
      <c r="P5" s="2" t="s">
        <v>23</v>
      </c>
    </row>
    <row r="6" spans="1:16" ht="23.5" x14ac:dyDescent="0.55000000000000004">
      <c r="A6" s="2">
        <v>117603</v>
      </c>
      <c r="B6" s="2" t="s">
        <v>20</v>
      </c>
      <c r="C6" s="2" t="s">
        <v>155</v>
      </c>
      <c r="D6" s="2" t="s">
        <v>17</v>
      </c>
      <c r="E6" s="2" t="s">
        <v>29</v>
      </c>
      <c r="F6" s="2" t="s">
        <v>22</v>
      </c>
      <c r="G6" s="2" t="s">
        <v>156</v>
      </c>
      <c r="H6" s="2" t="s">
        <v>157</v>
      </c>
      <c r="I6" s="2" t="s">
        <v>158</v>
      </c>
      <c r="J6" s="2" t="s">
        <v>96</v>
      </c>
      <c r="K6" s="3">
        <v>41266</v>
      </c>
      <c r="L6" s="2">
        <v>88733</v>
      </c>
      <c r="M6" s="2" t="s">
        <v>44</v>
      </c>
      <c r="N6" s="2" t="s">
        <v>159</v>
      </c>
      <c r="O6" s="2">
        <v>14111</v>
      </c>
      <c r="P6" s="2" t="s">
        <v>36</v>
      </c>
    </row>
    <row r="7" spans="1:16" ht="23.5" x14ac:dyDescent="0.55000000000000004">
      <c r="A7" s="2">
        <v>117956</v>
      </c>
      <c r="B7" s="2" t="s">
        <v>20</v>
      </c>
      <c r="C7" s="2" t="s">
        <v>100</v>
      </c>
      <c r="D7" s="2" t="s">
        <v>43</v>
      </c>
      <c r="E7" s="2" t="s">
        <v>57</v>
      </c>
      <c r="F7" s="2" t="s">
        <v>22</v>
      </c>
      <c r="G7" s="2" t="s">
        <v>180</v>
      </c>
      <c r="H7" s="2" t="s">
        <v>181</v>
      </c>
      <c r="I7" s="2" t="s">
        <v>182</v>
      </c>
      <c r="J7" s="2" t="s">
        <v>120</v>
      </c>
      <c r="K7" s="3">
        <v>42075</v>
      </c>
      <c r="L7" s="2">
        <v>194686</v>
      </c>
      <c r="M7" s="2" t="s">
        <v>79</v>
      </c>
      <c r="N7" s="2" t="s">
        <v>123</v>
      </c>
      <c r="O7" s="2">
        <v>56720</v>
      </c>
      <c r="P7" s="2" t="s">
        <v>23</v>
      </c>
    </row>
    <row r="8" spans="1:16" ht="23.5" x14ac:dyDescent="0.55000000000000004">
      <c r="A8" s="2">
        <v>117980</v>
      </c>
      <c r="B8" s="2" t="s">
        <v>16</v>
      </c>
      <c r="C8" s="2" t="s">
        <v>52</v>
      </c>
      <c r="D8" s="2" t="s">
        <v>55</v>
      </c>
      <c r="E8" s="2" t="s">
        <v>154</v>
      </c>
      <c r="F8" s="2" t="s">
        <v>18</v>
      </c>
      <c r="G8" s="2" t="s">
        <v>228</v>
      </c>
      <c r="H8" s="2" t="s">
        <v>229</v>
      </c>
      <c r="I8" s="2" t="s">
        <v>230</v>
      </c>
      <c r="J8" s="2" t="s">
        <v>231</v>
      </c>
      <c r="K8" s="3">
        <v>42087</v>
      </c>
      <c r="L8" s="2">
        <v>145452</v>
      </c>
      <c r="M8" s="2" t="s">
        <v>99</v>
      </c>
      <c r="N8" s="2" t="s">
        <v>232</v>
      </c>
      <c r="O8" s="2">
        <v>87831</v>
      </c>
      <c r="P8" s="2" t="s">
        <v>19</v>
      </c>
    </row>
    <row r="9" spans="1:16" ht="23.5" x14ac:dyDescent="0.55000000000000004">
      <c r="A9" s="2">
        <v>118109</v>
      </c>
      <c r="B9" s="2" t="s">
        <v>31</v>
      </c>
      <c r="C9" s="2" t="s">
        <v>72</v>
      </c>
      <c r="D9" s="2" t="s">
        <v>38</v>
      </c>
      <c r="E9" s="2" t="s">
        <v>59</v>
      </c>
      <c r="F9" s="2" t="s">
        <v>18</v>
      </c>
      <c r="G9" s="2" t="s">
        <v>238</v>
      </c>
      <c r="H9" s="2" t="s">
        <v>239</v>
      </c>
      <c r="I9" s="2" t="s">
        <v>240</v>
      </c>
      <c r="J9" s="2" t="s">
        <v>241</v>
      </c>
      <c r="K9" s="3">
        <v>36807</v>
      </c>
      <c r="L9" s="2">
        <v>176813</v>
      </c>
      <c r="M9" s="2" t="s">
        <v>46</v>
      </c>
      <c r="N9" s="2" t="s">
        <v>70</v>
      </c>
      <c r="O9" s="2">
        <v>68878</v>
      </c>
      <c r="P9" s="2" t="s">
        <v>23</v>
      </c>
    </row>
    <row r="10" spans="1:16" ht="23.5" x14ac:dyDescent="0.55000000000000004">
      <c r="A10" s="2">
        <v>118236</v>
      </c>
      <c r="B10" s="2" t="s">
        <v>20</v>
      </c>
      <c r="C10" s="2" t="s">
        <v>54</v>
      </c>
      <c r="D10" s="2" t="s">
        <v>45</v>
      </c>
      <c r="E10" s="2" t="s">
        <v>93</v>
      </c>
      <c r="F10" s="2" t="s">
        <v>22</v>
      </c>
      <c r="G10" s="2" t="s">
        <v>106</v>
      </c>
      <c r="H10" s="2" t="s">
        <v>107</v>
      </c>
      <c r="I10" s="2" t="s">
        <v>108</v>
      </c>
      <c r="J10" s="2" t="s">
        <v>109</v>
      </c>
      <c r="K10" s="3">
        <v>42242</v>
      </c>
      <c r="L10" s="2">
        <v>74452</v>
      </c>
      <c r="M10" s="2" t="s">
        <v>48</v>
      </c>
      <c r="N10" s="2" t="s">
        <v>110</v>
      </c>
      <c r="O10" s="2">
        <v>70761</v>
      </c>
      <c r="P10" s="2" t="s">
        <v>26</v>
      </c>
    </row>
    <row r="11" spans="1:16" ht="23.5" x14ac:dyDescent="0.55000000000000004">
      <c r="A11" s="2">
        <v>118882</v>
      </c>
      <c r="B11" s="2" t="s">
        <v>20</v>
      </c>
      <c r="C11" s="2" t="s">
        <v>194</v>
      </c>
      <c r="D11" s="2" t="s">
        <v>55</v>
      </c>
      <c r="E11" s="2" t="s">
        <v>84</v>
      </c>
      <c r="F11" s="2" t="s">
        <v>22</v>
      </c>
      <c r="G11" s="2" t="s">
        <v>195</v>
      </c>
      <c r="H11" s="2" t="s">
        <v>196</v>
      </c>
      <c r="I11" s="2" t="s">
        <v>197</v>
      </c>
      <c r="J11" s="2" t="s">
        <v>198</v>
      </c>
      <c r="K11" s="3">
        <v>40775</v>
      </c>
      <c r="L11" s="2">
        <v>93822</v>
      </c>
      <c r="M11" s="2" t="s">
        <v>63</v>
      </c>
      <c r="N11" s="2" t="s">
        <v>199</v>
      </c>
      <c r="O11" s="2">
        <v>27524</v>
      </c>
      <c r="P11" s="2" t="s">
        <v>26</v>
      </c>
    </row>
    <row r="12" spans="1:16" ht="23.5" x14ac:dyDescent="0.55000000000000004">
      <c r="A12" s="2">
        <v>119399</v>
      </c>
      <c r="B12" s="2" t="s">
        <v>37</v>
      </c>
      <c r="C12" s="2" t="s">
        <v>161</v>
      </c>
      <c r="D12" s="2" t="s">
        <v>28</v>
      </c>
      <c r="E12" s="2" t="s">
        <v>165</v>
      </c>
      <c r="F12" s="2" t="s">
        <v>22</v>
      </c>
      <c r="G12" s="2" t="s">
        <v>166</v>
      </c>
      <c r="H12" s="2" t="s">
        <v>167</v>
      </c>
      <c r="I12" s="2" t="s">
        <v>168</v>
      </c>
      <c r="J12" s="2" t="s">
        <v>169</v>
      </c>
      <c r="K12" s="3">
        <v>34842</v>
      </c>
      <c r="L12" s="2">
        <v>90590</v>
      </c>
      <c r="M12" s="2" t="s">
        <v>79</v>
      </c>
      <c r="N12" s="2" t="s">
        <v>65</v>
      </c>
      <c r="O12" s="2">
        <v>56025</v>
      </c>
      <c r="P12" s="2" t="s">
        <v>23</v>
      </c>
    </row>
    <row r="13" spans="1:16" ht="23.5" x14ac:dyDescent="0.55000000000000004">
      <c r="A13" s="2">
        <v>122005</v>
      </c>
      <c r="B13" s="2" t="s">
        <v>31</v>
      </c>
      <c r="C13" s="2" t="s">
        <v>87</v>
      </c>
      <c r="D13" s="2" t="s">
        <v>83</v>
      </c>
      <c r="E13" s="2" t="s">
        <v>47</v>
      </c>
      <c r="F13" s="2" t="s">
        <v>18</v>
      </c>
      <c r="G13" s="2" t="s">
        <v>88</v>
      </c>
      <c r="H13" s="2" t="s">
        <v>89</v>
      </c>
      <c r="I13" s="2" t="s">
        <v>90</v>
      </c>
      <c r="J13" s="2" t="s">
        <v>91</v>
      </c>
      <c r="K13" s="3">
        <v>42836</v>
      </c>
      <c r="L13" s="2">
        <v>175771</v>
      </c>
      <c r="M13" s="2" t="s">
        <v>80</v>
      </c>
      <c r="N13" s="2" t="s">
        <v>92</v>
      </c>
      <c r="O13" s="2">
        <v>36093</v>
      </c>
      <c r="P13" s="2" t="s">
        <v>26</v>
      </c>
    </row>
    <row r="14" spans="1:16" ht="23.5" x14ac:dyDescent="0.55000000000000004">
      <c r="A14" s="2">
        <v>124923</v>
      </c>
      <c r="B14" s="2" t="s">
        <v>16</v>
      </c>
      <c r="C14" s="2" t="s">
        <v>200</v>
      </c>
      <c r="D14" s="2" t="s">
        <v>28</v>
      </c>
      <c r="E14" s="2" t="s">
        <v>60</v>
      </c>
      <c r="F14" s="2" t="s">
        <v>18</v>
      </c>
      <c r="G14" s="2" t="s">
        <v>201</v>
      </c>
      <c r="H14" s="2" t="s">
        <v>202</v>
      </c>
      <c r="I14" s="2" t="s">
        <v>203</v>
      </c>
      <c r="J14" s="2" t="s">
        <v>132</v>
      </c>
      <c r="K14" s="3">
        <v>36320</v>
      </c>
      <c r="L14" s="2">
        <v>119758</v>
      </c>
      <c r="M14" s="2" t="s">
        <v>61</v>
      </c>
      <c r="N14" s="2" t="s">
        <v>204</v>
      </c>
      <c r="O14" s="2">
        <v>65436</v>
      </c>
      <c r="P14" s="2" t="s">
        <v>23</v>
      </c>
    </row>
    <row r="15" spans="1:16" ht="23.5" x14ac:dyDescent="0.55000000000000004">
      <c r="A15" s="2">
        <v>125134</v>
      </c>
      <c r="B15" s="2" t="s">
        <v>27</v>
      </c>
      <c r="C15" s="2" t="s">
        <v>183</v>
      </c>
      <c r="D15" s="2" t="s">
        <v>32</v>
      </c>
      <c r="E15" s="2" t="s">
        <v>162</v>
      </c>
      <c r="F15" s="2" t="s">
        <v>18</v>
      </c>
      <c r="G15" s="2" t="s">
        <v>184</v>
      </c>
      <c r="H15" s="2" t="s">
        <v>185</v>
      </c>
      <c r="I15" s="2" t="s">
        <v>186</v>
      </c>
      <c r="J15" s="2" t="s">
        <v>50</v>
      </c>
      <c r="K15" s="3">
        <v>37444</v>
      </c>
      <c r="L15" s="2">
        <v>94337</v>
      </c>
      <c r="M15" s="2" t="s">
        <v>33</v>
      </c>
      <c r="N15" s="2" t="s">
        <v>187</v>
      </c>
      <c r="O15" s="2">
        <v>24563</v>
      </c>
      <c r="P15" s="2" t="s">
        <v>26</v>
      </c>
    </row>
    <row r="16" spans="1:16" ht="23.5" x14ac:dyDescent="0.55000000000000004">
      <c r="A16" s="2">
        <v>125371</v>
      </c>
      <c r="B16" s="2" t="s">
        <v>16</v>
      </c>
      <c r="C16" s="2" t="s">
        <v>142</v>
      </c>
      <c r="D16" s="2" t="s">
        <v>45</v>
      </c>
      <c r="E16" s="2" t="s">
        <v>233</v>
      </c>
      <c r="F16" s="2" t="s">
        <v>18</v>
      </c>
      <c r="G16" s="2" t="s">
        <v>234</v>
      </c>
      <c r="H16" s="2" t="s">
        <v>235</v>
      </c>
      <c r="I16" s="2" t="s">
        <v>236</v>
      </c>
      <c r="J16" s="2" t="s">
        <v>213</v>
      </c>
      <c r="K16" s="3">
        <v>42725</v>
      </c>
      <c r="L16" s="2">
        <v>42245</v>
      </c>
      <c r="M16" s="2" t="s">
        <v>53</v>
      </c>
      <c r="N16" s="2" t="s">
        <v>237</v>
      </c>
      <c r="O16" s="2">
        <v>25853</v>
      </c>
      <c r="P16" s="2" t="s">
        <v>26</v>
      </c>
    </row>
    <row r="17" spans="1:16" ht="23.5" x14ac:dyDescent="0.55000000000000004">
      <c r="A17" s="2">
        <v>125780</v>
      </c>
      <c r="B17" s="2" t="s">
        <v>16</v>
      </c>
      <c r="C17" s="2" t="s">
        <v>125</v>
      </c>
      <c r="D17" s="2" t="s">
        <v>32</v>
      </c>
      <c r="E17" s="2" t="s">
        <v>219</v>
      </c>
      <c r="F17" s="2" t="s">
        <v>18</v>
      </c>
      <c r="G17" s="2" t="s">
        <v>220</v>
      </c>
      <c r="H17" s="2" t="s">
        <v>221</v>
      </c>
      <c r="I17" s="2" t="s">
        <v>222</v>
      </c>
      <c r="J17" s="2" t="s">
        <v>119</v>
      </c>
      <c r="K17" s="3">
        <v>34264</v>
      </c>
      <c r="L17" s="2">
        <v>144698</v>
      </c>
      <c r="M17" s="2" t="s">
        <v>62</v>
      </c>
      <c r="N17" s="2" t="s">
        <v>102</v>
      </c>
      <c r="O17" s="2">
        <v>30145</v>
      </c>
      <c r="P17" s="2" t="s">
        <v>26</v>
      </c>
    </row>
    <row r="18" spans="1:16" ht="23.5" x14ac:dyDescent="0.55000000000000004">
      <c r="A18" s="2">
        <v>125823</v>
      </c>
      <c r="B18" s="2" t="s">
        <v>20</v>
      </c>
      <c r="C18" s="2" t="s">
        <v>126</v>
      </c>
      <c r="D18" s="2" t="s">
        <v>71</v>
      </c>
      <c r="E18" s="2" t="s">
        <v>127</v>
      </c>
      <c r="F18" s="2" t="s">
        <v>22</v>
      </c>
      <c r="G18" s="2" t="s">
        <v>128</v>
      </c>
      <c r="H18" s="2" t="s">
        <v>129</v>
      </c>
      <c r="I18" s="2" t="s">
        <v>130</v>
      </c>
      <c r="J18" s="2" t="s">
        <v>124</v>
      </c>
      <c r="K18" s="3">
        <v>39705</v>
      </c>
      <c r="L18" s="2">
        <v>165482</v>
      </c>
      <c r="M18" s="2" t="s">
        <v>35</v>
      </c>
      <c r="N18" s="2" t="s">
        <v>131</v>
      </c>
      <c r="O18" s="2">
        <v>18234</v>
      </c>
      <c r="P18" s="2" t="s">
        <v>36</v>
      </c>
    </row>
    <row r="19" spans="1:16" ht="23.5" x14ac:dyDescent="0.55000000000000004">
      <c r="A19" s="2">
        <v>126137</v>
      </c>
      <c r="B19" s="2" t="s">
        <v>40</v>
      </c>
      <c r="C19" s="2" t="s">
        <v>188</v>
      </c>
      <c r="D19" s="2" t="s">
        <v>49</v>
      </c>
      <c r="E19" s="2" t="s">
        <v>98</v>
      </c>
      <c r="F19" s="2" t="s">
        <v>22</v>
      </c>
      <c r="G19" s="2" t="s">
        <v>189</v>
      </c>
      <c r="H19" s="2" t="s">
        <v>190</v>
      </c>
      <c r="I19" s="2" t="s">
        <v>191</v>
      </c>
      <c r="J19" s="2" t="s">
        <v>58</v>
      </c>
      <c r="K19" s="3">
        <v>37634</v>
      </c>
      <c r="L19" s="2">
        <v>131397</v>
      </c>
      <c r="M19" s="2" t="s">
        <v>79</v>
      </c>
      <c r="N19" s="2" t="s">
        <v>192</v>
      </c>
      <c r="O19" s="2">
        <v>56516</v>
      </c>
      <c r="P19" s="2" t="s">
        <v>23</v>
      </c>
    </row>
    <row r="20" spans="1:16" ht="23.5" x14ac:dyDescent="0.55000000000000004">
      <c r="A20" s="2">
        <v>126316</v>
      </c>
      <c r="B20" s="2" t="s">
        <v>27</v>
      </c>
      <c r="C20" s="2" t="s">
        <v>175</v>
      </c>
      <c r="D20" s="2" t="s">
        <v>55</v>
      </c>
      <c r="E20" s="2" t="s">
        <v>105</v>
      </c>
      <c r="F20" s="2" t="s">
        <v>18</v>
      </c>
      <c r="G20" s="2" t="s">
        <v>176</v>
      </c>
      <c r="H20" s="2" t="s">
        <v>177</v>
      </c>
      <c r="I20" s="2" t="s">
        <v>178</v>
      </c>
      <c r="J20" s="2" t="s">
        <v>163</v>
      </c>
      <c r="K20" s="3">
        <v>40231</v>
      </c>
      <c r="L20" s="2">
        <v>73715</v>
      </c>
      <c r="M20" s="2" t="s">
        <v>82</v>
      </c>
      <c r="N20" s="2" t="s">
        <v>179</v>
      </c>
      <c r="O20" s="2">
        <v>57778</v>
      </c>
      <c r="P20" s="2" t="s">
        <v>23</v>
      </c>
    </row>
    <row r="21" spans="1:16" ht="23.5" x14ac:dyDescent="0.55000000000000004">
      <c r="A21" s="2">
        <v>127205</v>
      </c>
      <c r="B21" s="2" t="s">
        <v>27</v>
      </c>
      <c r="C21" s="2" t="s">
        <v>143</v>
      </c>
      <c r="D21" s="2" t="s">
        <v>28</v>
      </c>
      <c r="E21" s="2" t="s">
        <v>97</v>
      </c>
      <c r="F21" s="2" t="s">
        <v>18</v>
      </c>
      <c r="G21" s="2" t="s">
        <v>144</v>
      </c>
      <c r="H21" s="2" t="s">
        <v>145</v>
      </c>
      <c r="I21" s="2" t="s">
        <v>146</v>
      </c>
      <c r="J21" s="2" t="s">
        <v>147</v>
      </c>
      <c r="K21" s="3">
        <v>41469</v>
      </c>
      <c r="L21" s="2">
        <v>72981</v>
      </c>
      <c r="M21" s="2" t="s">
        <v>30</v>
      </c>
      <c r="N21" s="2" t="s">
        <v>148</v>
      </c>
      <c r="O21" s="2">
        <v>47458</v>
      </c>
      <c r="P21" s="2" t="s">
        <v>23</v>
      </c>
    </row>
    <row r="22" spans="1:16" ht="23.5" x14ac:dyDescent="0.55000000000000004">
      <c r="A22" s="2">
        <v>129077</v>
      </c>
      <c r="B22" s="2" t="s">
        <v>20</v>
      </c>
      <c r="C22" s="2" t="s">
        <v>170</v>
      </c>
      <c r="D22" s="2" t="s">
        <v>21</v>
      </c>
      <c r="E22" s="2" t="s">
        <v>101</v>
      </c>
      <c r="F22" s="2" t="s">
        <v>22</v>
      </c>
      <c r="G22" s="2" t="s">
        <v>171</v>
      </c>
      <c r="H22" s="2" t="s">
        <v>172</v>
      </c>
      <c r="I22" s="2" t="s">
        <v>173</v>
      </c>
      <c r="J22" s="2" t="s">
        <v>94</v>
      </c>
      <c r="K22" s="3">
        <v>41877</v>
      </c>
      <c r="L22" s="2">
        <v>65901</v>
      </c>
      <c r="M22" s="2" t="s">
        <v>95</v>
      </c>
      <c r="N22" s="2" t="s">
        <v>174</v>
      </c>
      <c r="O22" s="2">
        <v>84640</v>
      </c>
      <c r="P22" s="2" t="s">
        <v>19</v>
      </c>
    </row>
    <row r="23" spans="1:16" ht="23.5" x14ac:dyDescent="0.55000000000000004">
      <c r="A23" s="2">
        <v>129405</v>
      </c>
      <c r="B23" s="2" t="s">
        <v>37</v>
      </c>
      <c r="C23" s="2" t="s">
        <v>214</v>
      </c>
      <c r="D23" s="2" t="s">
        <v>49</v>
      </c>
      <c r="E23" s="2" t="s">
        <v>193</v>
      </c>
      <c r="F23" s="2" t="s">
        <v>22</v>
      </c>
      <c r="G23" s="2" t="s">
        <v>215</v>
      </c>
      <c r="H23" s="2" t="s">
        <v>216</v>
      </c>
      <c r="I23" s="2" t="s">
        <v>217</v>
      </c>
      <c r="J23" s="2" t="s">
        <v>160</v>
      </c>
      <c r="K23" s="3">
        <v>36761</v>
      </c>
      <c r="L23" s="2">
        <v>56375</v>
      </c>
      <c r="M23" s="2" t="s">
        <v>68</v>
      </c>
      <c r="N23" s="2" t="s">
        <v>218</v>
      </c>
      <c r="O23" s="2">
        <v>3057</v>
      </c>
      <c r="P23" s="2" t="s">
        <v>36</v>
      </c>
    </row>
    <row r="24" spans="1:16" ht="23.5" x14ac:dyDescent="0.55000000000000004">
      <c r="A24" s="2">
        <v>129426</v>
      </c>
      <c r="B24" s="2" t="s">
        <v>24</v>
      </c>
      <c r="C24" s="2" t="s">
        <v>121</v>
      </c>
      <c r="D24" s="2" t="s">
        <v>41</v>
      </c>
      <c r="E24" s="2" t="s">
        <v>132</v>
      </c>
      <c r="F24" s="2" t="s">
        <v>18</v>
      </c>
      <c r="G24" s="2" t="s">
        <v>133</v>
      </c>
      <c r="H24" s="2" t="s">
        <v>134</v>
      </c>
      <c r="I24" s="2" t="s">
        <v>135</v>
      </c>
      <c r="J24" s="2" t="s">
        <v>122</v>
      </c>
      <c r="K24" s="3">
        <v>41562</v>
      </c>
      <c r="L24" s="2">
        <v>82263</v>
      </c>
      <c r="M24" s="2" t="s">
        <v>67</v>
      </c>
      <c r="N24" s="2" t="s">
        <v>136</v>
      </c>
      <c r="O24" s="2">
        <v>66219</v>
      </c>
      <c r="P24" s="2" t="s">
        <v>23</v>
      </c>
    </row>
    <row r="25" spans="1:16" ht="23.5" x14ac:dyDescent="0.55000000000000004">
      <c r="A25" s="2">
        <v>130501</v>
      </c>
      <c r="B25" s="2" t="s">
        <v>24</v>
      </c>
      <c r="C25" s="2" t="s">
        <v>118</v>
      </c>
      <c r="D25" s="2" t="s">
        <v>51</v>
      </c>
      <c r="E25" s="2" t="s">
        <v>149</v>
      </c>
      <c r="F25" s="2" t="s">
        <v>18</v>
      </c>
      <c r="G25" s="2" t="s">
        <v>150</v>
      </c>
      <c r="H25" s="2" t="s">
        <v>151</v>
      </c>
      <c r="I25" s="2" t="s">
        <v>152</v>
      </c>
      <c r="J25" s="2" t="s">
        <v>56</v>
      </c>
      <c r="K25" s="3">
        <v>40278</v>
      </c>
      <c r="L25" s="2">
        <v>91870</v>
      </c>
      <c r="M25" s="2" t="s">
        <v>104</v>
      </c>
      <c r="N25" s="2" t="s">
        <v>153</v>
      </c>
      <c r="O25" s="2">
        <v>19732</v>
      </c>
      <c r="P25" s="2" t="s">
        <v>26</v>
      </c>
    </row>
    <row r="26" spans="1:16" ht="23.5" x14ac:dyDescent="0.55000000000000004">
      <c r="A26" s="2">
        <v>130591</v>
      </c>
      <c r="B26" s="2" t="s">
        <v>37</v>
      </c>
      <c r="C26" s="2" t="s">
        <v>111</v>
      </c>
      <c r="D26" s="2" t="s">
        <v>34</v>
      </c>
      <c r="E26" s="2" t="s">
        <v>112</v>
      </c>
      <c r="F26" s="2" t="s">
        <v>22</v>
      </c>
      <c r="G26" s="2" t="s">
        <v>113</v>
      </c>
      <c r="H26" s="2" t="s">
        <v>114</v>
      </c>
      <c r="I26" s="2" t="s">
        <v>115</v>
      </c>
      <c r="J26" s="2" t="s">
        <v>116</v>
      </c>
      <c r="K26" s="3">
        <v>33263</v>
      </c>
      <c r="L26" s="2">
        <v>134103</v>
      </c>
      <c r="M26" s="2" t="s">
        <v>68</v>
      </c>
      <c r="N26" s="2" t="s">
        <v>117</v>
      </c>
      <c r="O26" s="2">
        <v>3063</v>
      </c>
      <c r="P26" s="2" t="s">
        <v>36</v>
      </c>
    </row>
    <row r="27" spans="1:16" ht="23.5" x14ac:dyDescent="0.55000000000000004">
      <c r="A27" s="2">
        <v>131361</v>
      </c>
      <c r="B27" s="2" t="s">
        <v>16</v>
      </c>
      <c r="C27" s="2" t="s">
        <v>223</v>
      </c>
      <c r="D27" s="2" t="s">
        <v>17</v>
      </c>
      <c r="E27" s="2" t="s">
        <v>66</v>
      </c>
      <c r="F27" s="2" t="s">
        <v>18</v>
      </c>
      <c r="G27" s="2" t="s">
        <v>224</v>
      </c>
      <c r="H27" s="2" t="s">
        <v>225</v>
      </c>
      <c r="I27" s="2" t="s">
        <v>226</v>
      </c>
      <c r="J27" s="2" t="s">
        <v>227</v>
      </c>
      <c r="K27" s="3">
        <v>34371</v>
      </c>
      <c r="L27" s="2">
        <v>130614</v>
      </c>
      <c r="M27" s="2" t="s">
        <v>39</v>
      </c>
      <c r="N27" s="2" t="s">
        <v>78</v>
      </c>
      <c r="O27" s="2">
        <v>97282</v>
      </c>
      <c r="P27" s="2" t="s">
        <v>19</v>
      </c>
    </row>
  </sheetData>
  <sortState xmlns:xlrd2="http://schemas.microsoft.com/office/spreadsheetml/2017/richdata2" ref="A2:P27">
    <sortCondition ref="A3:A27"/>
  </sortState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CA2BD-731F-4A53-A430-112A7A38CAC5}">
  <dimension ref="E4:K19"/>
  <sheetViews>
    <sheetView workbookViewId="0">
      <selection activeCell="F5" sqref="F5"/>
    </sheetView>
  </sheetViews>
  <sheetFormatPr defaultRowHeight="14.5" x14ac:dyDescent="0.35"/>
  <cols>
    <col min="5" max="5" width="43.90625" bestFit="1" customWidth="1"/>
    <col min="6" max="6" width="22.453125" bestFit="1" customWidth="1"/>
    <col min="7" max="7" width="22.453125" customWidth="1"/>
    <col min="11" max="11" width="16.6328125" bestFit="1" customWidth="1"/>
  </cols>
  <sheetData>
    <row r="4" spans="5:11" ht="31" x14ac:dyDescent="0.7">
      <c r="E4" s="1" t="s">
        <v>244</v>
      </c>
      <c r="F4" s="1" t="s">
        <v>11</v>
      </c>
      <c r="G4" s="1" t="s">
        <v>242</v>
      </c>
      <c r="K4" s="8"/>
    </row>
    <row r="5" spans="5:11" ht="46" x14ac:dyDescent="1">
      <c r="E5" s="2" t="s">
        <v>156</v>
      </c>
      <c r="F5" s="9"/>
      <c r="G5" s="10"/>
      <c r="K5" s="8"/>
    </row>
    <row r="6" spans="5:11" ht="46" x14ac:dyDescent="1">
      <c r="E6" s="2" t="s">
        <v>180</v>
      </c>
      <c r="F6" s="9"/>
      <c r="G6" s="10"/>
      <c r="K6" s="7"/>
    </row>
    <row r="7" spans="5:11" ht="46" x14ac:dyDescent="1">
      <c r="E7" s="2" t="s">
        <v>238</v>
      </c>
      <c r="F7" s="9"/>
      <c r="G7" s="10"/>
    </row>
    <row r="8" spans="5:11" ht="46" x14ac:dyDescent="1">
      <c r="E8" s="2" t="s">
        <v>106</v>
      </c>
      <c r="F8" s="9"/>
      <c r="G8" s="10"/>
    </row>
    <row r="9" spans="5:11" ht="46" x14ac:dyDescent="1">
      <c r="E9" s="2" t="s">
        <v>195</v>
      </c>
      <c r="F9" s="9"/>
      <c r="G9" s="10"/>
    </row>
    <row r="10" spans="5:11" ht="46" x14ac:dyDescent="1">
      <c r="E10" s="2" t="s">
        <v>166</v>
      </c>
      <c r="F10" s="9"/>
      <c r="G10" s="10"/>
    </row>
    <row r="11" spans="5:11" ht="46" x14ac:dyDescent="1">
      <c r="E11" s="2" t="s">
        <v>88</v>
      </c>
      <c r="F11" s="9"/>
      <c r="G11" s="10"/>
    </row>
    <row r="12" spans="5:11" ht="46" x14ac:dyDescent="1">
      <c r="E12" s="2" t="s">
        <v>176</v>
      </c>
      <c r="F12" s="9"/>
      <c r="G12" s="10"/>
    </row>
    <row r="13" spans="5:11" ht="46" x14ac:dyDescent="1">
      <c r="E13" s="2" t="s">
        <v>144</v>
      </c>
      <c r="F13" s="9"/>
      <c r="G13" s="10"/>
    </row>
    <row r="14" spans="5:11" ht="46" x14ac:dyDescent="1">
      <c r="E14" s="2" t="s">
        <v>171</v>
      </c>
      <c r="F14" s="9"/>
      <c r="G14" s="10"/>
    </row>
    <row r="15" spans="5:11" ht="46" x14ac:dyDescent="1">
      <c r="E15" s="2" t="s">
        <v>215</v>
      </c>
      <c r="F15" s="9"/>
      <c r="G15" s="10"/>
    </row>
    <row r="16" spans="5:11" ht="46" x14ac:dyDescent="1">
      <c r="E16" s="2" t="s">
        <v>133</v>
      </c>
      <c r="F16" s="9"/>
      <c r="G16" s="10"/>
    </row>
    <row r="17" spans="5:7" ht="46" x14ac:dyDescent="1">
      <c r="E17" s="2" t="s">
        <v>150</v>
      </c>
      <c r="F17" s="9"/>
      <c r="G17" s="10"/>
    </row>
    <row r="18" spans="5:7" ht="46" x14ac:dyDescent="1">
      <c r="E18" s="2" t="s">
        <v>113</v>
      </c>
      <c r="F18" s="9"/>
      <c r="G18" s="10"/>
    </row>
    <row r="19" spans="5:7" ht="46" x14ac:dyDescent="1">
      <c r="E19" s="2" t="s">
        <v>224</v>
      </c>
      <c r="F19" s="9"/>
      <c r="G19" s="10"/>
    </row>
  </sheetData>
  <pageMargins left="0.7" right="0.7" top="0.75" bottom="0.75" header="0.3" footer="0.3"/>
  <pageSetup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E17D7-B738-4869-A16B-9BC6224F9320}">
  <dimension ref="C2:G18"/>
  <sheetViews>
    <sheetView workbookViewId="0">
      <selection activeCell="D3" sqref="D3"/>
    </sheetView>
  </sheetViews>
  <sheetFormatPr defaultColWidth="12.6328125" defaultRowHeight="14.5" x14ac:dyDescent="0.35"/>
  <cols>
    <col min="3" max="3" width="12.81640625" bestFit="1" customWidth="1"/>
    <col min="4" max="4" width="28.54296875" bestFit="1" customWidth="1"/>
    <col min="5" max="5" width="22.08984375" bestFit="1" customWidth="1"/>
    <col min="6" max="6" width="17.453125" bestFit="1" customWidth="1"/>
    <col min="7" max="7" width="12.90625" bestFit="1" customWidth="1"/>
  </cols>
  <sheetData>
    <row r="2" spans="3:7" ht="26" x14ac:dyDescent="0.6">
      <c r="C2" s="4" t="s">
        <v>0</v>
      </c>
      <c r="D2" s="4" t="s">
        <v>2</v>
      </c>
      <c r="E2" s="4" t="s">
        <v>3</v>
      </c>
      <c r="F2" s="4" t="s">
        <v>4</v>
      </c>
      <c r="G2" s="4" t="s">
        <v>5</v>
      </c>
    </row>
    <row r="3" spans="3:7" ht="46" x14ac:dyDescent="1">
      <c r="C3" s="5">
        <v>114425</v>
      </c>
      <c r="D3" s="11"/>
      <c r="E3" s="6"/>
      <c r="F3" s="6"/>
      <c r="G3" s="6"/>
    </row>
    <row r="4" spans="3:7" ht="46" x14ac:dyDescent="1">
      <c r="C4" s="5">
        <v>114862</v>
      </c>
      <c r="D4" s="11"/>
      <c r="E4" s="6"/>
      <c r="F4" s="6"/>
      <c r="G4" s="6"/>
    </row>
    <row r="5" spans="3:7" ht="46" x14ac:dyDescent="1">
      <c r="C5" s="5">
        <v>116286</v>
      </c>
      <c r="D5" s="11"/>
      <c r="E5" s="6"/>
      <c r="F5" s="6"/>
      <c r="G5" s="6"/>
    </row>
    <row r="6" spans="3:7" ht="46" x14ac:dyDescent="1">
      <c r="C6" s="5">
        <v>116530</v>
      </c>
      <c r="D6" s="11"/>
      <c r="E6" s="6"/>
      <c r="F6" s="6"/>
      <c r="G6" s="6"/>
    </row>
    <row r="7" spans="3:7" ht="46" x14ac:dyDescent="1">
      <c r="C7" s="5">
        <v>118882</v>
      </c>
      <c r="D7" s="11"/>
      <c r="E7" s="6"/>
      <c r="F7" s="6"/>
      <c r="G7" s="6"/>
    </row>
    <row r="8" spans="3:7" ht="46" x14ac:dyDescent="1">
      <c r="C8" s="5">
        <v>119399</v>
      </c>
      <c r="D8" s="11"/>
      <c r="E8" s="6"/>
      <c r="F8" s="6"/>
      <c r="G8" s="6"/>
    </row>
    <row r="9" spans="3:7" ht="46" x14ac:dyDescent="1">
      <c r="C9" s="5">
        <v>122005</v>
      </c>
      <c r="D9" s="11"/>
      <c r="E9" s="6"/>
      <c r="F9" s="6"/>
      <c r="G9" s="6"/>
    </row>
    <row r="10" spans="3:7" ht="46" x14ac:dyDescent="1">
      <c r="C10" s="5">
        <v>124923</v>
      </c>
      <c r="D10" s="11"/>
      <c r="E10" s="6"/>
      <c r="F10" s="6"/>
      <c r="G10" s="6"/>
    </row>
    <row r="11" spans="3:7" ht="46" x14ac:dyDescent="1">
      <c r="C11" s="5">
        <v>125134</v>
      </c>
      <c r="D11" s="11"/>
      <c r="E11" s="6"/>
      <c r="F11" s="6"/>
      <c r="G11" s="6"/>
    </row>
    <row r="12" spans="3:7" ht="46" x14ac:dyDescent="1">
      <c r="C12" s="5">
        <v>125371</v>
      </c>
      <c r="D12" s="11"/>
      <c r="E12" s="6"/>
      <c r="F12" s="6"/>
      <c r="G12" s="6"/>
    </row>
    <row r="13" spans="3:7" ht="46" x14ac:dyDescent="1">
      <c r="C13" s="5">
        <v>125780</v>
      </c>
      <c r="D13" s="11"/>
      <c r="E13" s="6"/>
      <c r="F13" s="6"/>
      <c r="G13" s="6"/>
    </row>
    <row r="14" spans="3:7" ht="46" x14ac:dyDescent="1">
      <c r="C14" s="5">
        <v>125823</v>
      </c>
      <c r="D14" s="11"/>
      <c r="E14" s="6"/>
      <c r="F14" s="6"/>
      <c r="G14" s="6"/>
    </row>
    <row r="15" spans="3:7" ht="46" x14ac:dyDescent="1">
      <c r="C15" s="5">
        <v>126137</v>
      </c>
      <c r="D15" s="11"/>
      <c r="E15" s="6"/>
      <c r="F15" s="6"/>
      <c r="G15" s="6"/>
    </row>
    <row r="16" spans="3:7" ht="46" x14ac:dyDescent="1">
      <c r="C16" s="5">
        <v>130501</v>
      </c>
      <c r="D16" s="11"/>
      <c r="E16" s="6"/>
      <c r="F16" s="6"/>
      <c r="G16" s="6"/>
    </row>
    <row r="17" spans="3:7" ht="46" x14ac:dyDescent="1">
      <c r="C17" s="5">
        <v>130591</v>
      </c>
      <c r="D17" s="11"/>
      <c r="E17" s="6"/>
      <c r="F17" s="6"/>
      <c r="G17" s="6"/>
    </row>
    <row r="18" spans="3:7" ht="46" x14ac:dyDescent="1">
      <c r="C18" s="5">
        <v>131361</v>
      </c>
      <c r="D18" s="11"/>
      <c r="E18" s="6"/>
      <c r="F18" s="6"/>
      <c r="G18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5E6BF-5DE6-409E-A47B-E3E7D1F09EAF}">
  <dimension ref="D3:G19"/>
  <sheetViews>
    <sheetView workbookViewId="0">
      <selection activeCell="F6" sqref="F6"/>
    </sheetView>
  </sheetViews>
  <sheetFormatPr defaultRowHeight="14.5" x14ac:dyDescent="0.35"/>
  <cols>
    <col min="4" max="4" width="13.6328125" bestFit="1" customWidth="1"/>
    <col min="5" max="5" width="19.08984375" bestFit="1" customWidth="1"/>
    <col min="6" max="6" width="27.36328125" bestFit="1" customWidth="1"/>
    <col min="7" max="7" width="11.1796875" bestFit="1" customWidth="1"/>
  </cols>
  <sheetData>
    <row r="3" spans="4:7" ht="28.5" x14ac:dyDescent="0.65">
      <c r="D3" s="12" t="s">
        <v>0</v>
      </c>
      <c r="E3" s="13" t="s">
        <v>245</v>
      </c>
      <c r="F3" s="13" t="s">
        <v>246</v>
      </c>
      <c r="G3" s="13" t="s">
        <v>247</v>
      </c>
    </row>
    <row r="4" spans="4:7" ht="33.5" x14ac:dyDescent="0.75">
      <c r="D4" s="5">
        <v>114425</v>
      </c>
      <c r="E4" s="15"/>
      <c r="F4" s="14"/>
      <c r="G4" s="14"/>
    </row>
    <row r="5" spans="4:7" ht="33.5" x14ac:dyDescent="0.75">
      <c r="D5" s="5">
        <v>114862</v>
      </c>
      <c r="E5" s="15"/>
      <c r="F5" s="14"/>
      <c r="G5" s="14"/>
    </row>
    <row r="6" spans="4:7" ht="33.5" x14ac:dyDescent="0.75">
      <c r="D6" s="5">
        <v>116286</v>
      </c>
      <c r="E6" s="15"/>
      <c r="F6" s="14"/>
      <c r="G6" s="14"/>
    </row>
    <row r="7" spans="4:7" ht="33.5" x14ac:dyDescent="0.75">
      <c r="D7" s="5">
        <v>116530</v>
      </c>
      <c r="E7" s="15"/>
      <c r="F7" s="14"/>
      <c r="G7" s="14"/>
    </row>
    <row r="8" spans="4:7" ht="33.5" x14ac:dyDescent="0.75">
      <c r="D8" s="5">
        <v>118882</v>
      </c>
      <c r="E8" s="15"/>
      <c r="F8" s="14"/>
      <c r="G8" s="14"/>
    </row>
    <row r="9" spans="4:7" ht="33.5" x14ac:dyDescent="0.75">
      <c r="D9" s="5">
        <v>119399</v>
      </c>
      <c r="E9" s="15"/>
      <c r="F9" s="14"/>
      <c r="G9" s="14"/>
    </row>
    <row r="10" spans="4:7" ht="33.5" x14ac:dyDescent="0.75">
      <c r="D10" s="5">
        <v>122005</v>
      </c>
      <c r="E10" s="15"/>
      <c r="F10" s="14"/>
      <c r="G10" s="14"/>
    </row>
    <row r="11" spans="4:7" ht="33.5" x14ac:dyDescent="0.75">
      <c r="D11" s="5">
        <v>124923</v>
      </c>
      <c r="E11" s="15"/>
      <c r="F11" s="14"/>
      <c r="G11" s="14"/>
    </row>
    <row r="12" spans="4:7" ht="33.5" x14ac:dyDescent="0.75">
      <c r="D12" s="5">
        <v>125134</v>
      </c>
      <c r="E12" s="15"/>
      <c r="F12" s="14"/>
      <c r="G12" s="14"/>
    </row>
    <row r="13" spans="4:7" ht="33.5" x14ac:dyDescent="0.75">
      <c r="D13" s="5">
        <v>125371</v>
      </c>
      <c r="E13" s="15"/>
      <c r="F13" s="14"/>
      <c r="G13" s="14"/>
    </row>
    <row r="14" spans="4:7" ht="33.5" x14ac:dyDescent="0.75">
      <c r="D14" s="5">
        <v>125780</v>
      </c>
      <c r="E14" s="15"/>
      <c r="F14" s="14"/>
      <c r="G14" s="14"/>
    </row>
    <row r="15" spans="4:7" ht="33.5" x14ac:dyDescent="0.75">
      <c r="D15" s="5">
        <v>125823</v>
      </c>
      <c r="E15" s="15"/>
      <c r="F15" s="14"/>
      <c r="G15" s="14"/>
    </row>
    <row r="16" spans="4:7" ht="33.5" x14ac:dyDescent="0.75">
      <c r="D16" s="5">
        <v>126137</v>
      </c>
      <c r="E16" s="15"/>
      <c r="F16" s="14"/>
      <c r="G16" s="14"/>
    </row>
    <row r="17" spans="4:7" ht="33.5" x14ac:dyDescent="0.75">
      <c r="D17" s="5">
        <v>130501</v>
      </c>
      <c r="E17" s="15"/>
      <c r="F17" s="14"/>
      <c r="G17" s="14"/>
    </row>
    <row r="18" spans="4:7" ht="33.5" x14ac:dyDescent="0.75">
      <c r="D18" s="5">
        <v>130591</v>
      </c>
      <c r="E18" s="15"/>
      <c r="F18" s="14"/>
      <c r="G18" s="14"/>
    </row>
    <row r="19" spans="4:7" ht="33.5" x14ac:dyDescent="0.75">
      <c r="D19" s="5">
        <v>131361</v>
      </c>
      <c r="E19" s="15"/>
      <c r="F19" s="14"/>
      <c r="G19" s="14"/>
    </row>
  </sheetData>
  <pageMargins left="0.7" right="0.7" top="0.75" bottom="0.75" header="0.3" footer="0.3"/>
  <pageSetup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0DA05-15DF-4360-A714-FB9F37B877EB}">
  <dimension ref="D2:G10"/>
  <sheetViews>
    <sheetView tabSelected="1" topLeftCell="C3" zoomScale="189" workbookViewId="0">
      <selection activeCell="D7" sqref="D7:D10"/>
    </sheetView>
  </sheetViews>
  <sheetFormatPr defaultRowHeight="14.5" x14ac:dyDescent="0.35"/>
  <cols>
    <col min="4" max="4" width="9.08984375" bestFit="1" customWidth="1"/>
    <col min="5" max="5" width="10.453125" bestFit="1" customWidth="1"/>
    <col min="6" max="6" width="9.26953125" bestFit="1" customWidth="1"/>
    <col min="7" max="7" width="6.6328125" bestFit="1" customWidth="1"/>
  </cols>
  <sheetData>
    <row r="2" spans="4:7" x14ac:dyDescent="0.35">
      <c r="D2" s="16"/>
      <c r="E2" s="16" t="s">
        <v>250</v>
      </c>
      <c r="F2" s="16" t="s">
        <v>251</v>
      </c>
      <c r="G2" s="16" t="s">
        <v>252</v>
      </c>
    </row>
    <row r="3" spans="4:7" x14ac:dyDescent="0.35">
      <c r="D3" s="16" t="s">
        <v>18</v>
      </c>
      <c r="E3" s="16"/>
      <c r="F3" s="16"/>
      <c r="G3" s="16"/>
    </row>
    <row r="4" spans="4:7" x14ac:dyDescent="0.35">
      <c r="D4" s="16" t="s">
        <v>22</v>
      </c>
      <c r="E4" s="16"/>
      <c r="F4" s="16"/>
      <c r="G4" s="16"/>
    </row>
    <row r="6" spans="4:7" x14ac:dyDescent="0.35">
      <c r="D6" s="14"/>
      <c r="E6" s="16" t="s">
        <v>250</v>
      </c>
      <c r="F6" s="16" t="s">
        <v>251</v>
      </c>
      <c r="G6" s="16" t="s">
        <v>252</v>
      </c>
    </row>
    <row r="7" spans="4:7" x14ac:dyDescent="0.35">
      <c r="D7" s="16" t="str" cm="1">
        <f t="array" ref="D7:D10">_xlfn.UNIQUE('master Data'!P2:P27)</f>
        <v>South</v>
      </c>
      <c r="E7" s="14"/>
      <c r="F7" s="14"/>
      <c r="G7" s="14"/>
    </row>
    <row r="8" spans="4:7" x14ac:dyDescent="0.35">
      <c r="D8" s="16" t="str">
        <v>Midwest</v>
      </c>
      <c r="E8" s="14"/>
      <c r="F8" s="14"/>
      <c r="G8" s="14"/>
    </row>
    <row r="9" spans="4:7" x14ac:dyDescent="0.35">
      <c r="D9" s="16" t="str">
        <v>Northeast</v>
      </c>
      <c r="E9" s="14"/>
      <c r="F9" s="14"/>
      <c r="G9" s="14"/>
    </row>
    <row r="10" spans="4:7" x14ac:dyDescent="0.35">
      <c r="D10" s="16" t="str">
        <v>West</v>
      </c>
      <c r="E10" s="14"/>
      <c r="F10" s="14"/>
      <c r="G10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Data</vt:lpstr>
      <vt:lpstr>Lookup1</vt:lpstr>
      <vt:lpstr>Lookup2</vt:lpstr>
      <vt:lpstr>Lookup3</vt:lpstr>
      <vt:lpstr>Sumif countif Averageif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Prafull</dc:creator>
  <cp:lastModifiedBy>praveen punia</cp:lastModifiedBy>
  <dcterms:created xsi:type="dcterms:W3CDTF">2021-04-12T09:28:32Z</dcterms:created>
  <dcterms:modified xsi:type="dcterms:W3CDTF">2026-10-10T12:25:28Z</dcterms:modified>
</cp:coreProperties>
</file>