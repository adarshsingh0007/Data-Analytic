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\EXCEL\INTRODUCTION\Test\"/>
    </mc:Choice>
  </mc:AlternateContent>
  <xr:revisionPtr revIDLastSave="0" documentId="13_ncr:1_{CDF9C3C3-C841-4CB8-BAAB-660C2A699960}" xr6:coauthVersionLast="47" xr6:coauthVersionMax="47" xr10:uidLastSave="{00000000-0000-0000-0000-000000000000}"/>
  <bookViews>
    <workbookView xWindow="-110" yWindow="-110" windowWidth="19420" windowHeight="11020" xr2:uid="{19F75FC4-225B-4145-B723-6822AA5A75BD}"/>
  </bookViews>
  <sheets>
    <sheet name="Dataset" sheetId="1" r:id="rId1"/>
    <sheet name="Q1&amp;Q2" sheetId="2" r:id="rId2"/>
    <sheet name="Sheet9" sheetId="9" r:id="rId3"/>
    <sheet name="Q3" sheetId="3" r:id="rId4"/>
    <sheet name="Q4.Sorted_Data" sheetId="4" r:id="rId5"/>
    <sheet name="Q5.Filtered_data" sheetId="6" r:id="rId6"/>
    <sheet name="Q6.Count_orders" sheetId="7" r:id="rId7"/>
    <sheet name="Q7" sheetId="8" r:id="rId8"/>
  </sheets>
  <definedNames>
    <definedName name="_xlnm._FilterDatabase" localSheetId="0" hidden="1">Dataset!$A$1:$G$71</definedName>
    <definedName name="_xlnm._FilterDatabase" localSheetId="1" hidden="1">'Q1&amp;Q2'!$A$1:$L$71</definedName>
    <definedName name="_xlnm._FilterDatabase" localSheetId="4" hidden="1">'Q4.Sorted_Data'!$A$1:$H$71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9" l="1"/>
  <c r="H59" i="9"/>
  <c r="H33" i="9"/>
  <c r="H28" i="9"/>
  <c r="H3" i="9"/>
  <c r="H45" i="9"/>
  <c r="H69" i="9"/>
  <c r="H50" i="9"/>
  <c r="H27" i="9"/>
  <c r="H12" i="9"/>
  <c r="H40" i="9"/>
  <c r="H67" i="9"/>
  <c r="H55" i="9"/>
  <c r="H2" i="9"/>
  <c r="H24" i="9"/>
  <c r="H41" i="9"/>
  <c r="H65" i="9"/>
  <c r="H42" i="9"/>
  <c r="H8" i="9"/>
  <c r="H20" i="9"/>
  <c r="H38" i="9"/>
  <c r="H11" i="9"/>
  <c r="H35" i="9"/>
  <c r="H70" i="9"/>
  <c r="H21" i="9"/>
  <c r="H49" i="9"/>
  <c r="H7" i="9"/>
  <c r="H44" i="9"/>
  <c r="H62" i="9"/>
  <c r="H15" i="9"/>
  <c r="H34" i="9"/>
  <c r="H5" i="9"/>
  <c r="H51" i="9"/>
  <c r="H64" i="9"/>
  <c r="H26" i="9"/>
  <c r="H53" i="9"/>
  <c r="H4" i="9"/>
  <c r="H56" i="9"/>
  <c r="H71" i="9"/>
  <c r="H37" i="9"/>
  <c r="H29" i="9"/>
  <c r="H9" i="9"/>
  <c r="H43" i="9"/>
  <c r="H68" i="9"/>
  <c r="H23" i="9"/>
  <c r="H63" i="9"/>
  <c r="H14" i="9"/>
  <c r="H39" i="9"/>
  <c r="H57" i="9"/>
  <c r="H19" i="9"/>
  <c r="H18" i="9"/>
  <c r="H61" i="9"/>
  <c r="H17" i="9"/>
  <c r="H58" i="9"/>
  <c r="H66" i="9"/>
  <c r="H30" i="9"/>
  <c r="H32" i="9"/>
  <c r="H6" i="9"/>
  <c r="H31" i="9"/>
  <c r="H48" i="9"/>
  <c r="H22" i="9"/>
  <c r="H13" i="9"/>
  <c r="H54" i="9"/>
  <c r="H47" i="9"/>
  <c r="H10" i="9"/>
  <c r="H60" i="9"/>
  <c r="H36" i="9"/>
  <c r="H25" i="9"/>
  <c r="H46" i="9"/>
  <c r="H16" i="9"/>
  <c r="C3" i="8"/>
  <c r="C4" i="8"/>
  <c r="C5" i="8"/>
  <c r="C2" i="8"/>
  <c r="B3" i="8"/>
  <c r="B4" i="8"/>
  <c r="B5" i="8"/>
  <c r="B2" i="8"/>
  <c r="N6" i="7"/>
  <c r="N4" i="7"/>
  <c r="N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58" i="4"/>
  <c r="H18" i="4"/>
  <c r="H51" i="4"/>
  <c r="H25" i="4"/>
  <c r="H65" i="4"/>
  <c r="H5" i="4"/>
  <c r="H54" i="4"/>
  <c r="H33" i="4"/>
  <c r="H61" i="4"/>
  <c r="H11" i="4"/>
  <c r="H38" i="4"/>
  <c r="H36" i="4"/>
  <c r="H68" i="4"/>
  <c r="H10" i="4"/>
  <c r="H41" i="4"/>
  <c r="H21" i="4"/>
  <c r="H71" i="4"/>
  <c r="H14" i="4"/>
  <c r="H46" i="4"/>
  <c r="H24" i="4"/>
  <c r="H50" i="4"/>
  <c r="H30" i="4"/>
  <c r="H57" i="4"/>
  <c r="H17" i="4"/>
  <c r="H40" i="4"/>
  <c r="H32" i="4"/>
  <c r="H64" i="4"/>
  <c r="H4" i="4"/>
  <c r="H53" i="4"/>
  <c r="H23" i="4"/>
  <c r="H67" i="4"/>
  <c r="H9" i="4"/>
  <c r="H37" i="4"/>
  <c r="H35" i="4"/>
  <c r="H60" i="4"/>
  <c r="H13" i="4"/>
  <c r="H45" i="4"/>
  <c r="H20" i="4"/>
  <c r="H70" i="4"/>
  <c r="H8" i="4"/>
  <c r="H49" i="4"/>
  <c r="H29" i="4"/>
  <c r="H56" i="4"/>
  <c r="H16" i="4"/>
  <c r="H39" i="4"/>
  <c r="H31" i="4"/>
  <c r="H63" i="4"/>
  <c r="H3" i="4"/>
  <c r="H52" i="4"/>
  <c r="H28" i="4"/>
  <c r="H59" i="4"/>
  <c r="H12" i="4"/>
  <c r="H44" i="4"/>
  <c r="H19" i="4"/>
  <c r="H69" i="4"/>
  <c r="H7" i="4"/>
  <c r="H48" i="4"/>
  <c r="H27" i="4"/>
  <c r="H55" i="4"/>
  <c r="H15" i="4"/>
  <c r="H43" i="4"/>
  <c r="H22" i="4"/>
  <c r="H66" i="4"/>
  <c r="H2" i="4"/>
  <c r="H42" i="4"/>
  <c r="H34" i="4"/>
  <c r="H62" i="4"/>
  <c r="H6" i="4"/>
  <c r="H47" i="4"/>
  <c r="H26" i="4"/>
  <c r="D2" i="3"/>
  <c r="C2" i="3"/>
  <c r="B2" i="3"/>
  <c r="A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2" i="2"/>
</calcChain>
</file>

<file path=xl/sharedStrings.xml><?xml version="1.0" encoding="utf-8"?>
<sst xmlns="http://schemas.openxmlformats.org/spreadsheetml/2006/main" count="1117" uniqueCount="75">
  <si>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</si>
  <si>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</si>
  <si>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</si>
  <si>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</si>
  <si>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</si>
  <si>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</si>
  <si>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</si>
  <si>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</si>
  <si>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</si>
  <si>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</si>
  <si>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</si>
  <si>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</si>
  <si>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</si>
  <si>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</si>
  <si>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</si>
  <si>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</si>
  <si>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</si>
  <si>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</si>
  <si>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</si>
  <si>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</si>
  <si>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</si>
  <si>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</si>
  <si>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</si>
  <si>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</si>
  <si>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</si>
  <si>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</si>
  <si>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</si>
  <si>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</si>
  <si>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</si>
  <si>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</si>
  <si>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</si>
  <si>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</si>
  <si>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</si>
  <si>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</si>
  <si>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</si>
  <si>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</si>
  <si>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</si>
  <si>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</si>
  <si>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</si>
  <si>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</si>
  <si>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</si>
  <si>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</si>
  <si>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</si>
  <si>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</si>
  <si>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</si>
  <si>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</si>
  <si>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</si>
  <si>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</si>
  <si>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</si>
  <si>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</si>
  <si>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</si>
  <si>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</si>
  <si>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</si>
  <si>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</si>
  <si>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</si>
  <si>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</si>
  <si>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</si>
  <si>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</si>
  <si>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</si>
  <si>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</si>
  <si>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</si>
  <si>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</si>
  <si>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</si>
  <si>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</si>
  <si>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</si>
  <si>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</si>
  <si>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Total_sales</t>
  </si>
  <si>
    <t>Total_Quantity</t>
  </si>
  <si>
    <t>Avg_Quantity</t>
  </si>
  <si>
    <t>Max_Quantity</t>
  </si>
  <si>
    <t>Min_Quantity</t>
  </si>
  <si>
    <t>Total Number of Orders -:</t>
  </si>
  <si>
    <t>Total Number of Order in North-:</t>
  </si>
  <si>
    <t>Count Pen Orders in South -:</t>
  </si>
  <si>
    <t>Total_sale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</si>
</sst>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64" fontId="0" fillId="0" borderId="0" xfId="0" applyNumberFormat="1"/>
    <xf numFmtId="0" fontId="3" fillId="0" borderId="2" xfId="0" applyFont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094C-747D-4078-8350-9EDCEAF3A5C0}">
  <dimension ref="A1:G71"/>
  <sheetViews>
    <sheetView tabSelected="1" workbookViewId="0">
      <selection activeCell="J10" sqref="J10"/>
    </sheetView>
  </sheetViews>
  <sheetFormatPr defaultRowHeight="14.5" x14ac:dyDescent="0.35"/>
  <cols>
    <col min="1" max="1" width="7.1796875" bestFit="1" customWidth="1"/>
    <col min="2" max="2" width="13.7265625" customWidth="1"/>
    <col min="3" max="3" width="6.26953125" bestFit="1" customWidth="1"/>
    <col min="4" max="4" width="8.6328125" bestFit="1" customWidth="1"/>
    <col min="5" max="5" width="7.7265625" bestFit="1" customWidth="1"/>
    <col min="6" max="6" width="8.36328125" bestFit="1" customWidth="1"/>
    <col min="7" max="7" width="10.0898437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4001</v>
      </c>
      <c r="B2" s="1" t="s">
        <v>7</v>
      </c>
      <c r="C2" s="1" t="s">
        <v>8</v>
      </c>
      <c r="D2" s="1" t="s">
        <v>9</v>
      </c>
      <c r="E2" s="2">
        <v>10</v>
      </c>
      <c r="F2" s="2">
        <v>50</v>
      </c>
      <c r="G2" s="3">
        <v>45292</v>
      </c>
    </row>
    <row r="3" spans="1:7" ht="15" thickBot="1" x14ac:dyDescent="0.4">
      <c r="A3" s="2">
        <v>4002</v>
      </c>
      <c r="B3" s="1" t="s">
        <v>10</v>
      </c>
      <c r="C3" s="1" t="s">
        <v>11</v>
      </c>
      <c r="D3" s="1" t="s">
        <v>12</v>
      </c>
      <c r="E3" s="2">
        <v>20</v>
      </c>
      <c r="F3" s="2">
        <v>10</v>
      </c>
      <c r="G3" s="3">
        <v>45293</v>
      </c>
    </row>
    <row r="4" spans="1:7" ht="15" thickBot="1" x14ac:dyDescent="0.4">
      <c r="A4" s="2">
        <v>4003</v>
      </c>
      <c r="B4" s="1" t="s">
        <v>13</v>
      </c>
      <c r="C4" s="1" t="s">
        <v>14</v>
      </c>
      <c r="D4" s="1" t="s">
        <v>15</v>
      </c>
      <c r="E4" s="2">
        <v>15</v>
      </c>
      <c r="F4" s="2">
        <v>25</v>
      </c>
      <c r="G4" s="3">
        <v>45294</v>
      </c>
    </row>
    <row r="5" spans="1:7" ht="15" thickBot="1" x14ac:dyDescent="0.4">
      <c r="A5" s="2">
        <v>4004</v>
      </c>
      <c r="B5" s="1" t="s">
        <v>16</v>
      </c>
      <c r="C5" s="1" t="s">
        <v>17</v>
      </c>
      <c r="D5" s="1" t="s">
        <v>9</v>
      </c>
      <c r="E5" s="2">
        <v>5</v>
      </c>
      <c r="F5" s="2">
        <v>50</v>
      </c>
      <c r="G5" s="3">
        <v>45295</v>
      </c>
    </row>
    <row r="6" spans="1:7" ht="15" thickBot="1" x14ac:dyDescent="0.4">
      <c r="A6" s="2">
        <v>4005</v>
      </c>
      <c r="B6" s="1" t="s">
        <v>18</v>
      </c>
      <c r="C6" s="1" t="s">
        <v>8</v>
      </c>
      <c r="D6" s="1" t="s">
        <v>19</v>
      </c>
      <c r="E6" s="2">
        <v>30</v>
      </c>
      <c r="F6" s="2">
        <v>5</v>
      </c>
      <c r="G6" s="3">
        <v>45296</v>
      </c>
    </row>
    <row r="7" spans="1:7" ht="15" thickBot="1" x14ac:dyDescent="0.4">
      <c r="A7" s="2">
        <v>4006</v>
      </c>
      <c r="B7" s="1" t="s">
        <v>20</v>
      </c>
      <c r="C7" s="1" t="s">
        <v>11</v>
      </c>
      <c r="D7" s="1" t="s">
        <v>9</v>
      </c>
      <c r="E7" s="2">
        <v>12</v>
      </c>
      <c r="F7" s="2">
        <v>50</v>
      </c>
      <c r="G7" s="3">
        <v>45297</v>
      </c>
    </row>
    <row r="8" spans="1:7" ht="15" thickBot="1" x14ac:dyDescent="0.4">
      <c r="A8" s="2">
        <v>4007</v>
      </c>
      <c r="B8" s="1" t="s">
        <v>21</v>
      </c>
      <c r="C8" s="1" t="s">
        <v>14</v>
      </c>
      <c r="D8" s="1" t="s">
        <v>22</v>
      </c>
      <c r="E8" s="2">
        <v>25</v>
      </c>
      <c r="F8" s="2">
        <v>8</v>
      </c>
      <c r="G8" s="3">
        <v>45298</v>
      </c>
    </row>
    <row r="9" spans="1:7" ht="15" thickBot="1" x14ac:dyDescent="0.4">
      <c r="A9" s="2">
        <v>4008</v>
      </c>
      <c r="B9" s="1" t="s">
        <v>23</v>
      </c>
      <c r="C9" s="1" t="s">
        <v>17</v>
      </c>
      <c r="D9" s="1" t="s">
        <v>12</v>
      </c>
      <c r="E9" s="2">
        <v>18</v>
      </c>
      <c r="F9" s="2">
        <v>10</v>
      </c>
      <c r="G9" s="3">
        <v>45299</v>
      </c>
    </row>
    <row r="10" spans="1:7" ht="15" thickBot="1" x14ac:dyDescent="0.4">
      <c r="A10" s="2">
        <v>4009</v>
      </c>
      <c r="B10" s="1" t="s">
        <v>24</v>
      </c>
      <c r="C10" s="1" t="s">
        <v>8</v>
      </c>
      <c r="D10" s="1" t="s">
        <v>15</v>
      </c>
      <c r="E10" s="2">
        <v>22</v>
      </c>
      <c r="F10" s="2">
        <v>25</v>
      </c>
      <c r="G10" s="3">
        <v>45300</v>
      </c>
    </row>
    <row r="11" spans="1:7" ht="15" thickBot="1" x14ac:dyDescent="0.4">
      <c r="A11" s="2">
        <v>4010</v>
      </c>
      <c r="B11" s="1" t="s">
        <v>25</v>
      </c>
      <c r="C11" s="1" t="s">
        <v>11</v>
      </c>
      <c r="D11" s="1" t="s">
        <v>9</v>
      </c>
      <c r="E11" s="2">
        <v>8</v>
      </c>
      <c r="F11" s="2">
        <v>50</v>
      </c>
      <c r="G11" s="3">
        <v>45301</v>
      </c>
    </row>
    <row r="12" spans="1:7" ht="15" thickBot="1" x14ac:dyDescent="0.4">
      <c r="A12" s="2">
        <v>4011</v>
      </c>
      <c r="B12" s="1" t="s">
        <v>26</v>
      </c>
      <c r="C12" s="1" t="s">
        <v>14</v>
      </c>
      <c r="D12" s="1" t="s">
        <v>19</v>
      </c>
      <c r="E12" s="2">
        <v>40</v>
      </c>
      <c r="F12" s="2">
        <v>5</v>
      </c>
      <c r="G12" s="3">
        <v>45302</v>
      </c>
    </row>
    <row r="13" spans="1:7" ht="15" thickBot="1" x14ac:dyDescent="0.4">
      <c r="A13" s="2">
        <v>4012</v>
      </c>
      <c r="B13" s="1" t="s">
        <v>27</v>
      </c>
      <c r="C13" s="1" t="s">
        <v>17</v>
      </c>
      <c r="D13" s="1" t="s">
        <v>22</v>
      </c>
      <c r="E13" s="2">
        <v>35</v>
      </c>
      <c r="F13" s="2">
        <v>8</v>
      </c>
      <c r="G13" s="3">
        <v>45303</v>
      </c>
    </row>
    <row r="14" spans="1:7" ht="15" thickBot="1" x14ac:dyDescent="0.4">
      <c r="A14" s="2">
        <v>4013</v>
      </c>
      <c r="B14" s="1" t="s">
        <v>28</v>
      </c>
      <c r="C14" s="1" t="s">
        <v>8</v>
      </c>
      <c r="D14" s="1" t="s">
        <v>9</v>
      </c>
      <c r="E14" s="2">
        <v>14</v>
      </c>
      <c r="F14" s="2">
        <v>50</v>
      </c>
      <c r="G14" s="3">
        <v>45304</v>
      </c>
    </row>
    <row r="15" spans="1:7" ht="15" thickBot="1" x14ac:dyDescent="0.4">
      <c r="A15" s="2">
        <v>4014</v>
      </c>
      <c r="B15" s="1" t="s">
        <v>29</v>
      </c>
      <c r="C15" s="1" t="s">
        <v>11</v>
      </c>
      <c r="D15" s="1" t="s">
        <v>12</v>
      </c>
      <c r="E15" s="2">
        <v>28</v>
      </c>
      <c r="F15" s="2">
        <v>10</v>
      </c>
      <c r="G15" s="3">
        <v>45305</v>
      </c>
    </row>
    <row r="16" spans="1:7" ht="15" thickBot="1" x14ac:dyDescent="0.4">
      <c r="A16" s="2">
        <v>4015</v>
      </c>
      <c r="B16" s="1" t="s">
        <v>30</v>
      </c>
      <c r="C16" s="1" t="s">
        <v>14</v>
      </c>
      <c r="D16" s="1" t="s">
        <v>15</v>
      </c>
      <c r="E16" s="2">
        <v>12</v>
      </c>
      <c r="F16" s="2">
        <v>25</v>
      </c>
      <c r="G16" s="3">
        <v>45306</v>
      </c>
    </row>
    <row r="17" spans="1:7" ht="15" thickBot="1" x14ac:dyDescent="0.4">
      <c r="A17" s="2">
        <v>4016</v>
      </c>
      <c r="B17" s="1" t="s">
        <v>31</v>
      </c>
      <c r="C17" s="1" t="s">
        <v>17</v>
      </c>
      <c r="D17" s="1" t="s">
        <v>19</v>
      </c>
      <c r="E17" s="2">
        <v>25</v>
      </c>
      <c r="F17" s="2">
        <v>5</v>
      </c>
      <c r="G17" s="3">
        <v>45307</v>
      </c>
    </row>
    <row r="18" spans="1:7" ht="15" thickBot="1" x14ac:dyDescent="0.4">
      <c r="A18" s="2">
        <v>4017</v>
      </c>
      <c r="B18" s="1" t="s">
        <v>32</v>
      </c>
      <c r="C18" s="1" t="s">
        <v>8</v>
      </c>
      <c r="D18" s="1" t="s">
        <v>22</v>
      </c>
      <c r="E18" s="2">
        <v>20</v>
      </c>
      <c r="F18" s="2">
        <v>8</v>
      </c>
      <c r="G18" s="3">
        <v>45308</v>
      </c>
    </row>
    <row r="19" spans="1:7" ht="15" thickBot="1" x14ac:dyDescent="0.4">
      <c r="A19" s="2">
        <v>4018</v>
      </c>
      <c r="B19" s="1" t="s">
        <v>33</v>
      </c>
      <c r="C19" s="1" t="s">
        <v>11</v>
      </c>
      <c r="D19" s="1" t="s">
        <v>9</v>
      </c>
      <c r="E19" s="2">
        <v>10</v>
      </c>
      <c r="F19" s="2">
        <v>50</v>
      </c>
      <c r="G19" s="3">
        <v>45309</v>
      </c>
    </row>
    <row r="20" spans="1:7" ht="15" thickBot="1" x14ac:dyDescent="0.4">
      <c r="A20" s="2">
        <v>4019</v>
      </c>
      <c r="B20" s="1" t="s">
        <v>34</v>
      </c>
      <c r="C20" s="1" t="s">
        <v>14</v>
      </c>
      <c r="D20" s="1" t="s">
        <v>12</v>
      </c>
      <c r="E20" s="2">
        <v>15</v>
      </c>
      <c r="F20" s="2">
        <v>10</v>
      </c>
      <c r="G20" s="3">
        <v>45310</v>
      </c>
    </row>
    <row r="21" spans="1:7" ht="15" thickBot="1" x14ac:dyDescent="0.4">
      <c r="A21" s="2">
        <v>4020</v>
      </c>
      <c r="B21" s="1" t="s">
        <v>35</v>
      </c>
      <c r="C21" s="1" t="s">
        <v>17</v>
      </c>
      <c r="D21" s="1" t="s">
        <v>15</v>
      </c>
      <c r="E21" s="2">
        <v>18</v>
      </c>
      <c r="F21" s="2">
        <v>25</v>
      </c>
      <c r="G21" s="3">
        <v>45311</v>
      </c>
    </row>
    <row r="22" spans="1:7" ht="15" thickBot="1" x14ac:dyDescent="0.4">
      <c r="A22" s="2">
        <v>4021</v>
      </c>
      <c r="B22" s="1" t="s">
        <v>36</v>
      </c>
      <c r="C22" s="1" t="s">
        <v>8</v>
      </c>
      <c r="D22" s="1" t="s">
        <v>9</v>
      </c>
      <c r="E22" s="2">
        <v>9</v>
      </c>
      <c r="F22" s="2">
        <v>50</v>
      </c>
      <c r="G22" s="3">
        <v>45312</v>
      </c>
    </row>
    <row r="23" spans="1:7" ht="15" thickBot="1" x14ac:dyDescent="0.4">
      <c r="A23" s="2">
        <v>4022</v>
      </c>
      <c r="B23" s="1" t="s">
        <v>37</v>
      </c>
      <c r="C23" s="1" t="s">
        <v>11</v>
      </c>
      <c r="D23" s="1" t="s">
        <v>19</v>
      </c>
      <c r="E23" s="2">
        <v>35</v>
      </c>
      <c r="F23" s="2">
        <v>5</v>
      </c>
      <c r="G23" s="3">
        <v>45313</v>
      </c>
    </row>
    <row r="24" spans="1:7" ht="15" thickBot="1" x14ac:dyDescent="0.4">
      <c r="A24" s="2">
        <v>4023</v>
      </c>
      <c r="B24" s="1" t="s">
        <v>38</v>
      </c>
      <c r="C24" s="1" t="s">
        <v>14</v>
      </c>
      <c r="D24" s="1" t="s">
        <v>22</v>
      </c>
      <c r="E24" s="2">
        <v>30</v>
      </c>
      <c r="F24" s="2">
        <v>8</v>
      </c>
      <c r="G24" s="3">
        <v>45314</v>
      </c>
    </row>
    <row r="25" spans="1:7" ht="15" thickBot="1" x14ac:dyDescent="0.4">
      <c r="A25" s="2">
        <v>4024</v>
      </c>
      <c r="B25" s="1" t="s">
        <v>39</v>
      </c>
      <c r="C25" s="1" t="s">
        <v>17</v>
      </c>
      <c r="D25" s="1" t="s">
        <v>9</v>
      </c>
      <c r="E25" s="2">
        <v>11</v>
      </c>
      <c r="F25" s="2">
        <v>50</v>
      </c>
      <c r="G25" s="3">
        <v>45315</v>
      </c>
    </row>
    <row r="26" spans="1:7" ht="15" thickBot="1" x14ac:dyDescent="0.4">
      <c r="A26" s="2">
        <v>4025</v>
      </c>
      <c r="B26" s="1" t="s">
        <v>40</v>
      </c>
      <c r="C26" s="1" t="s">
        <v>8</v>
      </c>
      <c r="D26" s="1" t="s">
        <v>12</v>
      </c>
      <c r="E26" s="2">
        <v>14</v>
      </c>
      <c r="F26" s="2">
        <v>10</v>
      </c>
      <c r="G26" s="3">
        <v>45316</v>
      </c>
    </row>
    <row r="27" spans="1:7" ht="15" thickBot="1" x14ac:dyDescent="0.4">
      <c r="A27" s="2">
        <v>4026</v>
      </c>
      <c r="B27" s="1" t="s">
        <v>41</v>
      </c>
      <c r="C27" s="1" t="s">
        <v>11</v>
      </c>
      <c r="D27" s="1" t="s">
        <v>15</v>
      </c>
      <c r="E27" s="2">
        <v>16</v>
      </c>
      <c r="F27" s="2">
        <v>25</v>
      </c>
      <c r="G27" s="3">
        <v>45317</v>
      </c>
    </row>
    <row r="28" spans="1:7" ht="15" thickBot="1" x14ac:dyDescent="0.4">
      <c r="A28" s="2">
        <v>4027</v>
      </c>
      <c r="B28" s="1" t="s">
        <v>42</v>
      </c>
      <c r="C28" s="1" t="s">
        <v>14</v>
      </c>
      <c r="D28" s="1" t="s">
        <v>19</v>
      </c>
      <c r="E28" s="2">
        <v>22</v>
      </c>
      <c r="F28" s="2">
        <v>5</v>
      </c>
      <c r="G28" s="3">
        <v>45318</v>
      </c>
    </row>
    <row r="29" spans="1:7" ht="15" thickBot="1" x14ac:dyDescent="0.4">
      <c r="A29" s="2">
        <v>4028</v>
      </c>
      <c r="B29" s="1" t="s">
        <v>43</v>
      </c>
      <c r="C29" s="1" t="s">
        <v>17</v>
      </c>
      <c r="D29" s="1" t="s">
        <v>22</v>
      </c>
      <c r="E29" s="2">
        <v>27</v>
      </c>
      <c r="F29" s="2">
        <v>8</v>
      </c>
      <c r="G29" s="3">
        <v>45319</v>
      </c>
    </row>
    <row r="30" spans="1:7" ht="15" thickBot="1" x14ac:dyDescent="0.4">
      <c r="A30" s="2">
        <v>4029</v>
      </c>
      <c r="B30" s="1" t="s">
        <v>44</v>
      </c>
      <c r="C30" s="1" t="s">
        <v>8</v>
      </c>
      <c r="D30" s="1" t="s">
        <v>9</v>
      </c>
      <c r="E30" s="2">
        <v>13</v>
      </c>
      <c r="F30" s="2">
        <v>50</v>
      </c>
      <c r="G30" s="3">
        <v>45320</v>
      </c>
    </row>
    <row r="31" spans="1:7" ht="15" thickBot="1" x14ac:dyDescent="0.4">
      <c r="A31" s="2">
        <v>4030</v>
      </c>
      <c r="B31" s="1" t="s">
        <v>45</v>
      </c>
      <c r="C31" s="1" t="s">
        <v>11</v>
      </c>
      <c r="D31" s="1" t="s">
        <v>12</v>
      </c>
      <c r="E31" s="2">
        <v>32</v>
      </c>
      <c r="F31" s="2">
        <v>10</v>
      </c>
      <c r="G31" s="3">
        <v>45321</v>
      </c>
    </row>
    <row r="32" spans="1:7" ht="15" thickBot="1" x14ac:dyDescent="0.4">
      <c r="A32" s="2">
        <v>4031</v>
      </c>
      <c r="B32" s="1" t="s">
        <v>46</v>
      </c>
      <c r="C32" s="1" t="s">
        <v>14</v>
      </c>
      <c r="D32" s="1" t="s">
        <v>15</v>
      </c>
      <c r="E32" s="2">
        <v>10</v>
      </c>
      <c r="F32" s="2">
        <v>25</v>
      </c>
      <c r="G32" s="3">
        <v>45322</v>
      </c>
    </row>
    <row r="33" spans="1:7" ht="15" thickBot="1" x14ac:dyDescent="0.4">
      <c r="A33" s="2">
        <v>4032</v>
      </c>
      <c r="B33" s="1" t="s">
        <v>47</v>
      </c>
      <c r="C33" s="1" t="s">
        <v>17</v>
      </c>
      <c r="D33" s="1" t="s">
        <v>19</v>
      </c>
      <c r="E33" s="2">
        <v>18</v>
      </c>
      <c r="F33" s="2">
        <v>5</v>
      </c>
      <c r="G33" s="3">
        <v>45323</v>
      </c>
    </row>
    <row r="34" spans="1:7" ht="15" thickBot="1" x14ac:dyDescent="0.4">
      <c r="A34" s="2">
        <v>4033</v>
      </c>
      <c r="B34" s="1" t="s">
        <v>48</v>
      </c>
      <c r="C34" s="1" t="s">
        <v>8</v>
      </c>
      <c r="D34" s="1" t="s">
        <v>22</v>
      </c>
      <c r="E34" s="2">
        <v>22</v>
      </c>
      <c r="F34" s="2">
        <v>8</v>
      </c>
      <c r="G34" s="3">
        <v>45324</v>
      </c>
    </row>
    <row r="35" spans="1:7" ht="15" thickBot="1" x14ac:dyDescent="0.4">
      <c r="A35" s="2">
        <v>4034</v>
      </c>
      <c r="B35" s="1" t="s">
        <v>49</v>
      </c>
      <c r="C35" s="1" t="s">
        <v>11</v>
      </c>
      <c r="D35" s="1" t="s">
        <v>9</v>
      </c>
      <c r="E35" s="2">
        <v>17</v>
      </c>
      <c r="F35" s="2">
        <v>50</v>
      </c>
      <c r="G35" s="3">
        <v>45325</v>
      </c>
    </row>
    <row r="36" spans="1:7" ht="15" thickBot="1" x14ac:dyDescent="0.4">
      <c r="A36" s="2">
        <v>4035</v>
      </c>
      <c r="B36" s="1" t="s">
        <v>50</v>
      </c>
      <c r="C36" s="1" t="s">
        <v>14</v>
      </c>
      <c r="D36" s="1" t="s">
        <v>12</v>
      </c>
      <c r="E36" s="2">
        <v>19</v>
      </c>
      <c r="F36" s="2">
        <v>10</v>
      </c>
      <c r="G36" s="3">
        <v>45326</v>
      </c>
    </row>
    <row r="37" spans="1:7" ht="15" thickBot="1" x14ac:dyDescent="0.4">
      <c r="A37" s="2">
        <v>4036</v>
      </c>
      <c r="B37" s="1" t="s">
        <v>51</v>
      </c>
      <c r="C37" s="1" t="s">
        <v>17</v>
      </c>
      <c r="D37" s="1" t="s">
        <v>15</v>
      </c>
      <c r="E37" s="2">
        <v>15</v>
      </c>
      <c r="F37" s="2">
        <v>25</v>
      </c>
      <c r="G37" s="3">
        <v>45327</v>
      </c>
    </row>
    <row r="38" spans="1:7" ht="15" thickBot="1" x14ac:dyDescent="0.4">
      <c r="A38" s="2">
        <v>4037</v>
      </c>
      <c r="B38" s="1" t="s">
        <v>52</v>
      </c>
      <c r="C38" s="1" t="s">
        <v>8</v>
      </c>
      <c r="D38" s="1" t="s">
        <v>19</v>
      </c>
      <c r="E38" s="2">
        <v>28</v>
      </c>
      <c r="F38" s="2">
        <v>5</v>
      </c>
      <c r="G38" s="3">
        <v>45328</v>
      </c>
    </row>
    <row r="39" spans="1:7" ht="15" thickBot="1" x14ac:dyDescent="0.4">
      <c r="A39" s="2">
        <v>4038</v>
      </c>
      <c r="B39" s="1" t="s">
        <v>53</v>
      </c>
      <c r="C39" s="1" t="s">
        <v>11</v>
      </c>
      <c r="D39" s="1" t="s">
        <v>22</v>
      </c>
      <c r="E39" s="2">
        <v>24</v>
      </c>
      <c r="F39" s="2">
        <v>8</v>
      </c>
      <c r="G39" s="3">
        <v>45329</v>
      </c>
    </row>
    <row r="40" spans="1:7" ht="15" thickBot="1" x14ac:dyDescent="0.4">
      <c r="A40" s="2">
        <v>4039</v>
      </c>
      <c r="B40" s="1" t="s">
        <v>54</v>
      </c>
      <c r="C40" s="1" t="s">
        <v>14</v>
      </c>
      <c r="D40" s="1" t="s">
        <v>9</v>
      </c>
      <c r="E40" s="2">
        <v>16</v>
      </c>
      <c r="F40" s="2">
        <v>50</v>
      </c>
      <c r="G40" s="3">
        <v>45330</v>
      </c>
    </row>
    <row r="41" spans="1:7" ht="15" thickBot="1" x14ac:dyDescent="0.4">
      <c r="A41" s="2">
        <v>4040</v>
      </c>
      <c r="B41" s="1" t="s">
        <v>55</v>
      </c>
      <c r="C41" s="1" t="s">
        <v>17</v>
      </c>
      <c r="D41" s="1" t="s">
        <v>12</v>
      </c>
      <c r="E41" s="2">
        <v>27</v>
      </c>
      <c r="F41" s="2">
        <v>10</v>
      </c>
      <c r="G41" s="3">
        <v>45331</v>
      </c>
    </row>
    <row r="42" spans="1:7" ht="15" thickBot="1" x14ac:dyDescent="0.4">
      <c r="A42" s="2">
        <v>4041</v>
      </c>
      <c r="B42" s="1" t="s">
        <v>56</v>
      </c>
      <c r="C42" s="1" t="s">
        <v>8</v>
      </c>
      <c r="D42" s="1" t="s">
        <v>15</v>
      </c>
      <c r="E42" s="2">
        <v>21</v>
      </c>
      <c r="F42" s="2">
        <v>25</v>
      </c>
      <c r="G42" s="3">
        <v>45332</v>
      </c>
    </row>
    <row r="43" spans="1:7" ht="15" thickBot="1" x14ac:dyDescent="0.4">
      <c r="A43" s="2">
        <v>4042</v>
      </c>
      <c r="B43" s="1" t="s">
        <v>57</v>
      </c>
      <c r="C43" s="1" t="s">
        <v>11</v>
      </c>
      <c r="D43" s="1" t="s">
        <v>19</v>
      </c>
      <c r="E43" s="2">
        <v>30</v>
      </c>
      <c r="F43" s="2">
        <v>5</v>
      </c>
      <c r="G43" s="3">
        <v>45333</v>
      </c>
    </row>
    <row r="44" spans="1:7" ht="15" thickBot="1" x14ac:dyDescent="0.4">
      <c r="A44" s="2">
        <v>4043</v>
      </c>
      <c r="B44" s="1" t="s">
        <v>58</v>
      </c>
      <c r="C44" s="1" t="s">
        <v>14</v>
      </c>
      <c r="D44" s="1" t="s">
        <v>22</v>
      </c>
      <c r="E44" s="2">
        <v>26</v>
      </c>
      <c r="F44" s="2">
        <v>8</v>
      </c>
      <c r="G44" s="3">
        <v>45334</v>
      </c>
    </row>
    <row r="45" spans="1:7" ht="15" thickBot="1" x14ac:dyDescent="0.4">
      <c r="A45" s="2">
        <v>4044</v>
      </c>
      <c r="B45" s="1" t="s">
        <v>59</v>
      </c>
      <c r="C45" s="1" t="s">
        <v>17</v>
      </c>
      <c r="D45" s="1" t="s">
        <v>9</v>
      </c>
      <c r="E45" s="2">
        <v>14</v>
      </c>
      <c r="F45" s="2">
        <v>50</v>
      </c>
      <c r="G45" s="3">
        <v>45335</v>
      </c>
    </row>
    <row r="46" spans="1:7" ht="15" thickBot="1" x14ac:dyDescent="0.4">
      <c r="A46" s="2">
        <v>4045</v>
      </c>
      <c r="B46" s="1" t="s">
        <v>60</v>
      </c>
      <c r="C46" s="1" t="s">
        <v>8</v>
      </c>
      <c r="D46" s="1" t="s">
        <v>12</v>
      </c>
      <c r="E46" s="2">
        <v>20</v>
      </c>
      <c r="F46" s="2">
        <v>10</v>
      </c>
      <c r="G46" s="3">
        <v>45336</v>
      </c>
    </row>
    <row r="47" spans="1:7" ht="15" thickBot="1" x14ac:dyDescent="0.4">
      <c r="A47" s="2">
        <v>4046</v>
      </c>
      <c r="B47" s="1" t="s">
        <v>61</v>
      </c>
      <c r="C47" s="1" t="s">
        <v>11</v>
      </c>
      <c r="D47" s="1" t="s">
        <v>15</v>
      </c>
      <c r="E47" s="2">
        <v>17</v>
      </c>
      <c r="F47" s="2">
        <v>25</v>
      </c>
      <c r="G47" s="3">
        <v>45337</v>
      </c>
    </row>
    <row r="48" spans="1:7" ht="15" thickBot="1" x14ac:dyDescent="0.4">
      <c r="A48" s="2">
        <v>4047</v>
      </c>
      <c r="B48" s="1" t="s">
        <v>62</v>
      </c>
      <c r="C48" s="1" t="s">
        <v>14</v>
      </c>
      <c r="D48" s="1" t="s">
        <v>19</v>
      </c>
      <c r="E48" s="2">
        <v>19</v>
      </c>
      <c r="F48" s="2">
        <v>5</v>
      </c>
      <c r="G48" s="3">
        <v>45338</v>
      </c>
    </row>
    <row r="49" spans="1:7" ht="15" thickBot="1" x14ac:dyDescent="0.4">
      <c r="A49" s="2">
        <v>4048</v>
      </c>
      <c r="B49" s="1" t="s">
        <v>63</v>
      </c>
      <c r="C49" s="1" t="s">
        <v>17</v>
      </c>
      <c r="D49" s="1" t="s">
        <v>22</v>
      </c>
      <c r="E49" s="2">
        <v>32</v>
      </c>
      <c r="F49" s="2">
        <v>8</v>
      </c>
      <c r="G49" s="3">
        <v>45339</v>
      </c>
    </row>
    <row r="50" spans="1:7" ht="15" thickBot="1" x14ac:dyDescent="0.4">
      <c r="A50" s="2">
        <v>4049</v>
      </c>
      <c r="B50" s="1" t="s">
        <v>64</v>
      </c>
      <c r="C50" s="1" t="s">
        <v>8</v>
      </c>
      <c r="D50" s="1" t="s">
        <v>9</v>
      </c>
      <c r="E50" s="2">
        <v>12</v>
      </c>
      <c r="F50" s="2">
        <v>50</v>
      </c>
      <c r="G50" s="3">
        <v>45340</v>
      </c>
    </row>
    <row r="51" spans="1:7" ht="15" thickBot="1" x14ac:dyDescent="0.4">
      <c r="A51" s="2">
        <v>4050</v>
      </c>
      <c r="B51" s="1" t="s">
        <v>65</v>
      </c>
      <c r="C51" s="1" t="s">
        <v>11</v>
      </c>
      <c r="D51" s="1" t="s">
        <v>12</v>
      </c>
      <c r="E51" s="2">
        <v>25</v>
      </c>
      <c r="F51" s="2">
        <v>10</v>
      </c>
      <c r="G51" s="3">
        <v>45341</v>
      </c>
    </row>
    <row r="52" spans="1:7" ht="15" thickBot="1" x14ac:dyDescent="0.4">
      <c r="A52" s="2">
        <v>4051</v>
      </c>
      <c r="B52" s="1" t="s">
        <v>7</v>
      </c>
      <c r="C52" s="1" t="s">
        <v>8</v>
      </c>
      <c r="D52" s="1" t="s">
        <v>15</v>
      </c>
      <c r="E52" s="2">
        <v>18</v>
      </c>
      <c r="F52" s="2">
        <v>25</v>
      </c>
      <c r="G52" s="3">
        <v>45342</v>
      </c>
    </row>
    <row r="53" spans="1:7" ht="15" thickBot="1" x14ac:dyDescent="0.4">
      <c r="A53" s="2">
        <v>4052</v>
      </c>
      <c r="B53" s="1" t="s">
        <v>10</v>
      </c>
      <c r="C53" s="1" t="s">
        <v>11</v>
      </c>
      <c r="D53" s="1" t="s">
        <v>9</v>
      </c>
      <c r="E53" s="2">
        <v>14</v>
      </c>
      <c r="F53" s="2">
        <v>50</v>
      </c>
      <c r="G53" s="3">
        <v>45343</v>
      </c>
    </row>
    <row r="54" spans="1:7" ht="15" thickBot="1" x14ac:dyDescent="0.4">
      <c r="A54" s="2">
        <v>4053</v>
      </c>
      <c r="B54" s="1" t="s">
        <v>13</v>
      </c>
      <c r="C54" s="1" t="s">
        <v>14</v>
      </c>
      <c r="D54" s="1" t="s">
        <v>12</v>
      </c>
      <c r="E54" s="2">
        <v>22</v>
      </c>
      <c r="F54" s="2">
        <v>10</v>
      </c>
      <c r="G54" s="3">
        <v>45344</v>
      </c>
    </row>
    <row r="55" spans="1:7" ht="15" thickBot="1" x14ac:dyDescent="0.4">
      <c r="A55" s="2">
        <v>4054</v>
      </c>
      <c r="B55" s="1" t="s">
        <v>16</v>
      </c>
      <c r="C55" s="1" t="s">
        <v>17</v>
      </c>
      <c r="D55" s="1" t="s">
        <v>19</v>
      </c>
      <c r="E55" s="2">
        <v>26</v>
      </c>
      <c r="F55" s="2">
        <v>5</v>
      </c>
      <c r="G55" s="3">
        <v>45345</v>
      </c>
    </row>
    <row r="56" spans="1:7" ht="15" thickBot="1" x14ac:dyDescent="0.4">
      <c r="A56" s="2">
        <v>4055</v>
      </c>
      <c r="B56" s="1" t="s">
        <v>18</v>
      </c>
      <c r="C56" s="1" t="s">
        <v>8</v>
      </c>
      <c r="D56" s="1" t="s">
        <v>22</v>
      </c>
      <c r="E56" s="2">
        <v>28</v>
      </c>
      <c r="F56" s="2">
        <v>8</v>
      </c>
      <c r="G56" s="3">
        <v>45346</v>
      </c>
    </row>
    <row r="57" spans="1:7" ht="15" thickBot="1" x14ac:dyDescent="0.4">
      <c r="A57" s="2">
        <v>4056</v>
      </c>
      <c r="B57" s="1" t="s">
        <v>20</v>
      </c>
      <c r="C57" s="1" t="s">
        <v>11</v>
      </c>
      <c r="D57" s="1" t="s">
        <v>15</v>
      </c>
      <c r="E57" s="2">
        <v>16</v>
      </c>
      <c r="F57" s="2">
        <v>25</v>
      </c>
      <c r="G57" s="3">
        <v>45347</v>
      </c>
    </row>
    <row r="58" spans="1:7" ht="15" thickBot="1" x14ac:dyDescent="0.4">
      <c r="A58" s="2">
        <v>4057</v>
      </c>
      <c r="B58" s="1" t="s">
        <v>21</v>
      </c>
      <c r="C58" s="1" t="s">
        <v>14</v>
      </c>
      <c r="D58" s="1" t="s">
        <v>9</v>
      </c>
      <c r="E58" s="2">
        <v>20</v>
      </c>
      <c r="F58" s="2">
        <v>50</v>
      </c>
      <c r="G58" s="3">
        <v>45348</v>
      </c>
    </row>
    <row r="59" spans="1:7" ht="15" thickBot="1" x14ac:dyDescent="0.4">
      <c r="A59" s="2">
        <v>4058</v>
      </c>
      <c r="B59" s="1" t="s">
        <v>23</v>
      </c>
      <c r="C59" s="1" t="s">
        <v>17</v>
      </c>
      <c r="D59" s="1" t="s">
        <v>12</v>
      </c>
      <c r="E59" s="2">
        <v>18</v>
      </c>
      <c r="F59" s="2">
        <v>10</v>
      </c>
      <c r="G59" s="3">
        <v>45349</v>
      </c>
    </row>
    <row r="60" spans="1:7" ht="15" thickBot="1" x14ac:dyDescent="0.4">
      <c r="A60" s="2">
        <v>4059</v>
      </c>
      <c r="B60" s="1" t="s">
        <v>24</v>
      </c>
      <c r="C60" s="1" t="s">
        <v>8</v>
      </c>
      <c r="D60" s="1" t="s">
        <v>19</v>
      </c>
      <c r="E60" s="2">
        <v>24</v>
      </c>
      <c r="F60" s="2">
        <v>5</v>
      </c>
      <c r="G60" s="3">
        <v>45350</v>
      </c>
    </row>
    <row r="61" spans="1:7" ht="15" thickBot="1" x14ac:dyDescent="0.4">
      <c r="A61" s="2">
        <v>4060</v>
      </c>
      <c r="B61" s="1" t="s">
        <v>25</v>
      </c>
      <c r="C61" s="1" t="s">
        <v>11</v>
      </c>
      <c r="D61" s="1" t="s">
        <v>22</v>
      </c>
      <c r="E61" s="2">
        <v>30</v>
      </c>
      <c r="F61" s="2">
        <v>8</v>
      </c>
      <c r="G61" s="3">
        <v>45351</v>
      </c>
    </row>
    <row r="62" spans="1:7" ht="15" thickBot="1" x14ac:dyDescent="0.4">
      <c r="A62" s="2">
        <v>4061</v>
      </c>
      <c r="B62" s="1" t="s">
        <v>26</v>
      </c>
      <c r="C62" s="1" t="s">
        <v>14</v>
      </c>
      <c r="D62" s="1" t="s">
        <v>9</v>
      </c>
      <c r="E62" s="2">
        <v>12</v>
      </c>
      <c r="F62" s="2">
        <v>50</v>
      </c>
      <c r="G62" s="3">
        <v>45352</v>
      </c>
    </row>
    <row r="63" spans="1:7" ht="15" thickBot="1" x14ac:dyDescent="0.4">
      <c r="A63" s="2">
        <v>4062</v>
      </c>
      <c r="B63" s="1" t="s">
        <v>27</v>
      </c>
      <c r="C63" s="1" t="s">
        <v>17</v>
      </c>
      <c r="D63" s="1" t="s">
        <v>15</v>
      </c>
      <c r="E63" s="2">
        <v>15</v>
      </c>
      <c r="F63" s="2">
        <v>25</v>
      </c>
      <c r="G63" s="3">
        <v>45353</v>
      </c>
    </row>
    <row r="64" spans="1:7" ht="15" thickBot="1" x14ac:dyDescent="0.4">
      <c r="A64" s="2">
        <v>4063</v>
      </c>
      <c r="B64" s="1" t="s">
        <v>28</v>
      </c>
      <c r="C64" s="1" t="s">
        <v>8</v>
      </c>
      <c r="D64" s="1" t="s">
        <v>12</v>
      </c>
      <c r="E64" s="2">
        <v>20</v>
      </c>
      <c r="F64" s="2">
        <v>10</v>
      </c>
      <c r="G64" s="3">
        <v>45354</v>
      </c>
    </row>
    <row r="65" spans="1:7" ht="15" thickBot="1" x14ac:dyDescent="0.4">
      <c r="A65" s="2">
        <v>4064</v>
      </c>
      <c r="B65" s="1" t="s">
        <v>29</v>
      </c>
      <c r="C65" s="1" t="s">
        <v>11</v>
      </c>
      <c r="D65" s="1" t="s">
        <v>19</v>
      </c>
      <c r="E65" s="2">
        <v>22</v>
      </c>
      <c r="F65" s="2">
        <v>5</v>
      </c>
      <c r="G65" s="3">
        <v>45355</v>
      </c>
    </row>
    <row r="66" spans="1:7" ht="15" thickBot="1" x14ac:dyDescent="0.4">
      <c r="A66" s="2">
        <v>4065</v>
      </c>
      <c r="B66" s="1" t="s">
        <v>30</v>
      </c>
      <c r="C66" s="1" t="s">
        <v>14</v>
      </c>
      <c r="D66" s="1" t="s">
        <v>22</v>
      </c>
      <c r="E66" s="2">
        <v>26</v>
      </c>
      <c r="F66" s="2">
        <v>8</v>
      </c>
      <c r="G66" s="3">
        <v>45356</v>
      </c>
    </row>
    <row r="67" spans="1:7" ht="15" thickBot="1" x14ac:dyDescent="0.4">
      <c r="A67" s="2">
        <v>4066</v>
      </c>
      <c r="B67" s="1" t="s">
        <v>31</v>
      </c>
      <c r="C67" s="1" t="s">
        <v>17</v>
      </c>
      <c r="D67" s="1" t="s">
        <v>9</v>
      </c>
      <c r="E67" s="2">
        <v>18</v>
      </c>
      <c r="F67" s="2">
        <v>50</v>
      </c>
      <c r="G67" s="3">
        <v>45357</v>
      </c>
    </row>
    <row r="68" spans="1:7" ht="15" thickBot="1" x14ac:dyDescent="0.4">
      <c r="A68" s="2">
        <v>4067</v>
      </c>
      <c r="B68" s="1" t="s">
        <v>32</v>
      </c>
      <c r="C68" s="1" t="s">
        <v>8</v>
      </c>
      <c r="D68" s="1" t="s">
        <v>15</v>
      </c>
      <c r="E68" s="2">
        <v>14</v>
      </c>
      <c r="F68" s="2">
        <v>25</v>
      </c>
      <c r="G68" s="3">
        <v>45358</v>
      </c>
    </row>
    <row r="69" spans="1:7" ht="15" thickBot="1" x14ac:dyDescent="0.4">
      <c r="A69" s="2">
        <v>4068</v>
      </c>
      <c r="B69" s="1" t="s">
        <v>33</v>
      </c>
      <c r="C69" s="1" t="s">
        <v>11</v>
      </c>
      <c r="D69" s="1" t="s">
        <v>12</v>
      </c>
      <c r="E69" s="2">
        <v>28</v>
      </c>
      <c r="F69" s="2">
        <v>10</v>
      </c>
      <c r="G69" s="3">
        <v>45359</v>
      </c>
    </row>
    <row r="70" spans="1:7" ht="15" thickBot="1" x14ac:dyDescent="0.4">
      <c r="A70" s="2">
        <v>4069</v>
      </c>
      <c r="B70" s="1" t="s">
        <v>34</v>
      </c>
      <c r="C70" s="1" t="s">
        <v>14</v>
      </c>
      <c r="D70" s="1" t="s">
        <v>19</v>
      </c>
      <c r="E70" s="2">
        <v>32</v>
      </c>
      <c r="F70" s="2">
        <v>5</v>
      </c>
      <c r="G70" s="3">
        <v>45360</v>
      </c>
    </row>
    <row r="71" spans="1:7" ht="15" thickBot="1" x14ac:dyDescent="0.4">
      <c r="A71" s="2">
        <v>4070</v>
      </c>
      <c r="B71" s="1" t="s">
        <v>35</v>
      </c>
      <c r="C71" s="1" t="s">
        <v>17</v>
      </c>
      <c r="D71" s="1" t="s">
        <v>22</v>
      </c>
      <c r="E71" s="2">
        <v>24</v>
      </c>
      <c r="F71" s="2">
        <v>8</v>
      </c>
      <c r="G71" s="3">
        <v>45361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3CD2-6B8E-4E65-915D-984987C467F8}">
  <dimension ref="A1:L71"/>
  <sheetViews>
    <sheetView topLeftCell="A50" workbookViewId="0">
      <selection sqref="A1:H71"/>
    </sheetView>
  </sheetViews>
  <sheetFormatPr defaultRowHeight="14.5" x14ac:dyDescent="0.35"/>
  <cols>
    <col min="1" max="1" width="7.1796875" style="11" bestFit="1" customWidth="1"/>
    <col min="2" max="2" width="15.36328125" style="11" customWidth="1"/>
    <col min="3" max="3" width="9.54296875" style="11" customWidth="1"/>
    <col min="4" max="4" width="8.6328125" style="11" bestFit="1" customWidth="1"/>
    <col min="5" max="5" width="7.81640625" style="11" customWidth="1"/>
    <col min="6" max="6" width="9.26953125" style="12" customWidth="1"/>
    <col min="7" max="7" width="10.08984375" style="11" bestFit="1" customWidth="1"/>
    <col min="8" max="8" width="12.90625" style="12" customWidth="1"/>
    <col min="9" max="9" width="12.7265625" customWidth="1"/>
    <col min="10" max="11" width="12.36328125" customWidth="1"/>
    <col min="12" max="12" width="12.7265625" customWidth="1"/>
  </cols>
  <sheetData>
    <row r="1" spans="1:12" ht="15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66</v>
      </c>
    </row>
    <row r="2" spans="1:12" x14ac:dyDescent="0.35">
      <c r="A2" s="7">
        <v>4001</v>
      </c>
      <c r="B2" s="7" t="s">
        <v>7</v>
      </c>
      <c r="C2" s="7" t="s">
        <v>8</v>
      </c>
      <c r="D2" s="7" t="s">
        <v>9</v>
      </c>
      <c r="E2" s="7">
        <v>10</v>
      </c>
      <c r="F2" s="8">
        <v>50</v>
      </c>
      <c r="G2" s="9">
        <v>45292</v>
      </c>
      <c r="H2" s="10">
        <f>E2*F2</f>
        <v>500</v>
      </c>
      <c r="I2" s="4"/>
      <c r="J2" s="4"/>
      <c r="K2" s="4"/>
      <c r="L2" s="4"/>
    </row>
    <row r="3" spans="1:12" x14ac:dyDescent="0.35">
      <c r="A3" s="7">
        <v>4002</v>
      </c>
      <c r="B3" s="7" t="s">
        <v>10</v>
      </c>
      <c r="C3" s="7" t="s">
        <v>11</v>
      </c>
      <c r="D3" s="7" t="s">
        <v>12</v>
      </c>
      <c r="E3" s="7">
        <v>20</v>
      </c>
      <c r="F3" s="8">
        <v>10</v>
      </c>
      <c r="G3" s="9">
        <v>45293</v>
      </c>
      <c r="H3" s="10">
        <f t="shared" ref="H3:H66" si="0">E3*F3</f>
        <v>200</v>
      </c>
    </row>
    <row r="4" spans="1:12" x14ac:dyDescent="0.35">
      <c r="A4" s="7">
        <v>4003</v>
      </c>
      <c r="B4" s="7" t="s">
        <v>13</v>
      </c>
      <c r="C4" s="7" t="s">
        <v>14</v>
      </c>
      <c r="D4" s="7" t="s">
        <v>15</v>
      </c>
      <c r="E4" s="7">
        <v>15</v>
      </c>
      <c r="F4" s="8">
        <v>25</v>
      </c>
      <c r="G4" s="9">
        <v>45294</v>
      </c>
      <c r="H4" s="10">
        <f t="shared" si="0"/>
        <v>375</v>
      </c>
    </row>
    <row r="5" spans="1:12" x14ac:dyDescent="0.35">
      <c r="A5" s="7">
        <v>4004</v>
      </c>
      <c r="B5" s="7" t="s">
        <v>16</v>
      </c>
      <c r="C5" s="7" t="s">
        <v>17</v>
      </c>
      <c r="D5" s="7" t="s">
        <v>9</v>
      </c>
      <c r="E5" s="7">
        <v>5</v>
      </c>
      <c r="F5" s="8">
        <v>50</v>
      </c>
      <c r="G5" s="9">
        <v>45295</v>
      </c>
      <c r="H5" s="10">
        <f t="shared" si="0"/>
        <v>250</v>
      </c>
    </row>
    <row r="6" spans="1:12" x14ac:dyDescent="0.35">
      <c r="A6" s="7">
        <v>4005</v>
      </c>
      <c r="B6" s="7" t="s">
        <v>18</v>
      </c>
      <c r="C6" s="7" t="s">
        <v>8</v>
      </c>
      <c r="D6" s="7" t="s">
        <v>19</v>
      </c>
      <c r="E6" s="7">
        <v>30</v>
      </c>
      <c r="F6" s="8">
        <v>5</v>
      </c>
      <c r="G6" s="9">
        <v>45296</v>
      </c>
      <c r="H6" s="10">
        <f t="shared" si="0"/>
        <v>150</v>
      </c>
    </row>
    <row r="7" spans="1:12" x14ac:dyDescent="0.35">
      <c r="A7" s="7">
        <v>4006</v>
      </c>
      <c r="B7" s="7" t="s">
        <v>20</v>
      </c>
      <c r="C7" s="7" t="s">
        <v>11</v>
      </c>
      <c r="D7" s="7" t="s">
        <v>9</v>
      </c>
      <c r="E7" s="7">
        <v>12</v>
      </c>
      <c r="F7" s="8">
        <v>50</v>
      </c>
      <c r="G7" s="9">
        <v>45297</v>
      </c>
      <c r="H7" s="10">
        <f t="shared" si="0"/>
        <v>600</v>
      </c>
    </row>
    <row r="8" spans="1:12" x14ac:dyDescent="0.35">
      <c r="A8" s="7">
        <v>4007</v>
      </c>
      <c r="B8" s="7" t="s">
        <v>21</v>
      </c>
      <c r="C8" s="7" t="s">
        <v>14</v>
      </c>
      <c r="D8" s="7" t="s">
        <v>22</v>
      </c>
      <c r="E8" s="7">
        <v>25</v>
      </c>
      <c r="F8" s="8">
        <v>8</v>
      </c>
      <c r="G8" s="9">
        <v>45298</v>
      </c>
      <c r="H8" s="10">
        <f t="shared" si="0"/>
        <v>200</v>
      </c>
    </row>
    <row r="9" spans="1:12" x14ac:dyDescent="0.35">
      <c r="A9" s="7">
        <v>4008</v>
      </c>
      <c r="B9" s="7" t="s">
        <v>23</v>
      </c>
      <c r="C9" s="7" t="s">
        <v>17</v>
      </c>
      <c r="D9" s="7" t="s">
        <v>12</v>
      </c>
      <c r="E9" s="7">
        <v>18</v>
      </c>
      <c r="F9" s="8">
        <v>10</v>
      </c>
      <c r="G9" s="9">
        <v>45299</v>
      </c>
      <c r="H9" s="10">
        <f t="shared" si="0"/>
        <v>180</v>
      </c>
    </row>
    <row r="10" spans="1:12" x14ac:dyDescent="0.35">
      <c r="A10" s="7">
        <v>4009</v>
      </c>
      <c r="B10" s="7" t="s">
        <v>24</v>
      </c>
      <c r="C10" s="7" t="s">
        <v>8</v>
      </c>
      <c r="D10" s="7" t="s">
        <v>15</v>
      </c>
      <c r="E10" s="7">
        <v>22</v>
      </c>
      <c r="F10" s="8">
        <v>25</v>
      </c>
      <c r="G10" s="9">
        <v>45300</v>
      </c>
      <c r="H10" s="10">
        <f t="shared" si="0"/>
        <v>550</v>
      </c>
    </row>
    <row r="11" spans="1:12" x14ac:dyDescent="0.35">
      <c r="A11" s="7">
        <v>4010</v>
      </c>
      <c r="B11" s="7" t="s">
        <v>25</v>
      </c>
      <c r="C11" s="7" t="s">
        <v>11</v>
      </c>
      <c r="D11" s="7" t="s">
        <v>9</v>
      </c>
      <c r="E11" s="7">
        <v>8</v>
      </c>
      <c r="F11" s="8">
        <v>50</v>
      </c>
      <c r="G11" s="9">
        <v>45301</v>
      </c>
      <c r="H11" s="10">
        <f t="shared" si="0"/>
        <v>400</v>
      </c>
    </row>
    <row r="12" spans="1:12" x14ac:dyDescent="0.35">
      <c r="A12" s="7">
        <v>4011</v>
      </c>
      <c r="B12" s="7" t="s">
        <v>26</v>
      </c>
      <c r="C12" s="7" t="s">
        <v>14</v>
      </c>
      <c r="D12" s="7" t="s">
        <v>19</v>
      </c>
      <c r="E12" s="7">
        <v>40</v>
      </c>
      <c r="F12" s="8">
        <v>5</v>
      </c>
      <c r="G12" s="9">
        <v>45302</v>
      </c>
      <c r="H12" s="10">
        <f t="shared" si="0"/>
        <v>200</v>
      </c>
    </row>
    <row r="13" spans="1:12" x14ac:dyDescent="0.35">
      <c r="A13" s="7">
        <v>4012</v>
      </c>
      <c r="B13" s="7" t="s">
        <v>27</v>
      </c>
      <c r="C13" s="7" t="s">
        <v>17</v>
      </c>
      <c r="D13" s="7" t="s">
        <v>22</v>
      </c>
      <c r="E13" s="7">
        <v>35</v>
      </c>
      <c r="F13" s="8">
        <v>8</v>
      </c>
      <c r="G13" s="9">
        <v>45303</v>
      </c>
      <c r="H13" s="10">
        <f t="shared" si="0"/>
        <v>280</v>
      </c>
    </row>
    <row r="14" spans="1:12" x14ac:dyDescent="0.35">
      <c r="A14" s="7">
        <v>4013</v>
      </c>
      <c r="B14" s="7" t="s">
        <v>28</v>
      </c>
      <c r="C14" s="7" t="s">
        <v>8</v>
      </c>
      <c r="D14" s="7" t="s">
        <v>9</v>
      </c>
      <c r="E14" s="7">
        <v>14</v>
      </c>
      <c r="F14" s="8">
        <v>50</v>
      </c>
      <c r="G14" s="9">
        <v>45304</v>
      </c>
      <c r="H14" s="10">
        <f t="shared" si="0"/>
        <v>700</v>
      </c>
    </row>
    <row r="15" spans="1:12" x14ac:dyDescent="0.35">
      <c r="A15" s="7">
        <v>4014</v>
      </c>
      <c r="B15" s="7" t="s">
        <v>29</v>
      </c>
      <c r="C15" s="7" t="s">
        <v>11</v>
      </c>
      <c r="D15" s="7" t="s">
        <v>12</v>
      </c>
      <c r="E15" s="7">
        <v>28</v>
      </c>
      <c r="F15" s="8">
        <v>10</v>
      </c>
      <c r="G15" s="9">
        <v>45305</v>
      </c>
      <c r="H15" s="10">
        <f t="shared" si="0"/>
        <v>280</v>
      </c>
    </row>
    <row r="16" spans="1:12" x14ac:dyDescent="0.35">
      <c r="A16" s="7">
        <v>4015</v>
      </c>
      <c r="B16" s="7" t="s">
        <v>30</v>
      </c>
      <c r="C16" s="7" t="s">
        <v>14</v>
      </c>
      <c r="D16" s="7" t="s">
        <v>15</v>
      </c>
      <c r="E16" s="7">
        <v>12</v>
      </c>
      <c r="F16" s="8">
        <v>25</v>
      </c>
      <c r="G16" s="9">
        <v>45306</v>
      </c>
      <c r="H16" s="10">
        <f t="shared" si="0"/>
        <v>300</v>
      </c>
    </row>
    <row r="17" spans="1:8" x14ac:dyDescent="0.35">
      <c r="A17" s="7">
        <v>4016</v>
      </c>
      <c r="B17" s="7" t="s">
        <v>31</v>
      </c>
      <c r="C17" s="7" t="s">
        <v>17</v>
      </c>
      <c r="D17" s="7" t="s">
        <v>19</v>
      </c>
      <c r="E17" s="7">
        <v>25</v>
      </c>
      <c r="F17" s="8">
        <v>5</v>
      </c>
      <c r="G17" s="9">
        <v>45307</v>
      </c>
      <c r="H17" s="10">
        <f t="shared" si="0"/>
        <v>125</v>
      </c>
    </row>
    <row r="18" spans="1:8" x14ac:dyDescent="0.35">
      <c r="A18" s="7">
        <v>4017</v>
      </c>
      <c r="B18" s="7" t="s">
        <v>32</v>
      </c>
      <c r="C18" s="7" t="s">
        <v>8</v>
      </c>
      <c r="D18" s="7" t="s">
        <v>22</v>
      </c>
      <c r="E18" s="7">
        <v>20</v>
      </c>
      <c r="F18" s="8">
        <v>8</v>
      </c>
      <c r="G18" s="9">
        <v>45308</v>
      </c>
      <c r="H18" s="10">
        <f t="shared" si="0"/>
        <v>160</v>
      </c>
    </row>
    <row r="19" spans="1:8" x14ac:dyDescent="0.35">
      <c r="A19" s="7">
        <v>4018</v>
      </c>
      <c r="B19" s="7" t="s">
        <v>33</v>
      </c>
      <c r="C19" s="7" t="s">
        <v>11</v>
      </c>
      <c r="D19" s="7" t="s">
        <v>9</v>
      </c>
      <c r="E19" s="7">
        <v>10</v>
      </c>
      <c r="F19" s="8">
        <v>50</v>
      </c>
      <c r="G19" s="9">
        <v>45309</v>
      </c>
      <c r="H19" s="10">
        <f t="shared" si="0"/>
        <v>500</v>
      </c>
    </row>
    <row r="20" spans="1:8" x14ac:dyDescent="0.35">
      <c r="A20" s="7">
        <v>4019</v>
      </c>
      <c r="B20" s="7" t="s">
        <v>34</v>
      </c>
      <c r="C20" s="7" t="s">
        <v>14</v>
      </c>
      <c r="D20" s="7" t="s">
        <v>12</v>
      </c>
      <c r="E20" s="7">
        <v>15</v>
      </c>
      <c r="F20" s="8">
        <v>10</v>
      </c>
      <c r="G20" s="9">
        <v>45310</v>
      </c>
      <c r="H20" s="10">
        <f t="shared" si="0"/>
        <v>150</v>
      </c>
    </row>
    <row r="21" spans="1:8" x14ac:dyDescent="0.35">
      <c r="A21" s="7">
        <v>4020</v>
      </c>
      <c r="B21" s="7" t="s">
        <v>35</v>
      </c>
      <c r="C21" s="7" t="s">
        <v>17</v>
      </c>
      <c r="D21" s="7" t="s">
        <v>15</v>
      </c>
      <c r="E21" s="7">
        <v>18</v>
      </c>
      <c r="F21" s="8">
        <v>25</v>
      </c>
      <c r="G21" s="9">
        <v>45311</v>
      </c>
      <c r="H21" s="10">
        <f t="shared" si="0"/>
        <v>450</v>
      </c>
    </row>
    <row r="22" spans="1:8" x14ac:dyDescent="0.35">
      <c r="A22" s="7">
        <v>4021</v>
      </c>
      <c r="B22" s="7" t="s">
        <v>36</v>
      </c>
      <c r="C22" s="7" t="s">
        <v>8</v>
      </c>
      <c r="D22" s="7" t="s">
        <v>9</v>
      </c>
      <c r="E22" s="7">
        <v>9</v>
      </c>
      <c r="F22" s="8">
        <v>50</v>
      </c>
      <c r="G22" s="9">
        <v>45312</v>
      </c>
      <c r="H22" s="10">
        <f t="shared" si="0"/>
        <v>450</v>
      </c>
    </row>
    <row r="23" spans="1:8" x14ac:dyDescent="0.35">
      <c r="A23" s="7">
        <v>4022</v>
      </c>
      <c r="B23" s="7" t="s">
        <v>37</v>
      </c>
      <c r="C23" s="7" t="s">
        <v>11</v>
      </c>
      <c r="D23" s="7" t="s">
        <v>19</v>
      </c>
      <c r="E23" s="7">
        <v>35</v>
      </c>
      <c r="F23" s="8">
        <v>5</v>
      </c>
      <c r="G23" s="9">
        <v>45313</v>
      </c>
      <c r="H23" s="10">
        <f t="shared" si="0"/>
        <v>175</v>
      </c>
    </row>
    <row r="24" spans="1:8" x14ac:dyDescent="0.35">
      <c r="A24" s="7">
        <v>4023</v>
      </c>
      <c r="B24" s="7" t="s">
        <v>38</v>
      </c>
      <c r="C24" s="7" t="s">
        <v>14</v>
      </c>
      <c r="D24" s="7" t="s">
        <v>22</v>
      </c>
      <c r="E24" s="7">
        <v>30</v>
      </c>
      <c r="F24" s="8">
        <v>8</v>
      </c>
      <c r="G24" s="9">
        <v>45314</v>
      </c>
      <c r="H24" s="10">
        <f t="shared" si="0"/>
        <v>240</v>
      </c>
    </row>
    <row r="25" spans="1:8" x14ac:dyDescent="0.35">
      <c r="A25" s="7">
        <v>4024</v>
      </c>
      <c r="B25" s="7" t="s">
        <v>39</v>
      </c>
      <c r="C25" s="7" t="s">
        <v>17</v>
      </c>
      <c r="D25" s="7" t="s">
        <v>9</v>
      </c>
      <c r="E25" s="7">
        <v>11</v>
      </c>
      <c r="F25" s="8">
        <v>50</v>
      </c>
      <c r="G25" s="9">
        <v>45315</v>
      </c>
      <c r="H25" s="10">
        <f t="shared" si="0"/>
        <v>550</v>
      </c>
    </row>
    <row r="26" spans="1:8" x14ac:dyDescent="0.35">
      <c r="A26" s="7">
        <v>4025</v>
      </c>
      <c r="B26" s="7" t="s">
        <v>40</v>
      </c>
      <c r="C26" s="7" t="s">
        <v>8</v>
      </c>
      <c r="D26" s="7" t="s">
        <v>12</v>
      </c>
      <c r="E26" s="7">
        <v>14</v>
      </c>
      <c r="F26" s="8">
        <v>10</v>
      </c>
      <c r="G26" s="9">
        <v>45316</v>
      </c>
      <c r="H26" s="10">
        <f t="shared" si="0"/>
        <v>140</v>
      </c>
    </row>
    <row r="27" spans="1:8" x14ac:dyDescent="0.35">
      <c r="A27" s="7">
        <v>4026</v>
      </c>
      <c r="B27" s="7" t="s">
        <v>41</v>
      </c>
      <c r="C27" s="7" t="s">
        <v>11</v>
      </c>
      <c r="D27" s="7" t="s">
        <v>15</v>
      </c>
      <c r="E27" s="7">
        <v>16</v>
      </c>
      <c r="F27" s="8">
        <v>25</v>
      </c>
      <c r="G27" s="9">
        <v>45317</v>
      </c>
      <c r="H27" s="10">
        <f t="shared" si="0"/>
        <v>400</v>
      </c>
    </row>
    <row r="28" spans="1:8" x14ac:dyDescent="0.35">
      <c r="A28" s="7">
        <v>4027</v>
      </c>
      <c r="B28" s="7" t="s">
        <v>42</v>
      </c>
      <c r="C28" s="7" t="s">
        <v>14</v>
      </c>
      <c r="D28" s="7" t="s">
        <v>19</v>
      </c>
      <c r="E28" s="7">
        <v>22</v>
      </c>
      <c r="F28" s="8">
        <v>5</v>
      </c>
      <c r="G28" s="9">
        <v>45318</v>
      </c>
      <c r="H28" s="10">
        <f t="shared" si="0"/>
        <v>110</v>
      </c>
    </row>
    <row r="29" spans="1:8" x14ac:dyDescent="0.35">
      <c r="A29" s="7">
        <v>4028</v>
      </c>
      <c r="B29" s="7" t="s">
        <v>43</v>
      </c>
      <c r="C29" s="7" t="s">
        <v>17</v>
      </c>
      <c r="D29" s="7" t="s">
        <v>22</v>
      </c>
      <c r="E29" s="7">
        <v>27</v>
      </c>
      <c r="F29" s="8">
        <v>8</v>
      </c>
      <c r="G29" s="9">
        <v>45319</v>
      </c>
      <c r="H29" s="10">
        <f t="shared" si="0"/>
        <v>216</v>
      </c>
    </row>
    <row r="30" spans="1:8" x14ac:dyDescent="0.35">
      <c r="A30" s="7">
        <v>4029</v>
      </c>
      <c r="B30" s="7" t="s">
        <v>44</v>
      </c>
      <c r="C30" s="7" t="s">
        <v>8</v>
      </c>
      <c r="D30" s="7" t="s">
        <v>9</v>
      </c>
      <c r="E30" s="7">
        <v>13</v>
      </c>
      <c r="F30" s="8">
        <v>50</v>
      </c>
      <c r="G30" s="9">
        <v>45320</v>
      </c>
      <c r="H30" s="10">
        <f t="shared" si="0"/>
        <v>650</v>
      </c>
    </row>
    <row r="31" spans="1:8" x14ac:dyDescent="0.35">
      <c r="A31" s="7">
        <v>4030</v>
      </c>
      <c r="B31" s="7" t="s">
        <v>45</v>
      </c>
      <c r="C31" s="7" t="s">
        <v>11</v>
      </c>
      <c r="D31" s="7" t="s">
        <v>12</v>
      </c>
      <c r="E31" s="7">
        <v>32</v>
      </c>
      <c r="F31" s="8">
        <v>10</v>
      </c>
      <c r="G31" s="9">
        <v>45321</v>
      </c>
      <c r="H31" s="10">
        <f t="shared" si="0"/>
        <v>320</v>
      </c>
    </row>
    <row r="32" spans="1:8" x14ac:dyDescent="0.35">
      <c r="A32" s="7">
        <v>4031</v>
      </c>
      <c r="B32" s="7" t="s">
        <v>46</v>
      </c>
      <c r="C32" s="7" t="s">
        <v>14</v>
      </c>
      <c r="D32" s="7" t="s">
        <v>15</v>
      </c>
      <c r="E32" s="7">
        <v>10</v>
      </c>
      <c r="F32" s="8">
        <v>25</v>
      </c>
      <c r="G32" s="9">
        <v>45322</v>
      </c>
      <c r="H32" s="10">
        <f t="shared" si="0"/>
        <v>250</v>
      </c>
    </row>
    <row r="33" spans="1:8" x14ac:dyDescent="0.35">
      <c r="A33" s="7">
        <v>4032</v>
      </c>
      <c r="B33" s="7" t="s">
        <v>47</v>
      </c>
      <c r="C33" s="7" t="s">
        <v>17</v>
      </c>
      <c r="D33" s="7" t="s">
        <v>19</v>
      </c>
      <c r="E33" s="7">
        <v>18</v>
      </c>
      <c r="F33" s="8">
        <v>5</v>
      </c>
      <c r="G33" s="9">
        <v>45323</v>
      </c>
      <c r="H33" s="10">
        <f t="shared" si="0"/>
        <v>90</v>
      </c>
    </row>
    <row r="34" spans="1:8" x14ac:dyDescent="0.35">
      <c r="A34" s="7">
        <v>4033</v>
      </c>
      <c r="B34" s="7" t="s">
        <v>48</v>
      </c>
      <c r="C34" s="7" t="s">
        <v>8</v>
      </c>
      <c r="D34" s="7" t="s">
        <v>22</v>
      </c>
      <c r="E34" s="7">
        <v>22</v>
      </c>
      <c r="F34" s="8">
        <v>8</v>
      </c>
      <c r="G34" s="9">
        <v>45324</v>
      </c>
      <c r="H34" s="10">
        <f t="shared" si="0"/>
        <v>176</v>
      </c>
    </row>
    <row r="35" spans="1:8" x14ac:dyDescent="0.35">
      <c r="A35" s="7">
        <v>4034</v>
      </c>
      <c r="B35" s="7" t="s">
        <v>49</v>
      </c>
      <c r="C35" s="7" t="s">
        <v>11</v>
      </c>
      <c r="D35" s="7" t="s">
        <v>9</v>
      </c>
      <c r="E35" s="7">
        <v>17</v>
      </c>
      <c r="F35" s="8">
        <v>50</v>
      </c>
      <c r="G35" s="9">
        <v>45325</v>
      </c>
      <c r="H35" s="10">
        <f t="shared" si="0"/>
        <v>850</v>
      </c>
    </row>
    <row r="36" spans="1:8" x14ac:dyDescent="0.35">
      <c r="A36" s="7">
        <v>4035</v>
      </c>
      <c r="B36" s="7" t="s">
        <v>50</v>
      </c>
      <c r="C36" s="7" t="s">
        <v>14</v>
      </c>
      <c r="D36" s="7" t="s">
        <v>12</v>
      </c>
      <c r="E36" s="7">
        <v>19</v>
      </c>
      <c r="F36" s="8">
        <v>10</v>
      </c>
      <c r="G36" s="9">
        <v>45326</v>
      </c>
      <c r="H36" s="10">
        <f t="shared" si="0"/>
        <v>190</v>
      </c>
    </row>
    <row r="37" spans="1:8" x14ac:dyDescent="0.35">
      <c r="A37" s="7">
        <v>4036</v>
      </c>
      <c r="B37" s="7" t="s">
        <v>51</v>
      </c>
      <c r="C37" s="7" t="s">
        <v>17</v>
      </c>
      <c r="D37" s="7" t="s">
        <v>15</v>
      </c>
      <c r="E37" s="7">
        <v>15</v>
      </c>
      <c r="F37" s="8">
        <v>25</v>
      </c>
      <c r="G37" s="9">
        <v>45327</v>
      </c>
      <c r="H37" s="10">
        <f t="shared" si="0"/>
        <v>375</v>
      </c>
    </row>
    <row r="38" spans="1:8" x14ac:dyDescent="0.35">
      <c r="A38" s="7">
        <v>4037</v>
      </c>
      <c r="B38" s="7" t="s">
        <v>52</v>
      </c>
      <c r="C38" s="7" t="s">
        <v>8</v>
      </c>
      <c r="D38" s="7" t="s">
        <v>19</v>
      </c>
      <c r="E38" s="7">
        <v>28</v>
      </c>
      <c r="F38" s="8">
        <v>5</v>
      </c>
      <c r="G38" s="9">
        <v>45328</v>
      </c>
      <c r="H38" s="10">
        <f t="shared" si="0"/>
        <v>140</v>
      </c>
    </row>
    <row r="39" spans="1:8" x14ac:dyDescent="0.35">
      <c r="A39" s="7">
        <v>4038</v>
      </c>
      <c r="B39" s="7" t="s">
        <v>53</v>
      </c>
      <c r="C39" s="7" t="s">
        <v>11</v>
      </c>
      <c r="D39" s="7" t="s">
        <v>22</v>
      </c>
      <c r="E39" s="7">
        <v>24</v>
      </c>
      <c r="F39" s="8">
        <v>8</v>
      </c>
      <c r="G39" s="9">
        <v>45329</v>
      </c>
      <c r="H39" s="10">
        <f t="shared" si="0"/>
        <v>192</v>
      </c>
    </row>
    <row r="40" spans="1:8" x14ac:dyDescent="0.35">
      <c r="A40" s="7">
        <v>4039</v>
      </c>
      <c r="B40" s="7" t="s">
        <v>54</v>
      </c>
      <c r="C40" s="7" t="s">
        <v>14</v>
      </c>
      <c r="D40" s="7" t="s">
        <v>9</v>
      </c>
      <c r="E40" s="7">
        <v>16</v>
      </c>
      <c r="F40" s="8">
        <v>50</v>
      </c>
      <c r="G40" s="9">
        <v>45330</v>
      </c>
      <c r="H40" s="10">
        <f t="shared" si="0"/>
        <v>800</v>
      </c>
    </row>
    <row r="41" spans="1:8" x14ac:dyDescent="0.35">
      <c r="A41" s="7">
        <v>4040</v>
      </c>
      <c r="B41" s="7" t="s">
        <v>55</v>
      </c>
      <c r="C41" s="7" t="s">
        <v>17</v>
      </c>
      <c r="D41" s="7" t="s">
        <v>12</v>
      </c>
      <c r="E41" s="7">
        <v>27</v>
      </c>
      <c r="F41" s="8">
        <v>10</v>
      </c>
      <c r="G41" s="9">
        <v>45331</v>
      </c>
      <c r="H41" s="10">
        <f t="shared" si="0"/>
        <v>270</v>
      </c>
    </row>
    <row r="42" spans="1:8" x14ac:dyDescent="0.35">
      <c r="A42" s="7">
        <v>4041</v>
      </c>
      <c r="B42" s="7" t="s">
        <v>56</v>
      </c>
      <c r="C42" s="7" t="s">
        <v>8</v>
      </c>
      <c r="D42" s="7" t="s">
        <v>15</v>
      </c>
      <c r="E42" s="7">
        <v>21</v>
      </c>
      <c r="F42" s="8">
        <v>25</v>
      </c>
      <c r="G42" s="9">
        <v>45332</v>
      </c>
      <c r="H42" s="10">
        <f t="shared" si="0"/>
        <v>525</v>
      </c>
    </row>
    <row r="43" spans="1:8" x14ac:dyDescent="0.35">
      <c r="A43" s="7">
        <v>4042</v>
      </c>
      <c r="B43" s="7" t="s">
        <v>57</v>
      </c>
      <c r="C43" s="7" t="s">
        <v>11</v>
      </c>
      <c r="D43" s="7" t="s">
        <v>19</v>
      </c>
      <c r="E43" s="7">
        <v>30</v>
      </c>
      <c r="F43" s="8">
        <v>5</v>
      </c>
      <c r="G43" s="9">
        <v>45333</v>
      </c>
      <c r="H43" s="10">
        <f t="shared" si="0"/>
        <v>150</v>
      </c>
    </row>
    <row r="44" spans="1:8" x14ac:dyDescent="0.35">
      <c r="A44" s="7">
        <v>4043</v>
      </c>
      <c r="B44" s="7" t="s">
        <v>58</v>
      </c>
      <c r="C44" s="7" t="s">
        <v>14</v>
      </c>
      <c r="D44" s="7" t="s">
        <v>22</v>
      </c>
      <c r="E44" s="7">
        <v>26</v>
      </c>
      <c r="F44" s="8">
        <v>8</v>
      </c>
      <c r="G44" s="9">
        <v>45334</v>
      </c>
      <c r="H44" s="10">
        <f t="shared" si="0"/>
        <v>208</v>
      </c>
    </row>
    <row r="45" spans="1:8" x14ac:dyDescent="0.35">
      <c r="A45" s="7">
        <v>4044</v>
      </c>
      <c r="B45" s="7" t="s">
        <v>59</v>
      </c>
      <c r="C45" s="7" t="s">
        <v>17</v>
      </c>
      <c r="D45" s="7" t="s">
        <v>9</v>
      </c>
      <c r="E45" s="7">
        <v>14</v>
      </c>
      <c r="F45" s="8">
        <v>50</v>
      </c>
      <c r="G45" s="9">
        <v>45335</v>
      </c>
      <c r="H45" s="10">
        <f t="shared" si="0"/>
        <v>700</v>
      </c>
    </row>
    <row r="46" spans="1:8" x14ac:dyDescent="0.35">
      <c r="A46" s="7">
        <v>4045</v>
      </c>
      <c r="B46" s="7" t="s">
        <v>60</v>
      </c>
      <c r="C46" s="7" t="s">
        <v>8</v>
      </c>
      <c r="D46" s="7" t="s">
        <v>12</v>
      </c>
      <c r="E46" s="7">
        <v>20</v>
      </c>
      <c r="F46" s="8">
        <v>10</v>
      </c>
      <c r="G46" s="9">
        <v>45336</v>
      </c>
      <c r="H46" s="10">
        <f t="shared" si="0"/>
        <v>200</v>
      </c>
    </row>
    <row r="47" spans="1:8" x14ac:dyDescent="0.35">
      <c r="A47" s="7">
        <v>4046</v>
      </c>
      <c r="B47" s="7" t="s">
        <v>61</v>
      </c>
      <c r="C47" s="7" t="s">
        <v>11</v>
      </c>
      <c r="D47" s="7" t="s">
        <v>15</v>
      </c>
      <c r="E47" s="7">
        <v>17</v>
      </c>
      <c r="F47" s="8">
        <v>25</v>
      </c>
      <c r="G47" s="9">
        <v>45337</v>
      </c>
      <c r="H47" s="10">
        <f t="shared" si="0"/>
        <v>425</v>
      </c>
    </row>
    <row r="48" spans="1:8" x14ac:dyDescent="0.35">
      <c r="A48" s="7">
        <v>4047</v>
      </c>
      <c r="B48" s="7" t="s">
        <v>62</v>
      </c>
      <c r="C48" s="7" t="s">
        <v>14</v>
      </c>
      <c r="D48" s="7" t="s">
        <v>19</v>
      </c>
      <c r="E48" s="7">
        <v>19</v>
      </c>
      <c r="F48" s="8">
        <v>5</v>
      </c>
      <c r="G48" s="9">
        <v>45338</v>
      </c>
      <c r="H48" s="10">
        <f t="shared" si="0"/>
        <v>95</v>
      </c>
    </row>
    <row r="49" spans="1:8" x14ac:dyDescent="0.35">
      <c r="A49" s="7">
        <v>4048</v>
      </c>
      <c r="B49" s="7" t="s">
        <v>63</v>
      </c>
      <c r="C49" s="7" t="s">
        <v>17</v>
      </c>
      <c r="D49" s="7" t="s">
        <v>22</v>
      </c>
      <c r="E49" s="7">
        <v>32</v>
      </c>
      <c r="F49" s="8">
        <v>8</v>
      </c>
      <c r="G49" s="9">
        <v>45339</v>
      </c>
      <c r="H49" s="10">
        <f t="shared" si="0"/>
        <v>256</v>
      </c>
    </row>
    <row r="50" spans="1:8" x14ac:dyDescent="0.35">
      <c r="A50" s="7">
        <v>4049</v>
      </c>
      <c r="B50" s="7" t="s">
        <v>64</v>
      </c>
      <c r="C50" s="7" t="s">
        <v>8</v>
      </c>
      <c r="D50" s="7" t="s">
        <v>9</v>
      </c>
      <c r="E50" s="7">
        <v>12</v>
      </c>
      <c r="F50" s="8">
        <v>50</v>
      </c>
      <c r="G50" s="9">
        <v>45340</v>
      </c>
      <c r="H50" s="10">
        <f t="shared" si="0"/>
        <v>600</v>
      </c>
    </row>
    <row r="51" spans="1:8" x14ac:dyDescent="0.35">
      <c r="A51" s="7">
        <v>4050</v>
      </c>
      <c r="B51" s="7" t="s">
        <v>65</v>
      </c>
      <c r="C51" s="7" t="s">
        <v>11</v>
      </c>
      <c r="D51" s="7" t="s">
        <v>12</v>
      </c>
      <c r="E51" s="7">
        <v>25</v>
      </c>
      <c r="F51" s="8">
        <v>10</v>
      </c>
      <c r="G51" s="9">
        <v>45341</v>
      </c>
      <c r="H51" s="10">
        <f t="shared" si="0"/>
        <v>250</v>
      </c>
    </row>
    <row r="52" spans="1:8" x14ac:dyDescent="0.35">
      <c r="A52" s="7">
        <v>4051</v>
      </c>
      <c r="B52" s="7" t="s">
        <v>7</v>
      </c>
      <c r="C52" s="7" t="s">
        <v>8</v>
      </c>
      <c r="D52" s="7" t="s">
        <v>15</v>
      </c>
      <c r="E52" s="7">
        <v>18</v>
      </c>
      <c r="F52" s="8">
        <v>25</v>
      </c>
      <c r="G52" s="9">
        <v>45342</v>
      </c>
      <c r="H52" s="10">
        <f t="shared" si="0"/>
        <v>450</v>
      </c>
    </row>
    <row r="53" spans="1:8" x14ac:dyDescent="0.35">
      <c r="A53" s="7">
        <v>4052</v>
      </c>
      <c r="B53" s="7" t="s">
        <v>10</v>
      </c>
      <c r="C53" s="7" t="s">
        <v>11</v>
      </c>
      <c r="D53" s="7" t="s">
        <v>9</v>
      </c>
      <c r="E53" s="7">
        <v>14</v>
      </c>
      <c r="F53" s="8">
        <v>50</v>
      </c>
      <c r="G53" s="9">
        <v>45343</v>
      </c>
      <c r="H53" s="10">
        <f t="shared" si="0"/>
        <v>700</v>
      </c>
    </row>
    <row r="54" spans="1:8" x14ac:dyDescent="0.35">
      <c r="A54" s="7">
        <v>4053</v>
      </c>
      <c r="B54" s="7" t="s">
        <v>13</v>
      </c>
      <c r="C54" s="7" t="s">
        <v>14</v>
      </c>
      <c r="D54" s="7" t="s">
        <v>12</v>
      </c>
      <c r="E54" s="7">
        <v>22</v>
      </c>
      <c r="F54" s="8">
        <v>10</v>
      </c>
      <c r="G54" s="9">
        <v>45344</v>
      </c>
      <c r="H54" s="10">
        <f t="shared" si="0"/>
        <v>220</v>
      </c>
    </row>
    <row r="55" spans="1:8" x14ac:dyDescent="0.35">
      <c r="A55" s="7">
        <v>4054</v>
      </c>
      <c r="B55" s="7" t="s">
        <v>16</v>
      </c>
      <c r="C55" s="7" t="s">
        <v>17</v>
      </c>
      <c r="D55" s="7" t="s">
        <v>19</v>
      </c>
      <c r="E55" s="7">
        <v>26</v>
      </c>
      <c r="F55" s="8">
        <v>5</v>
      </c>
      <c r="G55" s="9">
        <v>45345</v>
      </c>
      <c r="H55" s="10">
        <f t="shared" si="0"/>
        <v>130</v>
      </c>
    </row>
    <row r="56" spans="1:8" x14ac:dyDescent="0.35">
      <c r="A56" s="7">
        <v>4055</v>
      </c>
      <c r="B56" s="7" t="s">
        <v>18</v>
      </c>
      <c r="C56" s="7" t="s">
        <v>8</v>
      </c>
      <c r="D56" s="7" t="s">
        <v>22</v>
      </c>
      <c r="E56" s="7">
        <v>28</v>
      </c>
      <c r="F56" s="8">
        <v>8</v>
      </c>
      <c r="G56" s="9">
        <v>45346</v>
      </c>
      <c r="H56" s="10">
        <f t="shared" si="0"/>
        <v>224</v>
      </c>
    </row>
    <row r="57" spans="1:8" x14ac:dyDescent="0.35">
      <c r="A57" s="7">
        <v>4056</v>
      </c>
      <c r="B57" s="7" t="s">
        <v>20</v>
      </c>
      <c r="C57" s="7" t="s">
        <v>11</v>
      </c>
      <c r="D57" s="7" t="s">
        <v>15</v>
      </c>
      <c r="E57" s="7">
        <v>16</v>
      </c>
      <c r="F57" s="8">
        <v>25</v>
      </c>
      <c r="G57" s="9">
        <v>45347</v>
      </c>
      <c r="H57" s="10">
        <f t="shared" si="0"/>
        <v>400</v>
      </c>
    </row>
    <row r="58" spans="1:8" x14ac:dyDescent="0.35">
      <c r="A58" s="7">
        <v>4057</v>
      </c>
      <c r="B58" s="7" t="s">
        <v>21</v>
      </c>
      <c r="C58" s="7" t="s">
        <v>14</v>
      </c>
      <c r="D58" s="7" t="s">
        <v>9</v>
      </c>
      <c r="E58" s="7">
        <v>20</v>
      </c>
      <c r="F58" s="8">
        <v>50</v>
      </c>
      <c r="G58" s="9">
        <v>45348</v>
      </c>
      <c r="H58" s="10">
        <f t="shared" si="0"/>
        <v>1000</v>
      </c>
    </row>
    <row r="59" spans="1:8" x14ac:dyDescent="0.35">
      <c r="A59" s="7">
        <v>4058</v>
      </c>
      <c r="B59" s="7" t="s">
        <v>23</v>
      </c>
      <c r="C59" s="7" t="s">
        <v>17</v>
      </c>
      <c r="D59" s="7" t="s">
        <v>12</v>
      </c>
      <c r="E59" s="7">
        <v>18</v>
      </c>
      <c r="F59" s="8">
        <v>10</v>
      </c>
      <c r="G59" s="9">
        <v>45349</v>
      </c>
      <c r="H59" s="10">
        <f t="shared" si="0"/>
        <v>180</v>
      </c>
    </row>
    <row r="60" spans="1:8" x14ac:dyDescent="0.35">
      <c r="A60" s="7">
        <v>4059</v>
      </c>
      <c r="B60" s="7" t="s">
        <v>24</v>
      </c>
      <c r="C60" s="7" t="s">
        <v>8</v>
      </c>
      <c r="D60" s="7" t="s">
        <v>19</v>
      </c>
      <c r="E60" s="7">
        <v>24</v>
      </c>
      <c r="F60" s="8">
        <v>5</v>
      </c>
      <c r="G60" s="9">
        <v>45350</v>
      </c>
      <c r="H60" s="10">
        <f t="shared" si="0"/>
        <v>120</v>
      </c>
    </row>
    <row r="61" spans="1:8" x14ac:dyDescent="0.35">
      <c r="A61" s="7">
        <v>4060</v>
      </c>
      <c r="B61" s="7" t="s">
        <v>25</v>
      </c>
      <c r="C61" s="7" t="s">
        <v>11</v>
      </c>
      <c r="D61" s="7" t="s">
        <v>22</v>
      </c>
      <c r="E61" s="7">
        <v>30</v>
      </c>
      <c r="F61" s="8">
        <v>8</v>
      </c>
      <c r="G61" s="9">
        <v>45351</v>
      </c>
      <c r="H61" s="10">
        <f t="shared" si="0"/>
        <v>240</v>
      </c>
    </row>
    <row r="62" spans="1:8" x14ac:dyDescent="0.35">
      <c r="A62" s="7">
        <v>4061</v>
      </c>
      <c r="B62" s="7" t="s">
        <v>26</v>
      </c>
      <c r="C62" s="7" t="s">
        <v>14</v>
      </c>
      <c r="D62" s="7" t="s">
        <v>9</v>
      </c>
      <c r="E62" s="7">
        <v>12</v>
      </c>
      <c r="F62" s="8">
        <v>50</v>
      </c>
      <c r="G62" s="9">
        <v>45352</v>
      </c>
      <c r="H62" s="10">
        <f t="shared" si="0"/>
        <v>600</v>
      </c>
    </row>
    <row r="63" spans="1:8" x14ac:dyDescent="0.35">
      <c r="A63" s="7">
        <v>4062</v>
      </c>
      <c r="B63" s="7" t="s">
        <v>27</v>
      </c>
      <c r="C63" s="7" t="s">
        <v>17</v>
      </c>
      <c r="D63" s="7" t="s">
        <v>15</v>
      </c>
      <c r="E63" s="7">
        <v>15</v>
      </c>
      <c r="F63" s="8">
        <v>25</v>
      </c>
      <c r="G63" s="9">
        <v>45353</v>
      </c>
      <c r="H63" s="10">
        <f t="shared" si="0"/>
        <v>375</v>
      </c>
    </row>
    <row r="64" spans="1:8" x14ac:dyDescent="0.35">
      <c r="A64" s="7">
        <v>4063</v>
      </c>
      <c r="B64" s="7" t="s">
        <v>28</v>
      </c>
      <c r="C64" s="7" t="s">
        <v>8</v>
      </c>
      <c r="D64" s="7" t="s">
        <v>12</v>
      </c>
      <c r="E64" s="7">
        <v>20</v>
      </c>
      <c r="F64" s="8">
        <v>10</v>
      </c>
      <c r="G64" s="9">
        <v>45354</v>
      </c>
      <c r="H64" s="10">
        <f t="shared" si="0"/>
        <v>200</v>
      </c>
    </row>
    <row r="65" spans="1:8" x14ac:dyDescent="0.35">
      <c r="A65" s="7">
        <v>4064</v>
      </c>
      <c r="B65" s="7" t="s">
        <v>29</v>
      </c>
      <c r="C65" s="7" t="s">
        <v>11</v>
      </c>
      <c r="D65" s="7" t="s">
        <v>19</v>
      </c>
      <c r="E65" s="7">
        <v>22</v>
      </c>
      <c r="F65" s="8">
        <v>5</v>
      </c>
      <c r="G65" s="9">
        <v>45355</v>
      </c>
      <c r="H65" s="10">
        <f t="shared" si="0"/>
        <v>110</v>
      </c>
    </row>
    <row r="66" spans="1:8" x14ac:dyDescent="0.35">
      <c r="A66" s="7">
        <v>4065</v>
      </c>
      <c r="B66" s="7" t="s">
        <v>30</v>
      </c>
      <c r="C66" s="7" t="s">
        <v>14</v>
      </c>
      <c r="D66" s="7" t="s">
        <v>22</v>
      </c>
      <c r="E66" s="7">
        <v>26</v>
      </c>
      <c r="F66" s="8">
        <v>8</v>
      </c>
      <c r="G66" s="9">
        <v>45356</v>
      </c>
      <c r="H66" s="10">
        <f t="shared" si="0"/>
        <v>208</v>
      </c>
    </row>
    <row r="67" spans="1:8" x14ac:dyDescent="0.35">
      <c r="A67" s="7">
        <v>4066</v>
      </c>
      <c r="B67" s="7" t="s">
        <v>31</v>
      </c>
      <c r="C67" s="7" t="s">
        <v>17</v>
      </c>
      <c r="D67" s="7" t="s">
        <v>9</v>
      </c>
      <c r="E67" s="7">
        <v>18</v>
      </c>
      <c r="F67" s="8">
        <v>50</v>
      </c>
      <c r="G67" s="9">
        <v>45357</v>
      </c>
      <c r="H67" s="10">
        <f t="shared" ref="H67:H71" si="1">E67*F67</f>
        <v>900</v>
      </c>
    </row>
    <row r="68" spans="1:8" x14ac:dyDescent="0.35">
      <c r="A68" s="7">
        <v>4067</v>
      </c>
      <c r="B68" s="7" t="s">
        <v>32</v>
      </c>
      <c r="C68" s="7" t="s">
        <v>8</v>
      </c>
      <c r="D68" s="7" t="s">
        <v>15</v>
      </c>
      <c r="E68" s="7">
        <v>14</v>
      </c>
      <c r="F68" s="8">
        <v>25</v>
      </c>
      <c r="G68" s="9">
        <v>45358</v>
      </c>
      <c r="H68" s="10">
        <f t="shared" si="1"/>
        <v>350</v>
      </c>
    </row>
    <row r="69" spans="1:8" x14ac:dyDescent="0.35">
      <c r="A69" s="7">
        <v>4068</v>
      </c>
      <c r="B69" s="7" t="s">
        <v>33</v>
      </c>
      <c r="C69" s="7" t="s">
        <v>11</v>
      </c>
      <c r="D69" s="7" t="s">
        <v>12</v>
      </c>
      <c r="E69" s="7">
        <v>28</v>
      </c>
      <c r="F69" s="8">
        <v>10</v>
      </c>
      <c r="G69" s="9">
        <v>45359</v>
      </c>
      <c r="H69" s="10">
        <f t="shared" si="1"/>
        <v>280</v>
      </c>
    </row>
    <row r="70" spans="1:8" x14ac:dyDescent="0.35">
      <c r="A70" s="7">
        <v>4069</v>
      </c>
      <c r="B70" s="7" t="s">
        <v>34</v>
      </c>
      <c r="C70" s="7" t="s">
        <v>14</v>
      </c>
      <c r="D70" s="7" t="s">
        <v>19</v>
      </c>
      <c r="E70" s="7">
        <v>32</v>
      </c>
      <c r="F70" s="8">
        <v>5</v>
      </c>
      <c r="G70" s="9">
        <v>45360</v>
      </c>
      <c r="H70" s="10">
        <f t="shared" si="1"/>
        <v>160</v>
      </c>
    </row>
    <row r="71" spans="1:8" x14ac:dyDescent="0.35">
      <c r="A71" s="7">
        <v>4070</v>
      </c>
      <c r="B71" s="7" t="s">
        <v>35</v>
      </c>
      <c r="C71" s="7" t="s">
        <v>17</v>
      </c>
      <c r="D71" s="7" t="s">
        <v>22</v>
      </c>
      <c r="E71" s="7">
        <v>24</v>
      </c>
      <c r="F71" s="8">
        <v>8</v>
      </c>
      <c r="G71" s="9">
        <v>45361</v>
      </c>
      <c r="H71" s="10">
        <f t="shared" si="1"/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D331-5BD0-4E9F-AD48-87B4D8C5AEEB}">
  <dimension ref="A1:H71"/>
  <sheetViews>
    <sheetView workbookViewId="0">
      <selection activeCell="J5" sqref="J5"/>
    </sheetView>
  </sheetViews>
  <sheetFormatPr defaultRowHeight="14.5" x14ac:dyDescent="0.35"/>
  <cols>
    <col min="1" max="1" width="7.26953125" bestFit="1" customWidth="1"/>
    <col min="2" max="2" width="14.453125" customWidth="1"/>
    <col min="3" max="3" width="6.54296875" bestFit="1" customWidth="1"/>
    <col min="4" max="4" width="8.6328125" bestFit="1" customWidth="1"/>
    <col min="5" max="5" width="8" bestFit="1" customWidth="1"/>
    <col min="6" max="6" width="8.6328125" bestFit="1" customWidth="1"/>
    <col min="7" max="7" width="10.08984375" bestFit="1" customWidth="1"/>
    <col min="8" max="8" width="12.7265625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66</v>
      </c>
    </row>
    <row r="2" spans="1:8" x14ac:dyDescent="0.35">
      <c r="A2" s="7">
        <v>4057</v>
      </c>
      <c r="B2" s="7" t="s">
        <v>21</v>
      </c>
      <c r="C2" s="7" t="s">
        <v>14</v>
      </c>
      <c r="D2" s="7" t="s">
        <v>9</v>
      </c>
      <c r="E2" s="7">
        <v>20</v>
      </c>
      <c r="F2" s="8">
        <v>50</v>
      </c>
      <c r="G2" s="9">
        <v>45348</v>
      </c>
      <c r="H2" s="10">
        <f t="shared" ref="H2:H33" si="0">E2*F2</f>
        <v>1000</v>
      </c>
    </row>
    <row r="3" spans="1:8" x14ac:dyDescent="0.35">
      <c r="A3" s="7">
        <v>4066</v>
      </c>
      <c r="B3" s="7" t="s">
        <v>31</v>
      </c>
      <c r="C3" s="7" t="s">
        <v>17</v>
      </c>
      <c r="D3" s="7" t="s">
        <v>9</v>
      </c>
      <c r="E3" s="7">
        <v>18</v>
      </c>
      <c r="F3" s="8">
        <v>50</v>
      </c>
      <c r="G3" s="9">
        <v>45357</v>
      </c>
      <c r="H3" s="10">
        <f t="shared" si="0"/>
        <v>900</v>
      </c>
    </row>
    <row r="4" spans="1:8" x14ac:dyDescent="0.35">
      <c r="A4" s="7">
        <v>4034</v>
      </c>
      <c r="B4" s="7" t="s">
        <v>49</v>
      </c>
      <c r="C4" s="7" t="s">
        <v>11</v>
      </c>
      <c r="D4" s="7" t="s">
        <v>9</v>
      </c>
      <c r="E4" s="7">
        <v>17</v>
      </c>
      <c r="F4" s="8">
        <v>50</v>
      </c>
      <c r="G4" s="9">
        <v>45325</v>
      </c>
      <c r="H4" s="10">
        <f t="shared" si="0"/>
        <v>850</v>
      </c>
    </row>
    <row r="5" spans="1:8" x14ac:dyDescent="0.35">
      <c r="A5" s="7">
        <v>4039</v>
      </c>
      <c r="B5" s="7" t="s">
        <v>54</v>
      </c>
      <c r="C5" s="7" t="s">
        <v>14</v>
      </c>
      <c r="D5" s="7" t="s">
        <v>9</v>
      </c>
      <c r="E5" s="7">
        <v>16</v>
      </c>
      <c r="F5" s="8">
        <v>50</v>
      </c>
      <c r="G5" s="9">
        <v>45330</v>
      </c>
      <c r="H5" s="10">
        <f t="shared" si="0"/>
        <v>800</v>
      </c>
    </row>
    <row r="6" spans="1:8" x14ac:dyDescent="0.35">
      <c r="A6" s="7">
        <v>4013</v>
      </c>
      <c r="B6" s="7" t="s">
        <v>28</v>
      </c>
      <c r="C6" s="7" t="s">
        <v>8</v>
      </c>
      <c r="D6" s="7" t="s">
        <v>9</v>
      </c>
      <c r="E6" s="7">
        <v>14</v>
      </c>
      <c r="F6" s="8">
        <v>50</v>
      </c>
      <c r="G6" s="9">
        <v>45304</v>
      </c>
      <c r="H6" s="10">
        <f t="shared" si="0"/>
        <v>700</v>
      </c>
    </row>
    <row r="7" spans="1:8" x14ac:dyDescent="0.35">
      <c r="A7" s="7">
        <v>4044</v>
      </c>
      <c r="B7" s="7" t="s">
        <v>59</v>
      </c>
      <c r="C7" s="7" t="s">
        <v>17</v>
      </c>
      <c r="D7" s="7" t="s">
        <v>9</v>
      </c>
      <c r="E7" s="7">
        <v>14</v>
      </c>
      <c r="F7" s="8">
        <v>50</v>
      </c>
      <c r="G7" s="9">
        <v>45335</v>
      </c>
      <c r="H7" s="10">
        <f t="shared" si="0"/>
        <v>700</v>
      </c>
    </row>
    <row r="8" spans="1:8" x14ac:dyDescent="0.35">
      <c r="A8" s="7">
        <v>4052</v>
      </c>
      <c r="B8" s="7" t="s">
        <v>10</v>
      </c>
      <c r="C8" s="7" t="s">
        <v>11</v>
      </c>
      <c r="D8" s="7" t="s">
        <v>9</v>
      </c>
      <c r="E8" s="7">
        <v>14</v>
      </c>
      <c r="F8" s="8">
        <v>50</v>
      </c>
      <c r="G8" s="9">
        <v>45343</v>
      </c>
      <c r="H8" s="10">
        <f t="shared" si="0"/>
        <v>700</v>
      </c>
    </row>
    <row r="9" spans="1:8" x14ac:dyDescent="0.35">
      <c r="A9" s="7">
        <v>4029</v>
      </c>
      <c r="B9" s="7" t="s">
        <v>44</v>
      </c>
      <c r="C9" s="7" t="s">
        <v>8</v>
      </c>
      <c r="D9" s="7" t="s">
        <v>9</v>
      </c>
      <c r="E9" s="7">
        <v>13</v>
      </c>
      <c r="F9" s="8">
        <v>50</v>
      </c>
      <c r="G9" s="9">
        <v>45320</v>
      </c>
      <c r="H9" s="10">
        <f t="shared" si="0"/>
        <v>650</v>
      </c>
    </row>
    <row r="10" spans="1:8" x14ac:dyDescent="0.35">
      <c r="A10" s="7">
        <v>4006</v>
      </c>
      <c r="B10" s="7" t="s">
        <v>20</v>
      </c>
      <c r="C10" s="7" t="s">
        <v>11</v>
      </c>
      <c r="D10" s="7" t="s">
        <v>9</v>
      </c>
      <c r="E10" s="7">
        <v>12</v>
      </c>
      <c r="F10" s="8">
        <v>50</v>
      </c>
      <c r="G10" s="9">
        <v>45297</v>
      </c>
      <c r="H10" s="10">
        <f t="shared" si="0"/>
        <v>600</v>
      </c>
    </row>
    <row r="11" spans="1:8" x14ac:dyDescent="0.35">
      <c r="A11" s="7">
        <v>4049</v>
      </c>
      <c r="B11" s="7" t="s">
        <v>64</v>
      </c>
      <c r="C11" s="7" t="s">
        <v>8</v>
      </c>
      <c r="D11" s="7" t="s">
        <v>9</v>
      </c>
      <c r="E11" s="7">
        <v>12</v>
      </c>
      <c r="F11" s="8">
        <v>50</v>
      </c>
      <c r="G11" s="9">
        <v>45340</v>
      </c>
      <c r="H11" s="10">
        <f t="shared" si="0"/>
        <v>600</v>
      </c>
    </row>
    <row r="12" spans="1:8" x14ac:dyDescent="0.35">
      <c r="A12" s="7">
        <v>4061</v>
      </c>
      <c r="B12" s="7" t="s">
        <v>26</v>
      </c>
      <c r="C12" s="7" t="s">
        <v>14</v>
      </c>
      <c r="D12" s="7" t="s">
        <v>9</v>
      </c>
      <c r="E12" s="7">
        <v>12</v>
      </c>
      <c r="F12" s="8">
        <v>50</v>
      </c>
      <c r="G12" s="9">
        <v>45352</v>
      </c>
      <c r="H12" s="10">
        <f t="shared" si="0"/>
        <v>600</v>
      </c>
    </row>
    <row r="13" spans="1:8" x14ac:dyDescent="0.35">
      <c r="A13" s="7">
        <v>4009</v>
      </c>
      <c r="B13" s="7" t="s">
        <v>24</v>
      </c>
      <c r="C13" s="7" t="s">
        <v>8</v>
      </c>
      <c r="D13" s="7" t="s">
        <v>15</v>
      </c>
      <c r="E13" s="7">
        <v>22</v>
      </c>
      <c r="F13" s="8">
        <v>25</v>
      </c>
      <c r="G13" s="9">
        <v>45300</v>
      </c>
      <c r="H13" s="10">
        <f t="shared" si="0"/>
        <v>550</v>
      </c>
    </row>
    <row r="14" spans="1:8" x14ac:dyDescent="0.35">
      <c r="A14" s="7">
        <v>4024</v>
      </c>
      <c r="B14" s="7" t="s">
        <v>39</v>
      </c>
      <c r="C14" s="7" t="s">
        <v>17</v>
      </c>
      <c r="D14" s="7" t="s">
        <v>9</v>
      </c>
      <c r="E14" s="7">
        <v>11</v>
      </c>
      <c r="F14" s="8">
        <v>50</v>
      </c>
      <c r="G14" s="9">
        <v>45315</v>
      </c>
      <c r="H14" s="10">
        <f t="shared" si="0"/>
        <v>550</v>
      </c>
    </row>
    <row r="15" spans="1:8" x14ac:dyDescent="0.35">
      <c r="A15" s="7">
        <v>4041</v>
      </c>
      <c r="B15" s="7" t="s">
        <v>56</v>
      </c>
      <c r="C15" s="7" t="s">
        <v>8</v>
      </c>
      <c r="D15" s="7" t="s">
        <v>15</v>
      </c>
      <c r="E15" s="7">
        <v>21</v>
      </c>
      <c r="F15" s="8">
        <v>25</v>
      </c>
      <c r="G15" s="9">
        <v>45332</v>
      </c>
      <c r="H15" s="10">
        <f t="shared" si="0"/>
        <v>525</v>
      </c>
    </row>
    <row r="16" spans="1:8" x14ac:dyDescent="0.35">
      <c r="A16" s="7">
        <v>4001</v>
      </c>
      <c r="B16" s="7" t="s">
        <v>7</v>
      </c>
      <c r="C16" s="7" t="s">
        <v>8</v>
      </c>
      <c r="D16" s="7" t="s">
        <v>9</v>
      </c>
      <c r="E16" s="7">
        <v>10</v>
      </c>
      <c r="F16" s="8">
        <v>50</v>
      </c>
      <c r="G16" s="9">
        <v>45292</v>
      </c>
      <c r="H16" s="10">
        <f t="shared" si="0"/>
        <v>500</v>
      </c>
    </row>
    <row r="17" spans="1:8" x14ac:dyDescent="0.35">
      <c r="A17" s="7">
        <v>4018</v>
      </c>
      <c r="B17" s="7" t="s">
        <v>33</v>
      </c>
      <c r="C17" s="7" t="s">
        <v>11</v>
      </c>
      <c r="D17" s="7" t="s">
        <v>9</v>
      </c>
      <c r="E17" s="7">
        <v>10</v>
      </c>
      <c r="F17" s="8">
        <v>50</v>
      </c>
      <c r="G17" s="9">
        <v>45309</v>
      </c>
      <c r="H17" s="10">
        <f t="shared" si="0"/>
        <v>500</v>
      </c>
    </row>
    <row r="18" spans="1:8" x14ac:dyDescent="0.35">
      <c r="A18" s="7">
        <v>4020</v>
      </c>
      <c r="B18" s="7" t="s">
        <v>35</v>
      </c>
      <c r="C18" s="7" t="s">
        <v>17</v>
      </c>
      <c r="D18" s="7" t="s">
        <v>15</v>
      </c>
      <c r="E18" s="7">
        <v>18</v>
      </c>
      <c r="F18" s="8">
        <v>25</v>
      </c>
      <c r="G18" s="9">
        <v>45311</v>
      </c>
      <c r="H18" s="10">
        <f t="shared" si="0"/>
        <v>450</v>
      </c>
    </row>
    <row r="19" spans="1:8" x14ac:dyDescent="0.35">
      <c r="A19" s="7">
        <v>4021</v>
      </c>
      <c r="B19" s="7" t="s">
        <v>36</v>
      </c>
      <c r="C19" s="7" t="s">
        <v>8</v>
      </c>
      <c r="D19" s="7" t="s">
        <v>9</v>
      </c>
      <c r="E19" s="7">
        <v>9</v>
      </c>
      <c r="F19" s="8">
        <v>50</v>
      </c>
      <c r="G19" s="9">
        <v>45312</v>
      </c>
      <c r="H19" s="10">
        <f t="shared" si="0"/>
        <v>450</v>
      </c>
    </row>
    <row r="20" spans="1:8" x14ac:dyDescent="0.35">
      <c r="A20" s="7">
        <v>4051</v>
      </c>
      <c r="B20" s="7" t="s">
        <v>7</v>
      </c>
      <c r="C20" s="7" t="s">
        <v>8</v>
      </c>
      <c r="D20" s="7" t="s">
        <v>15</v>
      </c>
      <c r="E20" s="7">
        <v>18</v>
      </c>
      <c r="F20" s="8">
        <v>25</v>
      </c>
      <c r="G20" s="9">
        <v>45342</v>
      </c>
      <c r="H20" s="10">
        <f t="shared" si="0"/>
        <v>450</v>
      </c>
    </row>
    <row r="21" spans="1:8" x14ac:dyDescent="0.35">
      <c r="A21" s="7">
        <v>4046</v>
      </c>
      <c r="B21" s="7" t="s">
        <v>61</v>
      </c>
      <c r="C21" s="7" t="s">
        <v>11</v>
      </c>
      <c r="D21" s="7" t="s">
        <v>15</v>
      </c>
      <c r="E21" s="7">
        <v>17</v>
      </c>
      <c r="F21" s="8">
        <v>25</v>
      </c>
      <c r="G21" s="9">
        <v>45337</v>
      </c>
      <c r="H21" s="10">
        <f t="shared" si="0"/>
        <v>425</v>
      </c>
    </row>
    <row r="22" spans="1:8" x14ac:dyDescent="0.35">
      <c r="A22" s="7">
        <v>4010</v>
      </c>
      <c r="B22" s="7" t="s">
        <v>25</v>
      </c>
      <c r="C22" s="7" t="s">
        <v>11</v>
      </c>
      <c r="D22" s="7" t="s">
        <v>9</v>
      </c>
      <c r="E22" s="7">
        <v>8</v>
      </c>
      <c r="F22" s="8">
        <v>50</v>
      </c>
      <c r="G22" s="9">
        <v>45301</v>
      </c>
      <c r="H22" s="10">
        <f t="shared" si="0"/>
        <v>400</v>
      </c>
    </row>
    <row r="23" spans="1:8" x14ac:dyDescent="0.35">
      <c r="A23" s="7">
        <v>4026</v>
      </c>
      <c r="B23" s="7" t="s">
        <v>41</v>
      </c>
      <c r="C23" s="7" t="s">
        <v>11</v>
      </c>
      <c r="D23" s="7" t="s">
        <v>15</v>
      </c>
      <c r="E23" s="7">
        <v>16</v>
      </c>
      <c r="F23" s="8">
        <v>25</v>
      </c>
      <c r="G23" s="9">
        <v>45317</v>
      </c>
      <c r="H23" s="10">
        <f t="shared" si="0"/>
        <v>400</v>
      </c>
    </row>
    <row r="24" spans="1:8" x14ac:dyDescent="0.35">
      <c r="A24" s="7">
        <v>4056</v>
      </c>
      <c r="B24" s="7" t="s">
        <v>20</v>
      </c>
      <c r="C24" s="7" t="s">
        <v>11</v>
      </c>
      <c r="D24" s="7" t="s">
        <v>15</v>
      </c>
      <c r="E24" s="7">
        <v>16</v>
      </c>
      <c r="F24" s="8">
        <v>25</v>
      </c>
      <c r="G24" s="9">
        <v>45347</v>
      </c>
      <c r="H24" s="10">
        <f t="shared" si="0"/>
        <v>400</v>
      </c>
    </row>
    <row r="25" spans="1:8" x14ac:dyDescent="0.35">
      <c r="A25" s="7">
        <v>4003</v>
      </c>
      <c r="B25" s="7" t="s">
        <v>13</v>
      </c>
      <c r="C25" s="7" t="s">
        <v>14</v>
      </c>
      <c r="D25" s="7" t="s">
        <v>15</v>
      </c>
      <c r="E25" s="7">
        <v>15</v>
      </c>
      <c r="F25" s="8">
        <v>25</v>
      </c>
      <c r="G25" s="9">
        <v>45294</v>
      </c>
      <c r="H25" s="10">
        <f t="shared" si="0"/>
        <v>375</v>
      </c>
    </row>
    <row r="26" spans="1:8" x14ac:dyDescent="0.35">
      <c r="A26" s="7">
        <v>4036</v>
      </c>
      <c r="B26" s="7" t="s">
        <v>51</v>
      </c>
      <c r="C26" s="7" t="s">
        <v>17</v>
      </c>
      <c r="D26" s="7" t="s">
        <v>15</v>
      </c>
      <c r="E26" s="7">
        <v>15</v>
      </c>
      <c r="F26" s="8">
        <v>25</v>
      </c>
      <c r="G26" s="9">
        <v>45327</v>
      </c>
      <c r="H26" s="10">
        <f t="shared" si="0"/>
        <v>375</v>
      </c>
    </row>
    <row r="27" spans="1:8" x14ac:dyDescent="0.35">
      <c r="A27" s="7">
        <v>4062</v>
      </c>
      <c r="B27" s="7" t="s">
        <v>27</v>
      </c>
      <c r="C27" s="7" t="s">
        <v>17</v>
      </c>
      <c r="D27" s="7" t="s">
        <v>15</v>
      </c>
      <c r="E27" s="7">
        <v>15</v>
      </c>
      <c r="F27" s="8">
        <v>25</v>
      </c>
      <c r="G27" s="9">
        <v>45353</v>
      </c>
      <c r="H27" s="10">
        <f t="shared" si="0"/>
        <v>375</v>
      </c>
    </row>
    <row r="28" spans="1:8" x14ac:dyDescent="0.35">
      <c r="A28" s="7">
        <v>4067</v>
      </c>
      <c r="B28" s="7" t="s">
        <v>32</v>
      </c>
      <c r="C28" s="7" t="s">
        <v>8</v>
      </c>
      <c r="D28" s="7" t="s">
        <v>15</v>
      </c>
      <c r="E28" s="7">
        <v>14</v>
      </c>
      <c r="F28" s="8">
        <v>25</v>
      </c>
      <c r="G28" s="9">
        <v>45358</v>
      </c>
      <c r="H28" s="10">
        <f t="shared" si="0"/>
        <v>350</v>
      </c>
    </row>
    <row r="29" spans="1:8" x14ac:dyDescent="0.35">
      <c r="A29" s="7">
        <v>4030</v>
      </c>
      <c r="B29" s="7" t="s">
        <v>45</v>
      </c>
      <c r="C29" s="7" t="s">
        <v>11</v>
      </c>
      <c r="D29" s="7" t="s">
        <v>12</v>
      </c>
      <c r="E29" s="7">
        <v>32</v>
      </c>
      <c r="F29" s="8">
        <v>10</v>
      </c>
      <c r="G29" s="9">
        <v>45321</v>
      </c>
      <c r="H29" s="10">
        <f t="shared" si="0"/>
        <v>320</v>
      </c>
    </row>
    <row r="30" spans="1:8" x14ac:dyDescent="0.35">
      <c r="A30" s="7">
        <v>4015</v>
      </c>
      <c r="B30" s="7" t="s">
        <v>30</v>
      </c>
      <c r="C30" s="7" t="s">
        <v>14</v>
      </c>
      <c r="D30" s="7" t="s">
        <v>15</v>
      </c>
      <c r="E30" s="7">
        <v>12</v>
      </c>
      <c r="F30" s="8">
        <v>25</v>
      </c>
      <c r="G30" s="9">
        <v>45306</v>
      </c>
      <c r="H30" s="10">
        <f t="shared" si="0"/>
        <v>300</v>
      </c>
    </row>
    <row r="31" spans="1:8" x14ac:dyDescent="0.35">
      <c r="A31" s="7">
        <v>4012</v>
      </c>
      <c r="B31" s="7" t="s">
        <v>27</v>
      </c>
      <c r="C31" s="7" t="s">
        <v>17</v>
      </c>
      <c r="D31" s="7" t="s">
        <v>22</v>
      </c>
      <c r="E31" s="7">
        <v>35</v>
      </c>
      <c r="F31" s="8">
        <v>8</v>
      </c>
      <c r="G31" s="9">
        <v>45303</v>
      </c>
      <c r="H31" s="10">
        <f t="shared" si="0"/>
        <v>280</v>
      </c>
    </row>
    <row r="32" spans="1:8" x14ac:dyDescent="0.35">
      <c r="A32" s="7">
        <v>4014</v>
      </c>
      <c r="B32" s="7" t="s">
        <v>29</v>
      </c>
      <c r="C32" s="7" t="s">
        <v>11</v>
      </c>
      <c r="D32" s="7" t="s">
        <v>12</v>
      </c>
      <c r="E32" s="7">
        <v>28</v>
      </c>
      <c r="F32" s="8">
        <v>10</v>
      </c>
      <c r="G32" s="9">
        <v>45305</v>
      </c>
      <c r="H32" s="10">
        <f t="shared" si="0"/>
        <v>280</v>
      </c>
    </row>
    <row r="33" spans="1:8" x14ac:dyDescent="0.35">
      <c r="A33" s="7">
        <v>4068</v>
      </c>
      <c r="B33" s="7" t="s">
        <v>33</v>
      </c>
      <c r="C33" s="7" t="s">
        <v>11</v>
      </c>
      <c r="D33" s="7" t="s">
        <v>12</v>
      </c>
      <c r="E33" s="7">
        <v>28</v>
      </c>
      <c r="F33" s="8">
        <v>10</v>
      </c>
      <c r="G33" s="9">
        <v>45359</v>
      </c>
      <c r="H33" s="10">
        <f t="shared" si="0"/>
        <v>280</v>
      </c>
    </row>
    <row r="34" spans="1:8" x14ac:dyDescent="0.35">
      <c r="A34" s="7">
        <v>4040</v>
      </c>
      <c r="B34" s="7" t="s">
        <v>55</v>
      </c>
      <c r="C34" s="7" t="s">
        <v>17</v>
      </c>
      <c r="D34" s="7" t="s">
        <v>12</v>
      </c>
      <c r="E34" s="7">
        <v>27</v>
      </c>
      <c r="F34" s="8">
        <v>10</v>
      </c>
      <c r="G34" s="9">
        <v>45331</v>
      </c>
      <c r="H34" s="10">
        <f t="shared" ref="H34:H65" si="1">E34*F34</f>
        <v>270</v>
      </c>
    </row>
    <row r="35" spans="1:8" x14ac:dyDescent="0.35">
      <c r="A35" s="7">
        <v>4048</v>
      </c>
      <c r="B35" s="7" t="s">
        <v>63</v>
      </c>
      <c r="C35" s="7" t="s">
        <v>17</v>
      </c>
      <c r="D35" s="7" t="s">
        <v>22</v>
      </c>
      <c r="E35" s="7">
        <v>32</v>
      </c>
      <c r="F35" s="8">
        <v>8</v>
      </c>
      <c r="G35" s="9">
        <v>45339</v>
      </c>
      <c r="H35" s="10">
        <f t="shared" si="1"/>
        <v>256</v>
      </c>
    </row>
    <row r="36" spans="1:8" x14ac:dyDescent="0.35">
      <c r="A36" s="7">
        <v>4004</v>
      </c>
      <c r="B36" s="7" t="s">
        <v>16</v>
      </c>
      <c r="C36" s="7" t="s">
        <v>17</v>
      </c>
      <c r="D36" s="7" t="s">
        <v>9</v>
      </c>
      <c r="E36" s="7">
        <v>5</v>
      </c>
      <c r="F36" s="8">
        <v>50</v>
      </c>
      <c r="G36" s="9">
        <v>45295</v>
      </c>
      <c r="H36" s="10">
        <f t="shared" si="1"/>
        <v>250</v>
      </c>
    </row>
    <row r="37" spans="1:8" x14ac:dyDescent="0.35">
      <c r="A37" s="7">
        <v>4031</v>
      </c>
      <c r="B37" s="7" t="s">
        <v>46</v>
      </c>
      <c r="C37" s="7" t="s">
        <v>14</v>
      </c>
      <c r="D37" s="7" t="s">
        <v>15</v>
      </c>
      <c r="E37" s="7">
        <v>10</v>
      </c>
      <c r="F37" s="8">
        <v>25</v>
      </c>
      <c r="G37" s="9">
        <v>45322</v>
      </c>
      <c r="H37" s="10">
        <f t="shared" si="1"/>
        <v>250</v>
      </c>
    </row>
    <row r="38" spans="1:8" x14ac:dyDescent="0.35">
      <c r="A38" s="7">
        <v>4050</v>
      </c>
      <c r="B38" s="7" t="s">
        <v>65</v>
      </c>
      <c r="C38" s="7" t="s">
        <v>11</v>
      </c>
      <c r="D38" s="7" t="s">
        <v>12</v>
      </c>
      <c r="E38" s="7">
        <v>25</v>
      </c>
      <c r="F38" s="8">
        <v>10</v>
      </c>
      <c r="G38" s="9">
        <v>45341</v>
      </c>
      <c r="H38" s="10">
        <f t="shared" si="1"/>
        <v>250</v>
      </c>
    </row>
    <row r="39" spans="1:8" x14ac:dyDescent="0.35">
      <c r="A39" s="7">
        <v>4023</v>
      </c>
      <c r="B39" s="7" t="s">
        <v>38</v>
      </c>
      <c r="C39" s="7" t="s">
        <v>14</v>
      </c>
      <c r="D39" s="7" t="s">
        <v>22</v>
      </c>
      <c r="E39" s="7">
        <v>30</v>
      </c>
      <c r="F39" s="8">
        <v>8</v>
      </c>
      <c r="G39" s="9">
        <v>45314</v>
      </c>
      <c r="H39" s="10">
        <f t="shared" si="1"/>
        <v>240</v>
      </c>
    </row>
    <row r="40" spans="1:8" x14ac:dyDescent="0.35">
      <c r="A40" s="7">
        <v>4060</v>
      </c>
      <c r="B40" s="7" t="s">
        <v>25</v>
      </c>
      <c r="C40" s="7" t="s">
        <v>11</v>
      </c>
      <c r="D40" s="7" t="s">
        <v>22</v>
      </c>
      <c r="E40" s="7">
        <v>30</v>
      </c>
      <c r="F40" s="8">
        <v>8</v>
      </c>
      <c r="G40" s="9">
        <v>45351</v>
      </c>
      <c r="H40" s="10">
        <f t="shared" si="1"/>
        <v>240</v>
      </c>
    </row>
    <row r="41" spans="1:8" x14ac:dyDescent="0.35">
      <c r="A41" s="7">
        <v>4055</v>
      </c>
      <c r="B41" s="7" t="s">
        <v>18</v>
      </c>
      <c r="C41" s="7" t="s">
        <v>8</v>
      </c>
      <c r="D41" s="7" t="s">
        <v>22</v>
      </c>
      <c r="E41" s="7">
        <v>28</v>
      </c>
      <c r="F41" s="8">
        <v>8</v>
      </c>
      <c r="G41" s="9">
        <v>45346</v>
      </c>
      <c r="H41" s="10">
        <f t="shared" si="1"/>
        <v>224</v>
      </c>
    </row>
    <row r="42" spans="1:8" x14ac:dyDescent="0.35">
      <c r="A42" s="7">
        <v>4053</v>
      </c>
      <c r="B42" s="7" t="s">
        <v>13</v>
      </c>
      <c r="C42" s="7" t="s">
        <v>14</v>
      </c>
      <c r="D42" s="7" t="s">
        <v>12</v>
      </c>
      <c r="E42" s="7">
        <v>22</v>
      </c>
      <c r="F42" s="8">
        <v>10</v>
      </c>
      <c r="G42" s="9">
        <v>45344</v>
      </c>
      <c r="H42" s="10">
        <f t="shared" si="1"/>
        <v>220</v>
      </c>
    </row>
    <row r="43" spans="1:8" x14ac:dyDescent="0.35">
      <c r="A43" s="7">
        <v>4028</v>
      </c>
      <c r="B43" s="7" t="s">
        <v>43</v>
      </c>
      <c r="C43" s="7" t="s">
        <v>17</v>
      </c>
      <c r="D43" s="7" t="s">
        <v>22</v>
      </c>
      <c r="E43" s="7">
        <v>27</v>
      </c>
      <c r="F43" s="8">
        <v>8</v>
      </c>
      <c r="G43" s="9">
        <v>45319</v>
      </c>
      <c r="H43" s="10">
        <f t="shared" si="1"/>
        <v>216</v>
      </c>
    </row>
    <row r="44" spans="1:8" x14ac:dyDescent="0.35">
      <c r="A44" s="7">
        <v>4043</v>
      </c>
      <c r="B44" s="7" t="s">
        <v>58</v>
      </c>
      <c r="C44" s="7" t="s">
        <v>14</v>
      </c>
      <c r="D44" s="7" t="s">
        <v>22</v>
      </c>
      <c r="E44" s="7">
        <v>26</v>
      </c>
      <c r="F44" s="8">
        <v>8</v>
      </c>
      <c r="G44" s="9">
        <v>45334</v>
      </c>
      <c r="H44" s="10">
        <f t="shared" si="1"/>
        <v>208</v>
      </c>
    </row>
    <row r="45" spans="1:8" x14ac:dyDescent="0.35">
      <c r="A45" s="7">
        <v>4065</v>
      </c>
      <c r="B45" s="7" t="s">
        <v>30</v>
      </c>
      <c r="C45" s="7" t="s">
        <v>14</v>
      </c>
      <c r="D45" s="7" t="s">
        <v>22</v>
      </c>
      <c r="E45" s="7">
        <v>26</v>
      </c>
      <c r="F45" s="8">
        <v>8</v>
      </c>
      <c r="G45" s="9">
        <v>45356</v>
      </c>
      <c r="H45" s="10">
        <f t="shared" si="1"/>
        <v>208</v>
      </c>
    </row>
    <row r="46" spans="1:8" x14ac:dyDescent="0.35">
      <c r="A46" s="7">
        <v>4002</v>
      </c>
      <c r="B46" s="7" t="s">
        <v>10</v>
      </c>
      <c r="C46" s="7" t="s">
        <v>11</v>
      </c>
      <c r="D46" s="7" t="s">
        <v>12</v>
      </c>
      <c r="E46" s="7">
        <v>20</v>
      </c>
      <c r="F46" s="8">
        <v>10</v>
      </c>
      <c r="G46" s="9">
        <v>45293</v>
      </c>
      <c r="H46" s="10">
        <f t="shared" si="1"/>
        <v>200</v>
      </c>
    </row>
    <row r="47" spans="1:8" x14ac:dyDescent="0.35">
      <c r="A47" s="7">
        <v>4007</v>
      </c>
      <c r="B47" s="7" t="s">
        <v>21</v>
      </c>
      <c r="C47" s="7" t="s">
        <v>14</v>
      </c>
      <c r="D47" s="7" t="s">
        <v>22</v>
      </c>
      <c r="E47" s="7">
        <v>25</v>
      </c>
      <c r="F47" s="8">
        <v>8</v>
      </c>
      <c r="G47" s="9">
        <v>45298</v>
      </c>
      <c r="H47" s="10">
        <f t="shared" si="1"/>
        <v>200</v>
      </c>
    </row>
    <row r="48" spans="1:8" x14ac:dyDescent="0.35">
      <c r="A48" s="7">
        <v>4011</v>
      </c>
      <c r="B48" s="7" t="s">
        <v>26</v>
      </c>
      <c r="C48" s="7" t="s">
        <v>14</v>
      </c>
      <c r="D48" s="7" t="s">
        <v>19</v>
      </c>
      <c r="E48" s="7">
        <v>40</v>
      </c>
      <c r="F48" s="8">
        <v>5</v>
      </c>
      <c r="G48" s="9">
        <v>45302</v>
      </c>
      <c r="H48" s="10">
        <f t="shared" si="1"/>
        <v>200</v>
      </c>
    </row>
    <row r="49" spans="1:8" x14ac:dyDescent="0.35">
      <c r="A49" s="7">
        <v>4045</v>
      </c>
      <c r="B49" s="7" t="s">
        <v>60</v>
      </c>
      <c r="C49" s="7" t="s">
        <v>8</v>
      </c>
      <c r="D49" s="7" t="s">
        <v>12</v>
      </c>
      <c r="E49" s="7">
        <v>20</v>
      </c>
      <c r="F49" s="8">
        <v>10</v>
      </c>
      <c r="G49" s="9">
        <v>45336</v>
      </c>
      <c r="H49" s="10">
        <f t="shared" si="1"/>
        <v>200</v>
      </c>
    </row>
    <row r="50" spans="1:8" x14ac:dyDescent="0.35">
      <c r="A50" s="7">
        <v>4063</v>
      </c>
      <c r="B50" s="7" t="s">
        <v>28</v>
      </c>
      <c r="C50" s="7" t="s">
        <v>8</v>
      </c>
      <c r="D50" s="7" t="s">
        <v>12</v>
      </c>
      <c r="E50" s="7">
        <v>20</v>
      </c>
      <c r="F50" s="8">
        <v>10</v>
      </c>
      <c r="G50" s="9">
        <v>45354</v>
      </c>
      <c r="H50" s="10">
        <f t="shared" si="1"/>
        <v>200</v>
      </c>
    </row>
    <row r="51" spans="1:8" x14ac:dyDescent="0.35">
      <c r="A51" s="7">
        <v>4038</v>
      </c>
      <c r="B51" s="7" t="s">
        <v>53</v>
      </c>
      <c r="C51" s="7" t="s">
        <v>11</v>
      </c>
      <c r="D51" s="7" t="s">
        <v>22</v>
      </c>
      <c r="E51" s="7">
        <v>24</v>
      </c>
      <c r="F51" s="8">
        <v>8</v>
      </c>
      <c r="G51" s="9">
        <v>45329</v>
      </c>
      <c r="H51" s="10">
        <f t="shared" si="1"/>
        <v>192</v>
      </c>
    </row>
    <row r="52" spans="1:8" x14ac:dyDescent="0.35">
      <c r="A52" s="7">
        <v>4070</v>
      </c>
      <c r="B52" s="7" t="s">
        <v>35</v>
      </c>
      <c r="C52" s="7" t="s">
        <v>17</v>
      </c>
      <c r="D52" s="7" t="s">
        <v>22</v>
      </c>
      <c r="E52" s="7">
        <v>24</v>
      </c>
      <c r="F52" s="8">
        <v>8</v>
      </c>
      <c r="G52" s="9">
        <v>45361</v>
      </c>
      <c r="H52" s="10">
        <f t="shared" si="1"/>
        <v>192</v>
      </c>
    </row>
    <row r="53" spans="1:8" x14ac:dyDescent="0.35">
      <c r="A53" s="7">
        <v>4035</v>
      </c>
      <c r="B53" s="7" t="s">
        <v>50</v>
      </c>
      <c r="C53" s="7" t="s">
        <v>14</v>
      </c>
      <c r="D53" s="7" t="s">
        <v>12</v>
      </c>
      <c r="E53" s="7">
        <v>19</v>
      </c>
      <c r="F53" s="8">
        <v>10</v>
      </c>
      <c r="G53" s="9">
        <v>45326</v>
      </c>
      <c r="H53" s="10">
        <f t="shared" si="1"/>
        <v>190</v>
      </c>
    </row>
    <row r="54" spans="1:8" x14ac:dyDescent="0.35">
      <c r="A54" s="7">
        <v>4008</v>
      </c>
      <c r="B54" s="7" t="s">
        <v>23</v>
      </c>
      <c r="C54" s="7" t="s">
        <v>17</v>
      </c>
      <c r="D54" s="7" t="s">
        <v>12</v>
      </c>
      <c r="E54" s="7">
        <v>18</v>
      </c>
      <c r="F54" s="8">
        <v>10</v>
      </c>
      <c r="G54" s="9">
        <v>45299</v>
      </c>
      <c r="H54" s="10">
        <f t="shared" si="1"/>
        <v>180</v>
      </c>
    </row>
    <row r="55" spans="1:8" x14ac:dyDescent="0.35">
      <c r="A55" s="7">
        <v>4058</v>
      </c>
      <c r="B55" s="7" t="s">
        <v>23</v>
      </c>
      <c r="C55" s="7" t="s">
        <v>17</v>
      </c>
      <c r="D55" s="7" t="s">
        <v>12</v>
      </c>
      <c r="E55" s="7">
        <v>18</v>
      </c>
      <c r="F55" s="8">
        <v>10</v>
      </c>
      <c r="G55" s="9">
        <v>45349</v>
      </c>
      <c r="H55" s="10">
        <f t="shared" si="1"/>
        <v>180</v>
      </c>
    </row>
    <row r="56" spans="1:8" x14ac:dyDescent="0.35">
      <c r="A56" s="7">
        <v>4033</v>
      </c>
      <c r="B56" s="7" t="s">
        <v>48</v>
      </c>
      <c r="C56" s="7" t="s">
        <v>8</v>
      </c>
      <c r="D56" s="7" t="s">
        <v>22</v>
      </c>
      <c r="E56" s="7">
        <v>22</v>
      </c>
      <c r="F56" s="8">
        <v>8</v>
      </c>
      <c r="G56" s="9">
        <v>45324</v>
      </c>
      <c r="H56" s="10">
        <f t="shared" si="1"/>
        <v>176</v>
      </c>
    </row>
    <row r="57" spans="1:8" x14ac:dyDescent="0.35">
      <c r="A57" s="7">
        <v>4022</v>
      </c>
      <c r="B57" s="7" t="s">
        <v>37</v>
      </c>
      <c r="C57" s="7" t="s">
        <v>11</v>
      </c>
      <c r="D57" s="7" t="s">
        <v>19</v>
      </c>
      <c r="E57" s="7">
        <v>35</v>
      </c>
      <c r="F57" s="8">
        <v>5</v>
      </c>
      <c r="G57" s="9">
        <v>45313</v>
      </c>
      <c r="H57" s="10">
        <f t="shared" si="1"/>
        <v>175</v>
      </c>
    </row>
    <row r="58" spans="1:8" x14ac:dyDescent="0.35">
      <c r="A58" s="7">
        <v>4017</v>
      </c>
      <c r="B58" s="7" t="s">
        <v>32</v>
      </c>
      <c r="C58" s="7" t="s">
        <v>8</v>
      </c>
      <c r="D58" s="7" t="s">
        <v>22</v>
      </c>
      <c r="E58" s="7">
        <v>20</v>
      </c>
      <c r="F58" s="8">
        <v>8</v>
      </c>
      <c r="G58" s="9">
        <v>45308</v>
      </c>
      <c r="H58" s="10">
        <f t="shared" si="1"/>
        <v>160</v>
      </c>
    </row>
    <row r="59" spans="1:8" x14ac:dyDescent="0.35">
      <c r="A59" s="7">
        <v>4069</v>
      </c>
      <c r="B59" s="7" t="s">
        <v>34</v>
      </c>
      <c r="C59" s="7" t="s">
        <v>14</v>
      </c>
      <c r="D59" s="7" t="s">
        <v>19</v>
      </c>
      <c r="E59" s="7">
        <v>32</v>
      </c>
      <c r="F59" s="8">
        <v>5</v>
      </c>
      <c r="G59" s="9">
        <v>45360</v>
      </c>
      <c r="H59" s="10">
        <f t="shared" si="1"/>
        <v>160</v>
      </c>
    </row>
    <row r="60" spans="1:8" x14ac:dyDescent="0.35">
      <c r="A60" s="7">
        <v>4005</v>
      </c>
      <c r="B60" s="7" t="s">
        <v>18</v>
      </c>
      <c r="C60" s="7" t="s">
        <v>8</v>
      </c>
      <c r="D60" s="7" t="s">
        <v>19</v>
      </c>
      <c r="E60" s="7">
        <v>30</v>
      </c>
      <c r="F60" s="8">
        <v>5</v>
      </c>
      <c r="G60" s="9">
        <v>45296</v>
      </c>
      <c r="H60" s="10">
        <f t="shared" si="1"/>
        <v>150</v>
      </c>
    </row>
    <row r="61" spans="1:8" x14ac:dyDescent="0.35">
      <c r="A61" s="7">
        <v>4019</v>
      </c>
      <c r="B61" s="7" t="s">
        <v>34</v>
      </c>
      <c r="C61" s="7" t="s">
        <v>14</v>
      </c>
      <c r="D61" s="7" t="s">
        <v>12</v>
      </c>
      <c r="E61" s="7">
        <v>15</v>
      </c>
      <c r="F61" s="8">
        <v>10</v>
      </c>
      <c r="G61" s="9">
        <v>45310</v>
      </c>
      <c r="H61" s="10">
        <f t="shared" si="1"/>
        <v>150</v>
      </c>
    </row>
    <row r="62" spans="1:8" x14ac:dyDescent="0.35">
      <c r="A62" s="7">
        <v>4042</v>
      </c>
      <c r="B62" s="7" t="s">
        <v>57</v>
      </c>
      <c r="C62" s="7" t="s">
        <v>11</v>
      </c>
      <c r="D62" s="7" t="s">
        <v>19</v>
      </c>
      <c r="E62" s="7">
        <v>30</v>
      </c>
      <c r="F62" s="8">
        <v>5</v>
      </c>
      <c r="G62" s="9">
        <v>45333</v>
      </c>
      <c r="H62" s="10">
        <f t="shared" si="1"/>
        <v>150</v>
      </c>
    </row>
    <row r="63" spans="1:8" x14ac:dyDescent="0.35">
      <c r="A63" s="7">
        <v>4025</v>
      </c>
      <c r="B63" s="7" t="s">
        <v>40</v>
      </c>
      <c r="C63" s="7" t="s">
        <v>8</v>
      </c>
      <c r="D63" s="7" t="s">
        <v>12</v>
      </c>
      <c r="E63" s="7">
        <v>14</v>
      </c>
      <c r="F63" s="8">
        <v>10</v>
      </c>
      <c r="G63" s="9">
        <v>45316</v>
      </c>
      <c r="H63" s="10">
        <f t="shared" si="1"/>
        <v>140</v>
      </c>
    </row>
    <row r="64" spans="1:8" x14ac:dyDescent="0.35">
      <c r="A64" s="7">
        <v>4037</v>
      </c>
      <c r="B64" s="7" t="s">
        <v>52</v>
      </c>
      <c r="C64" s="7" t="s">
        <v>8</v>
      </c>
      <c r="D64" s="7" t="s">
        <v>19</v>
      </c>
      <c r="E64" s="7">
        <v>28</v>
      </c>
      <c r="F64" s="8">
        <v>5</v>
      </c>
      <c r="G64" s="9">
        <v>45328</v>
      </c>
      <c r="H64" s="10">
        <f t="shared" si="1"/>
        <v>140</v>
      </c>
    </row>
    <row r="65" spans="1:8" x14ac:dyDescent="0.35">
      <c r="A65" s="7">
        <v>4054</v>
      </c>
      <c r="B65" s="7" t="s">
        <v>16</v>
      </c>
      <c r="C65" s="7" t="s">
        <v>17</v>
      </c>
      <c r="D65" s="7" t="s">
        <v>19</v>
      </c>
      <c r="E65" s="7">
        <v>26</v>
      </c>
      <c r="F65" s="8">
        <v>5</v>
      </c>
      <c r="G65" s="9">
        <v>45345</v>
      </c>
      <c r="H65" s="10">
        <f t="shared" si="1"/>
        <v>130</v>
      </c>
    </row>
    <row r="66" spans="1:8" x14ac:dyDescent="0.35">
      <c r="A66" s="7">
        <v>4016</v>
      </c>
      <c r="B66" s="7" t="s">
        <v>31</v>
      </c>
      <c r="C66" s="7" t="s">
        <v>17</v>
      </c>
      <c r="D66" s="7" t="s">
        <v>19</v>
      </c>
      <c r="E66" s="7">
        <v>25</v>
      </c>
      <c r="F66" s="8">
        <v>5</v>
      </c>
      <c r="G66" s="9">
        <v>45307</v>
      </c>
      <c r="H66" s="10">
        <f t="shared" ref="H66:H71" si="2">E66*F66</f>
        <v>125</v>
      </c>
    </row>
    <row r="67" spans="1:8" x14ac:dyDescent="0.35">
      <c r="A67" s="7">
        <v>4059</v>
      </c>
      <c r="B67" s="7" t="s">
        <v>24</v>
      </c>
      <c r="C67" s="7" t="s">
        <v>8</v>
      </c>
      <c r="D67" s="7" t="s">
        <v>19</v>
      </c>
      <c r="E67" s="7">
        <v>24</v>
      </c>
      <c r="F67" s="8">
        <v>5</v>
      </c>
      <c r="G67" s="9">
        <v>45350</v>
      </c>
      <c r="H67" s="10">
        <f t="shared" si="2"/>
        <v>120</v>
      </c>
    </row>
    <row r="68" spans="1:8" x14ac:dyDescent="0.35">
      <c r="A68" s="7">
        <v>4027</v>
      </c>
      <c r="B68" s="7" t="s">
        <v>42</v>
      </c>
      <c r="C68" s="7" t="s">
        <v>14</v>
      </c>
      <c r="D68" s="7" t="s">
        <v>19</v>
      </c>
      <c r="E68" s="7">
        <v>22</v>
      </c>
      <c r="F68" s="8">
        <v>5</v>
      </c>
      <c r="G68" s="9">
        <v>45318</v>
      </c>
      <c r="H68" s="10">
        <f t="shared" si="2"/>
        <v>110</v>
      </c>
    </row>
    <row r="69" spans="1:8" x14ac:dyDescent="0.35">
      <c r="A69" s="7">
        <v>4064</v>
      </c>
      <c r="B69" s="7" t="s">
        <v>29</v>
      </c>
      <c r="C69" s="7" t="s">
        <v>11</v>
      </c>
      <c r="D69" s="7" t="s">
        <v>19</v>
      </c>
      <c r="E69" s="7">
        <v>22</v>
      </c>
      <c r="F69" s="8">
        <v>5</v>
      </c>
      <c r="G69" s="9">
        <v>45355</v>
      </c>
      <c r="H69" s="10">
        <f t="shared" si="2"/>
        <v>110</v>
      </c>
    </row>
    <row r="70" spans="1:8" x14ac:dyDescent="0.35">
      <c r="A70" s="7">
        <v>4047</v>
      </c>
      <c r="B70" s="7" t="s">
        <v>62</v>
      </c>
      <c r="C70" s="7" t="s">
        <v>14</v>
      </c>
      <c r="D70" s="7" t="s">
        <v>19</v>
      </c>
      <c r="E70" s="7">
        <v>19</v>
      </c>
      <c r="F70" s="8">
        <v>5</v>
      </c>
      <c r="G70" s="9">
        <v>45338</v>
      </c>
      <c r="H70" s="10">
        <f t="shared" si="2"/>
        <v>95</v>
      </c>
    </row>
    <row r="71" spans="1:8" x14ac:dyDescent="0.35">
      <c r="A71" s="7">
        <v>4032</v>
      </c>
      <c r="B71" s="7" t="s">
        <v>47</v>
      </c>
      <c r="C71" s="7" t="s">
        <v>17</v>
      </c>
      <c r="D71" s="7" t="s">
        <v>19</v>
      </c>
      <c r="E71" s="7">
        <v>18</v>
      </c>
      <c r="F71" s="8">
        <v>5</v>
      </c>
      <c r="G71" s="9">
        <v>45323</v>
      </c>
      <c r="H71" s="10">
        <f t="shared" si="2"/>
        <v>90</v>
      </c>
    </row>
  </sheetData>
  <sortState xmlns:xlrd2="http://schemas.microsoft.com/office/spreadsheetml/2017/richdata2" ref="A2:H71">
    <sortCondition descending="1" ref="H2:H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213F-2699-4516-83C9-F7F5861347E9}">
  <dimension ref="A1:D2"/>
  <sheetViews>
    <sheetView workbookViewId="0">
      <selection activeCell="C13" sqref="C13"/>
    </sheetView>
  </sheetViews>
  <sheetFormatPr defaultRowHeight="14.5" x14ac:dyDescent="0.35"/>
  <cols>
    <col min="1" max="1" width="14.54296875" customWidth="1"/>
    <col min="2" max="2" width="13.36328125" customWidth="1"/>
    <col min="3" max="3" width="14" customWidth="1"/>
    <col min="4" max="4" width="12.7265625" customWidth="1"/>
  </cols>
  <sheetData>
    <row r="1" spans="1:4" x14ac:dyDescent="0.35">
      <c r="A1" s="5" t="s">
        <v>67</v>
      </c>
      <c r="B1" s="5" t="s">
        <v>68</v>
      </c>
      <c r="C1" s="5" t="s">
        <v>69</v>
      </c>
      <c r="D1" s="5" t="s">
        <v>70</v>
      </c>
    </row>
    <row r="2" spans="1:4" x14ac:dyDescent="0.35">
      <c r="A2" s="13">
        <f>SUM(Dataset!$E$2:$E$71)</f>
        <v>1430</v>
      </c>
      <c r="B2" s="14">
        <f>AVERAGE(Dataset!$E$2:$E$71)</f>
        <v>20.428571428571427</v>
      </c>
      <c r="C2" s="13">
        <f>MAX(Dataset!$E$2:$E$71)</f>
        <v>40</v>
      </c>
      <c r="D2" s="13">
        <f>MIN(Dataset!$E$2:$E$71)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C94C-69FE-4908-9EC9-22C4F7AAC38C}">
  <dimension ref="A1:H71"/>
  <sheetViews>
    <sheetView workbookViewId="0">
      <selection activeCell="L9" sqref="L9"/>
    </sheetView>
  </sheetViews>
  <sheetFormatPr defaultRowHeight="14.5" x14ac:dyDescent="0.35"/>
  <cols>
    <col min="2" max="2" width="14.90625" customWidth="1"/>
    <col min="6" max="6" width="8.7265625" style="4"/>
    <col min="7" max="7" width="11.453125" customWidth="1"/>
    <col min="8" max="8" width="11.54296875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66</v>
      </c>
    </row>
    <row r="2" spans="1:8" x14ac:dyDescent="0.35">
      <c r="A2" s="7">
        <v>4007</v>
      </c>
      <c r="B2" s="7" t="s">
        <v>21</v>
      </c>
      <c r="C2" s="7" t="s">
        <v>14</v>
      </c>
      <c r="D2" s="7" t="s">
        <v>22</v>
      </c>
      <c r="E2" s="7">
        <v>25</v>
      </c>
      <c r="F2" s="8">
        <v>8</v>
      </c>
      <c r="G2" s="9">
        <v>45298</v>
      </c>
      <c r="H2" s="10">
        <f t="shared" ref="H2:H33" si="0">E2*F2</f>
        <v>200</v>
      </c>
    </row>
    <row r="3" spans="1:8" x14ac:dyDescent="0.35">
      <c r="A3" s="7">
        <v>4023</v>
      </c>
      <c r="B3" s="7" t="s">
        <v>38</v>
      </c>
      <c r="C3" s="7" t="s">
        <v>14</v>
      </c>
      <c r="D3" s="7" t="s">
        <v>22</v>
      </c>
      <c r="E3" s="7">
        <v>30</v>
      </c>
      <c r="F3" s="8">
        <v>8</v>
      </c>
      <c r="G3" s="9">
        <v>45314</v>
      </c>
      <c r="H3" s="10">
        <f t="shared" si="0"/>
        <v>240</v>
      </c>
    </row>
    <row r="4" spans="1:8" x14ac:dyDescent="0.35">
      <c r="A4" s="7">
        <v>4043</v>
      </c>
      <c r="B4" s="7" t="s">
        <v>58</v>
      </c>
      <c r="C4" s="7" t="s">
        <v>14</v>
      </c>
      <c r="D4" s="7" t="s">
        <v>22</v>
      </c>
      <c r="E4" s="7">
        <v>26</v>
      </c>
      <c r="F4" s="8">
        <v>8</v>
      </c>
      <c r="G4" s="9">
        <v>45334</v>
      </c>
      <c r="H4" s="10">
        <f t="shared" si="0"/>
        <v>208</v>
      </c>
    </row>
    <row r="5" spans="1:8" x14ac:dyDescent="0.35">
      <c r="A5" s="7">
        <v>4065</v>
      </c>
      <c r="B5" s="7" t="s">
        <v>30</v>
      </c>
      <c r="C5" s="7" t="s">
        <v>14</v>
      </c>
      <c r="D5" s="7" t="s">
        <v>22</v>
      </c>
      <c r="E5" s="7">
        <v>26</v>
      </c>
      <c r="F5" s="8">
        <v>8</v>
      </c>
      <c r="G5" s="9">
        <v>45356</v>
      </c>
      <c r="H5" s="10">
        <f t="shared" si="0"/>
        <v>208</v>
      </c>
    </row>
    <row r="6" spans="1:8" x14ac:dyDescent="0.35">
      <c r="A6" s="7">
        <v>4003</v>
      </c>
      <c r="B6" s="7" t="s">
        <v>13</v>
      </c>
      <c r="C6" s="7" t="s">
        <v>14</v>
      </c>
      <c r="D6" s="7" t="s">
        <v>15</v>
      </c>
      <c r="E6" s="7">
        <v>15</v>
      </c>
      <c r="F6" s="8">
        <v>25</v>
      </c>
      <c r="G6" s="9">
        <v>45294</v>
      </c>
      <c r="H6" s="10">
        <f t="shared" si="0"/>
        <v>375</v>
      </c>
    </row>
    <row r="7" spans="1:8" x14ac:dyDescent="0.35">
      <c r="A7" s="7">
        <v>4015</v>
      </c>
      <c r="B7" s="7" t="s">
        <v>30</v>
      </c>
      <c r="C7" s="7" t="s">
        <v>14</v>
      </c>
      <c r="D7" s="7" t="s">
        <v>15</v>
      </c>
      <c r="E7" s="7">
        <v>12</v>
      </c>
      <c r="F7" s="8">
        <v>25</v>
      </c>
      <c r="G7" s="9">
        <v>45306</v>
      </c>
      <c r="H7" s="10">
        <f t="shared" si="0"/>
        <v>300</v>
      </c>
    </row>
    <row r="8" spans="1:8" x14ac:dyDescent="0.35">
      <c r="A8" s="7">
        <v>4031</v>
      </c>
      <c r="B8" s="7" t="s">
        <v>46</v>
      </c>
      <c r="C8" s="7" t="s">
        <v>14</v>
      </c>
      <c r="D8" s="7" t="s">
        <v>15</v>
      </c>
      <c r="E8" s="7">
        <v>10</v>
      </c>
      <c r="F8" s="8">
        <v>25</v>
      </c>
      <c r="G8" s="9">
        <v>45322</v>
      </c>
      <c r="H8" s="10">
        <f t="shared" si="0"/>
        <v>250</v>
      </c>
    </row>
    <row r="9" spans="1:8" x14ac:dyDescent="0.35">
      <c r="A9" s="7">
        <v>4039</v>
      </c>
      <c r="B9" s="7" t="s">
        <v>54</v>
      </c>
      <c r="C9" s="7" t="s">
        <v>14</v>
      </c>
      <c r="D9" s="7" t="s">
        <v>9</v>
      </c>
      <c r="E9" s="7">
        <v>16</v>
      </c>
      <c r="F9" s="8">
        <v>50</v>
      </c>
      <c r="G9" s="9">
        <v>45330</v>
      </c>
      <c r="H9" s="10">
        <f t="shared" si="0"/>
        <v>800</v>
      </c>
    </row>
    <row r="10" spans="1:8" x14ac:dyDescent="0.35">
      <c r="A10" s="7">
        <v>4057</v>
      </c>
      <c r="B10" s="7" t="s">
        <v>21</v>
      </c>
      <c r="C10" s="7" t="s">
        <v>14</v>
      </c>
      <c r="D10" s="7" t="s">
        <v>9</v>
      </c>
      <c r="E10" s="7">
        <v>20</v>
      </c>
      <c r="F10" s="8">
        <v>50</v>
      </c>
      <c r="G10" s="9">
        <v>45348</v>
      </c>
      <c r="H10" s="10">
        <f t="shared" si="0"/>
        <v>1000</v>
      </c>
    </row>
    <row r="11" spans="1:8" x14ac:dyDescent="0.35">
      <c r="A11" s="7">
        <v>4061</v>
      </c>
      <c r="B11" s="7" t="s">
        <v>26</v>
      </c>
      <c r="C11" s="7" t="s">
        <v>14</v>
      </c>
      <c r="D11" s="7" t="s">
        <v>9</v>
      </c>
      <c r="E11" s="7">
        <v>12</v>
      </c>
      <c r="F11" s="8">
        <v>50</v>
      </c>
      <c r="G11" s="9">
        <v>45352</v>
      </c>
      <c r="H11" s="10">
        <f t="shared" si="0"/>
        <v>600</v>
      </c>
    </row>
    <row r="12" spans="1:8" x14ac:dyDescent="0.35">
      <c r="A12" s="7">
        <v>4019</v>
      </c>
      <c r="B12" s="7" t="s">
        <v>34</v>
      </c>
      <c r="C12" s="7" t="s">
        <v>14</v>
      </c>
      <c r="D12" s="7" t="s">
        <v>12</v>
      </c>
      <c r="E12" s="7">
        <v>15</v>
      </c>
      <c r="F12" s="8">
        <v>10</v>
      </c>
      <c r="G12" s="9">
        <v>45310</v>
      </c>
      <c r="H12" s="10">
        <f t="shared" si="0"/>
        <v>150</v>
      </c>
    </row>
    <row r="13" spans="1:8" x14ac:dyDescent="0.35">
      <c r="A13" s="7">
        <v>4035</v>
      </c>
      <c r="B13" s="7" t="s">
        <v>50</v>
      </c>
      <c r="C13" s="7" t="s">
        <v>14</v>
      </c>
      <c r="D13" s="7" t="s">
        <v>12</v>
      </c>
      <c r="E13" s="7">
        <v>19</v>
      </c>
      <c r="F13" s="8">
        <v>10</v>
      </c>
      <c r="G13" s="9">
        <v>45326</v>
      </c>
      <c r="H13" s="10">
        <f t="shared" si="0"/>
        <v>190</v>
      </c>
    </row>
    <row r="14" spans="1:8" x14ac:dyDescent="0.35">
      <c r="A14" s="7">
        <v>4053</v>
      </c>
      <c r="B14" s="7" t="s">
        <v>13</v>
      </c>
      <c r="C14" s="7" t="s">
        <v>14</v>
      </c>
      <c r="D14" s="7" t="s">
        <v>12</v>
      </c>
      <c r="E14" s="7">
        <v>22</v>
      </c>
      <c r="F14" s="8">
        <v>10</v>
      </c>
      <c r="G14" s="9">
        <v>45344</v>
      </c>
      <c r="H14" s="10">
        <f t="shared" si="0"/>
        <v>220</v>
      </c>
    </row>
    <row r="15" spans="1:8" x14ac:dyDescent="0.35">
      <c r="A15" s="7">
        <v>4011</v>
      </c>
      <c r="B15" s="7" t="s">
        <v>26</v>
      </c>
      <c r="C15" s="7" t="s">
        <v>14</v>
      </c>
      <c r="D15" s="7" t="s">
        <v>19</v>
      </c>
      <c r="E15" s="7">
        <v>40</v>
      </c>
      <c r="F15" s="8">
        <v>5</v>
      </c>
      <c r="G15" s="9">
        <v>45302</v>
      </c>
      <c r="H15" s="10">
        <f t="shared" si="0"/>
        <v>200</v>
      </c>
    </row>
    <row r="16" spans="1:8" x14ac:dyDescent="0.35">
      <c r="A16" s="7">
        <v>4027</v>
      </c>
      <c r="B16" s="7" t="s">
        <v>42</v>
      </c>
      <c r="C16" s="7" t="s">
        <v>14</v>
      </c>
      <c r="D16" s="7" t="s">
        <v>19</v>
      </c>
      <c r="E16" s="7">
        <v>22</v>
      </c>
      <c r="F16" s="8">
        <v>5</v>
      </c>
      <c r="G16" s="9">
        <v>45318</v>
      </c>
      <c r="H16" s="10">
        <f t="shared" si="0"/>
        <v>110</v>
      </c>
    </row>
    <row r="17" spans="1:8" x14ac:dyDescent="0.35">
      <c r="A17" s="7">
        <v>4047</v>
      </c>
      <c r="B17" s="7" t="s">
        <v>62</v>
      </c>
      <c r="C17" s="7" t="s">
        <v>14</v>
      </c>
      <c r="D17" s="7" t="s">
        <v>19</v>
      </c>
      <c r="E17" s="7">
        <v>19</v>
      </c>
      <c r="F17" s="8">
        <v>5</v>
      </c>
      <c r="G17" s="9">
        <v>45338</v>
      </c>
      <c r="H17" s="10">
        <f t="shared" si="0"/>
        <v>95</v>
      </c>
    </row>
    <row r="18" spans="1:8" x14ac:dyDescent="0.35">
      <c r="A18" s="7">
        <v>4069</v>
      </c>
      <c r="B18" s="7" t="s">
        <v>34</v>
      </c>
      <c r="C18" s="7" t="s">
        <v>14</v>
      </c>
      <c r="D18" s="7" t="s">
        <v>19</v>
      </c>
      <c r="E18" s="7">
        <v>32</v>
      </c>
      <c r="F18" s="8">
        <v>5</v>
      </c>
      <c r="G18" s="9">
        <v>45360</v>
      </c>
      <c r="H18" s="10">
        <f t="shared" si="0"/>
        <v>160</v>
      </c>
    </row>
    <row r="19" spans="1:8" x14ac:dyDescent="0.35">
      <c r="A19" s="7">
        <v>4017</v>
      </c>
      <c r="B19" s="7" t="s">
        <v>32</v>
      </c>
      <c r="C19" s="7" t="s">
        <v>8</v>
      </c>
      <c r="D19" s="7" t="s">
        <v>22</v>
      </c>
      <c r="E19" s="7">
        <v>20</v>
      </c>
      <c r="F19" s="8">
        <v>8</v>
      </c>
      <c r="G19" s="9">
        <v>45308</v>
      </c>
      <c r="H19" s="10">
        <f t="shared" si="0"/>
        <v>160</v>
      </c>
    </row>
    <row r="20" spans="1:8" x14ac:dyDescent="0.35">
      <c r="A20" s="7">
        <v>4033</v>
      </c>
      <c r="B20" s="7" t="s">
        <v>48</v>
      </c>
      <c r="C20" s="7" t="s">
        <v>8</v>
      </c>
      <c r="D20" s="7" t="s">
        <v>22</v>
      </c>
      <c r="E20" s="7">
        <v>22</v>
      </c>
      <c r="F20" s="8">
        <v>8</v>
      </c>
      <c r="G20" s="9">
        <v>45324</v>
      </c>
      <c r="H20" s="10">
        <f t="shared" si="0"/>
        <v>176</v>
      </c>
    </row>
    <row r="21" spans="1:8" x14ac:dyDescent="0.35">
      <c r="A21" s="7">
        <v>4055</v>
      </c>
      <c r="B21" s="7" t="s">
        <v>18</v>
      </c>
      <c r="C21" s="7" t="s">
        <v>8</v>
      </c>
      <c r="D21" s="7" t="s">
        <v>22</v>
      </c>
      <c r="E21" s="7">
        <v>28</v>
      </c>
      <c r="F21" s="8">
        <v>8</v>
      </c>
      <c r="G21" s="9">
        <v>45346</v>
      </c>
      <c r="H21" s="10">
        <f t="shared" si="0"/>
        <v>224</v>
      </c>
    </row>
    <row r="22" spans="1:8" x14ac:dyDescent="0.35">
      <c r="A22" s="7">
        <v>4009</v>
      </c>
      <c r="B22" s="7" t="s">
        <v>24</v>
      </c>
      <c r="C22" s="7" t="s">
        <v>8</v>
      </c>
      <c r="D22" s="7" t="s">
        <v>15</v>
      </c>
      <c r="E22" s="7">
        <v>22</v>
      </c>
      <c r="F22" s="8">
        <v>25</v>
      </c>
      <c r="G22" s="9">
        <v>45300</v>
      </c>
      <c r="H22" s="10">
        <f t="shared" si="0"/>
        <v>550</v>
      </c>
    </row>
    <row r="23" spans="1:8" x14ac:dyDescent="0.35">
      <c r="A23" s="7">
        <v>4041</v>
      </c>
      <c r="B23" s="7" t="s">
        <v>56</v>
      </c>
      <c r="C23" s="7" t="s">
        <v>8</v>
      </c>
      <c r="D23" s="7" t="s">
        <v>15</v>
      </c>
      <c r="E23" s="7">
        <v>21</v>
      </c>
      <c r="F23" s="8">
        <v>25</v>
      </c>
      <c r="G23" s="9">
        <v>45332</v>
      </c>
      <c r="H23" s="10">
        <f t="shared" si="0"/>
        <v>525</v>
      </c>
    </row>
    <row r="24" spans="1:8" x14ac:dyDescent="0.35">
      <c r="A24" s="7">
        <v>4051</v>
      </c>
      <c r="B24" s="7" t="s">
        <v>7</v>
      </c>
      <c r="C24" s="7" t="s">
        <v>8</v>
      </c>
      <c r="D24" s="7" t="s">
        <v>15</v>
      </c>
      <c r="E24" s="7">
        <v>18</v>
      </c>
      <c r="F24" s="8">
        <v>25</v>
      </c>
      <c r="G24" s="9">
        <v>45342</v>
      </c>
      <c r="H24" s="10">
        <f t="shared" si="0"/>
        <v>450</v>
      </c>
    </row>
    <row r="25" spans="1:8" x14ac:dyDescent="0.35">
      <c r="A25" s="7">
        <v>4067</v>
      </c>
      <c r="B25" s="7" t="s">
        <v>32</v>
      </c>
      <c r="C25" s="7" t="s">
        <v>8</v>
      </c>
      <c r="D25" s="7" t="s">
        <v>15</v>
      </c>
      <c r="E25" s="7">
        <v>14</v>
      </c>
      <c r="F25" s="8">
        <v>25</v>
      </c>
      <c r="G25" s="9">
        <v>45358</v>
      </c>
      <c r="H25" s="10">
        <f t="shared" si="0"/>
        <v>350</v>
      </c>
    </row>
    <row r="26" spans="1:8" x14ac:dyDescent="0.35">
      <c r="A26" s="7">
        <v>4001</v>
      </c>
      <c r="B26" s="7" t="s">
        <v>7</v>
      </c>
      <c r="C26" s="7" t="s">
        <v>8</v>
      </c>
      <c r="D26" s="7" t="s">
        <v>9</v>
      </c>
      <c r="E26" s="7">
        <v>10</v>
      </c>
      <c r="F26" s="8">
        <v>50</v>
      </c>
      <c r="G26" s="9">
        <v>45292</v>
      </c>
      <c r="H26" s="10">
        <f t="shared" si="0"/>
        <v>500</v>
      </c>
    </row>
    <row r="27" spans="1:8" x14ac:dyDescent="0.35">
      <c r="A27" s="7">
        <v>4013</v>
      </c>
      <c r="B27" s="7" t="s">
        <v>28</v>
      </c>
      <c r="C27" s="7" t="s">
        <v>8</v>
      </c>
      <c r="D27" s="7" t="s">
        <v>9</v>
      </c>
      <c r="E27" s="7">
        <v>14</v>
      </c>
      <c r="F27" s="8">
        <v>50</v>
      </c>
      <c r="G27" s="9">
        <v>45304</v>
      </c>
      <c r="H27" s="10">
        <f t="shared" si="0"/>
        <v>700</v>
      </c>
    </row>
    <row r="28" spans="1:8" x14ac:dyDescent="0.35">
      <c r="A28" s="7">
        <v>4021</v>
      </c>
      <c r="B28" s="7" t="s">
        <v>36</v>
      </c>
      <c r="C28" s="7" t="s">
        <v>8</v>
      </c>
      <c r="D28" s="7" t="s">
        <v>9</v>
      </c>
      <c r="E28" s="7">
        <v>9</v>
      </c>
      <c r="F28" s="8">
        <v>50</v>
      </c>
      <c r="G28" s="9">
        <v>45312</v>
      </c>
      <c r="H28" s="10">
        <f t="shared" si="0"/>
        <v>450</v>
      </c>
    </row>
    <row r="29" spans="1:8" x14ac:dyDescent="0.35">
      <c r="A29" s="7">
        <v>4029</v>
      </c>
      <c r="B29" s="7" t="s">
        <v>44</v>
      </c>
      <c r="C29" s="7" t="s">
        <v>8</v>
      </c>
      <c r="D29" s="7" t="s">
        <v>9</v>
      </c>
      <c r="E29" s="7">
        <v>13</v>
      </c>
      <c r="F29" s="8">
        <v>50</v>
      </c>
      <c r="G29" s="9">
        <v>45320</v>
      </c>
      <c r="H29" s="10">
        <f t="shared" si="0"/>
        <v>650</v>
      </c>
    </row>
    <row r="30" spans="1:8" x14ac:dyDescent="0.35">
      <c r="A30" s="7">
        <v>4049</v>
      </c>
      <c r="B30" s="7" t="s">
        <v>64</v>
      </c>
      <c r="C30" s="7" t="s">
        <v>8</v>
      </c>
      <c r="D30" s="7" t="s">
        <v>9</v>
      </c>
      <c r="E30" s="7">
        <v>12</v>
      </c>
      <c r="F30" s="8">
        <v>50</v>
      </c>
      <c r="G30" s="9">
        <v>45340</v>
      </c>
      <c r="H30" s="10">
        <f t="shared" si="0"/>
        <v>600</v>
      </c>
    </row>
    <row r="31" spans="1:8" x14ac:dyDescent="0.35">
      <c r="A31" s="7">
        <v>4025</v>
      </c>
      <c r="B31" s="7" t="s">
        <v>40</v>
      </c>
      <c r="C31" s="7" t="s">
        <v>8</v>
      </c>
      <c r="D31" s="7" t="s">
        <v>12</v>
      </c>
      <c r="E31" s="7">
        <v>14</v>
      </c>
      <c r="F31" s="8">
        <v>10</v>
      </c>
      <c r="G31" s="9">
        <v>45316</v>
      </c>
      <c r="H31" s="10">
        <f t="shared" si="0"/>
        <v>140</v>
      </c>
    </row>
    <row r="32" spans="1:8" x14ac:dyDescent="0.35">
      <c r="A32" s="7">
        <v>4045</v>
      </c>
      <c r="B32" s="7" t="s">
        <v>60</v>
      </c>
      <c r="C32" s="7" t="s">
        <v>8</v>
      </c>
      <c r="D32" s="7" t="s">
        <v>12</v>
      </c>
      <c r="E32" s="7">
        <v>20</v>
      </c>
      <c r="F32" s="8">
        <v>10</v>
      </c>
      <c r="G32" s="9">
        <v>45336</v>
      </c>
      <c r="H32" s="10">
        <f t="shared" si="0"/>
        <v>200</v>
      </c>
    </row>
    <row r="33" spans="1:8" x14ac:dyDescent="0.35">
      <c r="A33" s="7">
        <v>4063</v>
      </c>
      <c r="B33" s="7" t="s">
        <v>28</v>
      </c>
      <c r="C33" s="7" t="s">
        <v>8</v>
      </c>
      <c r="D33" s="7" t="s">
        <v>12</v>
      </c>
      <c r="E33" s="7">
        <v>20</v>
      </c>
      <c r="F33" s="8">
        <v>10</v>
      </c>
      <c r="G33" s="9">
        <v>45354</v>
      </c>
      <c r="H33" s="10">
        <f t="shared" si="0"/>
        <v>200</v>
      </c>
    </row>
    <row r="34" spans="1:8" x14ac:dyDescent="0.35">
      <c r="A34" s="7">
        <v>4005</v>
      </c>
      <c r="B34" s="7" t="s">
        <v>18</v>
      </c>
      <c r="C34" s="7" t="s">
        <v>8</v>
      </c>
      <c r="D34" s="7" t="s">
        <v>19</v>
      </c>
      <c r="E34" s="7">
        <v>30</v>
      </c>
      <c r="F34" s="8">
        <v>5</v>
      </c>
      <c r="G34" s="9">
        <v>45296</v>
      </c>
      <c r="H34" s="10">
        <f t="shared" ref="H34:H65" si="1">E34*F34</f>
        <v>150</v>
      </c>
    </row>
    <row r="35" spans="1:8" x14ac:dyDescent="0.35">
      <c r="A35" s="7">
        <v>4037</v>
      </c>
      <c r="B35" s="7" t="s">
        <v>52</v>
      </c>
      <c r="C35" s="7" t="s">
        <v>8</v>
      </c>
      <c r="D35" s="7" t="s">
        <v>19</v>
      </c>
      <c r="E35" s="7">
        <v>28</v>
      </c>
      <c r="F35" s="8">
        <v>5</v>
      </c>
      <c r="G35" s="9">
        <v>45328</v>
      </c>
      <c r="H35" s="10">
        <f t="shared" si="1"/>
        <v>140</v>
      </c>
    </row>
    <row r="36" spans="1:8" x14ac:dyDescent="0.35">
      <c r="A36" s="7">
        <v>4059</v>
      </c>
      <c r="B36" s="7" t="s">
        <v>24</v>
      </c>
      <c r="C36" s="7" t="s">
        <v>8</v>
      </c>
      <c r="D36" s="7" t="s">
        <v>19</v>
      </c>
      <c r="E36" s="7">
        <v>24</v>
      </c>
      <c r="F36" s="8">
        <v>5</v>
      </c>
      <c r="G36" s="9">
        <v>45350</v>
      </c>
      <c r="H36" s="10">
        <f t="shared" si="1"/>
        <v>120</v>
      </c>
    </row>
    <row r="37" spans="1:8" x14ac:dyDescent="0.35">
      <c r="A37" s="7">
        <v>4038</v>
      </c>
      <c r="B37" s="7" t="s">
        <v>53</v>
      </c>
      <c r="C37" s="7" t="s">
        <v>11</v>
      </c>
      <c r="D37" s="7" t="s">
        <v>22</v>
      </c>
      <c r="E37" s="7">
        <v>24</v>
      </c>
      <c r="F37" s="8">
        <v>8</v>
      </c>
      <c r="G37" s="9">
        <v>45329</v>
      </c>
      <c r="H37" s="10">
        <f t="shared" si="1"/>
        <v>192</v>
      </c>
    </row>
    <row r="38" spans="1:8" x14ac:dyDescent="0.35">
      <c r="A38" s="7">
        <v>4060</v>
      </c>
      <c r="B38" s="7" t="s">
        <v>25</v>
      </c>
      <c r="C38" s="7" t="s">
        <v>11</v>
      </c>
      <c r="D38" s="7" t="s">
        <v>22</v>
      </c>
      <c r="E38" s="7">
        <v>30</v>
      </c>
      <c r="F38" s="8">
        <v>8</v>
      </c>
      <c r="G38" s="9">
        <v>45351</v>
      </c>
      <c r="H38" s="10">
        <f t="shared" si="1"/>
        <v>240</v>
      </c>
    </row>
    <row r="39" spans="1:8" x14ac:dyDescent="0.35">
      <c r="A39" s="7">
        <v>4026</v>
      </c>
      <c r="B39" s="7" t="s">
        <v>41</v>
      </c>
      <c r="C39" s="7" t="s">
        <v>11</v>
      </c>
      <c r="D39" s="7" t="s">
        <v>15</v>
      </c>
      <c r="E39" s="7">
        <v>16</v>
      </c>
      <c r="F39" s="8">
        <v>25</v>
      </c>
      <c r="G39" s="9">
        <v>45317</v>
      </c>
      <c r="H39" s="10">
        <f t="shared" si="1"/>
        <v>400</v>
      </c>
    </row>
    <row r="40" spans="1:8" x14ac:dyDescent="0.35">
      <c r="A40" s="7">
        <v>4046</v>
      </c>
      <c r="B40" s="7" t="s">
        <v>61</v>
      </c>
      <c r="C40" s="7" t="s">
        <v>11</v>
      </c>
      <c r="D40" s="7" t="s">
        <v>15</v>
      </c>
      <c r="E40" s="7">
        <v>17</v>
      </c>
      <c r="F40" s="8">
        <v>25</v>
      </c>
      <c r="G40" s="9">
        <v>45337</v>
      </c>
      <c r="H40" s="10">
        <f t="shared" si="1"/>
        <v>425</v>
      </c>
    </row>
    <row r="41" spans="1:8" x14ac:dyDescent="0.35">
      <c r="A41" s="7">
        <v>4056</v>
      </c>
      <c r="B41" s="7" t="s">
        <v>20</v>
      </c>
      <c r="C41" s="7" t="s">
        <v>11</v>
      </c>
      <c r="D41" s="7" t="s">
        <v>15</v>
      </c>
      <c r="E41" s="7">
        <v>16</v>
      </c>
      <c r="F41" s="8">
        <v>25</v>
      </c>
      <c r="G41" s="9">
        <v>45347</v>
      </c>
      <c r="H41" s="10">
        <f t="shared" si="1"/>
        <v>400</v>
      </c>
    </row>
    <row r="42" spans="1:8" x14ac:dyDescent="0.35">
      <c r="A42" s="7">
        <v>4006</v>
      </c>
      <c r="B42" s="7" t="s">
        <v>20</v>
      </c>
      <c r="C42" s="7" t="s">
        <v>11</v>
      </c>
      <c r="D42" s="7" t="s">
        <v>9</v>
      </c>
      <c r="E42" s="7">
        <v>12</v>
      </c>
      <c r="F42" s="8">
        <v>50</v>
      </c>
      <c r="G42" s="9">
        <v>45297</v>
      </c>
      <c r="H42" s="10">
        <f t="shared" si="1"/>
        <v>600</v>
      </c>
    </row>
    <row r="43" spans="1:8" x14ac:dyDescent="0.35">
      <c r="A43" s="7">
        <v>4010</v>
      </c>
      <c r="B43" s="7" t="s">
        <v>25</v>
      </c>
      <c r="C43" s="7" t="s">
        <v>11</v>
      </c>
      <c r="D43" s="7" t="s">
        <v>9</v>
      </c>
      <c r="E43" s="7">
        <v>8</v>
      </c>
      <c r="F43" s="8">
        <v>50</v>
      </c>
      <c r="G43" s="9">
        <v>45301</v>
      </c>
      <c r="H43" s="10">
        <f t="shared" si="1"/>
        <v>400</v>
      </c>
    </row>
    <row r="44" spans="1:8" x14ac:dyDescent="0.35">
      <c r="A44" s="7">
        <v>4018</v>
      </c>
      <c r="B44" s="7" t="s">
        <v>33</v>
      </c>
      <c r="C44" s="7" t="s">
        <v>11</v>
      </c>
      <c r="D44" s="7" t="s">
        <v>9</v>
      </c>
      <c r="E44" s="7">
        <v>10</v>
      </c>
      <c r="F44" s="8">
        <v>50</v>
      </c>
      <c r="G44" s="9">
        <v>45309</v>
      </c>
      <c r="H44" s="10">
        <f t="shared" si="1"/>
        <v>500</v>
      </c>
    </row>
    <row r="45" spans="1:8" x14ac:dyDescent="0.35">
      <c r="A45" s="7">
        <v>4034</v>
      </c>
      <c r="B45" s="7" t="s">
        <v>49</v>
      </c>
      <c r="C45" s="7" t="s">
        <v>11</v>
      </c>
      <c r="D45" s="7" t="s">
        <v>9</v>
      </c>
      <c r="E45" s="7">
        <v>17</v>
      </c>
      <c r="F45" s="8">
        <v>50</v>
      </c>
      <c r="G45" s="9">
        <v>45325</v>
      </c>
      <c r="H45" s="10">
        <f t="shared" si="1"/>
        <v>850</v>
      </c>
    </row>
    <row r="46" spans="1:8" x14ac:dyDescent="0.35">
      <c r="A46" s="7">
        <v>4052</v>
      </c>
      <c r="B46" s="7" t="s">
        <v>10</v>
      </c>
      <c r="C46" s="7" t="s">
        <v>11</v>
      </c>
      <c r="D46" s="7" t="s">
        <v>9</v>
      </c>
      <c r="E46" s="7">
        <v>14</v>
      </c>
      <c r="F46" s="8">
        <v>50</v>
      </c>
      <c r="G46" s="9">
        <v>45343</v>
      </c>
      <c r="H46" s="10">
        <f t="shared" si="1"/>
        <v>700</v>
      </c>
    </row>
    <row r="47" spans="1:8" x14ac:dyDescent="0.35">
      <c r="A47" s="7">
        <v>4002</v>
      </c>
      <c r="B47" s="7" t="s">
        <v>10</v>
      </c>
      <c r="C47" s="7" t="s">
        <v>11</v>
      </c>
      <c r="D47" s="7" t="s">
        <v>12</v>
      </c>
      <c r="E47" s="7">
        <v>20</v>
      </c>
      <c r="F47" s="8">
        <v>10</v>
      </c>
      <c r="G47" s="9">
        <v>45293</v>
      </c>
      <c r="H47" s="10">
        <f t="shared" si="1"/>
        <v>200</v>
      </c>
    </row>
    <row r="48" spans="1:8" x14ac:dyDescent="0.35">
      <c r="A48" s="7">
        <v>4014</v>
      </c>
      <c r="B48" s="7" t="s">
        <v>29</v>
      </c>
      <c r="C48" s="7" t="s">
        <v>11</v>
      </c>
      <c r="D48" s="7" t="s">
        <v>12</v>
      </c>
      <c r="E48" s="7">
        <v>28</v>
      </c>
      <c r="F48" s="8">
        <v>10</v>
      </c>
      <c r="G48" s="9">
        <v>45305</v>
      </c>
      <c r="H48" s="10">
        <f t="shared" si="1"/>
        <v>280</v>
      </c>
    </row>
    <row r="49" spans="1:8" x14ac:dyDescent="0.35">
      <c r="A49" s="7">
        <v>4030</v>
      </c>
      <c r="B49" s="7" t="s">
        <v>45</v>
      </c>
      <c r="C49" s="7" t="s">
        <v>11</v>
      </c>
      <c r="D49" s="7" t="s">
        <v>12</v>
      </c>
      <c r="E49" s="7">
        <v>32</v>
      </c>
      <c r="F49" s="8">
        <v>10</v>
      </c>
      <c r="G49" s="9">
        <v>45321</v>
      </c>
      <c r="H49" s="10">
        <f t="shared" si="1"/>
        <v>320</v>
      </c>
    </row>
    <row r="50" spans="1:8" x14ac:dyDescent="0.35">
      <c r="A50" s="7">
        <v>4050</v>
      </c>
      <c r="B50" s="7" t="s">
        <v>65</v>
      </c>
      <c r="C50" s="7" t="s">
        <v>11</v>
      </c>
      <c r="D50" s="7" t="s">
        <v>12</v>
      </c>
      <c r="E50" s="7">
        <v>25</v>
      </c>
      <c r="F50" s="8">
        <v>10</v>
      </c>
      <c r="G50" s="9">
        <v>45341</v>
      </c>
      <c r="H50" s="10">
        <f t="shared" si="1"/>
        <v>250</v>
      </c>
    </row>
    <row r="51" spans="1:8" x14ac:dyDescent="0.35">
      <c r="A51" s="7">
        <v>4068</v>
      </c>
      <c r="B51" s="7" t="s">
        <v>33</v>
      </c>
      <c r="C51" s="7" t="s">
        <v>11</v>
      </c>
      <c r="D51" s="7" t="s">
        <v>12</v>
      </c>
      <c r="E51" s="7">
        <v>28</v>
      </c>
      <c r="F51" s="8">
        <v>10</v>
      </c>
      <c r="G51" s="9">
        <v>45359</v>
      </c>
      <c r="H51" s="10">
        <f t="shared" si="1"/>
        <v>280</v>
      </c>
    </row>
    <row r="52" spans="1:8" x14ac:dyDescent="0.35">
      <c r="A52" s="7">
        <v>4022</v>
      </c>
      <c r="B52" s="7" t="s">
        <v>37</v>
      </c>
      <c r="C52" s="7" t="s">
        <v>11</v>
      </c>
      <c r="D52" s="7" t="s">
        <v>19</v>
      </c>
      <c r="E52" s="7">
        <v>35</v>
      </c>
      <c r="F52" s="8">
        <v>5</v>
      </c>
      <c r="G52" s="9">
        <v>45313</v>
      </c>
      <c r="H52" s="10">
        <f t="shared" si="1"/>
        <v>175</v>
      </c>
    </row>
    <row r="53" spans="1:8" x14ac:dyDescent="0.35">
      <c r="A53" s="7">
        <v>4042</v>
      </c>
      <c r="B53" s="7" t="s">
        <v>57</v>
      </c>
      <c r="C53" s="7" t="s">
        <v>11</v>
      </c>
      <c r="D53" s="7" t="s">
        <v>19</v>
      </c>
      <c r="E53" s="7">
        <v>30</v>
      </c>
      <c r="F53" s="8">
        <v>5</v>
      </c>
      <c r="G53" s="9">
        <v>45333</v>
      </c>
      <c r="H53" s="10">
        <f t="shared" si="1"/>
        <v>150</v>
      </c>
    </row>
    <row r="54" spans="1:8" x14ac:dyDescent="0.35">
      <c r="A54" s="7">
        <v>4064</v>
      </c>
      <c r="B54" s="7" t="s">
        <v>29</v>
      </c>
      <c r="C54" s="7" t="s">
        <v>11</v>
      </c>
      <c r="D54" s="7" t="s">
        <v>19</v>
      </c>
      <c r="E54" s="7">
        <v>22</v>
      </c>
      <c r="F54" s="8">
        <v>5</v>
      </c>
      <c r="G54" s="9">
        <v>45355</v>
      </c>
      <c r="H54" s="10">
        <f t="shared" si="1"/>
        <v>110</v>
      </c>
    </row>
    <row r="55" spans="1:8" x14ac:dyDescent="0.35">
      <c r="A55" s="7">
        <v>4012</v>
      </c>
      <c r="B55" s="7" t="s">
        <v>27</v>
      </c>
      <c r="C55" s="7" t="s">
        <v>17</v>
      </c>
      <c r="D55" s="7" t="s">
        <v>22</v>
      </c>
      <c r="E55" s="7">
        <v>35</v>
      </c>
      <c r="F55" s="8">
        <v>8</v>
      </c>
      <c r="G55" s="9">
        <v>45303</v>
      </c>
      <c r="H55" s="10">
        <f t="shared" si="1"/>
        <v>280</v>
      </c>
    </row>
    <row r="56" spans="1:8" x14ac:dyDescent="0.35">
      <c r="A56" s="7">
        <v>4028</v>
      </c>
      <c r="B56" s="7" t="s">
        <v>43</v>
      </c>
      <c r="C56" s="7" t="s">
        <v>17</v>
      </c>
      <c r="D56" s="7" t="s">
        <v>22</v>
      </c>
      <c r="E56" s="7">
        <v>27</v>
      </c>
      <c r="F56" s="8">
        <v>8</v>
      </c>
      <c r="G56" s="9">
        <v>45319</v>
      </c>
      <c r="H56" s="10">
        <f t="shared" si="1"/>
        <v>216</v>
      </c>
    </row>
    <row r="57" spans="1:8" x14ac:dyDescent="0.35">
      <c r="A57" s="7">
        <v>4048</v>
      </c>
      <c r="B57" s="7" t="s">
        <v>63</v>
      </c>
      <c r="C57" s="7" t="s">
        <v>17</v>
      </c>
      <c r="D57" s="7" t="s">
        <v>22</v>
      </c>
      <c r="E57" s="7">
        <v>32</v>
      </c>
      <c r="F57" s="8">
        <v>8</v>
      </c>
      <c r="G57" s="9">
        <v>45339</v>
      </c>
      <c r="H57" s="10">
        <f t="shared" si="1"/>
        <v>256</v>
      </c>
    </row>
    <row r="58" spans="1:8" x14ac:dyDescent="0.35">
      <c r="A58" s="7">
        <v>4070</v>
      </c>
      <c r="B58" s="7" t="s">
        <v>35</v>
      </c>
      <c r="C58" s="7" t="s">
        <v>17</v>
      </c>
      <c r="D58" s="7" t="s">
        <v>22</v>
      </c>
      <c r="E58" s="7">
        <v>24</v>
      </c>
      <c r="F58" s="8">
        <v>8</v>
      </c>
      <c r="G58" s="9">
        <v>45361</v>
      </c>
      <c r="H58" s="10">
        <f t="shared" si="1"/>
        <v>192</v>
      </c>
    </row>
    <row r="59" spans="1:8" x14ac:dyDescent="0.35">
      <c r="A59" s="7">
        <v>4020</v>
      </c>
      <c r="B59" s="7" t="s">
        <v>35</v>
      </c>
      <c r="C59" s="7" t="s">
        <v>17</v>
      </c>
      <c r="D59" s="7" t="s">
        <v>15</v>
      </c>
      <c r="E59" s="7">
        <v>18</v>
      </c>
      <c r="F59" s="8">
        <v>25</v>
      </c>
      <c r="G59" s="9">
        <v>45311</v>
      </c>
      <c r="H59" s="10">
        <f t="shared" si="1"/>
        <v>450</v>
      </c>
    </row>
    <row r="60" spans="1:8" x14ac:dyDescent="0.35">
      <c r="A60" s="7">
        <v>4036</v>
      </c>
      <c r="B60" s="7" t="s">
        <v>51</v>
      </c>
      <c r="C60" s="7" t="s">
        <v>17</v>
      </c>
      <c r="D60" s="7" t="s">
        <v>15</v>
      </c>
      <c r="E60" s="7">
        <v>15</v>
      </c>
      <c r="F60" s="8">
        <v>25</v>
      </c>
      <c r="G60" s="9">
        <v>45327</v>
      </c>
      <c r="H60" s="10">
        <f t="shared" si="1"/>
        <v>375</v>
      </c>
    </row>
    <row r="61" spans="1:8" x14ac:dyDescent="0.35">
      <c r="A61" s="7">
        <v>4062</v>
      </c>
      <c r="B61" s="7" t="s">
        <v>27</v>
      </c>
      <c r="C61" s="7" t="s">
        <v>17</v>
      </c>
      <c r="D61" s="7" t="s">
        <v>15</v>
      </c>
      <c r="E61" s="7">
        <v>15</v>
      </c>
      <c r="F61" s="8">
        <v>25</v>
      </c>
      <c r="G61" s="9">
        <v>45353</v>
      </c>
      <c r="H61" s="10">
        <f t="shared" si="1"/>
        <v>375</v>
      </c>
    </row>
    <row r="62" spans="1:8" x14ac:dyDescent="0.35">
      <c r="A62" s="7">
        <v>4004</v>
      </c>
      <c r="B62" s="7" t="s">
        <v>16</v>
      </c>
      <c r="C62" s="7" t="s">
        <v>17</v>
      </c>
      <c r="D62" s="7" t="s">
        <v>9</v>
      </c>
      <c r="E62" s="7">
        <v>5</v>
      </c>
      <c r="F62" s="8">
        <v>50</v>
      </c>
      <c r="G62" s="9">
        <v>45295</v>
      </c>
      <c r="H62" s="10">
        <f t="shared" si="1"/>
        <v>250</v>
      </c>
    </row>
    <row r="63" spans="1:8" x14ac:dyDescent="0.35">
      <c r="A63" s="7">
        <v>4024</v>
      </c>
      <c r="B63" s="7" t="s">
        <v>39</v>
      </c>
      <c r="C63" s="7" t="s">
        <v>17</v>
      </c>
      <c r="D63" s="7" t="s">
        <v>9</v>
      </c>
      <c r="E63" s="7">
        <v>11</v>
      </c>
      <c r="F63" s="8">
        <v>50</v>
      </c>
      <c r="G63" s="9">
        <v>45315</v>
      </c>
      <c r="H63" s="10">
        <f t="shared" si="1"/>
        <v>550</v>
      </c>
    </row>
    <row r="64" spans="1:8" x14ac:dyDescent="0.35">
      <c r="A64" s="7">
        <v>4044</v>
      </c>
      <c r="B64" s="7" t="s">
        <v>59</v>
      </c>
      <c r="C64" s="7" t="s">
        <v>17</v>
      </c>
      <c r="D64" s="7" t="s">
        <v>9</v>
      </c>
      <c r="E64" s="7">
        <v>14</v>
      </c>
      <c r="F64" s="8">
        <v>50</v>
      </c>
      <c r="G64" s="9">
        <v>45335</v>
      </c>
      <c r="H64" s="10">
        <f t="shared" si="1"/>
        <v>700</v>
      </c>
    </row>
    <row r="65" spans="1:8" x14ac:dyDescent="0.35">
      <c r="A65" s="7">
        <v>4066</v>
      </c>
      <c r="B65" s="7" t="s">
        <v>31</v>
      </c>
      <c r="C65" s="7" t="s">
        <v>17</v>
      </c>
      <c r="D65" s="7" t="s">
        <v>9</v>
      </c>
      <c r="E65" s="7">
        <v>18</v>
      </c>
      <c r="F65" s="8">
        <v>50</v>
      </c>
      <c r="G65" s="9">
        <v>45357</v>
      </c>
      <c r="H65" s="10">
        <f t="shared" si="1"/>
        <v>900</v>
      </c>
    </row>
    <row r="66" spans="1:8" x14ac:dyDescent="0.35">
      <c r="A66" s="7">
        <v>4008</v>
      </c>
      <c r="B66" s="7" t="s">
        <v>23</v>
      </c>
      <c r="C66" s="7" t="s">
        <v>17</v>
      </c>
      <c r="D66" s="7" t="s">
        <v>12</v>
      </c>
      <c r="E66" s="7">
        <v>18</v>
      </c>
      <c r="F66" s="8">
        <v>10</v>
      </c>
      <c r="G66" s="9">
        <v>45299</v>
      </c>
      <c r="H66" s="10">
        <f t="shared" ref="H66:H71" si="2">E66*F66</f>
        <v>180</v>
      </c>
    </row>
    <row r="67" spans="1:8" x14ac:dyDescent="0.35">
      <c r="A67" s="7">
        <v>4040</v>
      </c>
      <c r="B67" s="7" t="s">
        <v>55</v>
      </c>
      <c r="C67" s="7" t="s">
        <v>17</v>
      </c>
      <c r="D67" s="7" t="s">
        <v>12</v>
      </c>
      <c r="E67" s="7">
        <v>27</v>
      </c>
      <c r="F67" s="8">
        <v>10</v>
      </c>
      <c r="G67" s="9">
        <v>45331</v>
      </c>
      <c r="H67" s="10">
        <f t="shared" si="2"/>
        <v>270</v>
      </c>
    </row>
    <row r="68" spans="1:8" x14ac:dyDescent="0.35">
      <c r="A68" s="7">
        <v>4058</v>
      </c>
      <c r="B68" s="7" t="s">
        <v>23</v>
      </c>
      <c r="C68" s="7" t="s">
        <v>17</v>
      </c>
      <c r="D68" s="7" t="s">
        <v>12</v>
      </c>
      <c r="E68" s="7">
        <v>18</v>
      </c>
      <c r="F68" s="8">
        <v>10</v>
      </c>
      <c r="G68" s="9">
        <v>45349</v>
      </c>
      <c r="H68" s="10">
        <f t="shared" si="2"/>
        <v>180</v>
      </c>
    </row>
    <row r="69" spans="1:8" x14ac:dyDescent="0.35">
      <c r="A69" s="7">
        <v>4016</v>
      </c>
      <c r="B69" s="7" t="s">
        <v>31</v>
      </c>
      <c r="C69" s="7" t="s">
        <v>17</v>
      </c>
      <c r="D69" s="7" t="s">
        <v>19</v>
      </c>
      <c r="E69" s="7">
        <v>25</v>
      </c>
      <c r="F69" s="8">
        <v>5</v>
      </c>
      <c r="G69" s="9">
        <v>45307</v>
      </c>
      <c r="H69" s="10">
        <f t="shared" si="2"/>
        <v>125</v>
      </c>
    </row>
    <row r="70" spans="1:8" x14ac:dyDescent="0.35">
      <c r="A70" s="7">
        <v>4032</v>
      </c>
      <c r="B70" s="7" t="s">
        <v>47</v>
      </c>
      <c r="C70" s="7" t="s">
        <v>17</v>
      </c>
      <c r="D70" s="7" t="s">
        <v>19</v>
      </c>
      <c r="E70" s="7">
        <v>18</v>
      </c>
      <c r="F70" s="8">
        <v>5</v>
      </c>
      <c r="G70" s="9">
        <v>45323</v>
      </c>
      <c r="H70" s="10">
        <f t="shared" si="2"/>
        <v>90</v>
      </c>
    </row>
    <row r="71" spans="1:8" x14ac:dyDescent="0.35">
      <c r="A71" s="7">
        <v>4054</v>
      </c>
      <c r="B71" s="7" t="s">
        <v>16</v>
      </c>
      <c r="C71" s="7" t="s">
        <v>17</v>
      </c>
      <c r="D71" s="7" t="s">
        <v>19</v>
      </c>
      <c r="E71" s="7">
        <v>26</v>
      </c>
      <c r="F71" s="8">
        <v>5</v>
      </c>
      <c r="G71" s="9">
        <v>45345</v>
      </c>
      <c r="H71" s="10">
        <f t="shared" si="2"/>
        <v>130</v>
      </c>
    </row>
  </sheetData>
  <sortState xmlns:xlrd2="http://schemas.microsoft.com/office/spreadsheetml/2017/richdata2" ref="A2:H71">
    <sortCondition ref="C2:C71"/>
    <sortCondition ref="D2:D7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4EB2-D6DF-480E-A54C-D23F037B2A08}">
  <dimension ref="A1:H3"/>
  <sheetViews>
    <sheetView workbookViewId="0">
      <selection activeCell="I16" sqref="I16"/>
    </sheetView>
  </sheetViews>
  <sheetFormatPr defaultRowHeight="14.5" x14ac:dyDescent="0.35"/>
  <cols>
    <col min="2" max="2" width="13.7265625" customWidth="1"/>
    <col min="7" max="7" width="11.90625" customWidth="1"/>
    <col min="8" max="8" width="11.6328125" customWidth="1"/>
  </cols>
  <sheetData>
    <row r="1" spans="1:8" ht="18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66</v>
      </c>
    </row>
    <row r="2" spans="1:8" x14ac:dyDescent="0.35">
      <c r="A2" s="7">
        <v>4001</v>
      </c>
      <c r="B2" s="7" t="s">
        <v>7</v>
      </c>
      <c r="C2" s="7" t="s">
        <v>8</v>
      </c>
      <c r="D2" s="7" t="s">
        <v>9</v>
      </c>
      <c r="E2" s="7">
        <v>10</v>
      </c>
      <c r="F2" s="8">
        <v>50</v>
      </c>
      <c r="G2" s="9">
        <v>45292</v>
      </c>
      <c r="H2" s="10">
        <v>500</v>
      </c>
    </row>
    <row r="3" spans="1:8" x14ac:dyDescent="0.35">
      <c r="A3" s="7">
        <v>4018</v>
      </c>
      <c r="B3" s="7" t="s">
        <v>33</v>
      </c>
      <c r="C3" s="7" t="s">
        <v>11</v>
      </c>
      <c r="D3" s="7" t="s">
        <v>9</v>
      </c>
      <c r="E3" s="7">
        <v>10</v>
      </c>
      <c r="F3" s="8">
        <v>50</v>
      </c>
      <c r="G3" s="9">
        <v>45309</v>
      </c>
      <c r="H3" s="10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0CE-8E9C-4D7C-B8FA-094BD991F9AA}">
  <dimension ref="A1:N71"/>
  <sheetViews>
    <sheetView workbookViewId="0">
      <selection activeCell="K19" sqref="K19"/>
    </sheetView>
  </sheetViews>
  <sheetFormatPr defaultRowHeight="14.5" x14ac:dyDescent="0.35"/>
  <cols>
    <col min="1" max="1" width="7.26953125" bestFit="1" customWidth="1"/>
    <col min="2" max="2" width="15.36328125" customWidth="1"/>
    <col min="3" max="3" width="6.54296875" bestFit="1" customWidth="1"/>
    <col min="4" max="4" width="8.6328125" bestFit="1" customWidth="1"/>
    <col min="5" max="5" width="8" bestFit="1" customWidth="1"/>
    <col min="6" max="6" width="8.6328125" bestFit="1" customWidth="1"/>
    <col min="7" max="7" width="10.08984375" bestFit="1" customWidth="1"/>
    <col min="8" max="8" width="10.7265625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66</v>
      </c>
    </row>
    <row r="2" spans="1:14" x14ac:dyDescent="0.35">
      <c r="A2" s="7">
        <v>4001</v>
      </c>
      <c r="B2" s="7" t="s">
        <v>7</v>
      </c>
      <c r="C2" s="7" t="s">
        <v>8</v>
      </c>
      <c r="D2" s="7" t="s">
        <v>9</v>
      </c>
      <c r="E2" s="7">
        <v>10</v>
      </c>
      <c r="F2" s="8">
        <v>50</v>
      </c>
      <c r="G2" s="9">
        <v>45292</v>
      </c>
      <c r="H2" s="10">
        <f>E2*F2</f>
        <v>500</v>
      </c>
      <c r="K2" s="21" t="s">
        <v>71</v>
      </c>
      <c r="L2" s="21"/>
      <c r="M2" s="21"/>
      <c r="N2" s="15">
        <f>COUNT(A2:A71)</f>
        <v>70</v>
      </c>
    </row>
    <row r="3" spans="1:14" x14ac:dyDescent="0.35">
      <c r="A3" s="7">
        <v>4002</v>
      </c>
      <c r="B3" s="7" t="s">
        <v>10</v>
      </c>
      <c r="C3" s="7" t="s">
        <v>11</v>
      </c>
      <c r="D3" s="7" t="s">
        <v>12</v>
      </c>
      <c r="E3" s="7">
        <v>20</v>
      </c>
      <c r="F3" s="8">
        <v>10</v>
      </c>
      <c r="G3" s="9">
        <v>45293</v>
      </c>
      <c r="H3" s="10">
        <f t="shared" ref="H3:H66" si="0">E3*F3</f>
        <v>200</v>
      </c>
    </row>
    <row r="4" spans="1:14" x14ac:dyDescent="0.35">
      <c r="A4" s="7">
        <v>4003</v>
      </c>
      <c r="B4" s="7" t="s">
        <v>13</v>
      </c>
      <c r="C4" s="7" t="s">
        <v>14</v>
      </c>
      <c r="D4" s="7" t="s">
        <v>15</v>
      </c>
      <c r="E4" s="7">
        <v>15</v>
      </c>
      <c r="F4" s="8">
        <v>25</v>
      </c>
      <c r="G4" s="9">
        <v>45294</v>
      </c>
      <c r="H4" s="10">
        <f t="shared" si="0"/>
        <v>375</v>
      </c>
      <c r="K4" s="22" t="s">
        <v>72</v>
      </c>
      <c r="L4" s="22"/>
      <c r="M4" s="22"/>
      <c r="N4" s="16">
        <f>COUNTIF(C2:C71,"North")</f>
        <v>18</v>
      </c>
    </row>
    <row r="5" spans="1:14" x14ac:dyDescent="0.35">
      <c r="A5" s="7">
        <v>4004</v>
      </c>
      <c r="B5" s="7" t="s">
        <v>16</v>
      </c>
      <c r="C5" s="7" t="s">
        <v>17</v>
      </c>
      <c r="D5" s="7" t="s">
        <v>9</v>
      </c>
      <c r="E5" s="7">
        <v>5</v>
      </c>
      <c r="F5" s="8">
        <v>50</v>
      </c>
      <c r="G5" s="9">
        <v>45295</v>
      </c>
      <c r="H5" s="10">
        <f t="shared" si="0"/>
        <v>250</v>
      </c>
    </row>
    <row r="6" spans="1:14" x14ac:dyDescent="0.35">
      <c r="A6" s="7">
        <v>4005</v>
      </c>
      <c r="B6" s="7" t="s">
        <v>18</v>
      </c>
      <c r="C6" s="7" t="s">
        <v>8</v>
      </c>
      <c r="D6" s="7" t="s">
        <v>19</v>
      </c>
      <c r="E6" s="7">
        <v>30</v>
      </c>
      <c r="F6" s="8">
        <v>5</v>
      </c>
      <c r="G6" s="9">
        <v>45296</v>
      </c>
      <c r="H6" s="10">
        <f t="shared" si="0"/>
        <v>150</v>
      </c>
      <c r="K6" s="23" t="s">
        <v>73</v>
      </c>
      <c r="L6" s="23"/>
      <c r="M6" s="23"/>
      <c r="N6" s="17">
        <f>COUNTIFS(C2:C71,"South",D2:D71,"Pen")</f>
        <v>5</v>
      </c>
    </row>
    <row r="7" spans="1:14" x14ac:dyDescent="0.35">
      <c r="A7" s="7">
        <v>4006</v>
      </c>
      <c r="B7" s="7" t="s">
        <v>20</v>
      </c>
      <c r="C7" s="7" t="s">
        <v>11</v>
      </c>
      <c r="D7" s="7" t="s">
        <v>9</v>
      </c>
      <c r="E7" s="7">
        <v>12</v>
      </c>
      <c r="F7" s="8">
        <v>50</v>
      </c>
      <c r="G7" s="9">
        <v>45297</v>
      </c>
      <c r="H7" s="10">
        <f t="shared" si="0"/>
        <v>600</v>
      </c>
    </row>
    <row r="8" spans="1:14" x14ac:dyDescent="0.35">
      <c r="A8" s="7">
        <v>4007</v>
      </c>
      <c r="B8" s="7" t="s">
        <v>21</v>
      </c>
      <c r="C8" s="7" t="s">
        <v>14</v>
      </c>
      <c r="D8" s="7" t="s">
        <v>22</v>
      </c>
      <c r="E8" s="7">
        <v>25</v>
      </c>
      <c r="F8" s="8">
        <v>8</v>
      </c>
      <c r="G8" s="9">
        <v>45298</v>
      </c>
      <c r="H8" s="10">
        <f t="shared" si="0"/>
        <v>200</v>
      </c>
    </row>
    <row r="9" spans="1:14" x14ac:dyDescent="0.35">
      <c r="A9" s="7">
        <v>4008</v>
      </c>
      <c r="B9" s="7" t="s">
        <v>23</v>
      </c>
      <c r="C9" s="7" t="s">
        <v>17</v>
      </c>
      <c r="D9" s="7" t="s">
        <v>12</v>
      </c>
      <c r="E9" s="7">
        <v>18</v>
      </c>
      <c r="F9" s="8">
        <v>10</v>
      </c>
      <c r="G9" s="9">
        <v>45299</v>
      </c>
      <c r="H9" s="10">
        <f t="shared" si="0"/>
        <v>180</v>
      </c>
    </row>
    <row r="10" spans="1:14" x14ac:dyDescent="0.35">
      <c r="A10" s="7">
        <v>4009</v>
      </c>
      <c r="B10" s="7" t="s">
        <v>24</v>
      </c>
      <c r="C10" s="7" t="s">
        <v>8</v>
      </c>
      <c r="D10" s="7" t="s">
        <v>15</v>
      </c>
      <c r="E10" s="7">
        <v>22</v>
      </c>
      <c r="F10" s="8">
        <v>25</v>
      </c>
      <c r="G10" s="9">
        <v>45300</v>
      </c>
      <c r="H10" s="10">
        <f t="shared" si="0"/>
        <v>550</v>
      </c>
    </row>
    <row r="11" spans="1:14" x14ac:dyDescent="0.35">
      <c r="A11" s="7">
        <v>4010</v>
      </c>
      <c r="B11" s="7" t="s">
        <v>25</v>
      </c>
      <c r="C11" s="7" t="s">
        <v>11</v>
      </c>
      <c r="D11" s="7" t="s">
        <v>9</v>
      </c>
      <c r="E11" s="7">
        <v>8</v>
      </c>
      <c r="F11" s="8">
        <v>50</v>
      </c>
      <c r="G11" s="9">
        <v>45301</v>
      </c>
      <c r="H11" s="10">
        <f t="shared" si="0"/>
        <v>400</v>
      </c>
    </row>
    <row r="12" spans="1:14" x14ac:dyDescent="0.35">
      <c r="A12" s="7">
        <v>4011</v>
      </c>
      <c r="B12" s="7" t="s">
        <v>26</v>
      </c>
      <c r="C12" s="7" t="s">
        <v>14</v>
      </c>
      <c r="D12" s="7" t="s">
        <v>19</v>
      </c>
      <c r="E12" s="7">
        <v>40</v>
      </c>
      <c r="F12" s="8">
        <v>5</v>
      </c>
      <c r="G12" s="9">
        <v>45302</v>
      </c>
      <c r="H12" s="10">
        <f t="shared" si="0"/>
        <v>200</v>
      </c>
    </row>
    <row r="13" spans="1:14" x14ac:dyDescent="0.35">
      <c r="A13" s="7">
        <v>4012</v>
      </c>
      <c r="B13" s="7" t="s">
        <v>27</v>
      </c>
      <c r="C13" s="7" t="s">
        <v>17</v>
      </c>
      <c r="D13" s="7" t="s">
        <v>22</v>
      </c>
      <c r="E13" s="7">
        <v>35</v>
      </c>
      <c r="F13" s="8">
        <v>8</v>
      </c>
      <c r="G13" s="9">
        <v>45303</v>
      </c>
      <c r="H13" s="10">
        <f t="shared" si="0"/>
        <v>280</v>
      </c>
    </row>
    <row r="14" spans="1:14" x14ac:dyDescent="0.35">
      <c r="A14" s="7">
        <v>4013</v>
      </c>
      <c r="B14" s="7" t="s">
        <v>28</v>
      </c>
      <c r="C14" s="7" t="s">
        <v>8</v>
      </c>
      <c r="D14" s="7" t="s">
        <v>9</v>
      </c>
      <c r="E14" s="7">
        <v>14</v>
      </c>
      <c r="F14" s="8">
        <v>50</v>
      </c>
      <c r="G14" s="9">
        <v>45304</v>
      </c>
      <c r="H14" s="10">
        <f t="shared" si="0"/>
        <v>700</v>
      </c>
    </row>
    <row r="15" spans="1:14" x14ac:dyDescent="0.35">
      <c r="A15" s="7">
        <v>4014</v>
      </c>
      <c r="B15" s="7" t="s">
        <v>29</v>
      </c>
      <c r="C15" s="7" t="s">
        <v>11</v>
      </c>
      <c r="D15" s="7" t="s">
        <v>12</v>
      </c>
      <c r="E15" s="7">
        <v>28</v>
      </c>
      <c r="F15" s="8">
        <v>10</v>
      </c>
      <c r="G15" s="9">
        <v>45305</v>
      </c>
      <c r="H15" s="10">
        <f t="shared" si="0"/>
        <v>280</v>
      </c>
    </row>
    <row r="16" spans="1:14" x14ac:dyDescent="0.35">
      <c r="A16" s="7">
        <v>4015</v>
      </c>
      <c r="B16" s="7" t="s">
        <v>30</v>
      </c>
      <c r="C16" s="7" t="s">
        <v>14</v>
      </c>
      <c r="D16" s="7" t="s">
        <v>15</v>
      </c>
      <c r="E16" s="7">
        <v>12</v>
      </c>
      <c r="F16" s="8">
        <v>25</v>
      </c>
      <c r="G16" s="9">
        <v>45306</v>
      </c>
      <c r="H16" s="10">
        <f t="shared" si="0"/>
        <v>300</v>
      </c>
    </row>
    <row r="17" spans="1:8" x14ac:dyDescent="0.35">
      <c r="A17" s="7">
        <v>4016</v>
      </c>
      <c r="B17" s="7" t="s">
        <v>31</v>
      </c>
      <c r="C17" s="7" t="s">
        <v>17</v>
      </c>
      <c r="D17" s="7" t="s">
        <v>19</v>
      </c>
      <c r="E17" s="7">
        <v>25</v>
      </c>
      <c r="F17" s="8">
        <v>5</v>
      </c>
      <c r="G17" s="9">
        <v>45307</v>
      </c>
      <c r="H17" s="10">
        <f t="shared" si="0"/>
        <v>125</v>
      </c>
    </row>
    <row r="18" spans="1:8" x14ac:dyDescent="0.35">
      <c r="A18" s="7">
        <v>4017</v>
      </c>
      <c r="B18" s="7" t="s">
        <v>32</v>
      </c>
      <c r="C18" s="7" t="s">
        <v>8</v>
      </c>
      <c r="D18" s="7" t="s">
        <v>22</v>
      </c>
      <c r="E18" s="7">
        <v>20</v>
      </c>
      <c r="F18" s="8">
        <v>8</v>
      </c>
      <c r="G18" s="9">
        <v>45308</v>
      </c>
      <c r="H18" s="10">
        <f t="shared" si="0"/>
        <v>160</v>
      </c>
    </row>
    <row r="19" spans="1:8" x14ac:dyDescent="0.35">
      <c r="A19" s="7">
        <v>4018</v>
      </c>
      <c r="B19" s="7" t="s">
        <v>33</v>
      </c>
      <c r="C19" s="7" t="s">
        <v>11</v>
      </c>
      <c r="D19" s="7" t="s">
        <v>9</v>
      </c>
      <c r="E19" s="7">
        <v>10</v>
      </c>
      <c r="F19" s="8">
        <v>50</v>
      </c>
      <c r="G19" s="9">
        <v>45309</v>
      </c>
      <c r="H19" s="10">
        <f t="shared" si="0"/>
        <v>500</v>
      </c>
    </row>
    <row r="20" spans="1:8" x14ac:dyDescent="0.35">
      <c r="A20" s="7">
        <v>4019</v>
      </c>
      <c r="B20" s="7" t="s">
        <v>34</v>
      </c>
      <c r="C20" s="7" t="s">
        <v>14</v>
      </c>
      <c r="D20" s="7" t="s">
        <v>12</v>
      </c>
      <c r="E20" s="7">
        <v>15</v>
      </c>
      <c r="F20" s="8">
        <v>10</v>
      </c>
      <c r="G20" s="9">
        <v>45310</v>
      </c>
      <c r="H20" s="10">
        <f t="shared" si="0"/>
        <v>150</v>
      </c>
    </row>
    <row r="21" spans="1:8" x14ac:dyDescent="0.35">
      <c r="A21" s="7">
        <v>4020</v>
      </c>
      <c r="B21" s="7" t="s">
        <v>35</v>
      </c>
      <c r="C21" s="7" t="s">
        <v>17</v>
      </c>
      <c r="D21" s="7" t="s">
        <v>15</v>
      </c>
      <c r="E21" s="7">
        <v>18</v>
      </c>
      <c r="F21" s="8">
        <v>25</v>
      </c>
      <c r="G21" s="9">
        <v>45311</v>
      </c>
      <c r="H21" s="10">
        <f t="shared" si="0"/>
        <v>450</v>
      </c>
    </row>
    <row r="22" spans="1:8" x14ac:dyDescent="0.35">
      <c r="A22" s="7">
        <v>4021</v>
      </c>
      <c r="B22" s="7" t="s">
        <v>36</v>
      </c>
      <c r="C22" s="7" t="s">
        <v>8</v>
      </c>
      <c r="D22" s="7" t="s">
        <v>9</v>
      </c>
      <c r="E22" s="7">
        <v>9</v>
      </c>
      <c r="F22" s="8">
        <v>50</v>
      </c>
      <c r="G22" s="9">
        <v>45312</v>
      </c>
      <c r="H22" s="10">
        <f t="shared" si="0"/>
        <v>450</v>
      </c>
    </row>
    <row r="23" spans="1:8" x14ac:dyDescent="0.35">
      <c r="A23" s="7">
        <v>4022</v>
      </c>
      <c r="B23" s="7" t="s">
        <v>37</v>
      </c>
      <c r="C23" s="7" t="s">
        <v>11</v>
      </c>
      <c r="D23" s="7" t="s">
        <v>19</v>
      </c>
      <c r="E23" s="7">
        <v>35</v>
      </c>
      <c r="F23" s="8">
        <v>5</v>
      </c>
      <c r="G23" s="9">
        <v>45313</v>
      </c>
      <c r="H23" s="10">
        <f t="shared" si="0"/>
        <v>175</v>
      </c>
    </row>
    <row r="24" spans="1:8" x14ac:dyDescent="0.35">
      <c r="A24" s="7">
        <v>4023</v>
      </c>
      <c r="B24" s="7" t="s">
        <v>38</v>
      </c>
      <c r="C24" s="7" t="s">
        <v>14</v>
      </c>
      <c r="D24" s="7" t="s">
        <v>22</v>
      </c>
      <c r="E24" s="7">
        <v>30</v>
      </c>
      <c r="F24" s="8">
        <v>8</v>
      </c>
      <c r="G24" s="9">
        <v>45314</v>
      </c>
      <c r="H24" s="10">
        <f t="shared" si="0"/>
        <v>240</v>
      </c>
    </row>
    <row r="25" spans="1:8" x14ac:dyDescent="0.35">
      <c r="A25" s="7">
        <v>4024</v>
      </c>
      <c r="B25" s="7" t="s">
        <v>39</v>
      </c>
      <c r="C25" s="7" t="s">
        <v>17</v>
      </c>
      <c r="D25" s="7" t="s">
        <v>9</v>
      </c>
      <c r="E25" s="7">
        <v>11</v>
      </c>
      <c r="F25" s="8">
        <v>50</v>
      </c>
      <c r="G25" s="9">
        <v>45315</v>
      </c>
      <c r="H25" s="10">
        <f t="shared" si="0"/>
        <v>550</v>
      </c>
    </row>
    <row r="26" spans="1:8" x14ac:dyDescent="0.35">
      <c r="A26" s="7">
        <v>4025</v>
      </c>
      <c r="B26" s="7" t="s">
        <v>40</v>
      </c>
      <c r="C26" s="7" t="s">
        <v>8</v>
      </c>
      <c r="D26" s="7" t="s">
        <v>12</v>
      </c>
      <c r="E26" s="7">
        <v>14</v>
      </c>
      <c r="F26" s="8">
        <v>10</v>
      </c>
      <c r="G26" s="9">
        <v>45316</v>
      </c>
      <c r="H26" s="10">
        <f t="shared" si="0"/>
        <v>140</v>
      </c>
    </row>
    <row r="27" spans="1:8" x14ac:dyDescent="0.35">
      <c r="A27" s="7">
        <v>4026</v>
      </c>
      <c r="B27" s="7" t="s">
        <v>41</v>
      </c>
      <c r="C27" s="7" t="s">
        <v>11</v>
      </c>
      <c r="D27" s="7" t="s">
        <v>15</v>
      </c>
      <c r="E27" s="7">
        <v>16</v>
      </c>
      <c r="F27" s="8">
        <v>25</v>
      </c>
      <c r="G27" s="9">
        <v>45317</v>
      </c>
      <c r="H27" s="10">
        <f t="shared" si="0"/>
        <v>400</v>
      </c>
    </row>
    <row r="28" spans="1:8" x14ac:dyDescent="0.35">
      <c r="A28" s="7">
        <v>4027</v>
      </c>
      <c r="B28" s="7" t="s">
        <v>42</v>
      </c>
      <c r="C28" s="7" t="s">
        <v>14</v>
      </c>
      <c r="D28" s="7" t="s">
        <v>19</v>
      </c>
      <c r="E28" s="7">
        <v>22</v>
      </c>
      <c r="F28" s="8">
        <v>5</v>
      </c>
      <c r="G28" s="9">
        <v>45318</v>
      </c>
      <c r="H28" s="10">
        <f t="shared" si="0"/>
        <v>110</v>
      </c>
    </row>
    <row r="29" spans="1:8" x14ac:dyDescent="0.35">
      <c r="A29" s="7">
        <v>4028</v>
      </c>
      <c r="B29" s="7" t="s">
        <v>43</v>
      </c>
      <c r="C29" s="7" t="s">
        <v>17</v>
      </c>
      <c r="D29" s="7" t="s">
        <v>22</v>
      </c>
      <c r="E29" s="7">
        <v>27</v>
      </c>
      <c r="F29" s="8">
        <v>8</v>
      </c>
      <c r="G29" s="9">
        <v>45319</v>
      </c>
      <c r="H29" s="10">
        <f t="shared" si="0"/>
        <v>216</v>
      </c>
    </row>
    <row r="30" spans="1:8" x14ac:dyDescent="0.35">
      <c r="A30" s="7">
        <v>4029</v>
      </c>
      <c r="B30" s="7" t="s">
        <v>44</v>
      </c>
      <c r="C30" s="7" t="s">
        <v>8</v>
      </c>
      <c r="D30" s="7" t="s">
        <v>9</v>
      </c>
      <c r="E30" s="7">
        <v>13</v>
      </c>
      <c r="F30" s="8">
        <v>50</v>
      </c>
      <c r="G30" s="9">
        <v>45320</v>
      </c>
      <c r="H30" s="10">
        <f t="shared" si="0"/>
        <v>650</v>
      </c>
    </row>
    <row r="31" spans="1:8" x14ac:dyDescent="0.35">
      <c r="A31" s="7">
        <v>4030</v>
      </c>
      <c r="B31" s="7" t="s">
        <v>45</v>
      </c>
      <c r="C31" s="7" t="s">
        <v>11</v>
      </c>
      <c r="D31" s="7" t="s">
        <v>12</v>
      </c>
      <c r="E31" s="7">
        <v>32</v>
      </c>
      <c r="F31" s="8">
        <v>10</v>
      </c>
      <c r="G31" s="9">
        <v>45321</v>
      </c>
      <c r="H31" s="10">
        <f t="shared" si="0"/>
        <v>320</v>
      </c>
    </row>
    <row r="32" spans="1:8" x14ac:dyDescent="0.35">
      <c r="A32" s="7">
        <v>4031</v>
      </c>
      <c r="B32" s="7" t="s">
        <v>46</v>
      </c>
      <c r="C32" s="7" t="s">
        <v>14</v>
      </c>
      <c r="D32" s="7" t="s">
        <v>15</v>
      </c>
      <c r="E32" s="7">
        <v>10</v>
      </c>
      <c r="F32" s="8">
        <v>25</v>
      </c>
      <c r="G32" s="9">
        <v>45322</v>
      </c>
      <c r="H32" s="10">
        <f t="shared" si="0"/>
        <v>250</v>
      </c>
    </row>
    <row r="33" spans="1:8" x14ac:dyDescent="0.35">
      <c r="A33" s="7">
        <v>4032</v>
      </c>
      <c r="B33" s="7" t="s">
        <v>47</v>
      </c>
      <c r="C33" s="7" t="s">
        <v>17</v>
      </c>
      <c r="D33" s="7" t="s">
        <v>19</v>
      </c>
      <c r="E33" s="7">
        <v>18</v>
      </c>
      <c r="F33" s="8">
        <v>5</v>
      </c>
      <c r="G33" s="9">
        <v>45323</v>
      </c>
      <c r="H33" s="10">
        <f t="shared" si="0"/>
        <v>90</v>
      </c>
    </row>
    <row r="34" spans="1:8" x14ac:dyDescent="0.35">
      <c r="A34" s="7">
        <v>4033</v>
      </c>
      <c r="B34" s="7" t="s">
        <v>48</v>
      </c>
      <c r="C34" s="7" t="s">
        <v>8</v>
      </c>
      <c r="D34" s="7" t="s">
        <v>22</v>
      </c>
      <c r="E34" s="7">
        <v>22</v>
      </c>
      <c r="F34" s="8">
        <v>8</v>
      </c>
      <c r="G34" s="9">
        <v>45324</v>
      </c>
      <c r="H34" s="10">
        <f t="shared" si="0"/>
        <v>176</v>
      </c>
    </row>
    <row r="35" spans="1:8" x14ac:dyDescent="0.35">
      <c r="A35" s="7">
        <v>4034</v>
      </c>
      <c r="B35" s="7" t="s">
        <v>49</v>
      </c>
      <c r="C35" s="7" t="s">
        <v>11</v>
      </c>
      <c r="D35" s="7" t="s">
        <v>9</v>
      </c>
      <c r="E35" s="7">
        <v>17</v>
      </c>
      <c r="F35" s="8">
        <v>50</v>
      </c>
      <c r="G35" s="9">
        <v>45325</v>
      </c>
      <c r="H35" s="10">
        <f t="shared" si="0"/>
        <v>850</v>
      </c>
    </row>
    <row r="36" spans="1:8" x14ac:dyDescent="0.35">
      <c r="A36" s="7">
        <v>4035</v>
      </c>
      <c r="B36" s="7" t="s">
        <v>50</v>
      </c>
      <c r="C36" s="7" t="s">
        <v>14</v>
      </c>
      <c r="D36" s="7" t="s">
        <v>12</v>
      </c>
      <c r="E36" s="7">
        <v>19</v>
      </c>
      <c r="F36" s="8">
        <v>10</v>
      </c>
      <c r="G36" s="9">
        <v>45326</v>
      </c>
      <c r="H36" s="10">
        <f t="shared" si="0"/>
        <v>190</v>
      </c>
    </row>
    <row r="37" spans="1:8" x14ac:dyDescent="0.35">
      <c r="A37" s="7">
        <v>4036</v>
      </c>
      <c r="B37" s="7" t="s">
        <v>51</v>
      </c>
      <c r="C37" s="7" t="s">
        <v>17</v>
      </c>
      <c r="D37" s="7" t="s">
        <v>15</v>
      </c>
      <c r="E37" s="7">
        <v>15</v>
      </c>
      <c r="F37" s="8">
        <v>25</v>
      </c>
      <c r="G37" s="9">
        <v>45327</v>
      </c>
      <c r="H37" s="10">
        <f t="shared" si="0"/>
        <v>375</v>
      </c>
    </row>
    <row r="38" spans="1:8" x14ac:dyDescent="0.35">
      <c r="A38" s="7">
        <v>4037</v>
      </c>
      <c r="B38" s="7" t="s">
        <v>52</v>
      </c>
      <c r="C38" s="7" t="s">
        <v>8</v>
      </c>
      <c r="D38" s="7" t="s">
        <v>19</v>
      </c>
      <c r="E38" s="7">
        <v>28</v>
      </c>
      <c r="F38" s="8">
        <v>5</v>
      </c>
      <c r="G38" s="9">
        <v>45328</v>
      </c>
      <c r="H38" s="10">
        <f t="shared" si="0"/>
        <v>140</v>
      </c>
    </row>
    <row r="39" spans="1:8" x14ac:dyDescent="0.35">
      <c r="A39" s="7">
        <v>4038</v>
      </c>
      <c r="B39" s="7" t="s">
        <v>53</v>
      </c>
      <c r="C39" s="7" t="s">
        <v>11</v>
      </c>
      <c r="D39" s="7" t="s">
        <v>22</v>
      </c>
      <c r="E39" s="7">
        <v>24</v>
      </c>
      <c r="F39" s="8">
        <v>8</v>
      </c>
      <c r="G39" s="9">
        <v>45329</v>
      </c>
      <c r="H39" s="10">
        <f t="shared" si="0"/>
        <v>192</v>
      </c>
    </row>
    <row r="40" spans="1:8" x14ac:dyDescent="0.35">
      <c r="A40" s="7">
        <v>4039</v>
      </c>
      <c r="B40" s="7" t="s">
        <v>54</v>
      </c>
      <c r="C40" s="7" t="s">
        <v>14</v>
      </c>
      <c r="D40" s="7" t="s">
        <v>9</v>
      </c>
      <c r="E40" s="7">
        <v>16</v>
      </c>
      <c r="F40" s="8">
        <v>50</v>
      </c>
      <c r="G40" s="9">
        <v>45330</v>
      </c>
      <c r="H40" s="10">
        <f t="shared" si="0"/>
        <v>800</v>
      </c>
    </row>
    <row r="41" spans="1:8" x14ac:dyDescent="0.35">
      <c r="A41" s="7">
        <v>4040</v>
      </c>
      <c r="B41" s="7" t="s">
        <v>55</v>
      </c>
      <c r="C41" s="7" t="s">
        <v>17</v>
      </c>
      <c r="D41" s="7" t="s">
        <v>12</v>
      </c>
      <c r="E41" s="7">
        <v>27</v>
      </c>
      <c r="F41" s="8">
        <v>10</v>
      </c>
      <c r="G41" s="9">
        <v>45331</v>
      </c>
      <c r="H41" s="10">
        <f t="shared" si="0"/>
        <v>270</v>
      </c>
    </row>
    <row r="42" spans="1:8" x14ac:dyDescent="0.35">
      <c r="A42" s="7">
        <v>4041</v>
      </c>
      <c r="B42" s="7" t="s">
        <v>56</v>
      </c>
      <c r="C42" s="7" t="s">
        <v>8</v>
      </c>
      <c r="D42" s="7" t="s">
        <v>15</v>
      </c>
      <c r="E42" s="7">
        <v>21</v>
      </c>
      <c r="F42" s="8">
        <v>25</v>
      </c>
      <c r="G42" s="9">
        <v>45332</v>
      </c>
      <c r="H42" s="10">
        <f t="shared" si="0"/>
        <v>525</v>
      </c>
    </row>
    <row r="43" spans="1:8" x14ac:dyDescent="0.35">
      <c r="A43" s="7">
        <v>4042</v>
      </c>
      <c r="B43" s="7" t="s">
        <v>57</v>
      </c>
      <c r="C43" s="7" t="s">
        <v>11</v>
      </c>
      <c r="D43" s="7" t="s">
        <v>19</v>
      </c>
      <c r="E43" s="7">
        <v>30</v>
      </c>
      <c r="F43" s="8">
        <v>5</v>
      </c>
      <c r="G43" s="9">
        <v>45333</v>
      </c>
      <c r="H43" s="10">
        <f t="shared" si="0"/>
        <v>150</v>
      </c>
    </row>
    <row r="44" spans="1:8" x14ac:dyDescent="0.35">
      <c r="A44" s="7">
        <v>4043</v>
      </c>
      <c r="B44" s="7" t="s">
        <v>58</v>
      </c>
      <c r="C44" s="7" t="s">
        <v>14</v>
      </c>
      <c r="D44" s="7" t="s">
        <v>22</v>
      </c>
      <c r="E44" s="7">
        <v>26</v>
      </c>
      <c r="F44" s="8">
        <v>8</v>
      </c>
      <c r="G44" s="9">
        <v>45334</v>
      </c>
      <c r="H44" s="10">
        <f t="shared" si="0"/>
        <v>208</v>
      </c>
    </row>
    <row r="45" spans="1:8" x14ac:dyDescent="0.35">
      <c r="A45" s="7">
        <v>4044</v>
      </c>
      <c r="B45" s="7" t="s">
        <v>59</v>
      </c>
      <c r="C45" s="7" t="s">
        <v>17</v>
      </c>
      <c r="D45" s="7" t="s">
        <v>9</v>
      </c>
      <c r="E45" s="7">
        <v>14</v>
      </c>
      <c r="F45" s="8">
        <v>50</v>
      </c>
      <c r="G45" s="9">
        <v>45335</v>
      </c>
      <c r="H45" s="10">
        <f t="shared" si="0"/>
        <v>700</v>
      </c>
    </row>
    <row r="46" spans="1:8" x14ac:dyDescent="0.35">
      <c r="A46" s="7">
        <v>4045</v>
      </c>
      <c r="B46" s="7" t="s">
        <v>60</v>
      </c>
      <c r="C46" s="7" t="s">
        <v>8</v>
      </c>
      <c r="D46" s="7" t="s">
        <v>12</v>
      </c>
      <c r="E46" s="7">
        <v>20</v>
      </c>
      <c r="F46" s="8">
        <v>10</v>
      </c>
      <c r="G46" s="9">
        <v>45336</v>
      </c>
      <c r="H46" s="10">
        <f t="shared" si="0"/>
        <v>200</v>
      </c>
    </row>
    <row r="47" spans="1:8" x14ac:dyDescent="0.35">
      <c r="A47" s="7">
        <v>4046</v>
      </c>
      <c r="B47" s="7" t="s">
        <v>61</v>
      </c>
      <c r="C47" s="7" t="s">
        <v>11</v>
      </c>
      <c r="D47" s="7" t="s">
        <v>15</v>
      </c>
      <c r="E47" s="7">
        <v>17</v>
      </c>
      <c r="F47" s="8">
        <v>25</v>
      </c>
      <c r="G47" s="9">
        <v>45337</v>
      </c>
      <c r="H47" s="10">
        <f t="shared" si="0"/>
        <v>425</v>
      </c>
    </row>
    <row r="48" spans="1:8" x14ac:dyDescent="0.35">
      <c r="A48" s="7">
        <v>4047</v>
      </c>
      <c r="B48" s="7" t="s">
        <v>62</v>
      </c>
      <c r="C48" s="7" t="s">
        <v>14</v>
      </c>
      <c r="D48" s="7" t="s">
        <v>19</v>
      </c>
      <c r="E48" s="7">
        <v>19</v>
      </c>
      <c r="F48" s="8">
        <v>5</v>
      </c>
      <c r="G48" s="9">
        <v>45338</v>
      </c>
      <c r="H48" s="10">
        <f t="shared" si="0"/>
        <v>95</v>
      </c>
    </row>
    <row r="49" spans="1:8" x14ac:dyDescent="0.35">
      <c r="A49" s="7">
        <v>4048</v>
      </c>
      <c r="B49" s="7" t="s">
        <v>63</v>
      </c>
      <c r="C49" s="7" t="s">
        <v>17</v>
      </c>
      <c r="D49" s="7" t="s">
        <v>22</v>
      </c>
      <c r="E49" s="7">
        <v>32</v>
      </c>
      <c r="F49" s="8">
        <v>8</v>
      </c>
      <c r="G49" s="9">
        <v>45339</v>
      </c>
      <c r="H49" s="10">
        <f t="shared" si="0"/>
        <v>256</v>
      </c>
    </row>
    <row r="50" spans="1:8" x14ac:dyDescent="0.35">
      <c r="A50" s="7">
        <v>4049</v>
      </c>
      <c r="B50" s="7" t="s">
        <v>64</v>
      </c>
      <c r="C50" s="7" t="s">
        <v>8</v>
      </c>
      <c r="D50" s="7" t="s">
        <v>9</v>
      </c>
      <c r="E50" s="7">
        <v>12</v>
      </c>
      <c r="F50" s="8">
        <v>50</v>
      </c>
      <c r="G50" s="9">
        <v>45340</v>
      </c>
      <c r="H50" s="10">
        <f t="shared" si="0"/>
        <v>600</v>
      </c>
    </row>
    <row r="51" spans="1:8" x14ac:dyDescent="0.35">
      <c r="A51" s="7">
        <v>4050</v>
      </c>
      <c r="B51" s="7" t="s">
        <v>65</v>
      </c>
      <c r="C51" s="7" t="s">
        <v>11</v>
      </c>
      <c r="D51" s="7" t="s">
        <v>12</v>
      </c>
      <c r="E51" s="7">
        <v>25</v>
      </c>
      <c r="F51" s="8">
        <v>10</v>
      </c>
      <c r="G51" s="9">
        <v>45341</v>
      </c>
      <c r="H51" s="10">
        <f t="shared" si="0"/>
        <v>250</v>
      </c>
    </row>
    <row r="52" spans="1:8" x14ac:dyDescent="0.35">
      <c r="A52" s="7">
        <v>4051</v>
      </c>
      <c r="B52" s="7" t="s">
        <v>7</v>
      </c>
      <c r="C52" s="7" t="s">
        <v>8</v>
      </c>
      <c r="D52" s="7" t="s">
        <v>15</v>
      </c>
      <c r="E52" s="7">
        <v>18</v>
      </c>
      <c r="F52" s="8">
        <v>25</v>
      </c>
      <c r="G52" s="9">
        <v>45342</v>
      </c>
      <c r="H52" s="10">
        <f t="shared" si="0"/>
        <v>450</v>
      </c>
    </row>
    <row r="53" spans="1:8" x14ac:dyDescent="0.35">
      <c r="A53" s="7">
        <v>4052</v>
      </c>
      <c r="B53" s="7" t="s">
        <v>10</v>
      </c>
      <c r="C53" s="7" t="s">
        <v>11</v>
      </c>
      <c r="D53" s="7" t="s">
        <v>9</v>
      </c>
      <c r="E53" s="7">
        <v>14</v>
      </c>
      <c r="F53" s="8">
        <v>50</v>
      </c>
      <c r="G53" s="9">
        <v>45343</v>
      </c>
      <c r="H53" s="10">
        <f t="shared" si="0"/>
        <v>700</v>
      </c>
    </row>
    <row r="54" spans="1:8" x14ac:dyDescent="0.35">
      <c r="A54" s="7">
        <v>4053</v>
      </c>
      <c r="B54" s="7" t="s">
        <v>13</v>
      </c>
      <c r="C54" s="7" t="s">
        <v>14</v>
      </c>
      <c r="D54" s="7" t="s">
        <v>12</v>
      </c>
      <c r="E54" s="7">
        <v>22</v>
      </c>
      <c r="F54" s="8">
        <v>10</v>
      </c>
      <c r="G54" s="9">
        <v>45344</v>
      </c>
      <c r="H54" s="10">
        <f t="shared" si="0"/>
        <v>220</v>
      </c>
    </row>
    <row r="55" spans="1:8" x14ac:dyDescent="0.35">
      <c r="A55" s="7">
        <v>4054</v>
      </c>
      <c r="B55" s="7" t="s">
        <v>16</v>
      </c>
      <c r="C55" s="7" t="s">
        <v>17</v>
      </c>
      <c r="D55" s="7" t="s">
        <v>19</v>
      </c>
      <c r="E55" s="7">
        <v>26</v>
      </c>
      <c r="F55" s="8">
        <v>5</v>
      </c>
      <c r="G55" s="9">
        <v>45345</v>
      </c>
      <c r="H55" s="10">
        <f t="shared" si="0"/>
        <v>130</v>
      </c>
    </row>
    <row r="56" spans="1:8" x14ac:dyDescent="0.35">
      <c r="A56" s="7">
        <v>4055</v>
      </c>
      <c r="B56" s="7" t="s">
        <v>18</v>
      </c>
      <c r="C56" s="7" t="s">
        <v>8</v>
      </c>
      <c r="D56" s="7" t="s">
        <v>22</v>
      </c>
      <c r="E56" s="7">
        <v>28</v>
      </c>
      <c r="F56" s="8">
        <v>8</v>
      </c>
      <c r="G56" s="9">
        <v>45346</v>
      </c>
      <c r="H56" s="10">
        <f t="shared" si="0"/>
        <v>224</v>
      </c>
    </row>
    <row r="57" spans="1:8" x14ac:dyDescent="0.35">
      <c r="A57" s="7">
        <v>4056</v>
      </c>
      <c r="B57" s="7" t="s">
        <v>20</v>
      </c>
      <c r="C57" s="7" t="s">
        <v>11</v>
      </c>
      <c r="D57" s="7" t="s">
        <v>15</v>
      </c>
      <c r="E57" s="7">
        <v>16</v>
      </c>
      <c r="F57" s="8">
        <v>25</v>
      </c>
      <c r="G57" s="9">
        <v>45347</v>
      </c>
      <c r="H57" s="10">
        <f t="shared" si="0"/>
        <v>400</v>
      </c>
    </row>
    <row r="58" spans="1:8" x14ac:dyDescent="0.35">
      <c r="A58" s="7">
        <v>4057</v>
      </c>
      <c r="B58" s="7" t="s">
        <v>21</v>
      </c>
      <c r="C58" s="7" t="s">
        <v>14</v>
      </c>
      <c r="D58" s="7" t="s">
        <v>9</v>
      </c>
      <c r="E58" s="7">
        <v>20</v>
      </c>
      <c r="F58" s="8">
        <v>50</v>
      </c>
      <c r="G58" s="9">
        <v>45348</v>
      </c>
      <c r="H58" s="10">
        <f t="shared" si="0"/>
        <v>1000</v>
      </c>
    </row>
    <row r="59" spans="1:8" x14ac:dyDescent="0.35">
      <c r="A59" s="7">
        <v>4058</v>
      </c>
      <c r="B59" s="7" t="s">
        <v>23</v>
      </c>
      <c r="C59" s="7" t="s">
        <v>17</v>
      </c>
      <c r="D59" s="7" t="s">
        <v>12</v>
      </c>
      <c r="E59" s="7">
        <v>18</v>
      </c>
      <c r="F59" s="8">
        <v>10</v>
      </c>
      <c r="G59" s="9">
        <v>45349</v>
      </c>
      <c r="H59" s="10">
        <f t="shared" si="0"/>
        <v>180</v>
      </c>
    </row>
    <row r="60" spans="1:8" x14ac:dyDescent="0.35">
      <c r="A60" s="7">
        <v>4059</v>
      </c>
      <c r="B60" s="7" t="s">
        <v>24</v>
      </c>
      <c r="C60" s="7" t="s">
        <v>8</v>
      </c>
      <c r="D60" s="7" t="s">
        <v>19</v>
      </c>
      <c r="E60" s="7">
        <v>24</v>
      </c>
      <c r="F60" s="8">
        <v>5</v>
      </c>
      <c r="G60" s="9">
        <v>45350</v>
      </c>
      <c r="H60" s="10">
        <f t="shared" si="0"/>
        <v>120</v>
      </c>
    </row>
    <row r="61" spans="1:8" x14ac:dyDescent="0.35">
      <c r="A61" s="7">
        <v>4060</v>
      </c>
      <c r="B61" s="7" t="s">
        <v>25</v>
      </c>
      <c r="C61" s="7" t="s">
        <v>11</v>
      </c>
      <c r="D61" s="7" t="s">
        <v>22</v>
      </c>
      <c r="E61" s="7">
        <v>30</v>
      </c>
      <c r="F61" s="8">
        <v>8</v>
      </c>
      <c r="G61" s="9">
        <v>45351</v>
      </c>
      <c r="H61" s="10">
        <f t="shared" si="0"/>
        <v>240</v>
      </c>
    </row>
    <row r="62" spans="1:8" x14ac:dyDescent="0.35">
      <c r="A62" s="7">
        <v>4061</v>
      </c>
      <c r="B62" s="7" t="s">
        <v>26</v>
      </c>
      <c r="C62" s="7" t="s">
        <v>14</v>
      </c>
      <c r="D62" s="7" t="s">
        <v>9</v>
      </c>
      <c r="E62" s="7">
        <v>12</v>
      </c>
      <c r="F62" s="8">
        <v>50</v>
      </c>
      <c r="G62" s="9">
        <v>45352</v>
      </c>
      <c r="H62" s="10">
        <f t="shared" si="0"/>
        <v>600</v>
      </c>
    </row>
    <row r="63" spans="1:8" x14ac:dyDescent="0.35">
      <c r="A63" s="7">
        <v>4062</v>
      </c>
      <c r="B63" s="7" t="s">
        <v>27</v>
      </c>
      <c r="C63" s="7" t="s">
        <v>17</v>
      </c>
      <c r="D63" s="7" t="s">
        <v>15</v>
      </c>
      <c r="E63" s="7">
        <v>15</v>
      </c>
      <c r="F63" s="8">
        <v>25</v>
      </c>
      <c r="G63" s="9">
        <v>45353</v>
      </c>
      <c r="H63" s="10">
        <f t="shared" si="0"/>
        <v>375</v>
      </c>
    </row>
    <row r="64" spans="1:8" x14ac:dyDescent="0.35">
      <c r="A64" s="7">
        <v>4063</v>
      </c>
      <c r="B64" s="7" t="s">
        <v>28</v>
      </c>
      <c r="C64" s="7" t="s">
        <v>8</v>
      </c>
      <c r="D64" s="7" t="s">
        <v>12</v>
      </c>
      <c r="E64" s="7">
        <v>20</v>
      </c>
      <c r="F64" s="8">
        <v>10</v>
      </c>
      <c r="G64" s="9">
        <v>45354</v>
      </c>
      <c r="H64" s="10">
        <f t="shared" si="0"/>
        <v>200</v>
      </c>
    </row>
    <row r="65" spans="1:8" x14ac:dyDescent="0.35">
      <c r="A65" s="7">
        <v>4064</v>
      </c>
      <c r="B65" s="7" t="s">
        <v>29</v>
      </c>
      <c r="C65" s="7" t="s">
        <v>11</v>
      </c>
      <c r="D65" s="7" t="s">
        <v>19</v>
      </c>
      <c r="E65" s="7">
        <v>22</v>
      </c>
      <c r="F65" s="8">
        <v>5</v>
      </c>
      <c r="G65" s="9">
        <v>45355</v>
      </c>
      <c r="H65" s="10">
        <f t="shared" si="0"/>
        <v>110</v>
      </c>
    </row>
    <row r="66" spans="1:8" x14ac:dyDescent="0.35">
      <c r="A66" s="7">
        <v>4065</v>
      </c>
      <c r="B66" s="7" t="s">
        <v>30</v>
      </c>
      <c r="C66" s="7" t="s">
        <v>14</v>
      </c>
      <c r="D66" s="7" t="s">
        <v>22</v>
      </c>
      <c r="E66" s="7">
        <v>26</v>
      </c>
      <c r="F66" s="8">
        <v>8</v>
      </c>
      <c r="G66" s="9">
        <v>45356</v>
      </c>
      <c r="H66" s="10">
        <f t="shared" si="0"/>
        <v>208</v>
      </c>
    </row>
    <row r="67" spans="1:8" x14ac:dyDescent="0.35">
      <c r="A67" s="7">
        <v>4066</v>
      </c>
      <c r="B67" s="7" t="s">
        <v>31</v>
      </c>
      <c r="C67" s="7" t="s">
        <v>17</v>
      </c>
      <c r="D67" s="7" t="s">
        <v>9</v>
      </c>
      <c r="E67" s="7">
        <v>18</v>
      </c>
      <c r="F67" s="8">
        <v>50</v>
      </c>
      <c r="G67" s="9">
        <v>45357</v>
      </c>
      <c r="H67" s="10">
        <f t="shared" ref="H67:H71" si="1">E67*F67</f>
        <v>900</v>
      </c>
    </row>
    <row r="68" spans="1:8" x14ac:dyDescent="0.35">
      <c r="A68" s="7">
        <v>4067</v>
      </c>
      <c r="B68" s="7" t="s">
        <v>32</v>
      </c>
      <c r="C68" s="7" t="s">
        <v>8</v>
      </c>
      <c r="D68" s="7" t="s">
        <v>15</v>
      </c>
      <c r="E68" s="7">
        <v>14</v>
      </c>
      <c r="F68" s="8">
        <v>25</v>
      </c>
      <c r="G68" s="9">
        <v>45358</v>
      </c>
      <c r="H68" s="10">
        <f t="shared" si="1"/>
        <v>350</v>
      </c>
    </row>
    <row r="69" spans="1:8" x14ac:dyDescent="0.35">
      <c r="A69" s="7">
        <v>4068</v>
      </c>
      <c r="B69" s="7" t="s">
        <v>33</v>
      </c>
      <c r="C69" s="7" t="s">
        <v>11</v>
      </c>
      <c r="D69" s="7" t="s">
        <v>12</v>
      </c>
      <c r="E69" s="7">
        <v>28</v>
      </c>
      <c r="F69" s="8">
        <v>10</v>
      </c>
      <c r="G69" s="9">
        <v>45359</v>
      </c>
      <c r="H69" s="10">
        <f t="shared" si="1"/>
        <v>280</v>
      </c>
    </row>
    <row r="70" spans="1:8" x14ac:dyDescent="0.35">
      <c r="A70" s="7">
        <v>4069</v>
      </c>
      <c r="B70" s="7" t="s">
        <v>34</v>
      </c>
      <c r="C70" s="7" t="s">
        <v>14</v>
      </c>
      <c r="D70" s="7" t="s">
        <v>19</v>
      </c>
      <c r="E70" s="7">
        <v>32</v>
      </c>
      <c r="F70" s="8">
        <v>5</v>
      </c>
      <c r="G70" s="9">
        <v>45360</v>
      </c>
      <c r="H70" s="10">
        <f t="shared" si="1"/>
        <v>160</v>
      </c>
    </row>
    <row r="71" spans="1:8" x14ac:dyDescent="0.35">
      <c r="A71" s="7">
        <v>4070</v>
      </c>
      <c r="B71" s="7" t="s">
        <v>35</v>
      </c>
      <c r="C71" s="7" t="s">
        <v>17</v>
      </c>
      <c r="D71" s="7" t="s">
        <v>22</v>
      </c>
      <c r="E71" s="7">
        <v>24</v>
      </c>
      <c r="F71" s="8">
        <v>8</v>
      </c>
      <c r="G71" s="9">
        <v>45361</v>
      </c>
      <c r="H71" s="10">
        <f t="shared" si="1"/>
        <v>192</v>
      </c>
    </row>
  </sheetData>
  <mergeCells count="3">
    <mergeCell ref="K2:M2"/>
    <mergeCell ref="K4:M4"/>
    <mergeCell ref="K6:M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496D-983D-4F4F-BDC3-FFCB0A3C8DC4}">
  <dimension ref="A1:C5"/>
  <sheetViews>
    <sheetView workbookViewId="0">
      <selection activeCell="H12" sqref="H12"/>
    </sheetView>
  </sheetViews>
  <sheetFormatPr defaultRowHeight="14.5" x14ac:dyDescent="0.35"/>
  <cols>
    <col min="2" max="2" width="12.54296875" bestFit="1" customWidth="1"/>
    <col min="3" max="3" width="9" bestFit="1" customWidth="1"/>
  </cols>
  <sheetData>
    <row r="1" spans="1:3" x14ac:dyDescent="0.35">
      <c r="A1" s="18" t="s">
        <v>2</v>
      </c>
      <c r="B1" s="18" t="s">
        <v>67</v>
      </c>
      <c r="C1" s="18" t="s">
        <v>74</v>
      </c>
    </row>
    <row r="2" spans="1:3" x14ac:dyDescent="0.35">
      <c r="A2" s="19" t="s">
        <v>8</v>
      </c>
      <c r="B2" s="20">
        <f>SUMIF('Q4.Sorted_Data'!$C:$C,A2,'Q4.Sorted_Data'!$E:$E)</f>
        <v>339</v>
      </c>
      <c r="C2" s="20">
        <f>SUMIF('Q4.Sorted_Data'!$C:$C,'Q7'!A2,'Q4.Sorted_Data'!$H:$H)</f>
        <v>6285</v>
      </c>
    </row>
    <row r="3" spans="1:3" x14ac:dyDescent="0.35">
      <c r="A3" s="19" t="s">
        <v>11</v>
      </c>
      <c r="B3" s="20">
        <f>SUMIF('Q4.Sorted_Data'!$C:$C,A3,'Q4.Sorted_Data'!$E:$E)</f>
        <v>384</v>
      </c>
      <c r="C3" s="20">
        <f>SUMIF('Q4.Sorted_Data'!$C:$C,'Q7'!A3,'Q4.Sorted_Data'!$H:$H)</f>
        <v>6472</v>
      </c>
    </row>
    <row r="4" spans="1:3" x14ac:dyDescent="0.35">
      <c r="A4" s="19" t="s">
        <v>14</v>
      </c>
      <c r="B4" s="20">
        <f>SUMIF('Q4.Sorted_Data'!$C:$C,A4,'Q4.Sorted_Data'!$E:$E)</f>
        <v>361</v>
      </c>
      <c r="C4" s="20">
        <f>SUMIF('Q4.Sorted_Data'!$C:$C,'Q7'!A4,'Q4.Sorted_Data'!$H:$H)</f>
        <v>5306</v>
      </c>
    </row>
    <row r="5" spans="1:3" x14ac:dyDescent="0.35">
      <c r="A5" s="19" t="s">
        <v>17</v>
      </c>
      <c r="B5" s="20">
        <f>SUMIF('Q4.Sorted_Data'!$C:$C,A5,'Q4.Sorted_Data'!$E:$E)</f>
        <v>346</v>
      </c>
      <c r="C5" s="20">
        <f>SUMIF('Q4.Sorted_Data'!$C:$C,'Q7'!A5,'Q4.Sorted_Data'!$H:$H)</f>
        <v>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Q1&amp;Q2</vt:lpstr>
      <vt:lpstr>Sheet9</vt:lpstr>
      <vt:lpstr>Q3</vt:lpstr>
      <vt:lpstr>Q4.Sorted_Data</vt:lpstr>
      <vt:lpstr>Q5.Filtered_data</vt:lpstr>
      <vt:lpstr>Q6.Count_orders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2026-10-12T10:44:04Z</dcterms:created>
  <dcterms:modified xsi:type="dcterms:W3CDTF">2026-10-16T07:18:53Z</dcterms:modified>
</cp:coreProperties>
</file>