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E:\FUTURE\EXCEL\Assignments\Assignment3\"/>
    </mc:Choice>
  </mc:AlternateContent>
  <xr:revisionPtr revIDLastSave="0" documentId="13_ncr:1_{65C1CBFE-79A2-4F4D-9D2E-A3416F8F0E2F}" xr6:coauthVersionLast="47" xr6:coauthVersionMax="47" xr10:uidLastSave="{00000000-0000-0000-0000-000000000000}"/>
  <bookViews>
    <workbookView xWindow="-110" yWindow="-110" windowWidth="19420" windowHeight="11020" firstSheet="2" activeTab="12" xr2:uid="{E00A9C24-E2DE-41C8-A58F-A4659993B036}"/>
  </bookViews>
  <sheets>
    <sheet name="Sales_Data" sheetId="1" r:id="rId1"/>
    <sheet name="Product_master" sheetId="2" r:id="rId2"/>
    <sheet name="Customer_Master" sheetId="3" r:id="rId3"/>
    <sheet name="Q1" sheetId="4" r:id="rId4"/>
    <sheet name="Q2" sheetId="6" r:id="rId5"/>
    <sheet name="Q3" sheetId="7" r:id="rId6"/>
    <sheet name="Q4" sheetId="8" r:id="rId7"/>
    <sheet name="Q5" sheetId="9" r:id="rId8"/>
    <sheet name="Q6" sheetId="10" r:id="rId9"/>
    <sheet name="Q7" sheetId="11" r:id="rId10"/>
    <sheet name="Q8" sheetId="12" r:id="rId11"/>
    <sheet name="Q9" sheetId="13" r:id="rId12"/>
    <sheet name="Q10" sheetId="14" r:id="rId13"/>
  </sheets>
  <definedNames>
    <definedName name="_xlnm._FilterDatabase" localSheetId="11" hidden="1">'Q9'!$M$2:$M$501</definedName>
    <definedName name="_xlnm._FilterDatabase" localSheetId="0" hidden="1">Sales_Data!$A$1:$Z$501</definedName>
    <definedName name="NativeTimeline_Order_Date">#N/A</definedName>
    <definedName name="Slicer_Category">#N/A</definedName>
    <definedName name="Slicer_Region">#N/A</definedName>
  </definedNames>
  <calcPr calcId="191029"/>
  <pivotCaches>
    <pivotCache cacheId="59" r:id="rId14"/>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46BE6895-7355-4a93-B00E-2C351335B9C9}">
      <x15:slicerCaches xmlns:x14="http://schemas.microsoft.com/office/spreadsheetml/2009/9/main">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536" i="14" l="1"/>
  <c r="B535" i="14"/>
  <c r="Q535" i="14"/>
  <c r="Y3" i="13"/>
  <c r="Y4" i="13"/>
  <c r="Y5" i="13"/>
  <c r="Y6" i="13"/>
  <c r="Y7" i="13"/>
  <c r="Y8" i="13"/>
  <c r="Y9" i="13"/>
  <c r="Y10" i="13"/>
  <c r="Y11" i="13"/>
  <c r="Y12" i="13"/>
  <c r="Y13"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52" i="13"/>
  <c r="Y53" i="13"/>
  <c r="Y54" i="13"/>
  <c r="Y55" i="13"/>
  <c r="Y56" i="13"/>
  <c r="Y57" i="13"/>
  <c r="Y58" i="13"/>
  <c r="Y59" i="13"/>
  <c r="Y60" i="13"/>
  <c r="Y61" i="13"/>
  <c r="Y62" i="13"/>
  <c r="Y63" i="13"/>
  <c r="Y64" i="13"/>
  <c r="Y65" i="13"/>
  <c r="Y66" i="13"/>
  <c r="Y67" i="13"/>
  <c r="Y68" i="13"/>
  <c r="Y69" i="13"/>
  <c r="Y70" i="13"/>
  <c r="Y71" i="13"/>
  <c r="Y72" i="13"/>
  <c r="Y73" i="13"/>
  <c r="Y74" i="13"/>
  <c r="Y75" i="13"/>
  <c r="Y76" i="13"/>
  <c r="Y77" i="13"/>
  <c r="Y78" i="13"/>
  <c r="Y79" i="13"/>
  <c r="Y80" i="13"/>
  <c r="Y81" i="13"/>
  <c r="Y82" i="13"/>
  <c r="Y83" i="13"/>
  <c r="Y84" i="13"/>
  <c r="Y85" i="13"/>
  <c r="Y86" i="13"/>
  <c r="Y87" i="13"/>
  <c r="Y88" i="13"/>
  <c r="Y89" i="13"/>
  <c r="Y90" i="13"/>
  <c r="Y91" i="13"/>
  <c r="Y92" i="13"/>
  <c r="Y93" i="13"/>
  <c r="Y94" i="13"/>
  <c r="Y95" i="13"/>
  <c r="Y96" i="13"/>
  <c r="Y97" i="13"/>
  <c r="Y98" i="13"/>
  <c r="Y99" i="13"/>
  <c r="Y100" i="13"/>
  <c r="Y101" i="13"/>
  <c r="Y102" i="13"/>
  <c r="Y103" i="13"/>
  <c r="Y104" i="13"/>
  <c r="Y105" i="13"/>
  <c r="Y106" i="13"/>
  <c r="Y107" i="13"/>
  <c r="Y108" i="13"/>
  <c r="Y109" i="13"/>
  <c r="Y110" i="13"/>
  <c r="Y111" i="13"/>
  <c r="Y112" i="13"/>
  <c r="Y113" i="13"/>
  <c r="Y114" i="13"/>
  <c r="Y115" i="13"/>
  <c r="Y116" i="13"/>
  <c r="Y117" i="13"/>
  <c r="Y118" i="13"/>
  <c r="Y119" i="13"/>
  <c r="Y120" i="13"/>
  <c r="Y121" i="13"/>
  <c r="Y122" i="13"/>
  <c r="Y123" i="13"/>
  <c r="Y124" i="13"/>
  <c r="Y125" i="13"/>
  <c r="Y126" i="13"/>
  <c r="Y127" i="13"/>
  <c r="Y128" i="13"/>
  <c r="Y129" i="13"/>
  <c r="Y130" i="13"/>
  <c r="Y131" i="13"/>
  <c r="Y132" i="13"/>
  <c r="Y133" i="13"/>
  <c r="Y134" i="13"/>
  <c r="Y135" i="13"/>
  <c r="Y136" i="13"/>
  <c r="Y137" i="13"/>
  <c r="Y138" i="13"/>
  <c r="Y139" i="13"/>
  <c r="Y140" i="13"/>
  <c r="Y141" i="13"/>
  <c r="Y142" i="13"/>
  <c r="Y143" i="13"/>
  <c r="Y144" i="13"/>
  <c r="Y145" i="13"/>
  <c r="Y146"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Y177" i="13"/>
  <c r="Y178" i="13"/>
  <c r="Y179" i="13"/>
  <c r="Y180" i="13"/>
  <c r="Y181" i="13"/>
  <c r="Y182" i="13"/>
  <c r="Y183" i="13"/>
  <c r="Y184" i="13"/>
  <c r="Y185" i="13"/>
  <c r="Y186" i="13"/>
  <c r="Y187" i="13"/>
  <c r="Y188" i="13"/>
  <c r="Y189" i="13"/>
  <c r="Y190" i="13"/>
  <c r="Y191" i="13"/>
  <c r="Y192" i="13"/>
  <c r="Y193" i="13"/>
  <c r="Y194" i="13"/>
  <c r="Y195" i="13"/>
  <c r="Y196" i="13"/>
  <c r="Y197" i="13"/>
  <c r="Y198" i="13"/>
  <c r="Y199" i="13"/>
  <c r="Y200" i="13"/>
  <c r="Y201" i="13"/>
  <c r="Y202" i="13"/>
  <c r="Y203" i="13"/>
  <c r="Y204" i="13"/>
  <c r="Y205" i="13"/>
  <c r="Y206" i="13"/>
  <c r="Y207" i="13"/>
  <c r="Y208" i="13"/>
  <c r="Y209" i="13"/>
  <c r="Y210" i="13"/>
  <c r="Y211" i="13"/>
  <c r="Y212" i="13"/>
  <c r="Y213" i="13"/>
  <c r="Y214" i="13"/>
  <c r="Y215" i="13"/>
  <c r="Y216" i="13"/>
  <c r="Y217" i="13"/>
  <c r="Y218" i="13"/>
  <c r="Y219" i="13"/>
  <c r="Y220" i="13"/>
  <c r="Y221" i="13"/>
  <c r="Y222" i="13"/>
  <c r="Y223" i="13"/>
  <c r="Y224" i="13"/>
  <c r="Y225" i="13"/>
  <c r="Y226" i="13"/>
  <c r="Y227" i="13"/>
  <c r="Y228" i="13"/>
  <c r="Y229" i="13"/>
  <c r="Y230" i="13"/>
  <c r="Y231" i="13"/>
  <c r="Y232" i="13"/>
  <c r="Y233" i="13"/>
  <c r="Y234" i="13"/>
  <c r="Y235" i="13"/>
  <c r="Y236" i="13"/>
  <c r="Y237" i="13"/>
  <c r="Y238" i="13"/>
  <c r="Y239" i="13"/>
  <c r="Y240" i="13"/>
  <c r="Y241" i="13"/>
  <c r="Y242" i="13"/>
  <c r="Y243" i="13"/>
  <c r="Y244" i="13"/>
  <c r="Y245" i="13"/>
  <c r="Y246" i="13"/>
  <c r="Y247" i="13"/>
  <c r="Y248" i="13"/>
  <c r="Y249" i="13"/>
  <c r="Y250" i="13"/>
  <c r="Y251" i="13"/>
  <c r="Y252" i="13"/>
  <c r="Y253" i="13"/>
  <c r="Y254" i="13"/>
  <c r="Y255" i="13"/>
  <c r="Y256" i="13"/>
  <c r="Y257" i="13"/>
  <c r="Y258" i="13"/>
  <c r="Y259" i="13"/>
  <c r="Y260" i="13"/>
  <c r="Y261" i="13"/>
  <c r="Y262" i="13"/>
  <c r="Y263" i="13"/>
  <c r="Y264" i="13"/>
  <c r="Y265" i="13"/>
  <c r="Y266" i="13"/>
  <c r="Y267" i="13"/>
  <c r="Y268" i="13"/>
  <c r="Y269" i="13"/>
  <c r="Y270" i="13"/>
  <c r="Y271" i="13"/>
  <c r="Y272" i="13"/>
  <c r="Y273" i="13"/>
  <c r="Y274" i="13"/>
  <c r="Y275" i="13"/>
  <c r="Y276" i="13"/>
  <c r="Y277" i="13"/>
  <c r="Y278" i="13"/>
  <c r="Y279" i="13"/>
  <c r="Y280" i="13"/>
  <c r="Y281" i="13"/>
  <c r="Y282" i="13"/>
  <c r="Y283" i="13"/>
  <c r="Y284" i="13"/>
  <c r="Y285" i="13"/>
  <c r="Y286" i="13"/>
  <c r="Y287" i="13"/>
  <c r="Y288" i="13"/>
  <c r="Y289" i="13"/>
  <c r="Y290" i="13"/>
  <c r="Y291" i="13"/>
  <c r="Y292" i="13"/>
  <c r="Y293" i="13"/>
  <c r="Y294" i="13"/>
  <c r="Y295" i="13"/>
  <c r="Y296" i="13"/>
  <c r="Y297" i="13"/>
  <c r="Y298" i="13"/>
  <c r="Y299" i="13"/>
  <c r="Y300" i="13"/>
  <c r="Y301" i="13"/>
  <c r="Y302" i="13"/>
  <c r="Y303" i="13"/>
  <c r="Y304" i="13"/>
  <c r="Y305" i="13"/>
  <c r="Y306" i="13"/>
  <c r="Y307" i="13"/>
  <c r="Y308" i="13"/>
  <c r="Y309" i="13"/>
  <c r="Y310" i="13"/>
  <c r="Y311" i="13"/>
  <c r="Y312" i="13"/>
  <c r="Y313" i="13"/>
  <c r="Y314" i="13"/>
  <c r="Y315" i="13"/>
  <c r="Y316" i="13"/>
  <c r="Y317" i="13"/>
  <c r="Y318" i="13"/>
  <c r="Y319" i="13"/>
  <c r="Y320" i="13"/>
  <c r="Y321" i="13"/>
  <c r="Y322" i="13"/>
  <c r="Y323" i="13"/>
  <c r="Y324" i="13"/>
  <c r="Y325" i="13"/>
  <c r="Y326" i="13"/>
  <c r="Y327" i="13"/>
  <c r="Y328" i="13"/>
  <c r="Y329" i="13"/>
  <c r="Y330" i="13"/>
  <c r="Y331" i="13"/>
  <c r="Y332" i="13"/>
  <c r="Y333" i="13"/>
  <c r="Y334" i="13"/>
  <c r="Y335" i="13"/>
  <c r="Y336" i="13"/>
  <c r="Y337" i="13"/>
  <c r="Y338" i="13"/>
  <c r="Y339" i="13"/>
  <c r="Y340" i="13"/>
  <c r="Y341" i="13"/>
  <c r="Y342" i="13"/>
  <c r="Y343" i="13"/>
  <c r="Y344" i="13"/>
  <c r="Y345" i="13"/>
  <c r="Y346" i="13"/>
  <c r="Y347" i="13"/>
  <c r="Y348" i="13"/>
  <c r="Y349" i="13"/>
  <c r="Y350" i="13"/>
  <c r="Y351" i="13"/>
  <c r="Y352" i="13"/>
  <c r="Y353" i="13"/>
  <c r="Y354" i="13"/>
  <c r="Y355" i="13"/>
  <c r="Y356" i="13"/>
  <c r="Y357" i="13"/>
  <c r="Y358" i="13"/>
  <c r="Y359" i="13"/>
  <c r="Y360" i="13"/>
  <c r="Y361" i="13"/>
  <c r="Y362" i="13"/>
  <c r="Y363" i="13"/>
  <c r="Y364" i="13"/>
  <c r="Y365" i="13"/>
  <c r="Y366" i="13"/>
  <c r="Y367" i="13"/>
  <c r="Y368" i="13"/>
  <c r="Y369" i="13"/>
  <c r="Y370" i="13"/>
  <c r="Y371" i="13"/>
  <c r="Y372" i="13"/>
  <c r="Y373" i="13"/>
  <c r="Y374" i="13"/>
  <c r="Y375" i="13"/>
  <c r="Y376" i="13"/>
  <c r="Y377" i="13"/>
  <c r="Y378" i="13"/>
  <c r="Y379" i="13"/>
  <c r="Y380" i="13"/>
  <c r="Y381" i="13"/>
  <c r="Y382" i="13"/>
  <c r="Y383" i="13"/>
  <c r="Y384" i="13"/>
  <c r="Y385" i="13"/>
  <c r="Y386" i="13"/>
  <c r="Y387" i="13"/>
  <c r="Y388" i="13"/>
  <c r="Y389" i="13"/>
  <c r="Y390" i="13"/>
  <c r="Y391" i="13"/>
  <c r="Y392" i="13"/>
  <c r="Y393" i="13"/>
  <c r="Y394" i="13"/>
  <c r="Y395" i="13"/>
  <c r="Y396" i="13"/>
  <c r="Y397" i="13"/>
  <c r="Y398" i="13"/>
  <c r="Y399" i="13"/>
  <c r="Y400" i="13"/>
  <c r="Y401" i="13"/>
  <c r="Y402" i="13"/>
  <c r="Y403" i="13"/>
  <c r="Y404" i="13"/>
  <c r="Y405" i="13"/>
  <c r="Y406" i="13"/>
  <c r="Y407" i="13"/>
  <c r="Y408" i="13"/>
  <c r="Y409" i="13"/>
  <c r="Y410" i="13"/>
  <c r="Y411" i="13"/>
  <c r="Y412" i="13"/>
  <c r="Y413" i="13"/>
  <c r="Y414" i="13"/>
  <c r="Y415" i="13"/>
  <c r="Y416" i="13"/>
  <c r="Y417" i="13"/>
  <c r="Y418" i="13"/>
  <c r="Y419" i="13"/>
  <c r="Y420" i="13"/>
  <c r="Y421" i="13"/>
  <c r="Y422" i="13"/>
  <c r="Y423" i="13"/>
  <c r="Y424" i="13"/>
  <c r="Y425" i="13"/>
  <c r="Y426" i="13"/>
  <c r="Y427" i="13"/>
  <c r="Y428" i="13"/>
  <c r="Y429" i="13"/>
  <c r="Y430" i="13"/>
  <c r="Y431" i="13"/>
  <c r="Y432" i="13"/>
  <c r="Y433" i="13"/>
  <c r="Y434" i="13"/>
  <c r="Y435" i="13"/>
  <c r="Y436" i="13"/>
  <c r="Y437" i="13"/>
  <c r="Y438" i="13"/>
  <c r="Y439" i="13"/>
  <c r="Y440" i="13"/>
  <c r="Y441" i="13"/>
  <c r="Y442" i="13"/>
  <c r="Y443" i="13"/>
  <c r="Y444" i="13"/>
  <c r="Y445" i="13"/>
  <c r="Y446" i="13"/>
  <c r="Y447" i="13"/>
  <c r="Y448" i="13"/>
  <c r="Y449" i="13"/>
  <c r="Y450" i="13"/>
  <c r="Y451" i="13"/>
  <c r="Y452" i="13"/>
  <c r="Y453" i="13"/>
  <c r="Y454" i="13"/>
  <c r="Y455" i="13"/>
  <c r="Y456" i="13"/>
  <c r="Y457" i="13"/>
  <c r="Y458" i="13"/>
  <c r="Y459" i="13"/>
  <c r="Y460" i="13"/>
  <c r="Y461" i="13"/>
  <c r="Y462" i="13"/>
  <c r="Y463" i="13"/>
  <c r="Y464" i="13"/>
  <c r="Y465" i="13"/>
  <c r="Y466" i="13"/>
  <c r="Y467" i="13"/>
  <c r="Y468" i="13"/>
  <c r="Y469" i="13"/>
  <c r="Y470" i="13"/>
  <c r="Y471" i="13"/>
  <c r="Y472" i="13"/>
  <c r="Y473" i="13"/>
  <c r="Y474" i="13"/>
  <c r="Y475" i="13"/>
  <c r="Y476" i="13"/>
  <c r="Y477" i="13"/>
  <c r="Y478" i="13"/>
  <c r="Y479" i="13"/>
  <c r="Y480" i="13"/>
  <c r="Y481" i="13"/>
  <c r="Y482" i="13"/>
  <c r="Y483" i="13"/>
  <c r="Y484" i="13"/>
  <c r="Y485" i="13"/>
  <c r="Y486" i="13"/>
  <c r="Y487" i="13"/>
  <c r="Y488" i="13"/>
  <c r="Y489" i="13"/>
  <c r="Y490" i="13"/>
  <c r="Y491" i="13"/>
  <c r="Y492" i="13"/>
  <c r="Y493" i="13"/>
  <c r="Y494" i="13"/>
  <c r="Y495" i="13"/>
  <c r="Y496" i="13"/>
  <c r="Y497" i="13"/>
  <c r="Y498" i="13"/>
  <c r="Y499" i="13"/>
  <c r="Y500" i="13"/>
  <c r="Y501" i="13"/>
  <c r="Y2" i="13"/>
  <c r="X3" i="13"/>
  <c r="X4" i="13"/>
  <c r="X5" i="13"/>
  <c r="X6" i="13"/>
  <c r="X7" i="13"/>
  <c r="X8" i="13"/>
  <c r="X9" i="13"/>
  <c r="X10" i="13"/>
  <c r="X11"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52" i="13"/>
  <c r="X53" i="13"/>
  <c r="X54" i="13"/>
  <c r="X55" i="13"/>
  <c r="X56" i="13"/>
  <c r="X57" i="13"/>
  <c r="X58" i="13"/>
  <c r="X59" i="13"/>
  <c r="X60" i="13"/>
  <c r="X61" i="13"/>
  <c r="X62" i="13"/>
  <c r="X63" i="13"/>
  <c r="X64" i="13"/>
  <c r="X65" i="13"/>
  <c r="X66" i="13"/>
  <c r="X67" i="13"/>
  <c r="X68" i="13"/>
  <c r="X69" i="13"/>
  <c r="X70" i="13"/>
  <c r="X71" i="13"/>
  <c r="X72" i="13"/>
  <c r="X73" i="13"/>
  <c r="X74" i="13"/>
  <c r="X75" i="13"/>
  <c r="X76" i="13"/>
  <c r="X77" i="13"/>
  <c r="X78" i="13"/>
  <c r="X79" i="13"/>
  <c r="X80" i="13"/>
  <c r="X81" i="13"/>
  <c r="X82" i="13"/>
  <c r="X83" i="13"/>
  <c r="X84" i="13"/>
  <c r="X85" i="13"/>
  <c r="X86" i="13"/>
  <c r="X87" i="13"/>
  <c r="X88" i="13"/>
  <c r="X89" i="13"/>
  <c r="X90" i="13"/>
  <c r="X91" i="13"/>
  <c r="X92" i="13"/>
  <c r="X93" i="13"/>
  <c r="X94" i="13"/>
  <c r="X95" i="13"/>
  <c r="X96" i="13"/>
  <c r="X97" i="13"/>
  <c r="X98" i="13"/>
  <c r="X99" i="13"/>
  <c r="X100" i="13"/>
  <c r="X101" i="13"/>
  <c r="X102" i="13"/>
  <c r="X103" i="13"/>
  <c r="X104" i="13"/>
  <c r="X105" i="13"/>
  <c r="X106" i="13"/>
  <c r="X107" i="13"/>
  <c r="X108" i="13"/>
  <c r="X109" i="13"/>
  <c r="X110" i="13"/>
  <c r="X111" i="13"/>
  <c r="X112" i="13"/>
  <c r="X113" i="13"/>
  <c r="X114" i="13"/>
  <c r="X115" i="13"/>
  <c r="X116" i="13"/>
  <c r="X117" i="13"/>
  <c r="X118" i="13"/>
  <c r="X119" i="13"/>
  <c r="X120" i="13"/>
  <c r="X121" i="13"/>
  <c r="X122" i="13"/>
  <c r="X123" i="13"/>
  <c r="X124" i="13"/>
  <c r="X125" i="13"/>
  <c r="X126" i="13"/>
  <c r="X127" i="13"/>
  <c r="X128" i="13"/>
  <c r="X129" i="13"/>
  <c r="X130" i="13"/>
  <c r="X131" i="13"/>
  <c r="X132" i="13"/>
  <c r="X133" i="13"/>
  <c r="X134" i="13"/>
  <c r="X135" i="13"/>
  <c r="X136" i="13"/>
  <c r="X137" i="13"/>
  <c r="X138" i="13"/>
  <c r="X139" i="13"/>
  <c r="X140" i="13"/>
  <c r="X141" i="13"/>
  <c r="X142" i="13"/>
  <c r="X143" i="13"/>
  <c r="X144" i="13"/>
  <c r="X145" i="13"/>
  <c r="X146" i="13"/>
  <c r="X147" i="13"/>
  <c r="X148" i="13"/>
  <c r="X149" i="13"/>
  <c r="X150" i="13"/>
  <c r="X151" i="13"/>
  <c r="X152" i="13"/>
  <c r="X153" i="13"/>
  <c r="X154" i="13"/>
  <c r="X155" i="13"/>
  <c r="X156" i="13"/>
  <c r="X157" i="13"/>
  <c r="X158" i="13"/>
  <c r="X159" i="13"/>
  <c r="X160" i="13"/>
  <c r="X161" i="13"/>
  <c r="X162" i="13"/>
  <c r="X163" i="13"/>
  <c r="X164" i="13"/>
  <c r="X165" i="13"/>
  <c r="X166" i="13"/>
  <c r="X167" i="13"/>
  <c r="X168" i="13"/>
  <c r="X169" i="13"/>
  <c r="X170" i="13"/>
  <c r="X171" i="13"/>
  <c r="X172" i="13"/>
  <c r="X173" i="13"/>
  <c r="X174" i="13"/>
  <c r="X175" i="13"/>
  <c r="X176" i="13"/>
  <c r="X177" i="13"/>
  <c r="X178" i="13"/>
  <c r="X179" i="13"/>
  <c r="X180" i="13"/>
  <c r="X181" i="13"/>
  <c r="X182" i="13"/>
  <c r="X183" i="13"/>
  <c r="X184" i="13"/>
  <c r="X185" i="13"/>
  <c r="X186" i="13"/>
  <c r="X187" i="13"/>
  <c r="X188" i="13"/>
  <c r="X189" i="13"/>
  <c r="X190" i="13"/>
  <c r="X191" i="13"/>
  <c r="X192" i="13"/>
  <c r="X193" i="13"/>
  <c r="X194" i="13"/>
  <c r="X195" i="13"/>
  <c r="X196" i="13"/>
  <c r="X197" i="13"/>
  <c r="X198" i="13"/>
  <c r="X199" i="13"/>
  <c r="X200" i="13"/>
  <c r="X201" i="13"/>
  <c r="X202" i="13"/>
  <c r="X203" i="13"/>
  <c r="X204" i="13"/>
  <c r="X205" i="13"/>
  <c r="X206" i="13"/>
  <c r="X207" i="13"/>
  <c r="X208" i="13"/>
  <c r="X209" i="13"/>
  <c r="X210" i="13"/>
  <c r="X211" i="13"/>
  <c r="X212" i="13"/>
  <c r="X213" i="13"/>
  <c r="X214" i="13"/>
  <c r="X215" i="13"/>
  <c r="X216" i="13"/>
  <c r="X217" i="13"/>
  <c r="X218" i="13"/>
  <c r="X219" i="13"/>
  <c r="X220" i="13"/>
  <c r="X221" i="13"/>
  <c r="X222" i="13"/>
  <c r="X223" i="13"/>
  <c r="X224" i="13"/>
  <c r="X225" i="13"/>
  <c r="X226" i="13"/>
  <c r="X227" i="13"/>
  <c r="X228" i="13"/>
  <c r="X229" i="13"/>
  <c r="X230" i="13"/>
  <c r="X231" i="13"/>
  <c r="X232" i="13"/>
  <c r="X233" i="13"/>
  <c r="X234" i="13"/>
  <c r="X235" i="13"/>
  <c r="X236" i="13"/>
  <c r="X237" i="13"/>
  <c r="X238" i="13"/>
  <c r="X239" i="13"/>
  <c r="X240" i="13"/>
  <c r="X241" i="13"/>
  <c r="X242" i="13"/>
  <c r="X243" i="13"/>
  <c r="X244" i="13"/>
  <c r="X245" i="13"/>
  <c r="X246" i="13"/>
  <c r="X247" i="13"/>
  <c r="X248" i="13"/>
  <c r="X249" i="13"/>
  <c r="X250" i="13"/>
  <c r="X251" i="13"/>
  <c r="X252" i="13"/>
  <c r="X253" i="13"/>
  <c r="X254" i="13"/>
  <c r="X255" i="13"/>
  <c r="X256" i="13"/>
  <c r="X257" i="13"/>
  <c r="X258" i="13"/>
  <c r="X259" i="13"/>
  <c r="X260" i="13"/>
  <c r="X261" i="13"/>
  <c r="X262" i="13"/>
  <c r="X263" i="13"/>
  <c r="X264" i="13"/>
  <c r="X265" i="13"/>
  <c r="X266" i="13"/>
  <c r="X267" i="13"/>
  <c r="X268" i="13"/>
  <c r="X269" i="13"/>
  <c r="X270" i="13"/>
  <c r="X271" i="13"/>
  <c r="X272" i="13"/>
  <c r="X273" i="13"/>
  <c r="X274" i="13"/>
  <c r="X275" i="13"/>
  <c r="X276" i="13"/>
  <c r="X277" i="13"/>
  <c r="X278" i="13"/>
  <c r="X279" i="13"/>
  <c r="X280" i="13"/>
  <c r="X281" i="13"/>
  <c r="X282" i="13"/>
  <c r="X283" i="13"/>
  <c r="X284" i="13"/>
  <c r="X285" i="13"/>
  <c r="X286" i="13"/>
  <c r="X287" i="13"/>
  <c r="X288" i="13"/>
  <c r="X289" i="13"/>
  <c r="X290" i="13"/>
  <c r="X291" i="13"/>
  <c r="X292" i="13"/>
  <c r="X293" i="13"/>
  <c r="X294" i="13"/>
  <c r="X295" i="13"/>
  <c r="X296" i="13"/>
  <c r="X297" i="13"/>
  <c r="X298" i="13"/>
  <c r="X299" i="13"/>
  <c r="X300" i="13"/>
  <c r="X301" i="13"/>
  <c r="X302" i="13"/>
  <c r="X303" i="13"/>
  <c r="X304" i="13"/>
  <c r="X305" i="13"/>
  <c r="X306" i="13"/>
  <c r="X307" i="13"/>
  <c r="X308" i="13"/>
  <c r="X309" i="13"/>
  <c r="X310" i="13"/>
  <c r="X311" i="13"/>
  <c r="X312" i="13"/>
  <c r="X313" i="13"/>
  <c r="X314" i="13"/>
  <c r="X315" i="13"/>
  <c r="X316" i="13"/>
  <c r="X317" i="13"/>
  <c r="X318" i="13"/>
  <c r="X319" i="13"/>
  <c r="X320" i="13"/>
  <c r="X321" i="13"/>
  <c r="X322" i="13"/>
  <c r="X323" i="13"/>
  <c r="X324" i="13"/>
  <c r="X325" i="13"/>
  <c r="X326" i="13"/>
  <c r="X327" i="13"/>
  <c r="X328" i="13"/>
  <c r="X329" i="13"/>
  <c r="X330" i="13"/>
  <c r="X331" i="13"/>
  <c r="X332" i="13"/>
  <c r="X333" i="13"/>
  <c r="X334" i="13"/>
  <c r="X335" i="13"/>
  <c r="X336" i="13"/>
  <c r="X337" i="13"/>
  <c r="X338" i="13"/>
  <c r="X339" i="13"/>
  <c r="X340" i="13"/>
  <c r="X341" i="13"/>
  <c r="X342" i="13"/>
  <c r="X343" i="13"/>
  <c r="X344" i="13"/>
  <c r="X345" i="13"/>
  <c r="X346" i="13"/>
  <c r="X347" i="13"/>
  <c r="X348" i="13"/>
  <c r="X349" i="13"/>
  <c r="X350" i="13"/>
  <c r="X351" i="13"/>
  <c r="X352" i="13"/>
  <c r="X353" i="13"/>
  <c r="X354" i="13"/>
  <c r="X355" i="13"/>
  <c r="X356" i="13"/>
  <c r="X357" i="13"/>
  <c r="X358" i="13"/>
  <c r="X359" i="13"/>
  <c r="X360" i="13"/>
  <c r="X361" i="13"/>
  <c r="X362" i="13"/>
  <c r="X363" i="13"/>
  <c r="X364" i="13"/>
  <c r="X365" i="13"/>
  <c r="X366" i="13"/>
  <c r="X367" i="13"/>
  <c r="X368" i="13"/>
  <c r="X369" i="13"/>
  <c r="X370" i="13"/>
  <c r="X371" i="13"/>
  <c r="X372" i="13"/>
  <c r="X373" i="13"/>
  <c r="X374" i="13"/>
  <c r="X375" i="13"/>
  <c r="X376" i="13"/>
  <c r="X377" i="13"/>
  <c r="X378" i="13"/>
  <c r="X379" i="13"/>
  <c r="X380" i="13"/>
  <c r="X381" i="13"/>
  <c r="X382" i="13"/>
  <c r="X383" i="13"/>
  <c r="X384" i="13"/>
  <c r="X385" i="13"/>
  <c r="X386" i="13"/>
  <c r="X387" i="13"/>
  <c r="X388" i="13"/>
  <c r="X389" i="13"/>
  <c r="X390" i="13"/>
  <c r="X391" i="13"/>
  <c r="X392" i="13"/>
  <c r="X393" i="13"/>
  <c r="X394" i="13"/>
  <c r="X395" i="13"/>
  <c r="X396" i="13"/>
  <c r="X397" i="13"/>
  <c r="X398" i="13"/>
  <c r="X399" i="13"/>
  <c r="X400" i="13"/>
  <c r="X401" i="13"/>
  <c r="X402" i="13"/>
  <c r="X403" i="13"/>
  <c r="X404" i="13"/>
  <c r="X405" i="13"/>
  <c r="X406" i="13"/>
  <c r="X407" i="13"/>
  <c r="X408" i="13"/>
  <c r="X409" i="13"/>
  <c r="X410" i="13"/>
  <c r="X411" i="13"/>
  <c r="X412" i="13"/>
  <c r="X413" i="13"/>
  <c r="X414" i="13"/>
  <c r="X415" i="13"/>
  <c r="X416" i="13"/>
  <c r="X417" i="13"/>
  <c r="X418" i="13"/>
  <c r="X419" i="13"/>
  <c r="X420" i="13"/>
  <c r="X421" i="13"/>
  <c r="X422" i="13"/>
  <c r="X423" i="13"/>
  <c r="X424" i="13"/>
  <c r="X425" i="13"/>
  <c r="X426" i="13"/>
  <c r="X427" i="13"/>
  <c r="X428" i="13"/>
  <c r="X429" i="13"/>
  <c r="X430" i="13"/>
  <c r="X431" i="13"/>
  <c r="X432" i="13"/>
  <c r="X433" i="13"/>
  <c r="X434" i="13"/>
  <c r="X435" i="13"/>
  <c r="X436" i="13"/>
  <c r="X437" i="13"/>
  <c r="X438" i="13"/>
  <c r="X439" i="13"/>
  <c r="X440" i="13"/>
  <c r="X441" i="13"/>
  <c r="X442" i="13"/>
  <c r="X443" i="13"/>
  <c r="X444" i="13"/>
  <c r="X445" i="13"/>
  <c r="X446" i="13"/>
  <c r="X447" i="13"/>
  <c r="X448" i="13"/>
  <c r="X449" i="13"/>
  <c r="X450" i="13"/>
  <c r="X451" i="13"/>
  <c r="X452" i="13"/>
  <c r="X453" i="13"/>
  <c r="X454" i="13"/>
  <c r="X455" i="13"/>
  <c r="X456" i="13"/>
  <c r="X457" i="13"/>
  <c r="X458" i="13"/>
  <c r="X459" i="13"/>
  <c r="X460" i="13"/>
  <c r="X461" i="13"/>
  <c r="X462" i="13"/>
  <c r="X463" i="13"/>
  <c r="X464" i="13"/>
  <c r="X465" i="13"/>
  <c r="X466" i="13"/>
  <c r="X467" i="13"/>
  <c r="X468" i="13"/>
  <c r="X469" i="13"/>
  <c r="X470" i="13"/>
  <c r="X471" i="13"/>
  <c r="X472" i="13"/>
  <c r="X473" i="13"/>
  <c r="X474" i="13"/>
  <c r="X475" i="13"/>
  <c r="X476" i="13"/>
  <c r="X477" i="13"/>
  <c r="X478" i="13"/>
  <c r="X479" i="13"/>
  <c r="X480" i="13"/>
  <c r="X481" i="13"/>
  <c r="X482" i="13"/>
  <c r="X483" i="13"/>
  <c r="X484" i="13"/>
  <c r="X485" i="13"/>
  <c r="X486" i="13"/>
  <c r="X487" i="13"/>
  <c r="X488" i="13"/>
  <c r="X489" i="13"/>
  <c r="X490" i="13"/>
  <c r="X491" i="13"/>
  <c r="X492" i="13"/>
  <c r="X493" i="13"/>
  <c r="X494" i="13"/>
  <c r="X495" i="13"/>
  <c r="X496" i="13"/>
  <c r="X497" i="13"/>
  <c r="X498" i="13"/>
  <c r="X499" i="13"/>
  <c r="X500" i="13"/>
  <c r="X501" i="13"/>
  <c r="X2" i="13"/>
  <c r="W3" i="13"/>
  <c r="W4"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2" i="13"/>
  <c r="L6" i="12"/>
  <c r="B10" i="12" s="1"/>
  <c r="F10" i="12" s="1"/>
  <c r="G6" i="12"/>
  <c r="B6" i="12"/>
  <c r="J5" i="11"/>
  <c r="G6" i="9"/>
  <c r="E6" i="9"/>
  <c r="D6" i="9"/>
  <c r="B6" i="9"/>
  <c r="A6" i="9"/>
  <c r="D5" i="11"/>
  <c r="B5" i="11"/>
  <c r="G5" i="11" s="1"/>
  <c r="E11" i="10"/>
  <c r="I11" i="10"/>
  <c r="A11" i="10"/>
  <c r="I7" i="10"/>
  <c r="E7" i="10"/>
  <c r="A7" i="10"/>
  <c r="B2" i="8" a="1"/>
  <c r="Y3" i="7" a="1"/>
  <c r="Y4" i="7" a="1"/>
  <c r="Y5" i="7" a="1"/>
  <c r="Y6" i="7" a="1"/>
  <c r="Y7" i="7" a="1"/>
  <c r="Y8" i="7" a="1"/>
  <c r="Y9" i="7" a="1"/>
  <c r="Y10" i="7" a="1"/>
  <c r="Y11" i="7" a="1"/>
  <c r="Y12" i="7" a="1"/>
  <c r="Y13" i="7" a="1"/>
  <c r="Y14" i="7" a="1"/>
  <c r="Y15" i="7" a="1"/>
  <c r="Y16" i="7" a="1"/>
  <c r="Y17" i="7" a="1"/>
  <c r="Y18" i="7" a="1"/>
  <c r="Y19" i="7" a="1"/>
  <c r="Y20" i="7" a="1"/>
  <c r="Y21" i="7" a="1"/>
  <c r="Y22" i="7" a="1"/>
  <c r="Y23" i="7" a="1"/>
  <c r="Y24" i="7" a="1"/>
  <c r="Y25" i="7" a="1"/>
  <c r="Y26" i="7" a="1"/>
  <c r="Y27" i="7" a="1"/>
  <c r="Y28" i="7" a="1"/>
  <c r="Y29" i="7" a="1"/>
  <c r="Y30" i="7" a="1"/>
  <c r="Y31" i="7" a="1"/>
  <c r="Y32" i="7" a="1"/>
  <c r="Y33" i="7" a="1"/>
  <c r="Y34" i="7" a="1"/>
  <c r="Y35" i="7" a="1"/>
  <c r="Y36" i="7" a="1"/>
  <c r="Y37" i="7" a="1"/>
  <c r="Y38" i="7" a="1"/>
  <c r="Y39" i="7" a="1"/>
  <c r="Y40" i="7" a="1"/>
  <c r="Y41" i="7" a="1"/>
  <c r="Y42" i="7" a="1"/>
  <c r="Y43" i="7" a="1"/>
  <c r="Y44" i="7" a="1"/>
  <c r="Y45" i="7" a="1"/>
  <c r="Y46" i="7" a="1"/>
  <c r="Y47" i="7" a="1"/>
  <c r="Y48" i="7" a="1"/>
  <c r="Y49" i="7" a="1"/>
  <c r="Y50" i="7" a="1"/>
  <c r="Y51" i="7" a="1"/>
  <c r="Y52" i="7" a="1"/>
  <c r="Y53" i="7" a="1"/>
  <c r="Y54" i="7" a="1"/>
  <c r="Y55" i="7" a="1"/>
  <c r="Y56" i="7" a="1"/>
  <c r="Y57" i="7" a="1"/>
  <c r="Y58" i="7" a="1"/>
  <c r="Y59" i="7" a="1"/>
  <c r="Y60" i="7" a="1"/>
  <c r="Y61" i="7" a="1"/>
  <c r="Y62" i="7" a="1"/>
  <c r="Y63" i="7" a="1"/>
  <c r="Y64" i="7" a="1"/>
  <c r="Y65" i="7" a="1"/>
  <c r="Y66" i="7" a="1"/>
  <c r="Y67" i="7" a="1"/>
  <c r="Y68" i="7" a="1"/>
  <c r="Y69" i="7" a="1"/>
  <c r="Y70" i="7" a="1"/>
  <c r="Y71" i="7" a="1"/>
  <c r="Y72" i="7" a="1"/>
  <c r="Y73" i="7" a="1"/>
  <c r="Y74" i="7" a="1"/>
  <c r="Y75" i="7" a="1"/>
  <c r="Y76" i="7" a="1"/>
  <c r="Y77" i="7" a="1"/>
  <c r="Y78" i="7" a="1"/>
  <c r="Y79" i="7" a="1"/>
  <c r="Y80" i="7" a="1"/>
  <c r="Y81" i="7" a="1"/>
  <c r="Y82" i="7" a="1"/>
  <c r="Y83" i="7" a="1"/>
  <c r="Y84" i="7" a="1"/>
  <c r="Y85" i="7" a="1"/>
  <c r="Y86" i="7" a="1"/>
  <c r="Y87" i="7" a="1"/>
  <c r="Y88" i="7" a="1"/>
  <c r="Y89" i="7" a="1"/>
  <c r="Y90" i="7" a="1"/>
  <c r="Y91" i="7" a="1"/>
  <c r="Y92" i="7" a="1"/>
  <c r="Y93" i="7" a="1"/>
  <c r="Y94" i="7" a="1"/>
  <c r="Y95" i="7" a="1"/>
  <c r="Y96" i="7" a="1"/>
  <c r="Y97" i="7" a="1"/>
  <c r="Y98" i="7" a="1"/>
  <c r="Y99" i="7" a="1"/>
  <c r="Y100" i="7" a="1"/>
  <c r="Y101" i="7" a="1"/>
  <c r="Y102" i="7" a="1"/>
  <c r="Y103" i="7" a="1"/>
  <c r="Y104" i="7" a="1"/>
  <c r="Y105" i="7" a="1"/>
  <c r="Y106" i="7" a="1"/>
  <c r="Y107" i="7" a="1"/>
  <c r="Y108" i="7" a="1"/>
  <c r="Y109" i="7" a="1"/>
  <c r="Y110" i="7" a="1"/>
  <c r="Y111" i="7" a="1"/>
  <c r="Y112" i="7" a="1"/>
  <c r="Y113" i="7" a="1"/>
  <c r="Y114" i="7" a="1"/>
  <c r="Y115" i="7" a="1"/>
  <c r="Y116" i="7" a="1"/>
  <c r="Y117" i="7" a="1"/>
  <c r="Y118" i="7" a="1"/>
  <c r="Y119" i="7" a="1"/>
  <c r="Y120" i="7" a="1"/>
  <c r="Y121" i="7" a="1"/>
  <c r="Y122" i="7" a="1"/>
  <c r="Y123" i="7" a="1"/>
  <c r="Y124" i="7" a="1"/>
  <c r="Y125" i="7" a="1"/>
  <c r="Y126" i="7" a="1"/>
  <c r="Y127" i="7" a="1"/>
  <c r="Y128" i="7" a="1"/>
  <c r="Y129" i="7" a="1"/>
  <c r="Y130" i="7" a="1"/>
  <c r="Y131" i="7" a="1"/>
  <c r="Y132" i="7" a="1"/>
  <c r="Y133" i="7" a="1"/>
  <c r="Y134" i="7" a="1"/>
  <c r="Y135" i="7" a="1"/>
  <c r="Y136" i="7" a="1"/>
  <c r="Y137" i="7" a="1"/>
  <c r="Y138" i="7" a="1"/>
  <c r="Y139" i="7" a="1"/>
  <c r="Y140" i="7" a="1"/>
  <c r="Y141" i="7" a="1"/>
  <c r="Y142" i="7" a="1"/>
  <c r="Y143" i="7" a="1"/>
  <c r="Y144" i="7" a="1"/>
  <c r="Y145" i="7" a="1"/>
  <c r="Y146" i="7" a="1"/>
  <c r="Y147" i="7" a="1"/>
  <c r="Y148" i="7" a="1"/>
  <c r="Y149" i="7" a="1"/>
  <c r="Y150" i="7" a="1"/>
  <c r="Y151" i="7" a="1"/>
  <c r="Y152" i="7" a="1"/>
  <c r="Y153" i="7" a="1"/>
  <c r="Y154" i="7" a="1"/>
  <c r="Y155" i="7" a="1"/>
  <c r="Y156" i="7" a="1"/>
  <c r="Y157" i="7" a="1"/>
  <c r="Y158" i="7" a="1"/>
  <c r="Y159" i="7" a="1"/>
  <c r="Y160" i="7" a="1"/>
  <c r="Y161" i="7" a="1"/>
  <c r="Y162" i="7" a="1"/>
  <c r="Y163" i="7" a="1"/>
  <c r="Y164" i="7" a="1"/>
  <c r="Y165" i="7" a="1"/>
  <c r="Y166" i="7" a="1"/>
  <c r="Y167" i="7" a="1"/>
  <c r="Y168" i="7" a="1"/>
  <c r="Y169" i="7" a="1"/>
  <c r="Y170" i="7" a="1"/>
  <c r="Y171" i="7" a="1"/>
  <c r="Y172" i="7" a="1"/>
  <c r="Y173" i="7" a="1"/>
  <c r="Y174" i="7" a="1"/>
  <c r="Y175" i="7" a="1"/>
  <c r="Y176" i="7" a="1"/>
  <c r="Y177" i="7" a="1"/>
  <c r="Y178" i="7" a="1"/>
  <c r="Y179" i="7" a="1"/>
  <c r="Y180" i="7" a="1"/>
  <c r="Y181" i="7" a="1"/>
  <c r="Y182" i="7" a="1"/>
  <c r="Y183" i="7" a="1"/>
  <c r="Y184" i="7" a="1"/>
  <c r="Y185" i="7" a="1"/>
  <c r="Y186" i="7" a="1"/>
  <c r="Y187" i="7" a="1"/>
  <c r="Y188" i="7" a="1"/>
  <c r="Y189" i="7" a="1"/>
  <c r="Y190" i="7" a="1"/>
  <c r="Y191" i="7" a="1"/>
  <c r="Y192" i="7" a="1"/>
  <c r="Y193" i="7" a="1"/>
  <c r="Y194" i="7" a="1"/>
  <c r="Y195" i="7" a="1"/>
  <c r="Y196" i="7" a="1"/>
  <c r="Y197" i="7" a="1"/>
  <c r="Y198" i="7" a="1"/>
  <c r="Y199" i="7" a="1"/>
  <c r="Y200" i="7" a="1"/>
  <c r="Y201" i="7" a="1"/>
  <c r="Y202" i="7" a="1"/>
  <c r="Y203" i="7" a="1"/>
  <c r="Y204" i="7" a="1"/>
  <c r="Y205" i="7" a="1"/>
  <c r="Y206" i="7" a="1"/>
  <c r="Y207" i="7" a="1"/>
  <c r="Y208" i="7" a="1"/>
  <c r="Y209" i="7" a="1"/>
  <c r="Y210" i="7" a="1"/>
  <c r="Y211" i="7" a="1"/>
  <c r="Y212" i="7" a="1"/>
  <c r="Y213" i="7" a="1"/>
  <c r="Y214" i="7" a="1"/>
  <c r="Y215" i="7" a="1"/>
  <c r="Y216" i="7" a="1"/>
  <c r="Y217" i="7" a="1"/>
  <c r="Y218" i="7" a="1"/>
  <c r="Y219" i="7" a="1"/>
  <c r="Y220" i="7" a="1"/>
  <c r="Y221" i="7" a="1"/>
  <c r="Y222" i="7" a="1"/>
  <c r="Y223" i="7" a="1"/>
  <c r="Y224" i="7" a="1"/>
  <c r="Y225" i="7" a="1"/>
  <c r="Y226" i="7" a="1"/>
  <c r="Y227" i="7" a="1"/>
  <c r="Y228" i="7" a="1"/>
  <c r="Y229" i="7" a="1"/>
  <c r="Y230" i="7" a="1"/>
  <c r="Y231" i="7" a="1"/>
  <c r="Y232" i="7" a="1"/>
  <c r="Y233" i="7" a="1"/>
  <c r="Y234" i="7" a="1"/>
  <c r="Y235" i="7" a="1"/>
  <c r="Y236" i="7" a="1"/>
  <c r="Y237" i="7" a="1"/>
  <c r="Y238" i="7" a="1"/>
  <c r="Y239" i="7" a="1"/>
  <c r="Y240" i="7" a="1"/>
  <c r="Y241" i="7" a="1"/>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Y242" i="7" s="1" a="1"/>
  <c r="X243" i="7"/>
  <c r="Y243" i="7" s="1" a="1"/>
  <c r="X244" i="7"/>
  <c r="Y244" i="7" s="1" a="1"/>
  <c r="X245" i="7"/>
  <c r="Y245" i="7" s="1" a="1"/>
  <c r="X246" i="7"/>
  <c r="Y246" i="7" s="1" a="1"/>
  <c r="X247" i="7"/>
  <c r="Y247" i="7" s="1" a="1"/>
  <c r="X248" i="7"/>
  <c r="Y248" i="7" s="1" a="1"/>
  <c r="X249" i="7"/>
  <c r="Y249" i="7" s="1" a="1"/>
  <c r="X250" i="7"/>
  <c r="Y250" i="7" s="1" a="1"/>
  <c r="X251" i="7"/>
  <c r="Y251" i="7" s="1" a="1"/>
  <c r="X252" i="7"/>
  <c r="Y252" i="7" s="1" a="1"/>
  <c r="X253" i="7"/>
  <c r="Y253" i="7" s="1" a="1"/>
  <c r="X254" i="7"/>
  <c r="Y254" i="7" s="1" a="1"/>
  <c r="X255" i="7"/>
  <c r="Y255" i="7" s="1" a="1"/>
  <c r="X256" i="7"/>
  <c r="Y256" i="7" s="1" a="1"/>
  <c r="X257" i="7"/>
  <c r="Y257" i="7" s="1" a="1"/>
  <c r="X258" i="7"/>
  <c r="Y258" i="7" s="1" a="1"/>
  <c r="X259" i="7"/>
  <c r="Y259" i="7" s="1" a="1"/>
  <c r="X260" i="7"/>
  <c r="Y260" i="7" s="1" a="1"/>
  <c r="X261" i="7"/>
  <c r="Y261" i="7" s="1" a="1"/>
  <c r="X262" i="7"/>
  <c r="Y262" i="7" s="1" a="1"/>
  <c r="X263" i="7"/>
  <c r="Y263" i="7" s="1" a="1"/>
  <c r="X264" i="7"/>
  <c r="Y264" i="7" s="1" a="1"/>
  <c r="X265" i="7"/>
  <c r="Y265" i="7" s="1" a="1"/>
  <c r="X266" i="7"/>
  <c r="Y266" i="7" s="1" a="1"/>
  <c r="X267" i="7"/>
  <c r="Y267" i="7" s="1" a="1"/>
  <c r="X268" i="7"/>
  <c r="Y268" i="7" s="1" a="1"/>
  <c r="X269" i="7"/>
  <c r="Y269" i="7" s="1" a="1"/>
  <c r="X270" i="7"/>
  <c r="Y270" i="7" s="1" a="1"/>
  <c r="X271" i="7"/>
  <c r="Y271" i="7" s="1" a="1"/>
  <c r="X272" i="7"/>
  <c r="Y272" i="7" s="1" a="1"/>
  <c r="X273" i="7"/>
  <c r="Y273" i="7" s="1" a="1"/>
  <c r="X274" i="7"/>
  <c r="Y274" i="7" s="1" a="1"/>
  <c r="X275" i="7"/>
  <c r="Y275" i="7" s="1" a="1"/>
  <c r="X276" i="7"/>
  <c r="Y276" i="7" s="1" a="1"/>
  <c r="X277" i="7"/>
  <c r="Y277" i="7" s="1" a="1"/>
  <c r="X278" i="7"/>
  <c r="Y278" i="7" s="1" a="1"/>
  <c r="X279" i="7"/>
  <c r="Y279" i="7" s="1" a="1"/>
  <c r="X280" i="7"/>
  <c r="Y280" i="7" s="1" a="1"/>
  <c r="X281" i="7"/>
  <c r="Y281" i="7" s="1" a="1"/>
  <c r="X282" i="7"/>
  <c r="Y282" i="7" s="1" a="1"/>
  <c r="X283" i="7"/>
  <c r="Y283" i="7" s="1" a="1"/>
  <c r="X284" i="7"/>
  <c r="Y284" i="7" s="1" a="1"/>
  <c r="X285" i="7"/>
  <c r="Y285" i="7" s="1" a="1"/>
  <c r="X286" i="7"/>
  <c r="Y286" i="7" s="1" a="1"/>
  <c r="X287" i="7"/>
  <c r="Y287" i="7" s="1" a="1"/>
  <c r="X288" i="7"/>
  <c r="Y288" i="7" s="1" a="1"/>
  <c r="X289" i="7"/>
  <c r="Y289" i="7" s="1" a="1"/>
  <c r="X290" i="7"/>
  <c r="Y290" i="7" s="1" a="1"/>
  <c r="X291" i="7"/>
  <c r="Y291" i="7" s="1" a="1"/>
  <c r="X292" i="7"/>
  <c r="Y292" i="7" s="1" a="1"/>
  <c r="X293" i="7"/>
  <c r="Y293" i="7" s="1" a="1"/>
  <c r="X294" i="7"/>
  <c r="Y294" i="7" s="1" a="1"/>
  <c r="X295" i="7"/>
  <c r="Y295" i="7" s="1" a="1"/>
  <c r="X296" i="7"/>
  <c r="Y296" i="7" s="1" a="1"/>
  <c r="X297" i="7"/>
  <c r="Y297" i="7" s="1" a="1"/>
  <c r="X298" i="7"/>
  <c r="Y298" i="7" s="1" a="1"/>
  <c r="X299" i="7"/>
  <c r="Y299" i="7" s="1" a="1"/>
  <c r="X300" i="7"/>
  <c r="Y300" i="7" s="1" a="1"/>
  <c r="X301" i="7"/>
  <c r="Y301" i="7" s="1" a="1"/>
  <c r="X302" i="7"/>
  <c r="Y302" i="7" s="1" a="1"/>
  <c r="X303" i="7"/>
  <c r="Y303" i="7" s="1" a="1"/>
  <c r="X304" i="7"/>
  <c r="Y304" i="7" s="1" a="1"/>
  <c r="X305" i="7"/>
  <c r="Y305" i="7" s="1" a="1"/>
  <c r="X306" i="7"/>
  <c r="Y306" i="7" s="1" a="1"/>
  <c r="X307" i="7"/>
  <c r="Y307" i="7" s="1" a="1"/>
  <c r="X308" i="7"/>
  <c r="Y308" i="7" s="1" a="1"/>
  <c r="X309" i="7"/>
  <c r="Y309" i="7" s="1" a="1"/>
  <c r="X310" i="7"/>
  <c r="Y310" i="7" s="1" a="1"/>
  <c r="X311" i="7"/>
  <c r="Y311" i="7" s="1" a="1"/>
  <c r="X312" i="7"/>
  <c r="Y312" i="7" s="1" a="1"/>
  <c r="X313" i="7"/>
  <c r="Y313" i="7" s="1" a="1"/>
  <c r="X314" i="7"/>
  <c r="Y314" i="7" s="1" a="1"/>
  <c r="X315" i="7"/>
  <c r="Y315" i="7" s="1" a="1"/>
  <c r="X316" i="7"/>
  <c r="Y316" i="7" s="1" a="1"/>
  <c r="X317" i="7"/>
  <c r="Y317" i="7" s="1" a="1"/>
  <c r="X318" i="7"/>
  <c r="Y318" i="7" s="1" a="1"/>
  <c r="X319" i="7"/>
  <c r="Y319" i="7" s="1" a="1"/>
  <c r="X320" i="7"/>
  <c r="Y320" i="7" s="1" a="1"/>
  <c r="X321" i="7"/>
  <c r="Y321" i="7" s="1" a="1"/>
  <c r="X322" i="7"/>
  <c r="Y322" i="7" s="1" a="1"/>
  <c r="X323" i="7"/>
  <c r="Y323" i="7" s="1" a="1"/>
  <c r="X324" i="7"/>
  <c r="Y324" i="7" s="1" a="1"/>
  <c r="X325" i="7"/>
  <c r="Y325" i="7" s="1" a="1"/>
  <c r="X326" i="7"/>
  <c r="Y326" i="7" s="1" a="1"/>
  <c r="X327" i="7"/>
  <c r="Y327" i="7" s="1" a="1"/>
  <c r="X328" i="7"/>
  <c r="Y328" i="7" s="1" a="1"/>
  <c r="X329" i="7"/>
  <c r="Y329" i="7" s="1" a="1"/>
  <c r="X330" i="7"/>
  <c r="Y330" i="7" s="1" a="1"/>
  <c r="X331" i="7"/>
  <c r="Y331" i="7" s="1" a="1"/>
  <c r="X332" i="7"/>
  <c r="Y332" i="7" s="1" a="1"/>
  <c r="X333" i="7"/>
  <c r="Y333" i="7" s="1" a="1"/>
  <c r="X334" i="7"/>
  <c r="Y334" i="7" s="1" a="1"/>
  <c r="X335" i="7"/>
  <c r="Y335" i="7" s="1" a="1"/>
  <c r="X336" i="7"/>
  <c r="Y336" i="7" s="1" a="1"/>
  <c r="X337" i="7"/>
  <c r="Y337" i="7" s="1" a="1"/>
  <c r="X338" i="7"/>
  <c r="Y338" i="7" s="1" a="1"/>
  <c r="X339" i="7"/>
  <c r="Y339" i="7" s="1" a="1"/>
  <c r="X340" i="7"/>
  <c r="Y340" i="7" s="1" a="1"/>
  <c r="X341" i="7"/>
  <c r="Y341" i="7" s="1" a="1"/>
  <c r="X342" i="7"/>
  <c r="Y342" i="7" s="1" a="1"/>
  <c r="X343" i="7"/>
  <c r="Y343" i="7" s="1" a="1"/>
  <c r="X344" i="7"/>
  <c r="Y344" i="7" s="1" a="1"/>
  <c r="X345" i="7"/>
  <c r="Y345" i="7" s="1" a="1"/>
  <c r="X346" i="7"/>
  <c r="Y346" i="7" s="1" a="1"/>
  <c r="X347" i="7"/>
  <c r="Y347" i="7" s="1" a="1"/>
  <c r="X348" i="7"/>
  <c r="Y348" i="7" s="1" a="1"/>
  <c r="X349" i="7"/>
  <c r="Y349" i="7" s="1" a="1"/>
  <c r="X350" i="7"/>
  <c r="Y350" i="7" s="1" a="1"/>
  <c r="X351" i="7"/>
  <c r="Y351" i="7" s="1" a="1"/>
  <c r="X352" i="7"/>
  <c r="Y352" i="7" s="1" a="1"/>
  <c r="X353" i="7"/>
  <c r="Y353" i="7" s="1" a="1"/>
  <c r="X354" i="7"/>
  <c r="Y354" i="7" s="1" a="1"/>
  <c r="X355" i="7"/>
  <c r="Y355" i="7" s="1" a="1"/>
  <c r="X356" i="7"/>
  <c r="Y356" i="7" s="1" a="1"/>
  <c r="X357" i="7"/>
  <c r="Y357" i="7" s="1" a="1"/>
  <c r="X358" i="7"/>
  <c r="Y358" i="7" s="1" a="1"/>
  <c r="X359" i="7"/>
  <c r="Y359" i="7" s="1" a="1"/>
  <c r="X360" i="7"/>
  <c r="Y360" i="7" s="1" a="1"/>
  <c r="X361" i="7"/>
  <c r="Y361" i="7" s="1" a="1"/>
  <c r="X362" i="7"/>
  <c r="Y362" i="7" s="1" a="1"/>
  <c r="X363" i="7"/>
  <c r="Y363" i="7" s="1" a="1"/>
  <c r="X364" i="7"/>
  <c r="Y364" i="7" s="1" a="1"/>
  <c r="X365" i="7"/>
  <c r="Y365" i="7" s="1" a="1"/>
  <c r="X366" i="7"/>
  <c r="Y366" i="7" s="1" a="1"/>
  <c r="X367" i="7"/>
  <c r="Y367" i="7" s="1" a="1"/>
  <c r="X368" i="7"/>
  <c r="Y368" i="7" s="1" a="1"/>
  <c r="X369" i="7"/>
  <c r="Y369" i="7" s="1" a="1"/>
  <c r="X370" i="7"/>
  <c r="Y370" i="7" s="1" a="1"/>
  <c r="X371" i="7"/>
  <c r="Y371" i="7" s="1" a="1"/>
  <c r="X372" i="7"/>
  <c r="Y372" i="7" s="1" a="1"/>
  <c r="X373" i="7"/>
  <c r="Y373" i="7" s="1" a="1"/>
  <c r="X374" i="7"/>
  <c r="Y374" i="7" s="1" a="1"/>
  <c r="X375" i="7"/>
  <c r="Y375" i="7" s="1" a="1"/>
  <c r="X376" i="7"/>
  <c r="Y376" i="7" s="1" a="1"/>
  <c r="X377" i="7"/>
  <c r="Y377" i="7" s="1" a="1"/>
  <c r="X378" i="7"/>
  <c r="Y378" i="7" s="1" a="1"/>
  <c r="X379" i="7"/>
  <c r="Y379" i="7" s="1" a="1"/>
  <c r="X380" i="7"/>
  <c r="Y380" i="7" s="1" a="1"/>
  <c r="X381" i="7"/>
  <c r="Y381" i="7" s="1" a="1"/>
  <c r="X382" i="7"/>
  <c r="Y382" i="7" s="1" a="1"/>
  <c r="X383" i="7"/>
  <c r="Y383" i="7" s="1" a="1"/>
  <c r="X384" i="7"/>
  <c r="Y384" i="7" s="1" a="1"/>
  <c r="X385" i="7"/>
  <c r="Y385" i="7" s="1" a="1"/>
  <c r="X386" i="7"/>
  <c r="Y386" i="7" s="1" a="1"/>
  <c r="X387" i="7"/>
  <c r="Y387" i="7" s="1" a="1"/>
  <c r="X388" i="7"/>
  <c r="Y388" i="7" s="1" a="1"/>
  <c r="X389" i="7"/>
  <c r="Y389" i="7" s="1" a="1"/>
  <c r="X390" i="7"/>
  <c r="Y390" i="7" s="1" a="1"/>
  <c r="X391" i="7"/>
  <c r="Y391" i="7" s="1" a="1"/>
  <c r="X392" i="7"/>
  <c r="Y392" i="7" s="1" a="1"/>
  <c r="X393" i="7"/>
  <c r="Y393" i="7" s="1" a="1"/>
  <c r="X394" i="7"/>
  <c r="Y394" i="7" s="1" a="1"/>
  <c r="X395" i="7"/>
  <c r="Y395" i="7" s="1" a="1"/>
  <c r="X396" i="7"/>
  <c r="Y396" i="7" s="1" a="1"/>
  <c r="X397" i="7"/>
  <c r="Y397" i="7" s="1" a="1"/>
  <c r="X398" i="7"/>
  <c r="Y398" i="7" s="1" a="1"/>
  <c r="X399" i="7"/>
  <c r="Y399" i="7" s="1" a="1"/>
  <c r="X400" i="7"/>
  <c r="Y400" i="7" s="1" a="1"/>
  <c r="X401" i="7"/>
  <c r="Y401" i="7" s="1" a="1"/>
  <c r="X402" i="7"/>
  <c r="Y402" i="7" s="1" a="1"/>
  <c r="X403" i="7"/>
  <c r="Y403" i="7" s="1" a="1"/>
  <c r="X404" i="7"/>
  <c r="Y404" i="7" s="1" a="1"/>
  <c r="X405" i="7"/>
  <c r="Y405" i="7" s="1" a="1"/>
  <c r="X406" i="7"/>
  <c r="Y406" i="7" s="1" a="1"/>
  <c r="X407" i="7"/>
  <c r="Y407" i="7" s="1" a="1"/>
  <c r="X408" i="7"/>
  <c r="Y408" i="7" s="1" a="1"/>
  <c r="X409" i="7"/>
  <c r="Y409" i="7" s="1" a="1"/>
  <c r="X410" i="7"/>
  <c r="Y410" i="7" s="1" a="1"/>
  <c r="X411" i="7"/>
  <c r="Y411" i="7" s="1" a="1"/>
  <c r="X412" i="7"/>
  <c r="Y412" i="7" s="1" a="1"/>
  <c r="X413" i="7"/>
  <c r="Y413" i="7" s="1" a="1"/>
  <c r="X414" i="7"/>
  <c r="Y414" i="7" s="1" a="1"/>
  <c r="X415" i="7"/>
  <c r="Y415" i="7" s="1" a="1"/>
  <c r="X416" i="7"/>
  <c r="Y416" i="7" s="1" a="1"/>
  <c r="X417" i="7"/>
  <c r="Y417" i="7" s="1" a="1"/>
  <c r="X418" i="7"/>
  <c r="Y418" i="7" s="1" a="1"/>
  <c r="X419" i="7"/>
  <c r="Y419" i="7" s="1" a="1"/>
  <c r="X420" i="7"/>
  <c r="Y420" i="7" s="1" a="1"/>
  <c r="X421" i="7"/>
  <c r="Y421" i="7" s="1" a="1"/>
  <c r="X422" i="7"/>
  <c r="Y422" i="7" s="1" a="1"/>
  <c r="X423" i="7"/>
  <c r="Y423" i="7" s="1" a="1"/>
  <c r="X424" i="7"/>
  <c r="Y424" i="7" s="1" a="1"/>
  <c r="X425" i="7"/>
  <c r="Y425" i="7" s="1" a="1"/>
  <c r="X426" i="7"/>
  <c r="Y426" i="7" s="1" a="1"/>
  <c r="X427" i="7"/>
  <c r="Y427" i="7" s="1" a="1"/>
  <c r="X428" i="7"/>
  <c r="Y428" i="7" s="1" a="1"/>
  <c r="X429" i="7"/>
  <c r="Y429" i="7" s="1" a="1"/>
  <c r="X430" i="7"/>
  <c r="Y430" i="7" s="1" a="1"/>
  <c r="X431" i="7"/>
  <c r="Y431" i="7" s="1" a="1"/>
  <c r="X432" i="7"/>
  <c r="Y432" i="7" s="1" a="1"/>
  <c r="X433" i="7"/>
  <c r="Y433" i="7" s="1" a="1"/>
  <c r="X434" i="7"/>
  <c r="Y434" i="7" s="1" a="1"/>
  <c r="X435" i="7"/>
  <c r="Y435" i="7" s="1" a="1"/>
  <c r="X436" i="7"/>
  <c r="Y436" i="7" s="1" a="1"/>
  <c r="X437" i="7"/>
  <c r="Y437" i="7" s="1" a="1"/>
  <c r="X438" i="7"/>
  <c r="Y438" i="7" s="1" a="1"/>
  <c r="X439" i="7"/>
  <c r="Y439" i="7" s="1" a="1"/>
  <c r="X440" i="7"/>
  <c r="Y440" i="7" s="1" a="1"/>
  <c r="X441" i="7"/>
  <c r="Y441" i="7" s="1" a="1"/>
  <c r="X442" i="7"/>
  <c r="Y442" i="7" s="1" a="1"/>
  <c r="X443" i="7"/>
  <c r="Y443" i="7" s="1" a="1"/>
  <c r="X444" i="7"/>
  <c r="Y444" i="7" s="1" a="1"/>
  <c r="X445" i="7"/>
  <c r="Y445" i="7" s="1" a="1"/>
  <c r="X446" i="7"/>
  <c r="Y446" i="7" s="1" a="1"/>
  <c r="X447" i="7"/>
  <c r="Y447" i="7" s="1" a="1"/>
  <c r="X448" i="7"/>
  <c r="Y448" i="7" s="1" a="1"/>
  <c r="X449" i="7"/>
  <c r="Y449" i="7" s="1" a="1"/>
  <c r="X450" i="7"/>
  <c r="Y450" i="7" s="1" a="1"/>
  <c r="X451" i="7"/>
  <c r="Y451" i="7" s="1" a="1"/>
  <c r="X452" i="7"/>
  <c r="Y452" i="7" s="1" a="1"/>
  <c r="X453" i="7"/>
  <c r="Y453" i="7" s="1" a="1"/>
  <c r="X454" i="7"/>
  <c r="Y454" i="7" s="1" a="1"/>
  <c r="X455" i="7"/>
  <c r="Y455" i="7" s="1" a="1"/>
  <c r="X456" i="7"/>
  <c r="Y456" i="7" s="1" a="1"/>
  <c r="X457" i="7"/>
  <c r="Y457" i="7" s="1" a="1"/>
  <c r="X458" i="7"/>
  <c r="Y458" i="7" s="1" a="1"/>
  <c r="X459" i="7"/>
  <c r="Y459" i="7" s="1" a="1"/>
  <c r="X460" i="7"/>
  <c r="Y460" i="7" s="1" a="1"/>
  <c r="X461" i="7"/>
  <c r="Y461" i="7" s="1" a="1"/>
  <c r="X462" i="7"/>
  <c r="Y462" i="7" s="1" a="1"/>
  <c r="X463" i="7"/>
  <c r="Y463" i="7" s="1" a="1"/>
  <c r="X464" i="7"/>
  <c r="Y464" i="7" s="1" a="1"/>
  <c r="X465" i="7"/>
  <c r="Y465" i="7" s="1" a="1"/>
  <c r="X466" i="7"/>
  <c r="Y466" i="7" s="1" a="1"/>
  <c r="X467" i="7"/>
  <c r="Y467" i="7" s="1" a="1"/>
  <c r="X468" i="7"/>
  <c r="Y468" i="7" s="1" a="1"/>
  <c r="X469" i="7"/>
  <c r="Y469" i="7" s="1" a="1"/>
  <c r="X470" i="7"/>
  <c r="Y470" i="7" s="1" a="1"/>
  <c r="X471" i="7"/>
  <c r="Y471" i="7" s="1" a="1"/>
  <c r="X472" i="7"/>
  <c r="Y472" i="7" s="1" a="1"/>
  <c r="X473" i="7"/>
  <c r="Y473" i="7" s="1" a="1"/>
  <c r="X474" i="7"/>
  <c r="Y474" i="7" s="1" a="1"/>
  <c r="X475" i="7"/>
  <c r="Y475" i="7" s="1" a="1"/>
  <c r="X476" i="7"/>
  <c r="Y476" i="7" s="1" a="1"/>
  <c r="X477" i="7"/>
  <c r="Y477" i="7" s="1" a="1"/>
  <c r="X478" i="7"/>
  <c r="Y478" i="7" s="1" a="1"/>
  <c r="X479" i="7"/>
  <c r="Y479" i="7" s="1" a="1"/>
  <c r="X480" i="7"/>
  <c r="Y480" i="7" s="1" a="1"/>
  <c r="X481" i="7"/>
  <c r="Y481" i="7" s="1" a="1"/>
  <c r="X482" i="7"/>
  <c r="Y482" i="7" s="1" a="1"/>
  <c r="X483" i="7"/>
  <c r="Y483" i="7" s="1" a="1"/>
  <c r="X484" i="7"/>
  <c r="Y484" i="7" s="1" a="1"/>
  <c r="X485" i="7"/>
  <c r="Y485" i="7" s="1" a="1"/>
  <c r="X486" i="7"/>
  <c r="Y486" i="7" s="1" a="1"/>
  <c r="X487" i="7"/>
  <c r="Y487" i="7" s="1" a="1"/>
  <c r="X488" i="7"/>
  <c r="Y488" i="7" s="1" a="1"/>
  <c r="X489" i="7"/>
  <c r="Y489" i="7" s="1" a="1"/>
  <c r="X490" i="7"/>
  <c r="Y490" i="7" s="1" a="1"/>
  <c r="X491" i="7"/>
  <c r="Y491" i="7" s="1" a="1"/>
  <c r="X492" i="7"/>
  <c r="Y492" i="7" s="1" a="1"/>
  <c r="X493" i="7"/>
  <c r="Y493" i="7" s="1" a="1"/>
  <c r="X494" i="7"/>
  <c r="Y494" i="7" s="1" a="1"/>
  <c r="X495" i="7"/>
  <c r="Y495" i="7" s="1" a="1"/>
  <c r="X496" i="7"/>
  <c r="Y496" i="7" s="1" a="1"/>
  <c r="X497" i="7"/>
  <c r="Y497" i="7" s="1" a="1"/>
  <c r="X498" i="7"/>
  <c r="Y498" i="7" s="1" a="1"/>
  <c r="X499" i="7"/>
  <c r="Y499" i="7" s="1" a="1"/>
  <c r="X500" i="7"/>
  <c r="Y500" i="7" s="1" a="1"/>
  <c r="X501" i="7"/>
  <c r="Y501" i="7" s="1" a="1"/>
  <c r="X2" i="7"/>
  <c r="Y2" i="7" s="1" a="1"/>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2" i="7"/>
  <c r="B2" i="6" a="1"/>
  <c r="C2" i="6" a="1"/>
  <c r="A2" i="6" a="1"/>
  <c r="W3" i="4" a="1"/>
  <c r="W4" i="4" a="1"/>
  <c r="W5" i="4" a="1"/>
  <c r="W6" i="4" a="1"/>
  <c r="W7" i="4" a="1"/>
  <c r="W8" i="4" a="1"/>
  <c r="W9" i="4" a="1"/>
  <c r="W10" i="4" a="1"/>
  <c r="W11" i="4" a="1"/>
  <c r="W12" i="4" a="1"/>
  <c r="W13" i="4" a="1"/>
  <c r="W14" i="4" a="1"/>
  <c r="W15" i="4" a="1"/>
  <c r="W16" i="4" a="1"/>
  <c r="W17" i="4" a="1"/>
  <c r="W18" i="4" a="1"/>
  <c r="W19" i="4" a="1"/>
  <c r="W20" i="4" a="1"/>
  <c r="W21" i="4" a="1"/>
  <c r="W22" i="4" a="1"/>
  <c r="W23" i="4" a="1"/>
  <c r="W24" i="4" a="1"/>
  <c r="W25" i="4" a="1"/>
  <c r="W26" i="4" a="1"/>
  <c r="W27" i="4" a="1"/>
  <c r="W28" i="4" a="1"/>
  <c r="W29" i="4" a="1"/>
  <c r="W30" i="4" a="1"/>
  <c r="W31" i="4" a="1"/>
  <c r="W32" i="4" a="1"/>
  <c r="W33" i="4" a="1"/>
  <c r="W34" i="4" a="1"/>
  <c r="W35" i="4" a="1"/>
  <c r="W36" i="4" a="1"/>
  <c r="W37" i="4" a="1"/>
  <c r="W38" i="4" a="1"/>
  <c r="W39" i="4" a="1"/>
  <c r="W40" i="4" a="1"/>
  <c r="W41" i="4" a="1"/>
  <c r="W42" i="4" a="1"/>
  <c r="W43" i="4" a="1"/>
  <c r="W44" i="4" a="1"/>
  <c r="W45" i="4" a="1"/>
  <c r="W46" i="4" a="1"/>
  <c r="W47" i="4" a="1"/>
  <c r="W48" i="4" a="1"/>
  <c r="W49" i="4" a="1"/>
  <c r="W50" i="4" a="1"/>
  <c r="W51" i="4" a="1"/>
  <c r="W52" i="4" a="1"/>
  <c r="W53" i="4" a="1"/>
  <c r="W54" i="4" a="1"/>
  <c r="W55" i="4" a="1"/>
  <c r="W56" i="4" a="1"/>
  <c r="W57" i="4" a="1"/>
  <c r="W58" i="4" a="1"/>
  <c r="W59" i="4" a="1"/>
  <c r="W60" i="4" a="1"/>
  <c r="W61" i="4" a="1"/>
  <c r="W62" i="4" a="1"/>
  <c r="W63" i="4" a="1"/>
  <c r="W64" i="4" a="1"/>
  <c r="W65" i="4" a="1"/>
  <c r="W66" i="4" a="1"/>
  <c r="W67" i="4" a="1"/>
  <c r="W68" i="4" a="1"/>
  <c r="W69" i="4" a="1"/>
  <c r="W70" i="4" a="1"/>
  <c r="W71" i="4" a="1"/>
  <c r="W72" i="4" a="1"/>
  <c r="W73" i="4" a="1"/>
  <c r="W74" i="4" a="1"/>
  <c r="W75" i="4" a="1"/>
  <c r="W76" i="4" a="1"/>
  <c r="W77" i="4" a="1"/>
  <c r="W78" i="4" a="1"/>
  <c r="W79" i="4" a="1"/>
  <c r="W80" i="4" a="1"/>
  <c r="W81" i="4" a="1"/>
  <c r="W82" i="4" a="1"/>
  <c r="W83" i="4" a="1"/>
  <c r="W84" i="4" a="1"/>
  <c r="W85" i="4" a="1"/>
  <c r="W86" i="4" a="1"/>
  <c r="W87" i="4" a="1"/>
  <c r="W88" i="4" a="1"/>
  <c r="W89" i="4" a="1"/>
  <c r="W90" i="4" a="1"/>
  <c r="W91" i="4" a="1"/>
  <c r="W92" i="4" a="1"/>
  <c r="W93" i="4" a="1"/>
  <c r="W94" i="4" a="1"/>
  <c r="W95" i="4" a="1"/>
  <c r="W96" i="4" a="1"/>
  <c r="W97" i="4" a="1"/>
  <c r="W98" i="4" a="1"/>
  <c r="W99" i="4" a="1"/>
  <c r="W100" i="4" a="1"/>
  <c r="W101" i="4" a="1"/>
  <c r="W102" i="4" a="1"/>
  <c r="W103" i="4" a="1"/>
  <c r="W104" i="4" a="1"/>
  <c r="W105" i="4" a="1"/>
  <c r="W106" i="4" a="1"/>
  <c r="W107" i="4" a="1"/>
  <c r="W108" i="4" a="1"/>
  <c r="W109" i="4" a="1"/>
  <c r="W110" i="4" a="1"/>
  <c r="W111" i="4" a="1"/>
  <c r="W112" i="4" a="1"/>
  <c r="W113" i="4" a="1"/>
  <c r="W114" i="4" a="1"/>
  <c r="W115" i="4" a="1"/>
  <c r="W116" i="4" a="1"/>
  <c r="W117" i="4" a="1"/>
  <c r="W118" i="4" a="1"/>
  <c r="W119" i="4" a="1"/>
  <c r="W120" i="4" a="1"/>
  <c r="W121" i="4" a="1"/>
  <c r="W122" i="4" a="1"/>
  <c r="W123" i="4" a="1"/>
  <c r="W124" i="4" a="1"/>
  <c r="W125" i="4" a="1"/>
  <c r="W126" i="4" a="1"/>
  <c r="W127" i="4" a="1"/>
  <c r="W128" i="4" a="1"/>
  <c r="W129" i="4" a="1"/>
  <c r="W130" i="4" a="1"/>
  <c r="W131" i="4" a="1"/>
  <c r="W132" i="4" a="1"/>
  <c r="W133" i="4" a="1"/>
  <c r="W134" i="4" a="1"/>
  <c r="W135" i="4" a="1"/>
  <c r="W136" i="4" a="1"/>
  <c r="W137" i="4" a="1"/>
  <c r="W138" i="4" a="1"/>
  <c r="W139" i="4" a="1"/>
  <c r="W140" i="4" a="1"/>
  <c r="W141" i="4" a="1"/>
  <c r="W142" i="4" a="1"/>
  <c r="W143" i="4" a="1"/>
  <c r="W144" i="4" a="1"/>
  <c r="W145" i="4" a="1"/>
  <c r="W146" i="4" a="1"/>
  <c r="W147" i="4" a="1"/>
  <c r="W148" i="4" a="1"/>
  <c r="W149" i="4" a="1"/>
  <c r="W150" i="4" a="1"/>
  <c r="W151" i="4" a="1"/>
  <c r="W152" i="4" a="1"/>
  <c r="W153" i="4" a="1"/>
  <c r="W154" i="4" a="1"/>
  <c r="W155" i="4" a="1"/>
  <c r="W156" i="4" a="1"/>
  <c r="W157" i="4" a="1"/>
  <c r="W158" i="4" a="1"/>
  <c r="W159" i="4" a="1"/>
  <c r="W160" i="4" a="1"/>
  <c r="W161" i="4" a="1"/>
  <c r="W162" i="4" a="1"/>
  <c r="W163" i="4" a="1"/>
  <c r="W164" i="4" a="1"/>
  <c r="W165" i="4" a="1"/>
  <c r="W166" i="4" a="1"/>
  <c r="W167" i="4" a="1"/>
  <c r="W168" i="4" a="1"/>
  <c r="W169" i="4" a="1"/>
  <c r="W170" i="4" a="1"/>
  <c r="W171" i="4" a="1"/>
  <c r="W172" i="4" a="1"/>
  <c r="W173" i="4" a="1"/>
  <c r="W174" i="4" a="1"/>
  <c r="W175" i="4" a="1"/>
  <c r="W176" i="4" a="1"/>
  <c r="W177" i="4" a="1"/>
  <c r="W178" i="4" a="1"/>
  <c r="W179" i="4" a="1"/>
  <c r="W180" i="4" a="1"/>
  <c r="W181" i="4" a="1"/>
  <c r="W182" i="4" a="1"/>
  <c r="W183" i="4" a="1"/>
  <c r="W184" i="4" a="1"/>
  <c r="W185" i="4" a="1"/>
  <c r="W186" i="4" a="1"/>
  <c r="W187" i="4" a="1"/>
  <c r="W188" i="4" a="1"/>
  <c r="W189" i="4" a="1"/>
  <c r="W190" i="4" a="1"/>
  <c r="W191" i="4" a="1"/>
  <c r="W192" i="4" a="1"/>
  <c r="W193" i="4" a="1"/>
  <c r="W194" i="4" a="1"/>
  <c r="W195" i="4" a="1"/>
  <c r="W196" i="4" a="1"/>
  <c r="W197" i="4" a="1"/>
  <c r="W198" i="4" a="1"/>
  <c r="W199" i="4" a="1"/>
  <c r="W200" i="4" a="1"/>
  <c r="W201" i="4" a="1"/>
  <c r="W202" i="4" a="1"/>
  <c r="W203" i="4" a="1"/>
  <c r="W204" i="4" a="1"/>
  <c r="W205" i="4" a="1"/>
  <c r="W206" i="4" a="1"/>
  <c r="W207" i="4" a="1"/>
  <c r="W208" i="4" a="1"/>
  <c r="W209" i="4" a="1"/>
  <c r="W210" i="4" a="1"/>
  <c r="W211" i="4" a="1"/>
  <c r="W212" i="4" a="1"/>
  <c r="W213" i="4" a="1"/>
  <c r="W214" i="4" a="1"/>
  <c r="W215" i="4" a="1"/>
  <c r="W216" i="4" a="1"/>
  <c r="W217" i="4" a="1"/>
  <c r="W218" i="4" a="1"/>
  <c r="W219" i="4" a="1"/>
  <c r="W220" i="4" a="1"/>
  <c r="W221" i="4" a="1"/>
  <c r="W222" i="4" a="1"/>
  <c r="W223" i="4" a="1"/>
  <c r="W224" i="4" a="1"/>
  <c r="W225" i="4" a="1"/>
  <c r="W226" i="4" a="1"/>
  <c r="W227" i="4" a="1"/>
  <c r="W228" i="4" a="1"/>
  <c r="W229" i="4" a="1"/>
  <c r="W230" i="4" a="1"/>
  <c r="W231" i="4" a="1"/>
  <c r="W232" i="4" a="1"/>
  <c r="W233" i="4" a="1"/>
  <c r="W234" i="4" a="1"/>
  <c r="W235" i="4" a="1"/>
  <c r="W236" i="4" a="1"/>
  <c r="W237" i="4" a="1"/>
  <c r="W238" i="4" a="1"/>
  <c r="W239" i="4" a="1"/>
  <c r="W240" i="4" a="1"/>
  <c r="W241" i="4" a="1"/>
  <c r="W242" i="4" a="1"/>
  <c r="W243" i="4" a="1"/>
  <c r="W244" i="4" a="1"/>
  <c r="W245" i="4" a="1"/>
  <c r="W246" i="4" a="1"/>
  <c r="W247" i="4" a="1"/>
  <c r="W248" i="4" a="1"/>
  <c r="W249" i="4" a="1"/>
  <c r="W250" i="4" a="1"/>
  <c r="W251" i="4" a="1"/>
  <c r="W252" i="4" a="1"/>
  <c r="W253" i="4" a="1"/>
  <c r="W254" i="4" a="1"/>
  <c r="W255" i="4" a="1"/>
  <c r="W256" i="4" a="1"/>
  <c r="W257" i="4" a="1"/>
  <c r="W258" i="4" a="1"/>
  <c r="W259" i="4" a="1"/>
  <c r="W260" i="4" a="1"/>
  <c r="W261" i="4" a="1"/>
  <c r="W262" i="4" a="1"/>
  <c r="W263" i="4" a="1"/>
  <c r="W264" i="4" a="1"/>
  <c r="W265" i="4" a="1"/>
  <c r="W266" i="4" a="1"/>
  <c r="W267" i="4" a="1"/>
  <c r="W268" i="4" a="1"/>
  <c r="W269" i="4" a="1"/>
  <c r="W270" i="4" a="1"/>
  <c r="W271" i="4" a="1"/>
  <c r="W272" i="4" a="1"/>
  <c r="W273" i="4" a="1"/>
  <c r="W274" i="4" a="1"/>
  <c r="W275" i="4" a="1"/>
  <c r="W276" i="4" a="1"/>
  <c r="W277" i="4" a="1"/>
  <c r="W278" i="4" a="1"/>
  <c r="W279" i="4" a="1"/>
  <c r="W280" i="4" a="1"/>
  <c r="W281" i="4" a="1"/>
  <c r="W282" i="4" a="1"/>
  <c r="W283" i="4" a="1"/>
  <c r="W284" i="4" a="1"/>
  <c r="W285" i="4" a="1"/>
  <c r="W286" i="4" a="1"/>
  <c r="W287" i="4" a="1"/>
  <c r="W288" i="4" a="1"/>
  <c r="W289" i="4" a="1"/>
  <c r="W290" i="4" a="1"/>
  <c r="W291" i="4" a="1"/>
  <c r="W292" i="4" a="1"/>
  <c r="W293" i="4" a="1"/>
  <c r="W294" i="4" a="1"/>
  <c r="W295" i="4" a="1"/>
  <c r="W296" i="4" a="1"/>
  <c r="W297" i="4" a="1"/>
  <c r="W298" i="4" a="1"/>
  <c r="W299" i="4" a="1"/>
  <c r="W300" i="4" a="1"/>
  <c r="W301" i="4" a="1"/>
  <c r="W302" i="4" a="1"/>
  <c r="W303" i="4" a="1"/>
  <c r="W304" i="4" a="1"/>
  <c r="W305" i="4" a="1"/>
  <c r="W306" i="4" a="1"/>
  <c r="W307" i="4" a="1"/>
  <c r="W308" i="4" a="1"/>
  <c r="W309" i="4" a="1"/>
  <c r="W310" i="4" a="1"/>
  <c r="W311" i="4" a="1"/>
  <c r="W312" i="4" a="1"/>
  <c r="W313" i="4" a="1"/>
  <c r="W314" i="4" a="1"/>
  <c r="W315" i="4" a="1"/>
  <c r="W316" i="4" a="1"/>
  <c r="W317" i="4" a="1"/>
  <c r="W318" i="4" a="1"/>
  <c r="W319" i="4" a="1"/>
  <c r="W320" i="4" a="1"/>
  <c r="W321" i="4" a="1"/>
  <c r="W322" i="4" a="1"/>
  <c r="W323" i="4" a="1"/>
  <c r="W324" i="4" a="1"/>
  <c r="W325" i="4" a="1"/>
  <c r="W326" i="4" a="1"/>
  <c r="W327" i="4" a="1"/>
  <c r="W328" i="4" a="1"/>
  <c r="W329" i="4" a="1"/>
  <c r="W330" i="4" a="1"/>
  <c r="W331" i="4" a="1"/>
  <c r="W332" i="4" a="1"/>
  <c r="W333" i="4" a="1"/>
  <c r="W334" i="4" a="1"/>
  <c r="W335" i="4" a="1"/>
  <c r="W336" i="4" a="1"/>
  <c r="W337" i="4" a="1"/>
  <c r="W338" i="4" a="1"/>
  <c r="W339" i="4" a="1"/>
  <c r="W340" i="4" a="1"/>
  <c r="W341" i="4" a="1"/>
  <c r="W342" i="4" a="1"/>
  <c r="W343" i="4" a="1"/>
  <c r="W344" i="4" a="1"/>
  <c r="W345" i="4" a="1"/>
  <c r="W346" i="4" a="1"/>
  <c r="W347" i="4" a="1"/>
  <c r="W348" i="4" a="1"/>
  <c r="W349" i="4" a="1"/>
  <c r="W350" i="4" a="1"/>
  <c r="W351" i="4" a="1"/>
  <c r="W352" i="4" a="1"/>
  <c r="W353" i="4" a="1"/>
  <c r="W354" i="4" a="1"/>
  <c r="W355" i="4" a="1"/>
  <c r="W356" i="4" a="1"/>
  <c r="W357" i="4" a="1"/>
  <c r="W358" i="4" a="1"/>
  <c r="W359" i="4" a="1"/>
  <c r="W360" i="4" a="1"/>
  <c r="W361" i="4" a="1"/>
  <c r="W362" i="4" a="1"/>
  <c r="W363" i="4" a="1"/>
  <c r="W364" i="4" a="1"/>
  <c r="W365" i="4" a="1"/>
  <c r="W366" i="4" a="1"/>
  <c r="W367" i="4" a="1"/>
  <c r="W368" i="4" a="1"/>
  <c r="W369" i="4" a="1"/>
  <c r="W370" i="4" a="1"/>
  <c r="W371" i="4" a="1"/>
  <c r="W372" i="4" a="1"/>
  <c r="W373" i="4" a="1"/>
  <c r="W374" i="4" a="1"/>
  <c r="W375" i="4" a="1"/>
  <c r="W376" i="4" a="1"/>
  <c r="W377" i="4" a="1"/>
  <c r="W378" i="4" a="1"/>
  <c r="W379" i="4" a="1"/>
  <c r="W380" i="4" a="1"/>
  <c r="W381" i="4" a="1"/>
  <c r="W382" i="4" a="1"/>
  <c r="W383" i="4" a="1"/>
  <c r="W384" i="4" a="1"/>
  <c r="W385" i="4" a="1"/>
  <c r="W386" i="4" a="1"/>
  <c r="W387" i="4" a="1"/>
  <c r="W388" i="4" a="1"/>
  <c r="W389" i="4" a="1"/>
  <c r="W390" i="4" a="1"/>
  <c r="W391" i="4" a="1"/>
  <c r="W392" i="4" a="1"/>
  <c r="W393" i="4" a="1"/>
  <c r="W394" i="4" a="1"/>
  <c r="W395" i="4" a="1"/>
  <c r="W396" i="4" a="1"/>
  <c r="W397" i="4" a="1"/>
  <c r="W398" i="4" a="1"/>
  <c r="W399" i="4" a="1"/>
  <c r="W400" i="4" a="1"/>
  <c r="W401" i="4" a="1"/>
  <c r="W402" i="4" a="1"/>
  <c r="W403" i="4" a="1"/>
  <c r="W404" i="4" a="1"/>
  <c r="W405" i="4" a="1"/>
  <c r="W406" i="4" a="1"/>
  <c r="W407" i="4" a="1"/>
  <c r="W408" i="4" a="1"/>
  <c r="W409" i="4" a="1"/>
  <c r="W410" i="4" a="1"/>
  <c r="W411" i="4" a="1"/>
  <c r="W412" i="4" a="1"/>
  <c r="W413" i="4" a="1"/>
  <c r="W414" i="4" a="1"/>
  <c r="W415" i="4" a="1"/>
  <c r="W416" i="4" a="1"/>
  <c r="W417" i="4" a="1"/>
  <c r="W418" i="4" a="1"/>
  <c r="W419" i="4" a="1"/>
  <c r="W420" i="4" a="1"/>
  <c r="W421" i="4" a="1"/>
  <c r="W422" i="4" a="1"/>
  <c r="W423" i="4" a="1"/>
  <c r="W424" i="4" a="1"/>
  <c r="W425" i="4" a="1"/>
  <c r="W426" i="4" a="1"/>
  <c r="W427" i="4" a="1"/>
  <c r="W428" i="4" a="1"/>
  <c r="W429" i="4" a="1"/>
  <c r="W430" i="4" a="1"/>
  <c r="W431" i="4" a="1"/>
  <c r="W432" i="4" a="1"/>
  <c r="W433" i="4" a="1"/>
  <c r="W434" i="4" a="1"/>
  <c r="W435" i="4" a="1"/>
  <c r="W436" i="4" a="1"/>
  <c r="W437" i="4" a="1"/>
  <c r="W438" i="4" a="1"/>
  <c r="W439" i="4" a="1"/>
  <c r="W440" i="4" a="1"/>
  <c r="W441" i="4" a="1"/>
  <c r="W442" i="4" a="1"/>
  <c r="W443" i="4" a="1"/>
  <c r="W444" i="4" a="1"/>
  <c r="W445" i="4" a="1"/>
  <c r="W446" i="4" a="1"/>
  <c r="W447" i="4" a="1"/>
  <c r="W448" i="4" a="1"/>
  <c r="W449" i="4" a="1"/>
  <c r="W450" i="4" a="1"/>
  <c r="W451" i="4" a="1"/>
  <c r="W452" i="4" a="1"/>
  <c r="W453" i="4" a="1"/>
  <c r="W454" i="4" a="1"/>
  <c r="W455" i="4" a="1"/>
  <c r="W456" i="4" a="1"/>
  <c r="W457" i="4" a="1"/>
  <c r="W458" i="4" a="1"/>
  <c r="W459" i="4" a="1"/>
  <c r="W460" i="4" a="1"/>
  <c r="W461" i="4" a="1"/>
  <c r="W462" i="4" a="1"/>
  <c r="W463" i="4" a="1"/>
  <c r="W464" i="4" a="1"/>
  <c r="W465" i="4" a="1"/>
  <c r="W466" i="4" a="1"/>
  <c r="W467" i="4" a="1"/>
  <c r="W468" i="4" a="1"/>
  <c r="W469" i="4" a="1"/>
  <c r="W470" i="4" a="1"/>
  <c r="W471" i="4" a="1"/>
  <c r="W472" i="4" a="1"/>
  <c r="W473" i="4" a="1"/>
  <c r="W474" i="4" a="1"/>
  <c r="W475" i="4" a="1"/>
  <c r="W476" i="4" a="1"/>
  <c r="W477" i="4" a="1"/>
  <c r="W478" i="4" a="1"/>
  <c r="W479" i="4" a="1"/>
  <c r="W480" i="4" a="1"/>
  <c r="W481" i="4" a="1"/>
  <c r="W482" i="4" a="1"/>
  <c r="W483" i="4" a="1"/>
  <c r="W484" i="4" a="1"/>
  <c r="W485" i="4" a="1"/>
  <c r="W486" i="4" a="1"/>
  <c r="W487" i="4" a="1"/>
  <c r="W488" i="4" a="1"/>
  <c r="W489" i="4" a="1"/>
  <c r="W490" i="4" a="1"/>
  <c r="W491" i="4" a="1"/>
  <c r="W492" i="4" a="1"/>
  <c r="W493" i="4" a="1"/>
  <c r="W494" i="4" a="1"/>
  <c r="W495" i="4" a="1"/>
  <c r="W496" i="4" a="1"/>
  <c r="W497" i="4" a="1"/>
  <c r="W498" i="4" a="1"/>
  <c r="W499" i="4" a="1"/>
  <c r="W500" i="4" a="1"/>
  <c r="W501" i="4" a="1"/>
  <c r="W2" i="4" a="1"/>
  <c r="D3" i="6" l="1"/>
  <c r="D5" i="6"/>
  <c r="D6" i="6"/>
  <c r="D7" i="6"/>
  <c r="D8" i="6"/>
  <c r="D9" i="6"/>
  <c r="D10" i="6"/>
  <c r="D11" i="6"/>
  <c r="D12" i="6"/>
  <c r="D13" i="6"/>
  <c r="D14" i="6"/>
  <c r="D15" i="6"/>
  <c r="D16" i="6"/>
  <c r="D4"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2"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<sst xmlns="http://schemas.openxmlformats.org/spreadsheetml/2006/main" count="52312" uniqueCount="694">
  <si>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</si>
  <si>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</si>
  <si>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</si>
  <si>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</si>
  <si>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</si>
  <si>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</si>
  <si>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</si>
  <si>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</si>
  <si>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</si>
  <si>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</si>
  <si>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</si>
  <si>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</si>
  <si>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</si>
  <si>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</si>
  <si>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</si>
  <si>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</si>
  <si>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</si>
  <si>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</si>
  <si>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</si>
  <si>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</si>
  <si>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</si>
  <si>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</si>
  <si>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</si>
  <si>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</si>
  <si>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</si>
  <si>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Kavya Nair</t>
  </si>
  <si>
    <t>Female</t>
  </si>
  <si>
    <t>Hyderabad</t>
  </si>
  <si>
    <t>South</t>
  </si>
  <si>
    <t>Home Appliances</t>
  </si>
  <si>
    <t>Iron</t>
  </si>
  <si>
    <t>Cash</t>
  </si>
  <si>
    <t>Ritika</t>
  </si>
  <si>
    <t>KAvya.nair@company.com</t>
  </si>
  <si>
    <t>Completed</t>
  </si>
  <si>
    <t>ORD10002</t>
  </si>
  <si>
    <t>P104</t>
  </si>
  <si>
    <t>Delhi</t>
  </si>
  <si>
    <t>North</t>
  </si>
  <si>
    <t>Electronics</t>
  </si>
  <si>
    <t>Monitor</t>
  </si>
  <si>
    <t>NetBanking</t>
  </si>
  <si>
    <t>Rahul</t>
  </si>
  <si>
    <t>kavya.nair@company.com</t>
  </si>
  <si>
    <t>ORD10003</t>
  </si>
  <si>
    <t>C010</t>
  </si>
  <si>
    <t>P101</t>
  </si>
  <si>
    <t>pooja shah</t>
  </si>
  <si>
    <t>Bengaluru</t>
  </si>
  <si>
    <t>Laptop</t>
  </si>
  <si>
    <t>Aisha</t>
  </si>
  <si>
    <t>pooja.shah@company.com</t>
  </si>
  <si>
    <t>Pending</t>
  </si>
  <si>
    <t>Cancelled</t>
  </si>
  <si>
    <t>ORD10005</t>
  </si>
  <si>
    <t>C009</t>
  </si>
  <si>
    <t>P103</t>
  </si>
  <si>
    <t>Mohit Verma</t>
  </si>
  <si>
    <t>Male</t>
  </si>
  <si>
    <t>Keyboard</t>
  </si>
  <si>
    <t>Card</t>
  </si>
  <si>
    <t>mohit.verma@company.com</t>
  </si>
  <si>
    <t>ORD10006</t>
  </si>
  <si>
    <t>C007</t>
  </si>
  <si>
    <t>arjun Rao</t>
  </si>
  <si>
    <t>UPI</t>
  </si>
  <si>
    <t>arjun.rao@company.com</t>
  </si>
  <si>
    <t>ORD10007</t>
  </si>
  <si>
    <t>P201</t>
  </si>
  <si>
    <t>31/02/2025</t>
  </si>
  <si>
    <t>Mixer</t>
  </si>
  <si>
    <t>ORD10008</t>
  </si>
  <si>
    <t>C002</t>
  </si>
  <si>
    <t>Priya Patel</t>
  </si>
  <si>
    <t>Mumbai</t>
  </si>
  <si>
    <t>West</t>
  </si>
  <si>
    <t>priYa.patel@company.com</t>
  </si>
  <si>
    <t>ORD10009</t>
  </si>
  <si>
    <t>kavya Nair</t>
  </si>
  <si>
    <t>Pune</t>
  </si>
  <si>
    <t>Neha</t>
  </si>
  <si>
    <t>ORD10010</t>
  </si>
  <si>
    <t>P301</t>
  </si>
  <si>
    <t>Stationery</t>
  </si>
  <si>
    <t>Notebook</t>
  </si>
  <si>
    <t>PRiya.patel@company.com</t>
  </si>
  <si>
    <t>ORD10011</t>
  </si>
  <si>
    <t>C003</t>
  </si>
  <si>
    <t>Rohit Singh</t>
  </si>
  <si>
    <t>rohit.singh@company.com</t>
  </si>
  <si>
    <t>ORD10012</t>
  </si>
  <si>
    <t>Ahmedabad</t>
  </si>
  <si>
    <t>ORD10013</t>
  </si>
  <si>
    <t>priya.patel@company.com</t>
  </si>
  <si>
    <t>ORD10014</t>
  </si>
  <si>
    <t>rohit Singh</t>
  </si>
  <si>
    <t>Karan</t>
  </si>
  <si>
    <t>rOhit.singh@company.com</t>
  </si>
  <si>
    <t>ORD10015</t>
  </si>
  <si>
    <t>Kavya nair</t>
  </si>
  <si>
    <t>ORD10016</t>
  </si>
  <si>
    <t>Pooja Shah</t>
  </si>
  <si>
    <t>pooja.shahcompany.com</t>
  </si>
  <si>
    <t>ORD10017</t>
  </si>
  <si>
    <t>C004</t>
  </si>
  <si>
    <t>P203</t>
  </si>
  <si>
    <t>Amit Sharma</t>
  </si>
  <si>
    <t>Microwave</t>
  </si>
  <si>
    <t>anita.gupta@company.com</t>
  </si>
  <si>
    <t>ORD10018</t>
  </si>
  <si>
    <t>Arjun Rao</t>
  </si>
  <si>
    <t>ORD10019</t>
  </si>
  <si>
    <t>P102</t>
  </si>
  <si>
    <t>arjun rao</t>
  </si>
  <si>
    <t>Mouse</t>
  </si>
  <si>
    <t>arjun.Rao@company.com</t>
  </si>
  <si>
    <t>ORD10020</t>
  </si>
  <si>
    <t>ORD10021</t>
  </si>
  <si>
    <t>electronics</t>
  </si>
  <si>
    <t>ORD10022</t>
  </si>
  <si>
    <t>ORD10023</t>
  </si>
  <si>
    <t>Jaipur</t>
  </si>
  <si>
    <t>ORD10024</t>
  </si>
  <si>
    <t>ORD10025</t>
  </si>
  <si>
    <t>C005</t>
  </si>
  <si>
    <t>P302</t>
  </si>
  <si>
    <t>Vikas Mehta</t>
  </si>
  <si>
    <t>Pen</t>
  </si>
  <si>
    <t>vikas.mehta@company.com</t>
  </si>
  <si>
    <t>ORD10026</t>
  </si>
  <si>
    <t>ORD10027</t>
  </si>
  <si>
    <t>ORD10028</t>
  </si>
  <si>
    <t>ORD10029</t>
  </si>
  <si>
    <t>ORD10030</t>
  </si>
  <si>
    <t>C006</t>
  </si>
  <si>
    <t>Sneha Joshi</t>
  </si>
  <si>
    <t>sneha.joshi@company.com</t>
  </si>
  <si>
    <t>ORD10031</t>
  </si>
  <si>
    <t>P303</t>
  </si>
  <si>
    <t>Marker</t>
  </si>
  <si>
    <t>ORD10032</t>
  </si>
  <si>
    <t>ORD10033</t>
  </si>
  <si>
    <t>ORD10034</t>
  </si>
  <si>
    <t>wrongmail</t>
  </si>
  <si>
    <t>ORD10035</t>
  </si>
  <si>
    <t>ORD10036</t>
  </si>
  <si>
    <t>ORD10037</t>
  </si>
  <si>
    <t>Kolkata</t>
  </si>
  <si>
    <t>East</t>
  </si>
  <si>
    <t>ORD10038</t>
  </si>
  <si>
    <t>ORD10039</t>
  </si>
  <si>
    <t>ORD10040</t>
  </si>
  <si>
    <t>ORD10041</t>
  </si>
  <si>
    <t>ORD10042</t>
  </si>
  <si>
    <t>ORD10043</t>
  </si>
  <si>
    <t>ORD10044</t>
  </si>
  <si>
    <t>C001</t>
  </si>
  <si>
    <t>amit Sharma</t>
  </si>
  <si>
    <t>amit.sharma@company.com</t>
  </si>
  <si>
    <t>ORD10045</t>
  </si>
  <si>
    <t>ORD10046</t>
  </si>
  <si>
    <t>ORD10047</t>
  </si>
  <si>
    <t>sneha.joshicompany.com</t>
  </si>
  <si>
    <t>ORD10048</t>
  </si>
  <si>
    <t>ORD10049</t>
  </si>
  <si>
    <t>ORD10050</t>
  </si>
  <si>
    <t>Anita Gupta</t>
  </si>
  <si>
    <t>ORD10051</t>
  </si>
  <si>
    <t>POoja Shah</t>
  </si>
  <si>
    <t>ORD10052</t>
  </si>
  <si>
    <t>ORD10053</t>
  </si>
  <si>
    <t>ORD10054</t>
  </si>
  <si>
    <t>ORD10055</t>
  </si>
  <si>
    <t>RoHit Singh</t>
  </si>
  <si>
    <t>ORD10056</t>
  </si>
  <si>
    <t>ORD10057</t>
  </si>
  <si>
    <t>amit.sharmcompany.com</t>
  </si>
  <si>
    <t>ORD10058</t>
  </si>
  <si>
    <t>ORD10059</t>
  </si>
  <si>
    <t>completed</t>
  </si>
  <si>
    <t>ORD10060</t>
  </si>
  <si>
    <t>Vikas.mehta@company.com</t>
  </si>
  <si>
    <t>ORD10061</t>
  </si>
  <si>
    <t>ORD10062</t>
  </si>
  <si>
    <t>ORD10063</t>
  </si>
  <si>
    <t>ORD10064</t>
  </si>
  <si>
    <t>ORD10065</t>
  </si>
  <si>
    <t>ORD10066</t>
  </si>
  <si>
    <t>ORD10067</t>
  </si>
  <si>
    <t>ORD10068</t>
  </si>
  <si>
    <t>ORD10069</t>
  </si>
  <si>
    <t>ORD10070</t>
  </si>
  <si>
    <t>ORD10071</t>
  </si>
  <si>
    <t>Anita.gupta@company.com</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</si>
  <si>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</si>
  <si>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</si>
  <si>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</si>
  <si>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</si>
  <si>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</si>
  <si>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</si>
  <si>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</si>
  <si>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</si>
  <si>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</si>
  <si>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</si>
  <si>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</si>
  <si>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</si>
  <si>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</si>
  <si>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</si>
  <si>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</si>
  <si>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</si>
  <si>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</si>
  <si>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</si>
  <si>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north</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</si>
  <si>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</si>
  <si>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</si>
  <si>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</si>
  <si>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</si>
  <si>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</si>
  <si>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</si>
  <si>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</si>
  <si>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</si>
  <si>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</si>
  <si>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</si>
  <si>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</si>
  <si>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</si>
  <si>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</si>
  <si>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</si>
  <si>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</si>
  <si>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</si>
  <si>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</si>
  <si>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</si>
  <si>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</si>
  <si>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</si>
  <si>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</si>
  <si>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</si>
  <si>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</si>
  <si>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</si>
  <si>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</si>
  <si>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</si>
  <si>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</si>
  <si>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</si>
  <si>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</si>
  <si>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</si>
  <si>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Ten</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</si>
  <si>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</si>
  <si>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</si>
  <si>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</si>
  <si>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</si>
  <si>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</si>
  <si>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</si>
  <si>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</si>
  <si>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</si>
  <si>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</si>
  <si>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</si>
  <si>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</si>
  <si>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</si>
  <si>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</si>
  <si>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</si>
  <si>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</si>
  <si>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</si>
  <si>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</si>
  <si>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</si>
  <si>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</si>
  <si>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</si>
  <si>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</si>
  <si>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</si>
  <si>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</si>
  <si>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</si>
  <si>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</si>
  <si>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</si>
  <si>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</si>
  <si>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</si>
  <si>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</si>
  <si>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</si>
  <si>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</si>
  <si>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</si>
  <si>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</si>
  <si>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</si>
  <si>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</si>
  <si>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</si>
  <si>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</si>
  <si>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</si>
  <si>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</si>
  <si>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</si>
  <si>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</si>
  <si>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</si>
  <si>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</si>
  <si>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</si>
  <si>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</si>
  <si>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</si>
  <si>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</si>
  <si>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</si>
  <si>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</si>
  <si>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</si>
  <si>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</si>
  <si>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</si>
  <si>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</si>
  <si>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</si>
  <si>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vikas.mehtacompany.com</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</si>
  <si>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</si>
  <si>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</si>
  <si>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</si>
  <si>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</si>
  <si>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</si>
  <si>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</si>
  <si>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</si>
  <si>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</si>
  <si>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</si>
  <si>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</si>
  <si>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</si>
  <si>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</si>
  <si>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</si>
  <si>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</si>
  <si>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</si>
  <si>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</si>
  <si>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</si>
  <si>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</si>
  <si>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</si>
  <si>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</si>
  <si>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</si>
  <si>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</si>
  <si>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</si>
  <si>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</si>
  <si>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</si>
  <si>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Stationary</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</si>
  <si>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</si>
  <si>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</si>
  <si>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</si>
  <si>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</si>
  <si>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</si>
  <si>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</si>
  <si>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</si>
  <si>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</si>
  <si>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</si>
  <si>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</si>
  <si>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</si>
  <si>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</si>
  <si>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</si>
  <si>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</si>
  <si>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</si>
  <si>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</si>
  <si>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</si>
  <si>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</si>
  <si>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</si>
  <si>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</si>
  <si>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</si>
  <si>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</si>
  <si>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</si>
  <si>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</si>
  <si>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</si>
  <si>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</si>
  <si>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</si>
  <si>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</si>
  <si>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</si>
  <si>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</si>
  <si>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</si>
  <si>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</si>
  <si>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</si>
  <si>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</si>
  <si>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</si>
  <si>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</si>
  <si>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</si>
  <si>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</si>
  <si>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</si>
  <si>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</si>
  <si>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</si>
  <si>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</si>
  <si>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</si>
  <si>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</si>
  <si>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</si>
  <si>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</si>
  <si>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</si>
  <si>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</si>
  <si>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</si>
  <si>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</si>
  <si>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Crypto</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</si>
  <si>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</si>
  <si>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</si>
  <si>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</si>
  <si>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</si>
  <si>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</si>
  <si>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</si>
  <si>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</si>
  <si>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</si>
  <si>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</si>
  <si>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</si>
  <si>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</si>
  <si>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</si>
  <si>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</si>
  <si>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</si>
  <si>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</si>
  <si>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</si>
  <si>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</si>
  <si>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</si>
  <si>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</si>
  <si>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</si>
  <si>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</si>
  <si>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</si>
  <si>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</si>
  <si>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</si>
  <si>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</si>
  <si>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</si>
  <si>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</si>
  <si>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</si>
  <si>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</si>
  <si>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</si>
  <si>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</si>
  <si>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</si>
  <si>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</si>
  <si>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</si>
  <si>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</si>
  <si>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</si>
  <si>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</si>
  <si>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</si>
  <si>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</si>
  <si>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priya.patecompany.com</t>
  </si>
  <si>
    <t>ORD10289</t>
  </si>
  <si>
    <t>ORD10290</t>
  </si>
  <si>
    <t>ORD10291</t>
  </si>
  <si>
    <t>ORD10292</t>
  </si>
  <si>
    <t>ORD10293</t>
  </si>
  <si>
    <t>Pooja.shah@company.com</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</si>
  <si>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</si>
  <si>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</si>
  <si>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</si>
  <si>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</si>
  <si>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</si>
  <si>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</si>
  <si>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</si>
  <si>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</si>
  <si>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</si>
  <si>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</si>
  <si>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</si>
  <si>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</si>
  <si>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</si>
  <si>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</si>
  <si>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</si>
  <si>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</si>
  <si>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</si>
  <si>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</si>
  <si>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</si>
  <si>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</si>
  <si>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</si>
  <si>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</si>
  <si>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</si>
  <si>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</si>
  <si>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</si>
  <si>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</si>
  <si>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</si>
  <si>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</si>
  <si>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</si>
  <si>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</si>
  <si>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</si>
  <si>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</si>
  <si>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</si>
  <si>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</si>
  <si>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</si>
  <si>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</si>
  <si>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</si>
  <si>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</si>
  <si>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</si>
  <si>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</si>
  <si>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</si>
  <si>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</si>
  <si>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</si>
  <si>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</si>
  <si>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</si>
  <si>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</si>
  <si>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</si>
  <si>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</si>
  <si>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</si>
  <si>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</si>
  <si>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</si>
  <si>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</si>
  <si>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</si>
  <si>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</si>
  <si>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</si>
  <si>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</si>
  <si>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P999</t>
  </si>
  <si>
    <t>ORD10350</t>
  </si>
  <si>
    <t>ORD10351</t>
  </si>
  <si>
    <t>ORD10352</t>
  </si>
  <si>
    <t>ORD10353</t>
  </si>
  <si>
    <t>ORD10354</t>
  </si>
  <si>
    <t>ORD10355</t>
  </si>
  <si>
    <t>ORD10356</t>
  </si>
  <si>
    <t>ORD10357</t>
  </si>
  <si>
    <t>\</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</si>
  <si>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</si>
  <si>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</si>
  <si>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</si>
  <si>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</si>
  <si>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</si>
  <si>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</si>
  <si>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</si>
  <si>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</si>
  <si>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</si>
  <si>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</si>
  <si>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</si>
  <si>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</si>
  <si>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</si>
  <si>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</si>
  <si>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</si>
  <si>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</si>
  <si>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</si>
  <si>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</si>
  <si>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</si>
  <si>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</si>
  <si>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</si>
  <si>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</si>
  <si>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</si>
  <si>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</si>
  <si>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</si>
  <si>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</si>
  <si>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</si>
  <si>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</si>
  <si>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</si>
  <si>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</si>
  <si>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</si>
  <si>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</si>
  <si>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</si>
  <si>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</si>
  <si>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</si>
  <si>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</si>
  <si>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</si>
  <si>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</si>
  <si>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</si>
  <si>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</si>
  <si>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</si>
  <si>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</si>
  <si>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</si>
  <si>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</si>
  <si>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</si>
  <si>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</si>
  <si>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</si>
  <si>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</si>
  <si>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</si>
  <si>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</si>
  <si>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</si>
  <si>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</si>
  <si>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</si>
  <si>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</si>
  <si>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</si>
  <si>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</si>
  <si>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</si>
  <si>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</si>
  <si>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</si>
  <si>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</si>
  <si>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</si>
  <si>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</si>
  <si>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</si>
  <si>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</si>
  <si>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</si>
  <si>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</si>
  <si>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</si>
  <si>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</si>
  <si>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</si>
  <si>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</si>
  <si>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</si>
  <si>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</si>
  <si>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</si>
  <si>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</si>
  <si>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</si>
  <si>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</si>
  <si>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</si>
  <si>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</si>
  <si>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</si>
  <si>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</si>
  <si>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</si>
  <si>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</si>
  <si>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</si>
  <si>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</si>
  <si>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</si>
  <si>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</si>
  <si>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</si>
  <si>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</si>
  <si>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</si>
  <si>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</si>
  <si>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</si>
  <si>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</si>
  <si>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amit.SHarma@company.com</t>
  </si>
  <si>
    <t>ORD10450</t>
  </si>
  <si>
    <t>ORD10451</t>
  </si>
  <si>
    <t>ORD10452</t>
  </si>
  <si>
    <t>ORD10453</t>
  </si>
  <si>
    <t>ORD10454</t>
  </si>
  <si>
    <t>ORD10455</t>
  </si>
  <si>
    <t>ORD10456</t>
  </si>
  <si>
    <t>ORD10457</t>
  </si>
  <si>
    <t>ORD10458</t>
  </si>
  <si>
    <t>ORD10459</t>
  </si>
  <si>
    <t>ORD10460</t>
  </si>
  <si>
    <t>ORD10461</t>
  </si>
  <si>
    <t>ORD10462</t>
  </si>
  <si>
    <t>rohit.sinGh@company.com</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</si>
  <si>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</si>
  <si>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</si>
  <si>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</si>
  <si>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</si>
  <si>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</si>
  <si>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</si>
  <si>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</si>
  <si>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</si>
  <si>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</si>
  <si>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</si>
  <si>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</si>
  <si>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</si>
  <si>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</si>
  <si>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</si>
  <si>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</si>
  <si>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</si>
  <si>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kavya.Nair@company.com</t>
  </si>
  <si>
    <t>ORD10479</t>
  </si>
  <si>
    <t>ORD10480</t>
  </si>
  <si>
    <t>ORD10481</t>
  </si>
  <si>
    <t>ORD10482</t>
  </si>
  <si>
    <t>ORD10483</t>
  </si>
  <si>
    <t>Mohit verma</t>
  </si>
  <si>
    <t>ORD10484</t>
  </si>
  <si>
    <t>ORD10485</t>
  </si>
  <si>
    <t>ORD10486</t>
  </si>
  <si>
    <t>ORD10487</t>
  </si>
  <si>
    <t>ORD10488</t>
  </si>
  <si>
    <t>pOOja.shah@company.com</t>
  </si>
  <si>
    <t>ORD10489</t>
  </si>
  <si>
    <t>ORD10490</t>
  </si>
  <si>
    <t>ORD10491</t>
  </si>
  <si>
    <t>ORD10492</t>
  </si>
  <si>
    <t>ORD10493</t>
  </si>
  <si>
    <t>ORD10494</t>
  </si>
  <si>
    <t>ORD10495</t>
  </si>
  <si>
    <t>ORD10496</t>
  </si>
  <si>
    <t>ORD10497</t>
  </si>
  <si>
    <t>ORD10498</t>
  </si>
  <si>
    <t>ORD10499</t>
  </si>
  <si>
    <t>Laptop,Mouse</t>
  </si>
  <si>
    <t>ORD10500</t>
  </si>
  <si>
    <t>Supplier</t>
  </si>
  <si>
    <t>Cost_Price</t>
  </si>
  <si>
    <t>Warranty_Months</t>
  </si>
  <si>
    <t>TechHub</t>
  </si>
  <si>
    <t>Global Trade</t>
  </si>
  <si>
    <t>ABC Corp</t>
  </si>
  <si>
    <t>Prime Supplies</t>
  </si>
  <si>
    <t>Membership</t>
  </si>
  <si>
    <t>State</t>
  </si>
  <si>
    <t>Silver</t>
  </si>
  <si>
    <t>RJ</t>
  </si>
  <si>
    <t>Platinum</t>
  </si>
  <si>
    <t>WB</t>
  </si>
  <si>
    <t>Gold</t>
  </si>
  <si>
    <t>DL</t>
  </si>
  <si>
    <t>KA</t>
  </si>
  <si>
    <t>Customer Classification</t>
  </si>
  <si>
    <t>Customer Name</t>
  </si>
  <si>
    <t>Customer_code</t>
  </si>
  <si>
    <t>Emails</t>
  </si>
  <si>
    <t>Email_check</t>
  </si>
  <si>
    <t>Customer Age</t>
  </si>
  <si>
    <t>Delivery On Time(Days)</t>
  </si>
  <si>
    <t>Delivery Status</t>
  </si>
  <si>
    <t>Sales Summery Report</t>
  </si>
  <si>
    <t>Total Sales Amount From Electronic</t>
  </si>
  <si>
    <t>In North Total Sale by Neha</t>
  </si>
  <si>
    <t>Number of Order</t>
  </si>
  <si>
    <t>Average Sale Amount</t>
  </si>
  <si>
    <t>Number of Customer</t>
  </si>
  <si>
    <t>Sales Static Report</t>
  </si>
  <si>
    <t>Median Sale Amount</t>
  </si>
  <si>
    <t>Highest Sale Amount</t>
  </si>
  <si>
    <t>Lowest Sale Amount</t>
  </si>
  <si>
    <t>Sd of sales Amount</t>
  </si>
  <si>
    <t>90% of sale Amount</t>
  </si>
  <si>
    <t>Product performance report</t>
  </si>
  <si>
    <t>Total Revenue</t>
  </si>
  <si>
    <t>Weightes Average Unit Price</t>
  </si>
  <si>
    <t>Difference Amount</t>
  </si>
  <si>
    <t>Total Discount Amount</t>
  </si>
  <si>
    <t>Financial Analysis Report</t>
  </si>
  <si>
    <t>Future Value of Investment</t>
  </si>
  <si>
    <t>Monthaly Investment</t>
  </si>
  <si>
    <t>Monthaly Emi</t>
  </si>
  <si>
    <t>Round</t>
  </si>
  <si>
    <t>Future value Round</t>
  </si>
  <si>
    <t>Not Assigned</t>
  </si>
  <si>
    <t>Clean Customer Name</t>
  </si>
  <si>
    <t>Categeory(Proper)</t>
  </si>
  <si>
    <t>Region(Proper)</t>
  </si>
  <si>
    <t>Validation Quantiy</t>
  </si>
  <si>
    <t>Sales Dashboard</t>
  </si>
  <si>
    <t>Sum of Sales</t>
  </si>
  <si>
    <t>Grand Total</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</si>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</sst>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quot;₹&quot;\ #,##0.00"/>
  </numFmts>
  <fonts count="10" x14ac:knownFonts="1">
    <font>
      <sz val="11"/>
      <color theme="1"/>
      <name val="Aptos Narrow"/>
      <family val="2"/>
      <scheme val="minor"/>
    </font>
    <font>
      <b/>
      <sz val="11"/>
      <color rgb="FFFFFFFF"/>
      <name val="Aptos Narrow"/>
      <family val="2"/>
      <scheme val="minor"/>
    </font>
    <font>
      <u/>
      <sz val="11"/>
      <color theme="10"/>
      <name val="Aptos Narrow"/>
      <family val="2"/>
      <scheme val="minor"/>
    </font>
    <font>
      <b/>
      <sz val="11"/>
      <color theme="0"/>
      <name val="Aptos Narrow"/>
      <family val="2"/>
      <scheme val="minor"/>
    </font>
    <font>
      <b/>
      <sz val="11"/>
      <color rgb="FFFF0000"/>
      <name val="Aptos Narrow"/>
      <family val="2"/>
      <scheme val="minor"/>
    </font>
    <font>
      <b/>
      <sz val="16"/>
      <color rgb="FFFF0000"/>
      <name val="Aptos Narrow"/>
      <family val="2"/>
      <scheme val="minor"/>
    </font>
    <font>
      <sz val="11"/>
      <color rgb="FFFF0000"/>
      <name val="Aptos Narrow"/>
      <family val="2"/>
      <scheme val="minor"/>
    </font>
    <font>
      <b/>
      <sz val="14"/>
      <color rgb="FFFF0000"/>
      <name val="Aptos Narrow"/>
      <family val="2"/>
      <scheme val="minor"/>
    </font>
    <font>
      <b/>
      <sz val="11"/>
      <color theme="4"/>
      <name val="Aptos Narrow"/>
      <family val="2"/>
      <scheme val="minor"/>
    </font>
    <font>
      <b/>
      <sz val="22"/>
      <color theme="2"/>
      <name val="Aptos Narrow"/>
      <family val="2"/>
      <scheme val="minor"/>
    </font>
  </fonts>
  <fills count="22">
    <fill>
      <patternFill patternType="none"/>
    </fill>
    <fill>
      <patternFill patternType="gray125"/>
    </fill>
    <fill>
      <patternFill patternType="solid">
        <fgColor rgb="FF156082"/>
        <bgColor indexed="64"/>
      </patternFill>
    </fill>
    <fill>
      <patternFill patternType="solid">
        <fgColor rgb="FF83CAEB"/>
        <bgColor indexed="64"/>
      </patternFill>
    </fill>
    <fill>
      <patternFill patternType="solid">
        <fgColor rgb="FFC1E4F5"/>
        <bgColor indexed="64"/>
      </patternFill>
    </fill>
    <fill>
      <patternFill patternType="solid">
        <fgColor theme="6" tint="0.7999816888943144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6" tint="0.39997558519241921"/>
        <bgColor indexed="64"/>
      </patternFill>
    </fill>
    <fill>
      <patternFill patternType="solid">
        <fgColor theme="2"/>
        <bgColor indexed="64"/>
      </patternFill>
    </fill>
  </fills>
  <borders count="48">
    <border>
      <left/>
      <right/>
      <top/>
      <bottom/>
      <diagonal/>
    </border>
    <border>
      <left style="medium">
        <color rgb="FFCCCCCC"/>
      </left>
      <right style="medium">
        <color rgb="FFFFFFFF"/>
      </right>
      <top style="medium">
        <color rgb="FFCCCCCC"/>
      </top>
      <bottom style="thick">
        <color rgb="FFFFFFFF"/>
      </bottom>
      <diagonal/>
    </border>
    <border>
      <left style="medium">
        <color rgb="FFCCCCCC"/>
      </left>
      <right style="medium">
        <color rgb="FFCCCCCC"/>
      </right>
      <top style="medium">
        <color rgb="FFCCCCCC"/>
      </top>
      <bottom style="thick">
        <color rgb="FFFFFFFF"/>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FFFFFF"/>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top/>
      <bottom/>
      <diagonal/>
    </border>
    <border>
      <left style="medium">
        <color rgb="FFCCCCCC"/>
      </left>
      <right style="medium">
        <color rgb="FFFFFFFF"/>
      </right>
      <top style="medium">
        <color rgb="FFCCCCCC"/>
      </top>
      <bottom/>
      <diagonal/>
    </border>
    <border>
      <left style="medium">
        <color rgb="FFCCCCCC"/>
      </left>
      <right style="medium">
        <color rgb="FFFFFFFF"/>
      </right>
      <top/>
      <bottom style="thick">
        <color rgb="FFFFFFFF"/>
      </bottom>
      <diagonal/>
    </border>
    <border>
      <left style="medium">
        <color rgb="FFCCCCCC"/>
      </left>
      <right style="medium">
        <color rgb="FFCCCCCC"/>
      </right>
      <top/>
      <bottom style="thick">
        <color rgb="FFFFFFFF"/>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s>
  <cellStyleXfs count="2">
    <xf numFmtId="0" fontId="0" fillId="0" borderId="0"/>
    <xf numFmtId="0" fontId="2" fillId="0" borderId="0" applyNumberFormat="0" applyFill="0" applyBorder="0" applyAlignment="0" applyProtection="0"/>
  </cellStyleXfs>
  <cellXfs count="165">
    <xf numFmtId="0" fontId="0" fillId="0" borderId="0" xfId="0"/>
    <xf numFmtId="0" fontId="1" fillId="2" borderId="1" xfId="0" applyFont="1" applyFill="1" applyBorder="1" applyAlignment="1">
      <alignment wrapText="1"/>
    </xf>
    <xf numFmtId="0" fontId="1" fillId="2" borderId="2" xfId="0" applyFont="1" applyFill="1" applyBorder="1" applyAlignment="1">
      <alignment vertical="center"/>
    </xf>
    <xf numFmtId="0" fontId="0" fillId="0" borderId="3" xfId="0" applyBorder="1" applyAlignment="1">
      <alignment wrapText="1"/>
    </xf>
    <xf numFmtId="0" fontId="0" fillId="3" borderId="4" xfId="0" applyFill="1" applyBorder="1" applyAlignment="1">
      <alignment wrapText="1"/>
    </xf>
    <xf numFmtId="14" fontId="0" fillId="3" borderId="4" xfId="0" applyNumberFormat="1" applyFill="1" applyBorder="1" applyAlignment="1">
      <alignment wrapText="1"/>
    </xf>
    <xf numFmtId="0" fontId="0" fillId="3" borderId="4" xfId="0" applyFill="1" applyBorder="1" applyAlignment="1">
      <alignment horizontal="right" wrapText="1"/>
    </xf>
    <xf numFmtId="0" fontId="2" fillId="3" borderId="4" xfId="1" applyFill="1" applyBorder="1" applyAlignment="1">
      <alignment wrapText="1"/>
    </xf>
    <xf numFmtId="0" fontId="0" fillId="3" borderId="5" xfId="0" applyFill="1" applyBorder="1" applyAlignment="1">
      <alignment vertical="center"/>
    </xf>
    <xf numFmtId="0" fontId="0" fillId="4" borderId="4" xfId="0" applyFill="1" applyBorder="1" applyAlignment="1">
      <alignment wrapText="1"/>
    </xf>
    <xf numFmtId="14" fontId="0" fillId="4" borderId="4" xfId="0" applyNumberFormat="1" applyFill="1" applyBorder="1" applyAlignment="1">
      <alignment wrapText="1"/>
    </xf>
    <xf numFmtId="0" fontId="0" fillId="4" borderId="4" xfId="0" applyFill="1" applyBorder="1" applyAlignment="1">
      <alignment horizontal="right" wrapText="1"/>
    </xf>
    <xf numFmtId="0" fontId="0" fillId="4" borderId="5" xfId="0" applyFill="1" applyBorder="1" applyAlignment="1">
      <alignment vertical="center"/>
    </xf>
    <xf numFmtId="0" fontId="2" fillId="4" borderId="4" xfId="1" applyFill="1" applyBorder="1" applyAlignment="1">
      <alignment wrapText="1"/>
    </xf>
    <xf numFmtId="14" fontId="0" fillId="3" borderId="5" xfId="0" applyNumberFormat="1" applyFill="1" applyBorder="1" applyAlignment="1">
      <alignment vertical="center"/>
    </xf>
    <xf numFmtId="14" fontId="0" fillId="4" borderId="5" xfId="0" applyNumberFormat="1" applyFill="1" applyBorder="1" applyAlignment="1">
      <alignment vertical="center"/>
    </xf>
    <xf numFmtId="0" fontId="0" fillId="4" borderId="6" xfId="0" applyFill="1" applyBorder="1" applyAlignment="1">
      <alignment wrapText="1"/>
    </xf>
    <xf numFmtId="14" fontId="0" fillId="4" borderId="6" xfId="0" applyNumberFormat="1" applyFill="1" applyBorder="1" applyAlignment="1">
      <alignment wrapText="1"/>
    </xf>
    <xf numFmtId="0" fontId="0" fillId="4" borderId="6" xfId="0" applyFill="1" applyBorder="1" applyAlignment="1">
      <alignment horizontal="right" wrapText="1"/>
    </xf>
    <xf numFmtId="0" fontId="0" fillId="0" borderId="3" xfId="0" applyBorder="1" applyAlignment="1">
      <alignment horizontal="right" wrapText="1"/>
    </xf>
    <xf numFmtId="0" fontId="1" fillId="2" borderId="2" xfId="0" applyFont="1" applyFill="1" applyBorder="1" applyAlignment="1">
      <alignment horizontal="center" vertical="center"/>
    </xf>
    <xf numFmtId="0" fontId="0" fillId="3" borderId="5" xfId="0" applyFill="1" applyBorder="1" applyAlignment="1">
      <alignment horizontal="center" vertical="center"/>
    </xf>
    <xf numFmtId="0" fontId="0" fillId="4" borderId="5" xfId="0" applyFill="1" applyBorder="1" applyAlignment="1">
      <alignment horizontal="center" vertical="center"/>
    </xf>
    <xf numFmtId="14" fontId="0" fillId="3" borderId="5" xfId="0" applyNumberFormat="1" applyFill="1" applyBorder="1" applyAlignment="1">
      <alignment horizontal="center" vertical="center"/>
    </xf>
    <xf numFmtId="14" fontId="0" fillId="4" borderId="5" xfId="0" applyNumberFormat="1" applyFill="1" applyBorder="1" applyAlignment="1">
      <alignment horizontal="center" vertical="center"/>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3" borderId="4" xfId="0" applyFill="1" applyBorder="1" applyAlignment="1">
      <alignment horizontal="center" vertical="center" wrapText="1"/>
    </xf>
    <xf numFmtId="14" fontId="0" fillId="3" borderId="4" xfId="0" applyNumberFormat="1" applyFill="1" applyBorder="1" applyAlignment="1">
      <alignment horizontal="center" vertical="center" wrapText="1"/>
    </xf>
    <xf numFmtId="0" fontId="2" fillId="3" borderId="4" xfId="1" applyFill="1" applyBorder="1" applyAlignment="1">
      <alignment horizontal="center" vertical="center" wrapText="1"/>
    </xf>
    <xf numFmtId="0" fontId="0" fillId="4" borderId="4" xfId="0" applyFill="1" applyBorder="1" applyAlignment="1">
      <alignment horizontal="center" vertical="center" wrapText="1"/>
    </xf>
    <xf numFmtId="14" fontId="0" fillId="4" borderId="4" xfId="0" applyNumberFormat="1" applyFill="1" applyBorder="1" applyAlignment="1">
      <alignment horizontal="center" vertical="center" wrapText="1"/>
    </xf>
    <xf numFmtId="0" fontId="2" fillId="4" borderId="4" xfId="1" applyFill="1" applyBorder="1" applyAlignment="1">
      <alignment horizontal="center" vertical="center" wrapText="1"/>
    </xf>
    <xf numFmtId="0" fontId="0" fillId="4" borderId="6" xfId="0" applyFill="1" applyBorder="1" applyAlignment="1">
      <alignment horizontal="center" vertical="center" wrapText="1"/>
    </xf>
    <xf numFmtId="14" fontId="0" fillId="4" borderId="6" xfId="0" applyNumberFormat="1" applyFill="1" applyBorder="1" applyAlignment="1">
      <alignment horizontal="center" vertical="center" wrapText="1"/>
    </xf>
    <xf numFmtId="0" fontId="0" fillId="3" borderId="9" xfId="0" applyFill="1" applyBorder="1" applyAlignment="1">
      <alignment horizontal="center" vertical="center"/>
    </xf>
    <xf numFmtId="0" fontId="0" fillId="4" borderId="9" xfId="0" applyFill="1" applyBorder="1" applyAlignment="1">
      <alignment horizontal="center" vertical="center"/>
    </xf>
    <xf numFmtId="0" fontId="0" fillId="3" borderId="9"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5" borderId="8" xfId="0" applyFill="1" applyBorder="1" applyAlignment="1">
      <alignment horizontal="center" vertical="center"/>
    </xf>
    <xf numFmtId="0" fontId="4" fillId="6" borderId="8" xfId="0" applyFont="1" applyFill="1" applyBorder="1"/>
    <xf numFmtId="0" fontId="0" fillId="7" borderId="8" xfId="0" applyFill="1" applyBorder="1"/>
    <xf numFmtId="0" fontId="0" fillId="8" borderId="8" xfId="0" applyFill="1" applyBorder="1"/>
    <xf numFmtId="0" fontId="4" fillId="6" borderId="8" xfId="0" applyFont="1" applyFill="1" applyBorder="1" applyAlignment="1">
      <alignment horizontal="center" vertical="center"/>
    </xf>
    <xf numFmtId="0" fontId="0" fillId="5" borderId="8" xfId="0" applyFill="1" applyBorder="1"/>
    <xf numFmtId="0" fontId="0" fillId="9" borderId="8" xfId="0" applyFill="1" applyBorder="1"/>
    <xf numFmtId="14" fontId="3" fillId="10" borderId="0" xfId="0" applyNumberFormat="1" applyFont="1" applyFill="1"/>
    <xf numFmtId="0" fontId="1" fillId="2" borderId="0" xfId="0" applyFont="1" applyFill="1" applyAlignment="1">
      <alignment horizontal="center" vertical="center" wrapText="1"/>
    </xf>
    <xf numFmtId="1" fontId="0" fillId="8" borderId="8" xfId="0" applyNumberFormat="1" applyFill="1" applyBorder="1" applyAlignment="1">
      <alignment horizontal="center"/>
    </xf>
    <xf numFmtId="1" fontId="0" fillId="5" borderId="8" xfId="0" applyNumberFormat="1" applyFill="1" applyBorder="1" applyAlignment="1">
      <alignment horizontal="center"/>
    </xf>
    <xf numFmtId="0" fontId="0" fillId="0" borderId="11" xfId="0" applyBorder="1" applyAlignment="1">
      <alignment wrapText="1"/>
    </xf>
    <xf numFmtId="0" fontId="0" fillId="0" borderId="10" xfId="0" applyBorder="1" applyAlignment="1">
      <alignment horizontal="righ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vertical="center"/>
    </xf>
    <xf numFmtId="0" fontId="0" fillId="0" borderId="15" xfId="0" applyBorder="1" applyAlignment="1">
      <alignment wrapText="1"/>
    </xf>
    <xf numFmtId="0" fontId="0" fillId="0" borderId="16" xfId="0" applyBorder="1" applyAlignment="1">
      <alignment wrapText="1"/>
    </xf>
    <xf numFmtId="0" fontId="0" fillId="0" borderId="16" xfId="0" applyBorder="1" applyAlignment="1">
      <alignment horizontal="right" wrapText="1"/>
    </xf>
    <xf numFmtId="0" fontId="0" fillId="0" borderId="17" xfId="0" applyBorder="1" applyAlignment="1">
      <alignment horizontal="right" wrapText="1"/>
    </xf>
    <xf numFmtId="0" fontId="3" fillId="11" borderId="8" xfId="0" applyFont="1" applyFill="1" applyBorder="1" applyAlignment="1">
      <alignment wrapText="1"/>
    </xf>
    <xf numFmtId="0" fontId="3" fillId="11" borderId="8" xfId="0" applyFont="1" applyFill="1" applyBorder="1" applyAlignment="1">
      <alignment vertical="center"/>
    </xf>
    <xf numFmtId="0" fontId="0" fillId="12" borderId="8" xfId="0" applyFill="1" applyBorder="1" applyAlignment="1">
      <alignment wrapText="1"/>
    </xf>
    <xf numFmtId="0" fontId="0" fillId="6" borderId="8" xfId="0" applyFill="1" applyBorder="1"/>
    <xf numFmtId="0" fontId="0" fillId="0" borderId="0" xfId="0" applyAlignment="1">
      <alignment horizontal="center"/>
    </xf>
    <xf numFmtId="0" fontId="4" fillId="14" borderId="0" xfId="0" applyFont="1" applyFill="1"/>
    <xf numFmtId="0" fontId="0" fillId="14" borderId="0" xfId="0" applyFill="1"/>
    <xf numFmtId="0" fontId="4" fillId="6" borderId="8" xfId="0" applyFont="1" applyFill="1" applyBorder="1" applyAlignment="1">
      <alignment horizontal="center"/>
    </xf>
    <xf numFmtId="0" fontId="0" fillId="13" borderId="8" xfId="0" applyFill="1" applyBorder="1" applyAlignment="1">
      <alignment horizontal="center"/>
    </xf>
    <xf numFmtId="0" fontId="0" fillId="5" borderId="8" xfId="0" applyFill="1" applyBorder="1" applyAlignment="1">
      <alignment horizontal="center"/>
    </xf>
    <xf numFmtId="2" fontId="0" fillId="5" borderId="8" xfId="0" applyNumberFormat="1" applyFill="1" applyBorder="1" applyAlignment="1">
      <alignment horizontal="center"/>
    </xf>
    <xf numFmtId="0" fontId="0" fillId="9" borderId="8" xfId="0" applyFill="1" applyBorder="1" applyAlignment="1">
      <alignment horizontal="center"/>
    </xf>
    <xf numFmtId="0" fontId="4" fillId="6" borderId="0" xfId="0" applyFont="1" applyFill="1" applyAlignment="1">
      <alignment horizontal="center"/>
    </xf>
    <xf numFmtId="0" fontId="4" fillId="6" borderId="0" xfId="0" applyFont="1" applyFill="1"/>
    <xf numFmtId="0" fontId="0" fillId="0" borderId="22" xfId="0" applyBorder="1"/>
    <xf numFmtId="0" fontId="0" fillId="0" borderId="23" xfId="0" applyBorder="1"/>
    <xf numFmtId="0" fontId="0" fillId="0" borderId="24" xfId="0" applyBorder="1"/>
    <xf numFmtId="0" fontId="4" fillId="6" borderId="25" xfId="0" applyFont="1" applyFill="1" applyBorder="1"/>
    <xf numFmtId="0" fontId="0" fillId="0" borderId="27" xfId="0" applyBorder="1"/>
    <xf numFmtId="0" fontId="0" fillId="0" borderId="28" xfId="0" applyBorder="1"/>
    <xf numFmtId="0" fontId="0" fillId="0" borderId="29" xfId="0" applyBorder="1"/>
    <xf numFmtId="0" fontId="0" fillId="6" borderId="30" xfId="0" applyFill="1" applyBorder="1"/>
    <xf numFmtId="0" fontId="0" fillId="6" borderId="31" xfId="0" applyFill="1" applyBorder="1"/>
    <xf numFmtId="0" fontId="5" fillId="6" borderId="31" xfId="0" applyFont="1" applyFill="1" applyBorder="1"/>
    <xf numFmtId="0" fontId="5" fillId="6" borderId="32" xfId="0" applyFont="1" applyFill="1" applyBorder="1"/>
    <xf numFmtId="0" fontId="8" fillId="5" borderId="8" xfId="0" applyFont="1" applyFill="1" applyBorder="1"/>
    <xf numFmtId="164" fontId="0" fillId="19" borderId="8" xfId="0" applyNumberFormat="1" applyFill="1" applyBorder="1"/>
    <xf numFmtId="0" fontId="6" fillId="5" borderId="8" xfId="0" applyFont="1" applyFill="1" applyBorder="1"/>
    <xf numFmtId="0" fontId="8" fillId="5" borderId="8" xfId="0" applyFont="1" applyFill="1" applyBorder="1" applyAlignment="1">
      <alignment horizontal="center"/>
    </xf>
    <xf numFmtId="0" fontId="1" fillId="2" borderId="33" xfId="0" applyFont="1" applyFill="1" applyBorder="1" applyAlignment="1">
      <alignment horizontal="center" vertical="center" wrapText="1"/>
    </xf>
    <xf numFmtId="0" fontId="0" fillId="5" borderId="4" xfId="0" applyFill="1" applyBorder="1" applyAlignment="1">
      <alignment horizontal="center" vertical="center" wrapText="1"/>
    </xf>
    <xf numFmtId="0" fontId="0" fillId="0" borderId="0" xfId="0" applyAlignment="1">
      <alignment horizontal="center" vertical="center"/>
    </xf>
    <xf numFmtId="0" fontId="0" fillId="6" borderId="4" xfId="0" applyFill="1" applyBorder="1" applyAlignment="1">
      <alignment horizontal="center" vertical="center" wrapText="1"/>
    </xf>
    <xf numFmtId="0" fontId="0" fillId="13" borderId="8" xfId="0" applyFill="1" applyBorder="1" applyAlignment="1">
      <alignment horizontal="center" vertical="center"/>
    </xf>
    <xf numFmtId="0" fontId="0" fillId="8" borderId="8" xfId="0" applyFill="1" applyBorder="1" applyAlignment="1">
      <alignment horizontal="center" vertical="center"/>
    </xf>
    <xf numFmtId="0" fontId="0" fillId="8" borderId="4" xfId="0" applyFill="1" applyBorder="1" applyAlignment="1">
      <alignment horizontal="center" vertical="center" wrapText="1"/>
    </xf>
    <xf numFmtId="0" fontId="0" fillId="8" borderId="6" xfId="0" applyFill="1" applyBorder="1" applyAlignment="1">
      <alignment horizontal="center" vertical="center" wrapText="1"/>
    </xf>
    <xf numFmtId="0" fontId="0" fillId="5" borderId="5" xfId="0" applyFill="1" applyBorder="1" applyAlignment="1">
      <alignment horizontal="center" vertical="center"/>
    </xf>
    <xf numFmtId="0" fontId="0" fillId="5" borderId="6" xfId="0" applyFill="1" applyBorder="1" applyAlignment="1">
      <alignment horizontal="center" vertical="center" wrapText="1"/>
    </xf>
    <xf numFmtId="0" fontId="1" fillId="10" borderId="1" xfId="0" applyFont="1" applyFill="1" applyBorder="1" applyAlignment="1">
      <alignment horizontal="center" vertical="center" wrapText="1"/>
    </xf>
    <xf numFmtId="0" fontId="0" fillId="4" borderId="34" xfId="0" applyFill="1" applyBorder="1" applyAlignment="1">
      <alignment horizontal="center" vertical="center" wrapText="1"/>
    </xf>
    <xf numFmtId="0" fontId="4" fillId="6" borderId="21" xfId="0" applyFont="1" applyFill="1" applyBorder="1"/>
    <xf numFmtId="0" fontId="4" fillId="6" borderId="21" xfId="0" applyFont="1" applyFill="1" applyBorder="1" applyAlignment="1">
      <alignment horizontal="center" vertical="center"/>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xf>
    <xf numFmtId="0" fontId="0" fillId="0" borderId="0" xfId="0" applyAlignment="1">
      <alignment horizontal="left"/>
    </xf>
    <xf numFmtId="0" fontId="5" fillId="6" borderId="18" xfId="0" applyFont="1" applyFill="1" applyBorder="1" applyAlignment="1">
      <alignment horizontal="center"/>
    </xf>
    <xf numFmtId="0" fontId="5" fillId="6" borderId="19" xfId="0" applyFont="1" applyFill="1" applyBorder="1" applyAlignment="1">
      <alignment horizontal="center"/>
    </xf>
    <xf numFmtId="0" fontId="5" fillId="6" borderId="20" xfId="0" applyFont="1" applyFill="1" applyBorder="1" applyAlignment="1">
      <alignment horizontal="center"/>
    </xf>
    <xf numFmtId="0" fontId="4" fillId="6" borderId="25" xfId="0" applyFont="1" applyFill="1" applyBorder="1" applyAlignment="1">
      <alignment horizontal="center"/>
    </xf>
    <xf numFmtId="0" fontId="4" fillId="6" borderId="8" xfId="0" applyFont="1" applyFill="1" applyBorder="1" applyAlignment="1">
      <alignment horizontal="center"/>
    </xf>
    <xf numFmtId="0" fontId="0" fillId="15" borderId="25" xfId="0" applyFill="1" applyBorder="1" applyAlignment="1">
      <alignment horizontal="center"/>
    </xf>
    <xf numFmtId="0" fontId="0" fillId="15" borderId="8" xfId="0" applyFill="1" applyBorder="1" applyAlignment="1">
      <alignment horizontal="center"/>
    </xf>
    <xf numFmtId="2" fontId="0" fillId="17" borderId="8" xfId="0" applyNumberFormat="1" applyFill="1" applyBorder="1" applyAlignment="1">
      <alignment horizontal="center"/>
    </xf>
    <xf numFmtId="0" fontId="4" fillId="6" borderId="26" xfId="0" applyFont="1" applyFill="1" applyBorder="1" applyAlignment="1">
      <alignment horizontal="center"/>
    </xf>
    <xf numFmtId="0" fontId="0" fillId="18" borderId="8" xfId="0" applyFill="1" applyBorder="1" applyAlignment="1">
      <alignment horizontal="center"/>
    </xf>
    <xf numFmtId="0" fontId="0" fillId="18" borderId="26" xfId="0" applyFill="1" applyBorder="1" applyAlignment="1">
      <alignment horizontal="center"/>
    </xf>
    <xf numFmtId="2" fontId="0" fillId="13" borderId="25" xfId="0" applyNumberFormat="1" applyFill="1" applyBorder="1" applyAlignment="1">
      <alignment horizontal="center"/>
    </xf>
    <xf numFmtId="2" fontId="0" fillId="13" borderId="8" xfId="0" applyNumberFormat="1" applyFill="1" applyBorder="1" applyAlignment="1">
      <alignment horizontal="center"/>
    </xf>
    <xf numFmtId="0" fontId="0" fillId="16" borderId="8" xfId="0" applyFill="1" applyBorder="1" applyAlignment="1">
      <alignment horizontal="center"/>
    </xf>
    <xf numFmtId="0" fontId="0" fillId="5" borderId="8" xfId="0" applyFill="1" applyBorder="1" applyAlignment="1">
      <alignment horizontal="center"/>
    </xf>
    <xf numFmtId="0" fontId="0" fillId="5" borderId="26" xfId="0" applyFill="1" applyBorder="1" applyAlignment="1">
      <alignment horizontal="center"/>
    </xf>
    <xf numFmtId="0" fontId="7" fillId="6" borderId="30" xfId="0" applyFont="1" applyFill="1" applyBorder="1" applyAlignment="1">
      <alignment horizontal="center"/>
    </xf>
    <xf numFmtId="0" fontId="7" fillId="6" borderId="31" xfId="0" applyFont="1" applyFill="1" applyBorder="1" applyAlignment="1">
      <alignment horizontal="center"/>
    </xf>
    <xf numFmtId="0" fontId="7" fillId="6" borderId="32" xfId="0" applyFont="1" applyFill="1" applyBorder="1" applyAlignment="1">
      <alignment horizontal="center"/>
    </xf>
    <xf numFmtId="0" fontId="8" fillId="19" borderId="8" xfId="0" applyFont="1" applyFill="1" applyBorder="1" applyAlignment="1">
      <alignment horizontal="center"/>
    </xf>
    <xf numFmtId="164" fontId="0" fillId="8" borderId="8" xfId="0" applyNumberFormat="1" applyFill="1" applyBorder="1" applyAlignment="1">
      <alignment horizontal="center"/>
    </xf>
    <xf numFmtId="0" fontId="8" fillId="13" borderId="8" xfId="0" applyFont="1" applyFill="1" applyBorder="1" applyAlignment="1">
      <alignment horizontal="center"/>
    </xf>
    <xf numFmtId="164" fontId="0" fillId="20" borderId="8" xfId="0" applyNumberFormat="1" applyFill="1" applyBorder="1" applyAlignment="1">
      <alignment horizontal="center"/>
    </xf>
    <xf numFmtId="0" fontId="8" fillId="17" borderId="8" xfId="0" applyFont="1" applyFill="1" applyBorder="1" applyAlignment="1">
      <alignment horizontal="center"/>
    </xf>
    <xf numFmtId="164" fontId="0" fillId="15" borderId="8" xfId="0" applyNumberFormat="1" applyFill="1" applyBorder="1" applyAlignment="1">
      <alignment horizontal="center"/>
    </xf>
    <xf numFmtId="0" fontId="4" fillId="6" borderId="0" xfId="0" applyFont="1" applyFill="1" applyAlignment="1">
      <alignment horizontal="center"/>
    </xf>
    <xf numFmtId="8" fontId="0" fillId="21" borderId="0" xfId="0" applyNumberFormat="1" applyFill="1" applyAlignment="1">
      <alignment horizontal="center"/>
    </xf>
    <xf numFmtId="6" fontId="0" fillId="21" borderId="0" xfId="0" applyNumberFormat="1" applyFill="1" applyAlignment="1">
      <alignment horizontal="center"/>
    </xf>
    <xf numFmtId="0" fontId="5" fillId="6" borderId="0" xfId="0" applyFont="1" applyFill="1" applyAlignment="1">
      <alignment horizontal="center"/>
    </xf>
    <xf numFmtId="8" fontId="0" fillId="8" borderId="8" xfId="0" applyNumberFormat="1" applyFill="1" applyBorder="1" applyAlignment="1">
      <alignment horizontal="center"/>
    </xf>
    <xf numFmtId="0" fontId="0" fillId="8" borderId="8" xfId="0" applyFill="1" applyBorder="1" applyAlignment="1">
      <alignment horizontal="center"/>
    </xf>
    <xf numFmtId="0" fontId="8" fillId="8" borderId="0" xfId="0" applyFont="1" applyFill="1" applyAlignment="1">
      <alignment horizontal="center"/>
    </xf>
    <xf numFmtId="8" fontId="0" fillId="13" borderId="0" xfId="0" applyNumberFormat="1" applyFill="1" applyAlignment="1">
      <alignment horizontal="center"/>
    </xf>
    <xf numFmtId="0" fontId="0" fillId="13" borderId="0" xfId="0" applyFill="1" applyAlignment="1">
      <alignment horizontal="center"/>
    </xf>
    <xf numFmtId="0" fontId="8" fillId="5" borderId="0" xfId="0" applyFont="1" applyFill="1" applyAlignment="1">
      <alignment horizontal="center"/>
    </xf>
    <xf numFmtId="0" fontId="0" fillId="0" borderId="0" xfId="0" applyNumberFormat="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14" fontId="1" fillId="2" borderId="35" xfId="0" applyNumberFormat="1" applyFont="1" applyFill="1" applyBorder="1" applyAlignment="1">
      <alignment horizontal="center" vertical="center" wrapText="1"/>
    </xf>
    <xf numFmtId="0" fontId="0" fillId="0" borderId="0" xfId="0" applyBorder="1"/>
    <xf numFmtId="0" fontId="0" fillId="10" borderId="43" xfId="0" applyFill="1" applyBorder="1"/>
    <xf numFmtId="0" fontId="0" fillId="10" borderId="44" xfId="0" applyFill="1" applyBorder="1"/>
    <xf numFmtId="0" fontId="0" fillId="10" borderId="22" xfId="0" applyFill="1" applyBorder="1"/>
    <xf numFmtId="0" fontId="0" fillId="10" borderId="0" xfId="0" applyFill="1" applyBorder="1"/>
    <xf numFmtId="0" fontId="0" fillId="10" borderId="24" xfId="0" applyFill="1" applyBorder="1"/>
    <xf numFmtId="0" fontId="0" fillId="10" borderId="23" xfId="0" applyFill="1" applyBorder="1"/>
    <xf numFmtId="0" fontId="0" fillId="10" borderId="27" xfId="0" applyFill="1" applyBorder="1"/>
    <xf numFmtId="0" fontId="0" fillId="10" borderId="28" xfId="0" applyFill="1" applyBorder="1"/>
    <xf numFmtId="0" fontId="0" fillId="10" borderId="29" xfId="0" applyFill="1" applyBorder="1"/>
    <xf numFmtId="0" fontId="9" fillId="10" borderId="23" xfId="0" applyFont="1" applyFill="1" applyBorder="1" applyAlignment="1">
      <alignment horizontal="center"/>
    </xf>
    <xf numFmtId="0" fontId="9" fillId="10" borderId="0" xfId="0" applyFont="1" applyFill="1" applyBorder="1" applyAlignment="1">
      <alignment horizontal="center"/>
    </xf>
    <xf numFmtId="0" fontId="0" fillId="10" borderId="0" xfId="0" applyFill="1"/>
    <xf numFmtId="0" fontId="0" fillId="0" borderId="45" xfId="0" applyBorder="1"/>
    <xf numFmtId="0" fontId="0" fillId="0" borderId="46" xfId="0" applyBorder="1"/>
    <xf numFmtId="0" fontId="0" fillId="0" borderId="47" xfId="0" applyBorder="1"/>
  </cellXfs>
  <cellStyles count="2">
    <cellStyle name="Hyperlink" xfId="1" builtinId="8"/>
    <cellStyle name="Normal" xfId="0" builtinId="0"/>
  </cellStyles>
  <dxfs count="37">
    <dxf>
      <font>
        <b/>
        <i val="0"/>
        <color rgb="FFFF0000"/>
      </font>
    </dxf>
    <dxf>
      <numFmt numFmtId="19" formatCode="dd/mm/yyyy"/>
      <fill>
        <patternFill patternType="solid">
          <fgColor indexed="64"/>
          <bgColor rgb="FFC1E4F5"/>
        </patternFill>
      </fill>
      <alignment horizontal="center" vertical="center" textRotation="0" wrapText="1" indent="0" justifyLastLine="0" shrinkToFit="0" readingOrder="0"/>
      <border diagonalUp="0" diagonalDown="0" outline="0">
        <left style="medium">
          <color rgb="FFCCCCCC"/>
        </left>
        <right style="medium">
          <color rgb="FFFFFFFF"/>
        </right>
        <top style="medium">
          <color rgb="FFCCCCCC"/>
        </top>
        <bottom style="medium">
          <color rgb="FFFFFFFF"/>
        </bottom>
      </border>
    </dxf>
    <dxf>
      <fill>
        <patternFill patternType="solid">
          <fgColor indexed="64"/>
          <bgColor rgb="FFC1E4F5"/>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FFFFFF"/>
        </bottom>
      </border>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dxf>
    <dxf>
      <border outline="0">
        <bottom style="medium">
          <color rgb="FFCCCCCC"/>
        </bottom>
      </border>
    </dxf>
    <dxf>
      <alignment horizontal="general" vertical="bottom" textRotation="0" wrapText="1" indent="0" justifyLastLine="0" shrinkToFit="0" readingOrder="0"/>
      <border diagonalUp="0" diagonalDown="0" outline="0">
        <left style="medium">
          <color rgb="FFCCCCCC"/>
        </left>
        <right style="medium">
          <color rgb="FFCCCCCC"/>
        </right>
        <top/>
        <bottom/>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numFmt numFmtId="19" formatCode="dd/mm/yyyy"/>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numFmt numFmtId="19" formatCode="dd/mm/yyyy"/>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fill>
        <patternFill patternType="solid">
          <fgColor indexed="64"/>
          <bgColor rgb="FFC1E4F5"/>
        </patternFill>
      </fill>
      <alignment horizontal="center" vertical="center" textRotation="0" wrapText="1" indent="0" justifyLastLine="0" shrinkToFit="0" readingOrder="0"/>
      <border diagonalUp="0" diagonalDown="0">
        <left style="medium">
          <color rgb="FFCCCCCC"/>
        </left>
        <right style="medium">
          <color rgb="FFFFFFFF"/>
        </right>
        <top style="medium">
          <color rgb="FFCCCCCC"/>
        </top>
        <bottom style="medium">
          <color rgb="FFFFFFFF"/>
        </bottom>
        <vertical/>
        <horizontal/>
      </border>
    </dxf>
    <dxf>
      <border outline="0">
        <top style="medium">
          <color rgb="FFCCCCCC"/>
        </top>
      </border>
    </dxf>
    <dxf>
      <fill>
        <patternFill patternType="solid">
          <fgColor indexed="64"/>
          <bgColor rgb="FFC1E4F5"/>
        </patternFill>
      </fill>
      <alignment horizontal="center" vertical="center" textRotation="0" wrapText="1" indent="0" justifyLastLine="0" shrinkToFit="0" readingOrder="0"/>
    </dxf>
    <dxf>
      <border outline="0">
        <bottom style="thick">
          <color rgb="FFFFFFFF"/>
        </bottom>
      </border>
    </dxf>
    <dxf>
      <font>
        <b/>
        <i val="0"/>
        <strike val="0"/>
        <condense val="0"/>
        <extend val="0"/>
        <outline val="0"/>
        <shadow val="0"/>
        <u val="none"/>
        <vertAlign val="baseline"/>
        <sz val="11"/>
        <color rgb="FFFFFFFF"/>
        <name val="Aptos Narrow"/>
        <family val="2"/>
        <scheme val="minor"/>
      </font>
      <fill>
        <patternFill patternType="solid">
          <fgColor indexed="64"/>
          <bgColor rgb="FF15608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[Assignment_Ans.xlsx]Q10!PivotTable1</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'Q10'!$U$14</c:f>
              <c:strCache>
                <c:ptCount val="1"/>
                <c:pt idx="0">
                  <c:v>Total</c:v>
                </c:pt>
              </c:strCache>
            </c:strRef>
          </c:tx>
          <c:spPr>
            <a:solidFill>
              <a:schemeClr val="accent1"/>
            </a:solidFill>
            <a:ln>
              <a:noFill/>
            </a:ln>
            <a:effectLst/>
          </c:spPr>
          <c:invertIfNegative val="0"/>
          <c:cat>
            <c:strRef>
              <c:f>'Q10'!$T$15:$T$19</c:f>
              <c:strCache>
                <c:ptCount val="4"/>
                <c:pt idx="0">
                  <c:v>East</c:v>
                </c:pt>
                <c:pt idx="1">
                  <c:v>South</c:v>
                </c:pt>
                <c:pt idx="2">
                  <c:v>North</c:v>
                </c:pt>
                <c:pt idx="3">
                  <c:v>West</c:v>
                </c:pt>
              </c:strCache>
            </c:strRef>
          </c:cat>
          <c:val>
            <c:numRef>
              <c:f>'Q10'!$U$15:$U$19</c:f>
              <c:numCache>
                <c:formatCode>General</c:formatCode>
                <c:ptCount val="4"/>
                <c:pt idx="0">
                  <c:v>4041922</c:v>
                </c:pt>
                <c:pt idx="1">
                  <c:v>7497631.5</c:v>
                </c:pt>
                <c:pt idx="2">
                  <c:v>10022852.5</c:v>
                </c:pt>
                <c:pt idx="3">
                  <c:v>13203531.5</c:v>
                </c:pt>
              </c:numCache>
            </c:numRef>
          </c:val>
          <c:extLst>
            <c:ext xmlns:c16="http://schemas.microsoft.com/office/drawing/2014/chart" uri="{C3380CC4-5D6E-409C-BE32-E72D297353CC}">
              <c16:uniqueId val="{00000000-0A1B-4C4B-8754-C17B4933BBCC}"/>
            </c:ext>
          </c:extLst>
        </c:ser>
        <c:dLbls>
          <c:showLegendKey val="0"/>
          <c:showVal val="0"/>
          <c:showCatName val="0"/>
          <c:showSerName val="0"/>
          <c:showPercent val="0"/>
          <c:showBubbleSize val="0"/>
        </c:dLbls>
        <c:gapWidth val="150"/>
        <c:overlap val="100"/>
        <c:axId val="1401383615"/>
        <c:axId val="1398524591"/>
      </c:barChart>
      <c:catAx>
        <c:axId val="1401383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8524591"/>
        <c:crosses val="autoZero"/>
        <c:auto val="1"/>
        <c:lblAlgn val="ctr"/>
        <c:lblOffset val="100"/>
        <c:noMultiLvlLbl val="0"/>
      </c:catAx>
      <c:valAx>
        <c:axId val="13985245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138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[Assignment_Ans.xlsx]Q10!PivotTable2</c:name>
    <c:fmtId val="12"/>
  </c:pivotSource>
  <c:chart>
    <c:autoTitleDeleted val="1"/>
    <c:pivotFmts>
      <c:pivotFmt>
        <c:idx val="0"/>
        <c:spPr>
          <a:solidFill>
            <a:schemeClr val="accent1"/>
          </a:solidFill>
          <a:ln w="19050">
            <a:solidFill>
              <a:schemeClr val="lt1"/>
            </a:solidFill>
          </a:ln>
          <a:effectLst/>
        </c:spPr>
        <c:marker>
          <c:symbol val="none"/>
        </c:marker>
        <c:dLbl>
          <c:idx val="0"/>
          <c:spPr>
            <a:solidFill>
              <a:srgbClr val="00B0F0"/>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'Q10'!$U$21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2-462C-B06B-13F45C988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2-462C-B06B-13F45C9887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2-462C-B06B-13F45C9887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02-462C-B06B-13F45C988706}"/>
              </c:ext>
            </c:extLst>
          </c:dPt>
          <c:dLbls>
            <c:spPr>
              <a:solidFill>
                <a:srgbClr val="00B0F0"/>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'Q10'!$T$22:$T$26</c:f>
              <c:strCache>
                <c:ptCount val="4"/>
                <c:pt idx="0">
                  <c:v>Stationery</c:v>
                </c:pt>
                <c:pt idx="1">
                  <c:v>Stationary</c:v>
                </c:pt>
                <c:pt idx="2">
                  <c:v>Home Appliances</c:v>
                </c:pt>
                <c:pt idx="3">
                  <c:v>Electronics</c:v>
                </c:pt>
              </c:strCache>
            </c:strRef>
          </c:cat>
          <c:val>
            <c:numRef>
              <c:f>'Q10'!$U$22:$U$26</c:f>
              <c:numCache>
                <c:formatCode>General</c:formatCode>
                <c:ptCount val="4"/>
                <c:pt idx="0">
                  <c:v>55653.5</c:v>
                </c:pt>
                <c:pt idx="1">
                  <c:v>59850</c:v>
                </c:pt>
                <c:pt idx="2">
                  <c:v>6816975</c:v>
                </c:pt>
                <c:pt idx="3">
                  <c:v>27833459</c:v>
                </c:pt>
              </c:numCache>
            </c:numRef>
          </c:val>
          <c:extLst>
            <c:ext xmlns:c16="http://schemas.microsoft.com/office/drawing/2014/chart" uri="{C3380CC4-5D6E-409C-BE32-E72D297353CC}">
              <c16:uniqueId val="{00000000-92A0-4DB0-B9B0-9423B17A149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[Assignment_Ans.xlsx]Q10!PivotTable6</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'Q10'!$U$28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'Q10'!$T$29:$T$31</c:f>
              <c:strCache>
                <c:ptCount val="2"/>
                <c:pt idx="0">
                  <c:v>2025</c:v>
                </c:pt>
                <c:pt idx="1">
                  <c:v>2026</c:v>
                </c:pt>
              </c:strCache>
            </c:strRef>
          </c:cat>
          <c:val>
            <c:numRef>
              <c:f>'Q10'!$U$29:$U$31</c:f>
              <c:numCache>
                <c:formatCode>General</c:formatCode>
                <c:ptCount val="2"/>
                <c:pt idx="0">
                  <c:v>26264122</c:v>
                </c:pt>
                <c:pt idx="1">
                  <c:v>8501815.5</c:v>
                </c:pt>
              </c:numCache>
            </c:numRef>
          </c:val>
          <c:smooth val="0"/>
          <c:extLst>
            <c:ext xmlns:c16="http://schemas.microsoft.com/office/drawing/2014/chart" uri="{C3380CC4-5D6E-409C-BE32-E72D297353CC}">
              <c16:uniqueId val="{00000000-0545-4CF6-A38F-8DFD9B7CB4AA}"/>
            </c:ext>
          </c:extLst>
        </c:ser>
        <c:dLbls>
          <c:dLblPos val="t"/>
          <c:showLegendKey val="0"/>
          <c:showVal val="1"/>
          <c:showCatName val="0"/>
          <c:showSerName val="0"/>
          <c:showPercent val="0"/>
          <c:showBubbleSize val="0"/>
        </c:dLbls>
        <c:smooth val="0"/>
        <c:axId val="1433598399"/>
        <c:axId val="107161231"/>
      </c:lineChart>
      <c:catAx>
        <c:axId val="143359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161231"/>
        <c:crosses val="autoZero"/>
        <c:auto val="1"/>
        <c:lblAlgn val="ctr"/>
        <c:lblOffset val="100"/>
        <c:noMultiLvlLbl val="0"/>
      </c:catAx>
      <c:valAx>
        <c:axId val="1071612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35983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349250</xdr:colOff>
      <xdr:row>3</xdr:row>
      <xdr:rowOff>25400</xdr:rowOff>
    </xdr:from>
    <xdr:to>
      <xdr:col>4</xdr:col>
      <xdr:colOff>228600</xdr:colOff>
      <xdr:row>8</xdr:row>
      <xdr:rowOff>76200</xdr:rowOff>
    </xdr:to>
    <xdr:sp macro="" textlink="">
      <xdr:nvSpPr>
        <xdr:cNvPr id="2" name="Rectangle: Rounded Corners 1">
          <a:extLst>
            <a:ext uri="{FF2B5EF4-FFF2-40B4-BE49-F238E27FC236}">
              <a16:creationId xmlns:a16="http://schemas.microsoft.com/office/drawing/2014/main" id="{F86264B0-BFAA-A7F6-687A-9F3ED4CA53E0}"/>
            </a:ext>
          </a:extLst>
        </xdr:cNvPr>
        <xdr:cNvSpPr/>
      </xdr:nvSpPr>
      <xdr:spPr>
        <a:xfrm>
          <a:off x="958850" y="704850"/>
          <a:ext cx="2057400" cy="9715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600" b="1">
              <a:solidFill>
                <a:schemeClr val="bg2"/>
              </a:solidFill>
            </a:rPr>
            <a:t>Total</a:t>
          </a:r>
          <a:r>
            <a:rPr lang="en-IN" sz="1600" b="1" baseline="0">
              <a:solidFill>
                <a:schemeClr val="bg2"/>
              </a:solidFill>
            </a:rPr>
            <a:t> Sales</a:t>
          </a:r>
          <a:endParaRPr lang="en-IN" sz="1100" b="1">
            <a:solidFill>
              <a:schemeClr val="bg2"/>
            </a:solidFill>
          </a:endParaRPr>
        </a:p>
      </xdr:txBody>
    </xdr:sp>
    <xdr:clientData/>
  </xdr:twoCellAnchor>
  <xdr:twoCellAnchor>
    <xdr:from>
      <xdr:col>6</xdr:col>
      <xdr:colOff>101600</xdr:colOff>
      <xdr:row>3</xdr:row>
      <xdr:rowOff>57150</xdr:rowOff>
    </xdr:from>
    <xdr:to>
      <xdr:col>8</xdr:col>
      <xdr:colOff>641350</xdr:colOff>
      <xdr:row>8</xdr:row>
      <xdr:rowOff>107950</xdr:rowOff>
    </xdr:to>
    <xdr:sp macro="" textlink="">
      <xdr:nvSpPr>
        <xdr:cNvPr id="3" name="Rectangle: Rounded Corners 2">
          <a:extLst>
            <a:ext uri="{FF2B5EF4-FFF2-40B4-BE49-F238E27FC236}">
              <a16:creationId xmlns:a16="http://schemas.microsoft.com/office/drawing/2014/main" id="{F7673989-78B2-42E1-A06D-3F9691FC6264}"/>
            </a:ext>
          </a:extLst>
        </xdr:cNvPr>
        <xdr:cNvSpPr/>
      </xdr:nvSpPr>
      <xdr:spPr>
        <a:xfrm>
          <a:off x="4464050" y="736600"/>
          <a:ext cx="2057400" cy="9715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600" b="1">
              <a:solidFill>
                <a:schemeClr val="bg2"/>
              </a:solidFill>
            </a:rPr>
            <a:t>Total Orders</a:t>
          </a:r>
        </a:p>
      </xdr:txBody>
    </xdr:sp>
    <xdr:clientData/>
  </xdr:twoCellAnchor>
  <xdr:twoCellAnchor>
    <xdr:from>
      <xdr:col>10</xdr:col>
      <xdr:colOff>450850</xdr:colOff>
      <xdr:row>3</xdr:row>
      <xdr:rowOff>88900</xdr:rowOff>
    </xdr:from>
    <xdr:to>
      <xdr:col>13</xdr:col>
      <xdr:colOff>82550</xdr:colOff>
      <xdr:row>8</xdr:row>
      <xdr:rowOff>139700</xdr:rowOff>
    </xdr:to>
    <xdr:sp macro="" textlink="">
      <xdr:nvSpPr>
        <xdr:cNvPr id="4" name="Rectangle: Rounded Corners 3">
          <a:extLst>
            <a:ext uri="{FF2B5EF4-FFF2-40B4-BE49-F238E27FC236}">
              <a16:creationId xmlns:a16="http://schemas.microsoft.com/office/drawing/2014/main" id="{1BC3C8B9-4053-42EC-BFBE-4F853E686DDC}"/>
            </a:ext>
          </a:extLst>
        </xdr:cNvPr>
        <xdr:cNvSpPr/>
      </xdr:nvSpPr>
      <xdr:spPr>
        <a:xfrm>
          <a:off x="7766050" y="768350"/>
          <a:ext cx="2057400" cy="9715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400" b="1"/>
            <a:t>Total Sales per Order</a:t>
          </a:r>
        </a:p>
      </xdr:txBody>
    </xdr:sp>
    <xdr:clientData/>
  </xdr:twoCellAnchor>
  <xdr:twoCellAnchor>
    <xdr:from>
      <xdr:col>1</xdr:col>
      <xdr:colOff>622300</xdr:colOff>
      <xdr:row>6</xdr:row>
      <xdr:rowOff>127000</xdr:rowOff>
    </xdr:from>
    <xdr:to>
      <xdr:col>4</xdr:col>
      <xdr:colOff>69850</xdr:colOff>
      <xdr:row>8</xdr:row>
      <xdr:rowOff>31750</xdr:rowOff>
    </xdr:to>
    <xdr:sp macro="" textlink="Q535">
      <xdr:nvSpPr>
        <xdr:cNvPr id="5" name="Rectangle: Rounded Corners 4">
          <a:extLst>
            <a:ext uri="{FF2B5EF4-FFF2-40B4-BE49-F238E27FC236}">
              <a16:creationId xmlns:a16="http://schemas.microsoft.com/office/drawing/2014/main" id="{3F4A021E-8291-483A-C930-8D4E32AF277B}"/>
            </a:ext>
          </a:extLst>
        </xdr:cNvPr>
        <xdr:cNvSpPr/>
      </xdr:nvSpPr>
      <xdr:spPr>
        <a:xfrm>
          <a:off x="1231900" y="1358900"/>
          <a:ext cx="1625600" cy="27305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110A57D9-A3F1-4D5C-887C-AD51FB4224BA}" type="TxLink">
            <a:rPr lang="en-US" sz="1400" b="1" i="0" u="none" strike="noStrike">
              <a:solidFill>
                <a:schemeClr val="bg1"/>
              </a:solidFill>
              <a:latin typeface="Aptos Narrow"/>
            </a:rPr>
            <a:pPr algn="ctr"/>
            <a:t>34765937.5</a:t>
          </a:fld>
          <a:endParaRPr lang="en-IN" sz="1400">
            <a:solidFill>
              <a:schemeClr val="bg1"/>
            </a:solidFill>
          </a:endParaRPr>
        </a:p>
      </xdr:txBody>
    </xdr:sp>
    <xdr:clientData/>
  </xdr:twoCellAnchor>
  <xdr:twoCellAnchor>
    <xdr:from>
      <xdr:col>6</xdr:col>
      <xdr:colOff>298450</xdr:colOff>
      <xdr:row>6</xdr:row>
      <xdr:rowOff>146050</xdr:rowOff>
    </xdr:from>
    <xdr:to>
      <xdr:col>8</xdr:col>
      <xdr:colOff>533400</xdr:colOff>
      <xdr:row>8</xdr:row>
      <xdr:rowOff>63500</xdr:rowOff>
    </xdr:to>
    <xdr:sp macro="" textlink="B535">
      <xdr:nvSpPr>
        <xdr:cNvPr id="8" name="Rectangle: Rounded Corners 7">
          <a:extLst>
            <a:ext uri="{FF2B5EF4-FFF2-40B4-BE49-F238E27FC236}">
              <a16:creationId xmlns:a16="http://schemas.microsoft.com/office/drawing/2014/main" id="{2C52BCD4-8E56-CD76-3871-A4C62BE8E8AB}"/>
            </a:ext>
          </a:extLst>
        </xdr:cNvPr>
        <xdr:cNvSpPr/>
      </xdr:nvSpPr>
      <xdr:spPr>
        <a:xfrm>
          <a:off x="4660900" y="1377950"/>
          <a:ext cx="1752600" cy="2857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7A489048-0488-4A6C-A53B-A9434C8F6192}" type="TxLink">
            <a:rPr lang="en-US" sz="1400" b="1" i="0" u="none" strike="noStrike">
              <a:solidFill>
                <a:schemeClr val="bg1"/>
              </a:solidFill>
              <a:latin typeface="Aptos Narrow"/>
            </a:rPr>
            <a:pPr algn="ctr"/>
            <a:t>498</a:t>
          </a:fld>
          <a:endParaRPr lang="en-IN" sz="1400">
            <a:solidFill>
              <a:schemeClr val="bg1"/>
            </a:solidFill>
          </a:endParaRPr>
        </a:p>
      </xdr:txBody>
    </xdr:sp>
    <xdr:clientData/>
  </xdr:twoCellAnchor>
  <xdr:twoCellAnchor>
    <xdr:from>
      <xdr:col>11</xdr:col>
      <xdr:colOff>171450</xdr:colOff>
      <xdr:row>7</xdr:row>
      <xdr:rowOff>12700</xdr:rowOff>
    </xdr:from>
    <xdr:to>
      <xdr:col>12</xdr:col>
      <xdr:colOff>876300</xdr:colOff>
      <xdr:row>8</xdr:row>
      <xdr:rowOff>114300</xdr:rowOff>
    </xdr:to>
    <xdr:sp macro="" textlink="E536">
      <xdr:nvSpPr>
        <xdr:cNvPr id="9" name="Rectangle: Rounded Corners 8">
          <a:extLst>
            <a:ext uri="{FF2B5EF4-FFF2-40B4-BE49-F238E27FC236}">
              <a16:creationId xmlns:a16="http://schemas.microsoft.com/office/drawing/2014/main" id="{9BEF8B8E-8844-463A-9900-36C419811EDE}"/>
            </a:ext>
          </a:extLst>
        </xdr:cNvPr>
        <xdr:cNvSpPr/>
      </xdr:nvSpPr>
      <xdr:spPr>
        <a:xfrm>
          <a:off x="7943850" y="1428750"/>
          <a:ext cx="1752600" cy="2857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7340AFEA-3181-4A57-A40D-3DA32EB07761}" type="TxLink">
            <a:rPr lang="en-US" sz="1400" b="1" i="0" u="none" strike="noStrike">
              <a:solidFill>
                <a:schemeClr val="bg1"/>
              </a:solidFill>
              <a:latin typeface="Aptos Narrow"/>
            </a:rPr>
            <a:pPr algn="ctr"/>
            <a:t>7920</a:t>
          </a:fld>
          <a:endParaRPr lang="en-IN" sz="1400">
            <a:solidFill>
              <a:schemeClr val="bg1"/>
            </a:solidFill>
          </a:endParaRPr>
        </a:p>
      </xdr:txBody>
    </xdr:sp>
    <xdr:clientData/>
  </xdr:twoCellAnchor>
  <xdr:twoCellAnchor>
    <xdr:from>
      <xdr:col>1</xdr:col>
      <xdr:colOff>0</xdr:colOff>
      <xdr:row>13</xdr:row>
      <xdr:rowOff>0</xdr:rowOff>
    </xdr:from>
    <xdr:to>
      <xdr:col>6</xdr:col>
      <xdr:colOff>222250</xdr:colOff>
      <xdr:row>27</xdr:row>
      <xdr:rowOff>165100</xdr:rowOff>
    </xdr:to>
    <xdr:graphicFrame macro="">
      <xdr:nvGraphicFramePr>
        <xdr:cNvPr id="12" name="Chart 11">
          <a:extLst>
            <a:ext uri="{FF2B5EF4-FFF2-40B4-BE49-F238E27FC236}">
              <a16:creationId xmlns:a16="http://schemas.microsoft.com/office/drawing/2014/main" id="{7668A440-EEC3-45B9-8937-E7C5B0C35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676275</xdr:colOff>
      <xdr:row>13</xdr:row>
      <xdr:rowOff>3562</xdr:rowOff>
    </xdr:from>
    <xdr:to>
      <xdr:col>12</xdr:col>
      <xdr:colOff>377825</xdr:colOff>
      <xdr:row>27</xdr:row>
      <xdr:rowOff>170366</xdr:rowOff>
    </xdr:to>
    <xdr:graphicFrame macro="">
      <xdr:nvGraphicFramePr>
        <xdr:cNvPr id="15" name="Chart 14">
          <a:extLst>
            <a:ext uri="{FF2B5EF4-FFF2-40B4-BE49-F238E27FC236}">
              <a16:creationId xmlns:a16="http://schemas.microsoft.com/office/drawing/2014/main" id="{240754C6-5C32-0407-6CCC-BCEF77F00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828598</xdr:colOff>
      <xdr:row>10</xdr:row>
      <xdr:rowOff>131646</xdr:rowOff>
    </xdr:from>
    <xdr:to>
      <xdr:col>5</xdr:col>
      <xdr:colOff>650488</xdr:colOff>
      <xdr:row>12</xdr:row>
      <xdr:rowOff>61952</xdr:rowOff>
    </xdr:to>
    <xdr:sp macro="" textlink="">
      <xdr:nvSpPr>
        <xdr:cNvPr id="6" name="Rectangle: Rounded Corners 5">
          <a:extLst>
            <a:ext uri="{FF2B5EF4-FFF2-40B4-BE49-F238E27FC236}">
              <a16:creationId xmlns:a16="http://schemas.microsoft.com/office/drawing/2014/main" id="{D012CCEE-84D8-D9BD-3D4C-001F5B74D135}"/>
            </a:ext>
          </a:extLst>
        </xdr:cNvPr>
        <xdr:cNvSpPr/>
      </xdr:nvSpPr>
      <xdr:spPr>
        <a:xfrm>
          <a:off x="2145061" y="2114085"/>
          <a:ext cx="2462561" cy="302013"/>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Sale by Region</a:t>
          </a:r>
          <a:endParaRPr lang="en-IN" sz="1100" b="1"/>
        </a:p>
      </xdr:txBody>
    </xdr:sp>
    <xdr:clientData/>
  </xdr:twoCellAnchor>
  <xdr:twoCellAnchor>
    <xdr:from>
      <xdr:col>7</xdr:col>
      <xdr:colOff>139390</xdr:colOff>
      <xdr:row>10</xdr:row>
      <xdr:rowOff>92926</xdr:rowOff>
    </xdr:from>
    <xdr:to>
      <xdr:col>11</xdr:col>
      <xdr:colOff>1014452</xdr:colOff>
      <xdr:row>12</xdr:row>
      <xdr:rowOff>30974</xdr:rowOff>
    </xdr:to>
    <xdr:sp macro="" textlink="">
      <xdr:nvSpPr>
        <xdr:cNvPr id="7" name="Rectangle: Rounded Corners 6">
          <a:extLst>
            <a:ext uri="{FF2B5EF4-FFF2-40B4-BE49-F238E27FC236}">
              <a16:creationId xmlns:a16="http://schemas.microsoft.com/office/drawing/2014/main" id="{90BB7643-7B38-4CF2-97DF-94ABE27CBD61}"/>
            </a:ext>
          </a:extLst>
        </xdr:cNvPr>
        <xdr:cNvSpPr/>
      </xdr:nvSpPr>
      <xdr:spPr>
        <a:xfrm>
          <a:off x="6272561" y="2129572"/>
          <a:ext cx="3523476" cy="309756"/>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 Distribuation by Categeory</a:t>
          </a:r>
          <a:endParaRPr lang="en-IN" sz="1200" b="1"/>
        </a:p>
      </xdr:txBody>
    </xdr:sp>
    <xdr:clientData/>
  </xdr:twoCellAnchor>
  <xdr:twoCellAnchor editAs="absolute">
    <xdr:from>
      <xdr:col>21</xdr:col>
      <xdr:colOff>166489</xdr:colOff>
      <xdr:row>14</xdr:row>
      <xdr:rowOff>81471</xdr:rowOff>
    </xdr:from>
    <xdr:to>
      <xdr:col>23</xdr:col>
      <xdr:colOff>500716</xdr:colOff>
      <xdr:row>22</xdr:row>
      <xdr:rowOff>121321</xdr:rowOff>
    </xdr:to>
    <mc:AlternateContent xmlns:mc="http://schemas.openxmlformats.org/markup-compatibility/2006">
      <mc:Choice xmlns:sle15="http://schemas.microsoft.com/office/drawing/2012/slicer" Requires="sle15">
        <xdr:graphicFrame macro="">
          <xdr:nvGraphicFramePr>
            <xdr:cNvPr id="10" name="Region">
              <a:extLst>
                <a:ext uri="{FF2B5EF4-FFF2-40B4-BE49-F238E27FC236}">
                  <a16:creationId xmlns:a16="http://schemas.microsoft.com/office/drawing/2014/main" id="{FB823A46-4AAE-7ECE-7833-BB936EEAA4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764292" y="2823516"/>
              <a:ext cx="1835136" cy="1502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177857</xdr:colOff>
      <xdr:row>23</xdr:row>
      <xdr:rowOff>61737</xdr:rowOff>
    </xdr:from>
    <xdr:to>
      <xdr:col>23</xdr:col>
      <xdr:colOff>513726</xdr:colOff>
      <xdr:row>31</xdr:row>
      <xdr:rowOff>55851</xdr:rowOff>
    </xdr:to>
    <mc:AlternateContent xmlns:mc="http://schemas.openxmlformats.org/markup-compatibility/2006">
      <mc:Choice xmlns:sle15="http://schemas.microsoft.com/office/drawing/2012/slicer" Requires="sle15">
        <xdr:graphicFrame macro="">
          <xdr:nvGraphicFramePr>
            <xdr:cNvPr id="11" name="Category">
              <a:extLst>
                <a:ext uri="{FF2B5EF4-FFF2-40B4-BE49-F238E27FC236}">
                  <a16:creationId xmlns:a16="http://schemas.microsoft.com/office/drawing/2014/main" id="{754E3DF8-25BD-3A82-CB14-A89F774EE0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775660" y="4449010"/>
              <a:ext cx="1836778" cy="14565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19</xdr:col>
      <xdr:colOff>443043</xdr:colOff>
      <xdr:row>4</xdr:row>
      <xdr:rowOff>165925</xdr:rowOff>
    </xdr:from>
    <xdr:to>
      <xdr:col>23</xdr:col>
      <xdr:colOff>137276</xdr:colOff>
      <xdr:row>12</xdr:row>
      <xdr:rowOff>53747</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B70F868B-2203-2A2F-4F46-FA615640887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520088" y="1079940"/>
              <a:ext cx="3715900" cy="13502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890548</xdr:colOff>
      <xdr:row>13</xdr:row>
      <xdr:rowOff>46463</xdr:rowOff>
    </xdr:from>
    <xdr:to>
      <xdr:col>18</xdr:col>
      <xdr:colOff>274133</xdr:colOff>
      <xdr:row>28</xdr:row>
      <xdr:rowOff>1858</xdr:rowOff>
    </xdr:to>
    <xdr:graphicFrame macro="">
      <xdr:nvGraphicFramePr>
        <xdr:cNvPr id="16" name="Chart 15">
          <a:extLst>
            <a:ext uri="{FF2B5EF4-FFF2-40B4-BE49-F238E27FC236}">
              <a16:creationId xmlns:a16="http://schemas.microsoft.com/office/drawing/2014/main" id="{01B3F30A-C5B3-4EF1-8A0F-4D89B187A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247804</xdr:colOff>
      <xdr:row>10</xdr:row>
      <xdr:rowOff>170365</xdr:rowOff>
    </xdr:from>
    <xdr:to>
      <xdr:col>17</xdr:col>
      <xdr:colOff>441402</xdr:colOff>
      <xdr:row>12</xdr:row>
      <xdr:rowOff>108413</xdr:rowOff>
    </xdr:to>
    <xdr:sp macro="" textlink="">
      <xdr:nvSpPr>
        <xdr:cNvPr id="17" name="Rectangle: Rounded Corners 16">
          <a:extLst>
            <a:ext uri="{FF2B5EF4-FFF2-40B4-BE49-F238E27FC236}">
              <a16:creationId xmlns:a16="http://schemas.microsoft.com/office/drawing/2014/main" id="{BCC5B0CA-A937-4632-B0A5-1465A16135FB}"/>
            </a:ext>
          </a:extLst>
        </xdr:cNvPr>
        <xdr:cNvSpPr/>
      </xdr:nvSpPr>
      <xdr:spPr>
        <a:xfrm>
          <a:off x="11127987" y="2207011"/>
          <a:ext cx="3523476" cy="309756"/>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400" b="1" i="0" baseline="0">
              <a:solidFill>
                <a:schemeClr val="lt1"/>
              </a:solidFill>
              <a:effectLst/>
              <a:latin typeface="+mn-lt"/>
              <a:ea typeface="+mn-ea"/>
              <a:cs typeface="+mn-cs"/>
            </a:rPr>
            <a:t>Monthly Sales Trend</a:t>
          </a:r>
          <a:endParaRPr lang="en-IN" sz="1800" b="1">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Adarsh" refreshedDate="46322.93869722222" createdVersion="8" refreshedVersion="8" minRefreshableVersion="3" recordCount="500" xr:uid="{EC23D7C3-6BF2-4655-8AAF-8F07AE7B724B}">
  <cacheSource type="worksheet">
    <worksheetSource name="Table2"/>
  </cacheSource>
  <cacheFields count="25">
    <cacheField name="Order_ID" numFmtId="0">
      <sharedItems containsBlank="1"/>
    </cacheField>
    <cacheField name="Customer_ID" numFmtId="0">
      <sharedItems/>
    </cacheField>
    <cacheField name="Product_ID" numFmtId="0">
      <sharedItems/>
    </cacheField>
    <cacheField name="Order_Date" numFmtId="14">
      <sharedItems containsSemiMixedTypes="0" containsNonDate="0" containsDate="1" containsString="0" minDate="2025-01-01T00:00:00" maxDate="2026-05-17T00:00:00" count="326">
        <d v="2025-09-18T00:00:00"/>
        <d v="2025-04-27T00:00:00"/>
        <d v="2025-09-03T00:00:00"/>
        <d v="2026-03-21T00:00:00"/>
        <d v="2025-09-27T00:00:00"/>
        <d v="2026-01-04T00:00:00"/>
        <d v="2025-02-24T00:00:00"/>
        <d v="2025-04-13T00:00:00"/>
        <d v="2026-01-31T00:00:00"/>
        <d v="2025-03-25T00:00:00"/>
        <d v="2025-09-19T00:00:00"/>
        <d v="2025-03-08T00:00:00"/>
        <d v="2025-01-10T00:00:00"/>
        <d v="2025-03-09T00:00:00"/>
        <d v="2025-07-26T00:00:00"/>
        <d v="2026-04-08T00:00:00"/>
        <d v="2026-02-22T00:00:00"/>
        <d v="2026-02-28T00:00:00"/>
        <d v="2025-12-01T00:00:00"/>
        <d v="2025-06-25T00:00:00"/>
        <d v="2025-04-26T00:00:00"/>
        <d v="2025-01-03T00:00:00"/>
        <d v="2025-04-19T00:00:00"/>
        <d v="2025-12-22T00:00:00"/>
        <d v="2026-04-09T00:00:00"/>
        <d v="2025-06-24T00:00:00"/>
        <d v="2025-05-22T00:00:00"/>
        <d v="2026-03-13T00:00:00"/>
        <d v="2025-09-08T00:00:00"/>
        <d v="2026-01-11T00:00:00"/>
        <d v="2025-06-16T00:00:00"/>
        <d v="2025-07-01T00:00:00"/>
        <d v="2025-03-07T00:00:00"/>
        <d v="2025-10-09T00:00:00"/>
        <d v="2025-11-19T00:00:00"/>
        <d v="2025-11-05T00:00:00"/>
        <d v="2026-03-08T00:00:00"/>
        <d v="2025-02-13T00:00:00"/>
        <d v="2025-10-05T00:00:00"/>
        <d v="2026-02-10T00:00:00"/>
        <d v="2025-06-04T00:00:00"/>
        <d v="2026-02-08T00:00:00"/>
        <d v="2025-03-30T00:00:00"/>
        <d v="2025-04-25T00:00:00"/>
        <d v="2025-10-13T00:00:00"/>
        <d v="2025-10-11T00:00:00"/>
        <d v="2025-11-27T00:00:00"/>
        <d v="2026-04-19T00:00:00"/>
        <d v="2025-03-28T00:00:00"/>
        <d v="2025-08-25T00:00:00"/>
        <d v="2025-08-19T00:00:00"/>
        <d v="2025-07-27T00:00:00"/>
        <d v="2025-02-21T00:00:00"/>
        <d v="2025-08-10T00:00:00"/>
        <d v="2026-03-24T00:00:00"/>
        <d v="2025-06-15T00:00:00"/>
        <d v="2025-03-05T00:00:00"/>
        <d v="2025-08-16T00:00:00"/>
        <d v="2026-05-13T00:00:00"/>
        <d v="2025-03-01T00:00:00"/>
        <d v="2025-02-09T00:00:00"/>
        <d v="2026-01-09T00:00:00"/>
        <d v="2025-09-01T00:00:00"/>
        <d v="2026-02-09T00:00:00"/>
        <d v="2025-12-14T00:00:00"/>
        <d v="2025-04-07T00:00:00"/>
        <d v="2025-12-24T00:00:00"/>
        <d v="2025-08-30T00:00:00"/>
        <d v="2025-12-13T00:00:00"/>
        <d v="2026-02-04T00:00:00"/>
        <d v="2026-01-26T00:00:00"/>
        <d v="2025-06-27T00:00:00"/>
        <d v="2026-03-17T00:00:00"/>
        <d v="2025-06-09T00:00:00"/>
        <d v="2025-11-15T00:00:00"/>
        <d v="2025-11-06T00:00:00"/>
        <d v="2025-01-01T00:00:00"/>
        <d v="2026-04-25T00:00:00"/>
        <d v="2025-03-18T00:00:00"/>
        <d v="2025-10-30T00:00:00"/>
        <d v="2025-10-31T00:00:00"/>
        <d v="2025-04-10T00:00:00"/>
        <d v="2026-03-16T00:00:00"/>
        <d v="2025-09-15T00:00:00"/>
        <d v="2026-03-11T00:00:00"/>
        <d v="2025-08-20T00:00:00"/>
        <d v="2025-08-13T00:00:00"/>
        <d v="2025-03-16T00:00:00"/>
        <d v="2025-09-04T00:00:00"/>
        <d v="2025-04-12T00:00:00"/>
        <d v="2026-05-04T00:00:00"/>
        <d v="2026-01-18T00:00:00"/>
        <d v="2026-03-14T00:00:00"/>
        <d v="2025-05-09T00:00:00"/>
        <d v="2026-05-07T00:00:00"/>
        <d v="2025-04-21T00:00:00"/>
        <d v="2025-12-11T00:00:00"/>
        <d v="2025-01-13T00:00:00"/>
        <d v="2025-03-17T00:00:00"/>
        <d v="2025-02-25T00:00:00"/>
        <d v="2025-02-26T00:00:00"/>
        <d v="2025-07-10T00:00:00"/>
        <d v="2025-11-18T00:00:00"/>
        <d v="2025-04-09T00:00:00"/>
        <d v="2026-04-03T00:00:00"/>
        <d v="2025-10-23T00:00:00"/>
        <d v="2025-04-03T00:00:00"/>
        <d v="2025-08-24T00:00:00"/>
        <d v="2025-05-31T00:00:00"/>
        <d v="2025-05-30T00:00:00"/>
        <d v="2026-01-03T00:00:00"/>
        <d v="2025-10-20T00:00:00"/>
        <d v="2025-05-11T00:00:00"/>
        <d v="2026-01-02T00:00:00"/>
        <d v="2026-04-20T00:00:00"/>
        <d v="2025-08-04T00:00:00"/>
        <d v="2026-04-27T00:00:00"/>
        <d v="2026-02-17T00:00:00"/>
        <d v="2026-04-04T00:00:00"/>
        <d v="2025-06-08T00:00:00"/>
        <d v="2025-07-25T00:00:00"/>
        <d v="2025-01-16T00:00:00"/>
        <d v="2025-02-04T00:00:00"/>
        <d v="2025-01-22T00:00:00"/>
        <d v="2025-04-11T00:00:00"/>
        <d v="2025-07-04T00:00:00"/>
        <d v="2025-12-17T00:00:00"/>
        <d v="2025-10-10T00:00:00"/>
        <d v="2026-03-07T00:00:00"/>
        <d v="2025-12-23T00:00:00"/>
        <d v="2025-07-07T00:00:00"/>
        <d v="2026-05-03T00:00:00"/>
        <d v="2025-11-29T00:00:00"/>
        <d v="2025-07-14T00:00:00"/>
        <d v="2025-03-13T00:00:00"/>
        <d v="2025-07-22T00:00:00"/>
        <d v="2025-07-21T00:00:00"/>
        <d v="2025-07-19T00:00:00"/>
        <d v="2025-11-04T00:00:00"/>
        <d v="2025-06-19T00:00:00"/>
        <d v="2025-03-26T00:00:00"/>
        <d v="2025-07-06T00:00:00"/>
        <d v="2026-04-01T00:00:00"/>
        <d v="2025-10-28T00:00:00"/>
        <d v="2025-02-06T00:00:00"/>
        <d v="2025-03-14T00:00:00"/>
        <d v="2025-12-02T00:00:00"/>
        <d v="2026-02-14T00:00:00"/>
        <d v="2025-11-09T00:00:00"/>
        <d v="2025-02-07T00:00:00"/>
        <d v="2025-05-26T00:00:00"/>
        <d v="2025-10-04T00:00:00"/>
        <d v="2025-05-15T00:00:00"/>
        <d v="2025-06-14T00:00:00"/>
        <d v="2025-04-22T00:00:00"/>
        <d v="2025-12-16T00:00:00"/>
        <d v="2026-05-12T00:00:00"/>
        <d v="2025-11-16T00:00:00"/>
        <d v="2025-02-16T00:00:00"/>
        <d v="2025-04-28T00:00:00"/>
        <d v="2026-04-15T00:00:00"/>
        <d v="2025-02-20T00:00:00"/>
        <d v="2025-05-24T00:00:00"/>
        <d v="2026-01-06T00:00:00"/>
        <d v="2025-03-06T00:00:00"/>
        <d v="2026-04-06T00:00:00"/>
        <d v="2026-01-17T00:00:00"/>
        <d v="2025-09-21T00:00:00"/>
        <d v="2025-12-18T00:00:00"/>
        <d v="2025-06-02T00:00:00"/>
        <d v="2026-04-22T00:00:00"/>
        <d v="2026-03-06T00:00:00"/>
        <d v="2025-02-28T00:00:00"/>
        <d v="2026-01-30T00:00:00"/>
        <d v="2026-04-29T00:00:00"/>
        <d v="2025-05-18T00:00:00"/>
        <d v="2026-03-26T00:00:00"/>
        <d v="2026-01-19T00:00:00"/>
        <d v="2026-05-02T00:00:00"/>
        <d v="2025-07-20T00:00:00"/>
        <d v="2025-02-19T00:00:00"/>
        <d v="2025-04-20T00:00:00"/>
        <d v="2025-06-05T00:00:00"/>
        <d v="2025-05-20T00:00:00"/>
        <d v="2026-01-24T00:00:00"/>
        <d v="2025-06-11T00:00:00"/>
        <d v="2026-01-16T00:00:00"/>
        <d v="2026-02-20T00:00:00"/>
        <d v="2025-07-09T00:00:00"/>
        <d v="2025-02-08T00:00:00"/>
        <d v="2026-01-27T00:00:00"/>
        <d v="2026-01-08T00:00:00"/>
        <d v="2026-05-16T00:00:00"/>
        <d v="2025-05-25T00:00:00"/>
        <d v="2025-12-28T00:00:00"/>
        <d v="2025-03-23T00:00:00"/>
        <d v="2025-12-15T00:00:00"/>
        <d v="2025-11-03T00:00:00"/>
        <d v="2026-05-09T00:00:00"/>
        <d v="2025-07-08T00:00:00"/>
        <d v="2025-12-12T00:00:00"/>
        <d v="2025-05-03T00:00:00"/>
        <d v="2025-01-09T00:00:00"/>
        <d v="2025-04-17T00:00:00"/>
        <d v="2025-08-09T00:00:00"/>
        <d v="2025-06-22T00:00:00"/>
        <d v="2025-05-19T00:00:00"/>
        <d v="2025-03-29T00:00:00"/>
        <d v="2026-02-18T00:00:00"/>
        <d v="2026-01-21T00:00:00"/>
        <d v="2025-09-17T00:00:00"/>
        <d v="2025-05-12T00:00:00"/>
        <d v="2025-09-06T00:00:00"/>
        <d v="2025-04-23T00:00:00"/>
        <d v="2026-02-21T00:00:00"/>
        <d v="2025-09-22T00:00:00"/>
        <d v="2026-05-08T00:00:00"/>
        <d v="2025-03-27T00:00:00"/>
        <d v="2025-03-12T00:00:00"/>
        <d v="2026-02-13T00:00:00"/>
        <d v="2025-02-11T00:00:00"/>
        <d v="2025-01-17T00:00:00"/>
        <d v="2025-04-01T00:00:00"/>
        <d v="2026-02-25T00:00:00"/>
        <d v="2025-05-16T00:00:00"/>
        <d v="2025-07-23T00:00:00"/>
        <d v="2026-04-23T00:00:00"/>
        <d v="2025-03-02T00:00:00"/>
        <d v="2025-08-28T00:00:00"/>
        <d v="2025-10-06T00:00:00"/>
        <d v="2026-04-26T00:00:00"/>
        <d v="2025-05-08T00:00:00"/>
        <d v="2025-12-26T00:00:00"/>
        <d v="2026-02-24T00:00:00"/>
        <d v="2025-02-27T00:00:00"/>
        <d v="2025-06-03T00:00:00"/>
        <d v="2025-12-10T00:00:00"/>
        <d v="2025-11-25T00:00:00"/>
        <d v="2025-10-29T00:00:00"/>
        <d v="2026-03-05T00:00:00"/>
        <d v="2025-08-26T00:00:00"/>
        <d v="2025-04-05T00:00:00"/>
        <d v="2025-12-04T00:00:00"/>
        <d v="2026-01-05T00:00:00"/>
        <d v="2025-07-28T00:00:00"/>
        <d v="2025-10-15T00:00:00"/>
        <d v="2025-12-06T00:00:00"/>
        <d v="2025-08-05T00:00:00"/>
        <d v="2026-04-16T00:00:00"/>
        <d v="2025-12-05T00:00:00"/>
        <d v="2025-07-30T00:00:00"/>
        <d v="2025-07-18T00:00:00"/>
        <d v="2025-02-10T00:00:00"/>
        <d v="2026-04-11T00:00:00"/>
        <d v="2026-05-10T00:00:00"/>
        <d v="2026-01-23T00:00:00"/>
        <d v="2025-04-30T00:00:00"/>
        <d v="2025-02-03T00:00:00"/>
        <d v="2025-02-01T00:00:00"/>
        <d v="2025-06-12T00:00:00"/>
        <d v="2025-11-01T00:00:00"/>
        <d v="2025-01-24T00:00:00"/>
        <d v="2025-10-01T00:00:00"/>
        <d v="2025-09-29T00:00:00"/>
        <d v="2025-05-14T00:00:00"/>
        <d v="2026-02-19T00:00:00"/>
        <d v="2025-01-25T00:00:00"/>
        <d v="2025-06-20T00:00:00"/>
        <d v="2025-05-28T00:00:00"/>
        <d v="2025-01-28T00:00:00"/>
        <d v="2025-08-03T00:00:00"/>
        <d v="2025-01-15T00:00:00"/>
        <d v="2025-01-31T00:00:00"/>
        <d v="2025-11-02T00:00:00"/>
        <d v="2025-05-13T00:00:00"/>
        <d v="2025-12-27T00:00:00"/>
        <d v="2025-07-02T00:00:00"/>
        <d v="2025-01-27T00:00:00"/>
        <d v="2026-05-11T00:00:00"/>
        <d v="2026-02-11T00:00:00"/>
        <d v="2026-03-27T00:00:00"/>
        <d v="2026-04-17T00:00:00"/>
        <d v="2025-12-29T00:00:00"/>
        <d v="2025-01-12T00:00:00"/>
        <d v="2026-01-13T00:00:00"/>
        <d v="2026-03-15T00:00:00"/>
        <d v="2025-08-27T00:00:00"/>
        <d v="2025-10-12T00:00:00"/>
        <d v="2026-01-14T00:00:00"/>
        <d v="2025-02-22T00:00:00"/>
        <d v="2025-04-18T00:00:00"/>
        <d v="2025-03-20T00:00:00"/>
        <d v="2025-10-22T00:00:00"/>
        <d v="2025-12-31T00:00:00"/>
        <d v="2025-06-21T00:00:00"/>
        <d v="2025-05-02T00:00:00"/>
        <d v="2025-06-29T00:00:00"/>
        <d v="2026-02-12T00:00:00"/>
        <d v="2025-03-03T00:00:00"/>
        <d v="2026-04-24T00:00:00"/>
        <d v="2025-02-17T00:00:00"/>
        <d v="2026-03-22T00:00:00"/>
        <d v="2026-04-02T00:00:00"/>
        <d v="2025-02-18T00:00:00"/>
        <d v="2026-03-29T00:00:00"/>
        <d v="2025-05-04T00:00:00"/>
        <d v="2025-08-23T00:00:00"/>
        <d v="2025-05-29T00:00:00"/>
        <d v="2025-09-12T00:00:00"/>
        <d v="2026-03-04T00:00:00"/>
        <d v="2025-08-01T00:00:00"/>
        <d v="2025-04-08T00:00:00"/>
        <d v="2025-10-18T00:00:00"/>
        <d v="2026-01-28T00:00:00"/>
        <d v="2025-01-21T00:00:00"/>
        <d v="2025-10-19T00:00:00"/>
        <d v="2026-01-12T00:00:00"/>
        <d v="2025-01-26T00:00:00"/>
        <d v="2026-04-07T00:00:00"/>
        <d v="2025-06-26T00:00:00"/>
        <d v="2026-03-23T00:00:00"/>
        <d v="2026-05-05T00:00:00"/>
        <d v="2025-02-23T00:00:00"/>
        <d v="2025-07-29T00:00:00"/>
        <d v="2025-10-21T00:00:00"/>
        <d v="2025-09-16T00:00:00"/>
      </sharedItems>
      <fieldGroup par="24"/>
    </cacheField>
    <cacheField name="Delivery_Date" numFmtId="0">
      <sharedItems containsNonDate="0" containsDate="1" containsString="0" containsBlank="1" minDate="2025-01-07T00:00:00" maxDate="2026-05-24T00:00:00"/>
    </cacheField>
    <cacheField name="Customer_Name" numFmtId="0">
      <sharedItems/>
    </cacheField>
    <cacheField name="Gender" numFmtId="0">
      <sharedItems/>
    </cacheField>
    <cacheField name="DOB" numFmtId="14">
      <sharedItems containsSemiMixedTypes="0" containsNonDate="0" containsDate="1" containsString="0" minDate="1975-02-12T00:00:00" maxDate="2004-12-29T00:00:00"/>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sharedItems>
    </cacheField>
    <cacheField name="Product_Name" numFmtId="0">
      <sharedItems/>
    </cacheField>
    <cacheField name="Quantity" numFmtId="0">
      <sharedItems containsMixedTypes="1" containsNumber="1" containsInteger="1" minValue="-3" maxValue="20"/>
    </cacheField>
    <cacheField name="Unit_Price" numFmtId="0">
      <sharedItems containsSemiMixedTypes="0" containsString="0"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ontainsBlank="1"/>
    </cacheField>
    <cacheField name="Email" numFmtId="0">
      <sharedItems/>
    </cacheField>
    <cacheField name="Phone" numFmtId="0">
      <sharedItems containsSemiMixedTypes="0" containsString="0" containsNumber="1" containsInteger="1" minValue="98765" maxValue="9999889465"/>
    </cacheField>
    <cacheField name="Order_Status" numFmtId="0">
      <sharedItems/>
    </cacheField>
    <cacheField name="Months (Order_Date)" numFmtId="0" databaseField="0">
      <fieldGroup base="3">
        <rangePr groupBy="months" startDate="2025-01-01T00:00:00" endDate="2026-05-17T00:00:00"/>
        <groupItems count="14">
          <s v="&lt;01-01-2025"/>
          <s v="Jan"/>
          <s v="Feb"/>
          <s v="Mar"/>
          <s v="Apr"/>
          <s v="May"/>
          <s v="Jun"/>
          <s v="Jul"/>
          <s v="Aug"/>
          <s v="Sep"/>
          <s v="Oct"/>
          <s v="Nov"/>
          <s v="Dec"/>
          <s v="&gt;17-05-2026"/>
        </groupItems>
      </fieldGroup>
    </cacheField>
    <cacheField name="Quarters (Order_Date)" numFmtId="0" databaseField="0">
      <fieldGroup base="3">
        <rangePr groupBy="quarters" startDate="2025-01-01T00:00:00" endDate="2026-05-17T00:00:00"/>
        <groupItems count="6">
          <s v="&lt;01-01-2025"/>
          <s v="Qtr1"/>
          <s v="Qtr2"/>
          <s v="Qtr3"/>
          <s v="Qtr4"/>
          <s v="&gt;17-05-2026"/>
        </groupItems>
      </fieldGroup>
    </cacheField>
    <cacheField name="Years (Order_Date)" numFmtId="0" databaseField="0">
      <fieldGroup base="3">
        <rangePr groupBy="years" startDate="2025-01-01T00:00:00" endDate="2026-05-17T00:00:00"/>
        <groupItems count="4">
          <s v="&lt;01-01-2025"/>
          <s v="2025"/>
          <s v="2026"/>
          <s v="&gt;17-05-2026"/>
        </groupItems>
      </fieldGroup>
    </cacheField>
  </cacheFields>
  <extLst>
    <ext xmlns:x14="http://schemas.microsoft.com/office/spreadsheetml/2009/9/main" uri="{725AE2AE-9491-48be-B2B4-4EB974FC3084}">
      <x14:pivotCacheDefinition pivotCacheId="89613637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s v="C008"/>
    <s v="P202"/>
    <x v="0"/>
    <d v="2025-09-22T00:00:00"/>
    <s v="Kavya Nair"/>
    <s v="Female"/>
    <d v="1976-08-01T00:00:00"/>
    <s v="Hyderabad"/>
    <x v="0"/>
    <x v="0"/>
    <s v="Iron"/>
    <n v="4"/>
    <n v="2200"/>
    <n v="10"/>
    <n v="7920"/>
    <n v="4"/>
    <s v="Cash"/>
    <s v="Ritika"/>
    <s v="KAvya.nair@company.com"/>
    <n v="9431429797"/>
    <s v="Completed"/>
  </r>
  <r>
    <s v="ORD10002"/>
    <s v="C008"/>
    <s v="P104"/>
    <x v="1"/>
    <d v="2025-05-04T00:00:00"/>
    <s v="Kavya Nair"/>
    <s v="Female"/>
    <d v="2000-10-16T00:00:00"/>
    <s v="Delhi"/>
    <x v="1"/>
    <x v="1"/>
    <s v="Monitor"/>
    <n v="17"/>
    <n v="12000"/>
    <n v="10"/>
    <n v="183600"/>
    <n v="1"/>
    <s v="NetBanking"/>
    <s v="Rahul"/>
    <s v="KAvya.nair@company.com"/>
    <n v="9129865339"/>
    <s v="Completed"/>
  </r>
  <r>
    <s v="ORD10003"/>
    <s v="C010"/>
    <s v="P101"/>
    <x v="2"/>
    <d v="2025-09-14T00:00:00"/>
    <s v="pooja shah"/>
    <s v="Female"/>
    <d v="1994-09-16T00:00:00"/>
    <s v="Bengaluru"/>
    <x v="0"/>
    <x v="1"/>
    <s v="Laptop"/>
    <n v="5"/>
    <n v="55000"/>
    <n v="5"/>
    <n v="261250"/>
    <n v="3"/>
    <s v="NetBanking"/>
    <s v="Aisha"/>
    <s v="pooja.shah@company.com"/>
    <n v="9380975626"/>
    <s v="Pending"/>
  </r>
  <r>
    <s v="ORD10005"/>
    <s v="C008"/>
    <s v="P202"/>
    <x v="3"/>
    <d v="2026-04-02T00:00:00"/>
    <s v="Kavya Nair"/>
    <s v="Female"/>
    <d v="2004-03-07T00:00:00"/>
    <s v="Bengaluru"/>
    <x v="0"/>
    <x v="0"/>
    <s v="Iron"/>
    <n v="5"/>
    <n v="2200"/>
    <n v="5"/>
    <n v="10450"/>
    <n v="5"/>
    <s v="NetBanking"/>
    <s v="Aisha"/>
    <s v="KAvya.nair@company.com"/>
    <n v="9600261125"/>
    <s v="Cancelled"/>
  </r>
  <r>
    <s v="ORD10006"/>
    <s v="C009"/>
    <s v="P103"/>
    <x v="4"/>
    <d v="2025-10-07T00:00:00"/>
    <s v="Mohit Verma"/>
    <s v="Male"/>
    <d v="1976-04-13T00:00:00"/>
    <s v="Delhi"/>
    <x v="1"/>
    <x v="1"/>
    <s v="Keyboard"/>
    <n v="8"/>
    <n v="1200"/>
    <n v="5"/>
    <n v="9120"/>
    <n v="2"/>
    <s v="Card"/>
    <s v="Aisha"/>
    <s v="mohit.verma@company.com"/>
    <n v="9724635978"/>
    <s v="Pending"/>
  </r>
  <r>
    <s v="ORD10007"/>
    <s v="C007"/>
    <s v="P202"/>
    <x v="5"/>
    <d v="2026-01-12T00:00:00"/>
    <s v="arjun Rao"/>
    <s v="Male"/>
    <d v="1988-02-07T00:00:00"/>
    <s v="Hyderabad"/>
    <x v="0"/>
    <x v="0"/>
    <s v="Iron"/>
    <n v="4"/>
    <n v="2200"/>
    <n v="0"/>
    <n v="8800"/>
    <n v="1"/>
    <s v="UPI"/>
    <s v="Ritika"/>
    <s v="arjun.rao@company.com"/>
    <n v="9780584905"/>
    <s v="Completed"/>
  </r>
  <r>
    <s v="ORD10008"/>
    <s v="C008"/>
    <s v="P201"/>
    <x v="6"/>
    <d v="2026-02-25T00:00:00"/>
    <s v="Kavya Nair"/>
    <s v="Female"/>
    <d v="2003-03-20T00:00:00"/>
    <s v="Hyderabad"/>
    <x v="0"/>
    <x v="0"/>
    <s v="Mixer"/>
    <n v="2"/>
    <n v="3500"/>
    <n v="5"/>
    <n v="6650"/>
    <n v="1"/>
    <s v="UPI"/>
    <s v="Ritika"/>
    <s v="KAvya.nair@company.com"/>
    <n v="9958252176"/>
    <s v="Completed"/>
  </r>
  <r>
    <s v="ORD10009"/>
    <s v="C002"/>
    <s v="P104"/>
    <x v="7"/>
    <d v="2025-04-19T00:00:00"/>
    <s v="Priya Patel"/>
    <s v="Female"/>
    <d v="1995-03-07T00:00:00"/>
    <s v="Mumbai"/>
    <x v="2"/>
    <x v="1"/>
    <s v="Monitor"/>
    <n v="14"/>
    <n v="12000"/>
    <n v="15"/>
    <n v="142800"/>
    <n v="4"/>
    <s v="NetBanking"/>
    <s v="Ritika"/>
    <s v="priYa.patel@company.com"/>
    <n v="9705521654"/>
    <s v="Completed"/>
  </r>
  <r>
    <s v="ORD10010"/>
    <s v="C008"/>
    <s v="P104"/>
    <x v="8"/>
    <d v="2026-02-02T00:00:00"/>
    <s v="Kavya Nair"/>
    <s v="Female"/>
    <d v="1997-04-06T00:00:00"/>
    <s v="Pune"/>
    <x v="2"/>
    <x v="1"/>
    <s v="Monitor"/>
    <n v="4"/>
    <n v="12000"/>
    <n v="15"/>
    <n v="40800"/>
    <n v="4"/>
    <s v="UPI"/>
    <s v="Neha"/>
    <s v="KAvya.nair@company.com"/>
    <n v="9588041011"/>
    <s v="Completed"/>
  </r>
  <r>
    <s v="ORD10011"/>
    <s v="C002"/>
    <s v="P301"/>
    <x v="9"/>
    <d v="2025-03-27T00:00:00"/>
    <s v="Priya Patel"/>
    <s v="Female"/>
    <d v="1990-01-07T00:00:00"/>
    <s v="Mumbai"/>
    <x v="2"/>
    <x v="2"/>
    <s v="Notebook"/>
    <n v="6"/>
    <n v="60"/>
    <n v="0"/>
    <n v="360"/>
    <n v="4"/>
    <s v="Card"/>
    <s v="Neha"/>
    <s v="priYa.patel@company.com"/>
    <n v="9340540608"/>
    <s v="Completed"/>
  </r>
  <r>
    <s v="ORD10012"/>
    <s v="C003"/>
    <s v="P202"/>
    <x v="10"/>
    <d v="2025-09-23T00:00:00"/>
    <s v="Rohit Singh"/>
    <s v="Male"/>
    <d v="1982-05-10T00:00:00"/>
    <s v="Delhi"/>
    <x v="1"/>
    <x v="0"/>
    <s v="Iron"/>
    <n v="-3"/>
    <n v="2200"/>
    <n v="0"/>
    <n v="35200"/>
    <n v="2"/>
    <s v="Card"/>
    <s v="Rahul"/>
    <s v="rohit.singh@company.com"/>
    <n v="9521710321"/>
    <s v="Pending"/>
  </r>
  <r>
    <s v="ORD10013"/>
    <s v="C008"/>
    <s v="P201"/>
    <x v="11"/>
    <d v="2025-03-15T00:00:00"/>
    <s v="Kavya Nair"/>
    <s v="Female"/>
    <d v="1982-01-23T00:00:00"/>
    <s v="Ahmedabad"/>
    <x v="2"/>
    <x v="0"/>
    <s v="Mixer"/>
    <n v="10"/>
    <n v="3500"/>
    <n v="5"/>
    <n v="33250"/>
    <n v="5"/>
    <s v="Card"/>
    <s v="Aisha"/>
    <s v="KAvya.nair@company.com"/>
    <n v="9123535241"/>
    <s v="Cancelled"/>
  </r>
  <r>
    <s v="ORD10014"/>
    <s v="C002"/>
    <s v="P202"/>
    <x v="12"/>
    <d v="2025-01-15T00:00:00"/>
    <s v="Priya Patel"/>
    <s v="Female"/>
    <d v="1992-07-06T00:00:00"/>
    <s v="Pune"/>
    <x v="2"/>
    <x v="0"/>
    <s v="Iron"/>
    <n v="15"/>
    <n v="2200"/>
    <n v="10"/>
    <n v="29700"/>
    <n v="1"/>
    <s v="UPI"/>
    <s v="Neha"/>
    <s v="priYa.patel@company.com"/>
    <n v="9367316892"/>
    <s v="Pending"/>
  </r>
  <r>
    <s v="ORD10015"/>
    <s v="C003"/>
    <s v="P202"/>
    <x v="13"/>
    <d v="2025-03-13T00:00:00"/>
    <s v="Rohit Singh"/>
    <s v="Male"/>
    <d v="2002-03-19T00:00:00"/>
    <s v="Mumbai"/>
    <x v="2"/>
    <x v="0"/>
    <s v="Iron"/>
    <n v="17"/>
    <n v="2200"/>
    <n v="5"/>
    <n v="35530"/>
    <n v="1"/>
    <s v="Cash"/>
    <s v="Karan"/>
    <s v="rohit.singh@company.com"/>
    <n v="9778489803"/>
    <s v="Completed"/>
  </r>
  <r>
    <s v="ORD10016"/>
    <s v="C008"/>
    <s v="P201"/>
    <x v="14"/>
    <d v="2025-08-07T00:00:00"/>
    <s v="Kavya Nair"/>
    <s v="Female"/>
    <d v="2001-01-17T00:00:00"/>
    <s v="Mumbai"/>
    <x v="2"/>
    <x v="0"/>
    <s v="Mixer"/>
    <n v="15"/>
    <n v="3500"/>
    <n v="15"/>
    <n v="44625"/>
    <n v="2"/>
    <s v="Cash"/>
    <s v="Neha"/>
    <s v="KAvya.nair@company.com"/>
    <n v="9582960180"/>
    <s v="Cancelled"/>
  </r>
  <r>
    <s v="ORD10017"/>
    <s v="C010"/>
    <s v="P103"/>
    <x v="15"/>
    <d v="2026-04-11T00:00:00"/>
    <s v="pooja shah"/>
    <s v="Female"/>
    <d v="2002-04-11T00:00:00"/>
    <s v="Hyderabad"/>
    <x v="0"/>
    <x v="1"/>
    <s v="Keyboard"/>
    <n v="3"/>
    <n v="1200"/>
    <n v="5"/>
    <n v="3420"/>
    <n v="5"/>
    <s v="UPI"/>
    <s v="Ritika"/>
    <s v="pooja.shahcompany.com"/>
    <n v="9611394005"/>
    <s v="Completed"/>
  </r>
  <r>
    <s v="ORD10018"/>
    <s v="C004"/>
    <s v="P203"/>
    <x v="16"/>
    <d v="2026-03-03T00:00:00"/>
    <s v="Amit Sharma"/>
    <s v="Female"/>
    <d v="2002-01-16T00:00:00"/>
    <s v="Pune"/>
    <x v="2"/>
    <x v="0"/>
    <s v="Microwave"/>
    <n v="13"/>
    <n v="8500"/>
    <n v="20"/>
    <n v="88400"/>
    <n v="4"/>
    <s v="Card"/>
    <s v="Rahul"/>
    <s v="anita.gupta@company.com"/>
    <n v="9692599404"/>
    <s v="Pending"/>
  </r>
  <r>
    <s v="ORD10019"/>
    <s v="C007"/>
    <s v="P203"/>
    <x v="17"/>
    <d v="2026-03-05T00:00:00"/>
    <s v="arjun Rao"/>
    <s v="Male"/>
    <d v="1989-10-09T00:00:00"/>
    <s v="Ahmedabad"/>
    <x v="2"/>
    <x v="0"/>
    <s v="Microwave"/>
    <n v="4"/>
    <n v="8500"/>
    <n v="20"/>
    <n v="27200"/>
    <n v="5"/>
    <s v="Card"/>
    <s v="Aisha"/>
    <s v="arjun.rao@company.com"/>
    <n v="9426119622"/>
    <s v="Pending"/>
  </r>
  <r>
    <s v="ORD10020"/>
    <s v="C007"/>
    <s v="P102"/>
    <x v="18"/>
    <d v="2025-12-04T00:00:00"/>
    <s v="arjun Rao"/>
    <s v="Male"/>
    <d v="1991-10-28T00:00:00"/>
    <s v="Mumbai"/>
    <x v="2"/>
    <x v="1"/>
    <s v="Mouse"/>
    <n v="9"/>
    <n v="700"/>
    <n v="5"/>
    <n v="5985"/>
    <n v="3"/>
    <s v="UPI"/>
    <s v="Ritika"/>
    <s v="arjun.rao@company.com"/>
    <n v="9184436009"/>
    <s v="Pending"/>
  </r>
  <r>
    <s v="ORD10021"/>
    <s v="C008"/>
    <s v="P101"/>
    <x v="19"/>
    <d v="2025-07-03T00:00:00"/>
    <s v="Kavya Nair"/>
    <s v="Female"/>
    <d v="1990-03-01T00:00:00"/>
    <s v="Ahmedabad"/>
    <x v="2"/>
    <x v="1"/>
    <s v="Laptop"/>
    <n v="8"/>
    <n v="55000"/>
    <n v="20"/>
    <n v="352000"/>
    <n v="1"/>
    <s v="Cash"/>
    <s v="Karan"/>
    <s v="KAvya.nair@company.com"/>
    <n v="9263774934"/>
    <s v="Completed"/>
  </r>
  <r>
    <s v="ORD10022"/>
    <s v="C003"/>
    <s v="P102"/>
    <x v="20"/>
    <d v="2025-05-05T00:00:00"/>
    <s v="Rohit Singh"/>
    <s v="Male"/>
    <d v="2002-07-18T00:00:00"/>
    <s v="Delhi"/>
    <x v="1"/>
    <x v="1"/>
    <s v="Mouse"/>
    <n v="10"/>
    <n v="700"/>
    <n v="20"/>
    <n v="5600"/>
    <n v="4"/>
    <s v="Card"/>
    <s v="Aisha"/>
    <s v="rohit.singh@company.com"/>
    <n v="9473159572"/>
    <s v="Cancelled"/>
  </r>
  <r>
    <s v="ORD10023"/>
    <s v="C008"/>
    <s v="P201"/>
    <x v="21"/>
    <d v="2025-01-08T00:00:00"/>
    <s v="Kavya Nair"/>
    <s v="Female"/>
    <d v="2004-12-15T00:00:00"/>
    <s v="Bengaluru"/>
    <x v="0"/>
    <x v="0"/>
    <s v="Mixer"/>
    <n v="1"/>
    <n v="3500"/>
    <n v="5"/>
    <n v="3325"/>
    <n v="3"/>
    <s v="UPI"/>
    <s v="Neha"/>
    <s v="KAvya.nair@company.com"/>
    <n v="9660493688"/>
    <s v="Cancelled"/>
  </r>
  <r>
    <s v="ORD10024"/>
    <s v="C002"/>
    <s v="P102"/>
    <x v="22"/>
    <d v="2025-04-30T00:00:00"/>
    <s v="Priya Patel"/>
    <s v="Female"/>
    <d v="1984-07-04T00:00:00"/>
    <s v="Jaipur"/>
    <x v="1"/>
    <x v="1"/>
    <s v="Mouse"/>
    <n v="19"/>
    <n v="700"/>
    <n v="15"/>
    <n v="11305"/>
    <n v="3"/>
    <s v="NetBanking"/>
    <s v="Karan"/>
    <s v="priYa.patel@company.com"/>
    <n v="9513325819"/>
    <s v="Pending"/>
  </r>
  <r>
    <s v="ORD10025"/>
    <s v="C009"/>
    <s v="P101"/>
    <x v="23"/>
    <d v="2026-01-01T00:00:00"/>
    <s v="Mohit Verma"/>
    <s v="Male"/>
    <d v="1978-02-25T00:00:00"/>
    <s v="Bengaluru"/>
    <x v="0"/>
    <x v="1"/>
    <s v="Laptop"/>
    <n v="12"/>
    <n v="55000"/>
    <n v="0"/>
    <n v="660000"/>
    <n v="1"/>
    <s v="Card"/>
    <s v="Rahul"/>
    <s v="mohit.verma@company.com"/>
    <n v="9641063242"/>
    <s v="Pending"/>
  </r>
  <r>
    <s v="ORD10026"/>
    <s v="C005"/>
    <s v="P302"/>
    <x v="24"/>
    <d v="2026-04-20T00:00:00"/>
    <s v="Vikas Mehta"/>
    <s v="Male"/>
    <d v="1991-08-03T00:00:00"/>
    <s v="Mumbai"/>
    <x v="2"/>
    <x v="2"/>
    <s v="Pen"/>
    <n v="1"/>
    <n v="20"/>
    <n v="5"/>
    <n v="19"/>
    <n v="5"/>
    <s v="Card"/>
    <s v="Ritika"/>
    <s v="vikas.mehta@company.com"/>
    <n v="9277372518"/>
    <s v="Cancelled"/>
  </r>
  <r>
    <s v="ORD10027"/>
    <s v="C007"/>
    <s v="P302"/>
    <x v="25"/>
    <d v="2025-07-02T00:00:00"/>
    <s v="arjun Rao"/>
    <s v="Male"/>
    <d v="1977-12-11T00:00:00"/>
    <s v="Mumbai"/>
    <x v="2"/>
    <x v="2"/>
    <s v="Pen"/>
    <n v="2"/>
    <n v="20"/>
    <n v="15"/>
    <n v="34"/>
    <n v="1"/>
    <s v="UPI"/>
    <s v="Ritika"/>
    <s v="arjun.rao@company.com"/>
    <n v="9193154372"/>
    <s v="Pending"/>
  </r>
  <r>
    <s v="ORD10028"/>
    <s v="C009"/>
    <s v="P201"/>
    <x v="26"/>
    <d v="2025-05-25T00:00:00"/>
    <s v="Mohit Verma"/>
    <s v="Male"/>
    <d v="1992-02-08T00:00:00"/>
    <s v="Ahmedabad"/>
    <x v="2"/>
    <x v="0"/>
    <s v="Mixer"/>
    <n v="12"/>
    <n v="3500"/>
    <n v="15"/>
    <n v="35700"/>
    <n v="4"/>
    <s v="Cash"/>
    <s v="Rahul"/>
    <s v="mohit.verma@company.com"/>
    <n v="9400073244"/>
    <s v="Cancelled"/>
  </r>
  <r>
    <s v="ORD10029"/>
    <s v="C008"/>
    <s v="P103"/>
    <x v="27"/>
    <d v="2026-03-20T00:00:00"/>
    <s v="Kavya Nair"/>
    <s v="Female"/>
    <d v="2004-06-05T00:00:00"/>
    <s v="Ahmedabad"/>
    <x v="2"/>
    <x v="1"/>
    <s v="Keyboard"/>
    <n v="11"/>
    <n v="1200"/>
    <n v="0"/>
    <n v="13200"/>
    <n v="2"/>
    <s v="UPI"/>
    <s v="Karan"/>
    <s v="KAvya.nair@company.com"/>
    <n v="9771556720"/>
    <s v="Completed"/>
  </r>
  <r>
    <s v="ORD10030"/>
    <s v="C003"/>
    <s v="P203"/>
    <x v="28"/>
    <d v="2025-09-20T00:00:00"/>
    <s v="Rohit Singh"/>
    <s v="Male"/>
    <d v="2001-08-11T00:00:00"/>
    <s v="Pune"/>
    <x v="2"/>
    <x v="0"/>
    <s v="Microwave"/>
    <n v="6"/>
    <n v="8500"/>
    <n v="65"/>
    <n v="51000"/>
    <n v="1"/>
    <s v="Card"/>
    <s v="Aisha"/>
    <s v="rohit.singh@company.com"/>
    <n v="9127480734"/>
    <s v="Completed"/>
  </r>
  <r>
    <s v="ORD10031"/>
    <s v="C006"/>
    <s v="P301"/>
    <x v="29"/>
    <d v="2026-01-16T00:00:00"/>
    <s v="Sneha Joshi"/>
    <s v="Female"/>
    <d v="1981-04-04T00:00:00"/>
    <s v="Pune"/>
    <x v="2"/>
    <x v="2"/>
    <s v="Notebook"/>
    <n v="2"/>
    <n v="60"/>
    <n v="5"/>
    <n v="114"/>
    <n v="3"/>
    <s v="Cash"/>
    <s v="Karan"/>
    <s v="sneha.joshi@company.com"/>
    <n v="9512997042"/>
    <s v="Cancelled"/>
  </r>
  <r>
    <s v="ORD10032"/>
    <s v="C008"/>
    <s v="P303"/>
    <x v="30"/>
    <d v="2025-06-26T00:00:00"/>
    <s v="Kavya Nair"/>
    <s v="Female"/>
    <d v="1996-07-02T00:00:00"/>
    <s v="Bengaluru"/>
    <x v="0"/>
    <x v="2"/>
    <s v="Marker"/>
    <n v="19"/>
    <n v="45"/>
    <n v="20"/>
    <n v="684"/>
    <n v="4"/>
    <s v="NetBanking"/>
    <s v="Aisha"/>
    <s v="KAvya.nair@company.com"/>
    <n v="9372748661"/>
    <s v="Cancelled"/>
  </r>
  <r>
    <s v="ORD10033"/>
    <s v="C002"/>
    <s v="P104"/>
    <x v="31"/>
    <d v="2025-07-13T00:00:00"/>
    <s v="Priya Patel"/>
    <s v="Female"/>
    <d v="1976-11-15T00:00:00"/>
    <s v="Ahmedabad"/>
    <x v="2"/>
    <x v="1"/>
    <s v="Monitor"/>
    <n v="11"/>
    <n v="12000"/>
    <n v="0"/>
    <n v="132000"/>
    <n v="3"/>
    <s v="UPI"/>
    <s v="Ritika"/>
    <s v="priYa.patel@company.com"/>
    <n v="9570437805"/>
    <s v="Pending"/>
  </r>
  <r>
    <s v="ORD10034"/>
    <s v="C006"/>
    <s v="P202"/>
    <x v="32"/>
    <d v="2025-03-15T00:00:00"/>
    <s v="Sneha Joshi"/>
    <s v="Female"/>
    <d v="1988-10-28T00:00:00"/>
    <s v="Bengaluru"/>
    <x v="0"/>
    <x v="0"/>
    <s v="Iron"/>
    <n v="20"/>
    <n v="2200"/>
    <n v="5"/>
    <n v="41800"/>
    <n v="1"/>
    <s v="Cash"/>
    <s v="Rahul"/>
    <s v="sneha.joshi@company.com"/>
    <n v="9310669113"/>
    <s v="Pending"/>
  </r>
  <r>
    <s v="ORD10035"/>
    <s v="C007"/>
    <s v="P302"/>
    <x v="25"/>
    <d v="2025-07-04T00:00:00"/>
    <s v="arjun Rao"/>
    <s v="Male"/>
    <d v="2004-06-23T00:00:00"/>
    <s v="Ahmedabad"/>
    <x v="2"/>
    <x v="2"/>
    <s v="Pen"/>
    <n v="3"/>
    <n v="20"/>
    <n v="0"/>
    <n v="60"/>
    <n v="2"/>
    <s v="Card"/>
    <s v="Ritika"/>
    <s v="wrongmail"/>
    <n v="9437132894"/>
    <s v="Cancelled"/>
  </r>
  <r>
    <s v="ORD10036"/>
    <s v="C003"/>
    <s v="P303"/>
    <x v="33"/>
    <d v="2025-10-19T00:00:00"/>
    <s v="Rohit Singh"/>
    <s v="Male"/>
    <d v="1996-04-22T00:00:00"/>
    <s v="Pune"/>
    <x v="2"/>
    <x v="2"/>
    <s v="Marker"/>
    <n v="18"/>
    <n v="45"/>
    <n v="20"/>
    <n v="648"/>
    <n v="4"/>
    <s v="NetBanking"/>
    <s v="Ritika"/>
    <s v="rohit.singh@company.com"/>
    <n v="9762437243"/>
    <s v="Cancelled"/>
  </r>
  <r>
    <s v="ORD10037"/>
    <s v="C003"/>
    <s v="P103"/>
    <x v="34"/>
    <d v="2025-11-26T00:00:00"/>
    <s v="Rohit Singh"/>
    <s v="Male"/>
    <d v="1979-07-07T00:00:00"/>
    <s v="Bengaluru"/>
    <x v="0"/>
    <x v="1"/>
    <s v="Keyboard"/>
    <n v="4"/>
    <n v="1200"/>
    <n v="20"/>
    <n v="3840"/>
    <n v="3"/>
    <s v="NetBanking"/>
    <s v="Aisha"/>
    <s v="rohit.singh@company.com"/>
    <n v="9149046970"/>
    <s v="Completed"/>
  </r>
  <r>
    <s v="ORD10038"/>
    <s v="C009"/>
    <s v="P101"/>
    <x v="35"/>
    <d v="2025-11-14T00:00:00"/>
    <s v="Mohit Verma"/>
    <s v="Male"/>
    <d v="1980-09-27T00:00:00"/>
    <s v="Kolkata"/>
    <x v="3"/>
    <x v="1"/>
    <s v="Laptop"/>
    <n v="10"/>
    <n v="55000"/>
    <n v="0"/>
    <n v="550000"/>
    <n v="1"/>
    <s v="UPI"/>
    <s v="Rahul"/>
    <s v="mohit.verma@company.com"/>
    <n v="9869182901"/>
    <s v="Cancelled"/>
  </r>
  <r>
    <s v="ORD10039"/>
    <s v="C006"/>
    <s v="P201"/>
    <x v="36"/>
    <d v="2026-03-20T00:00:00"/>
    <s v="Sneha Joshi"/>
    <s v="Female"/>
    <d v="1980-06-21T00:00:00"/>
    <s v="Delhi"/>
    <x v="1"/>
    <x v="0"/>
    <s v="Mixer"/>
    <n v="20"/>
    <n v="3500"/>
    <n v="10"/>
    <n v="63000"/>
    <n v="3"/>
    <s v="Card"/>
    <s v="Rahul"/>
    <s v="sneha.joshi@company.com"/>
    <n v="9283578533"/>
    <s v="Cancelled"/>
  </r>
  <r>
    <s v="ORD10040"/>
    <s v="C008"/>
    <s v="P302"/>
    <x v="37"/>
    <d v="2025-02-19T00:00:00"/>
    <s v="Kavya Nair"/>
    <s v="Female"/>
    <d v="1979-06-17T00:00:00"/>
    <s v="Pune"/>
    <x v="2"/>
    <x v="2"/>
    <s v="Pen"/>
    <n v="5"/>
    <n v="1200"/>
    <n v="0"/>
    <n v="100"/>
    <n v="1"/>
    <s v="Cash"/>
    <s v="Rahul"/>
    <s v="KAvya.nair@company.com"/>
    <n v="9963005771"/>
    <s v="Cancelled"/>
  </r>
  <r>
    <s v="ORD10041"/>
    <s v="C010"/>
    <s v="P203"/>
    <x v="38"/>
    <d v="2025-10-15T00:00:00"/>
    <s v="pooja shah"/>
    <s v="Female"/>
    <d v="1992-06-18T00:00:00"/>
    <s v="Mumbai"/>
    <x v="2"/>
    <x v="0"/>
    <s v="Microwave"/>
    <n v="20"/>
    <n v="8500"/>
    <n v="0"/>
    <n v="170000"/>
    <n v="1"/>
    <s v="UPI"/>
    <s v="Neha"/>
    <s v="pooja.shah@company.com"/>
    <n v="9484632635"/>
    <s v="Cancelled"/>
  </r>
  <r>
    <s v="ORD10042"/>
    <s v="C007"/>
    <s v="P301"/>
    <x v="39"/>
    <d v="2026-02-12T00:00:00"/>
    <s v="arjun Rao"/>
    <s v="Male"/>
    <d v="1994-06-06T00:00:00"/>
    <s v="Bengaluru"/>
    <x v="0"/>
    <x v="2"/>
    <s v="Notebook"/>
    <n v="8"/>
    <n v="60"/>
    <n v="15"/>
    <n v="408"/>
    <n v="5"/>
    <s v="UPI"/>
    <s v="Rahul"/>
    <s v="arjun.rao@company.com"/>
    <n v="9276319484"/>
    <s v="Pending"/>
  </r>
  <r>
    <s v="ORD10043"/>
    <s v="C010"/>
    <s v="P201"/>
    <x v="40"/>
    <d v="2025-06-16T00:00:00"/>
    <s v="pooja shah"/>
    <s v="Female"/>
    <d v="1988-09-22T00:00:00"/>
    <s v="Pune"/>
    <x v="2"/>
    <x v="0"/>
    <s v="Mixer"/>
    <n v="8"/>
    <n v="3500"/>
    <n v="5"/>
    <n v="26600"/>
    <n v="1"/>
    <s v="Card"/>
    <s v="Neha"/>
    <s v="pooja.shah@company.com"/>
    <n v="9619034852"/>
    <s v="Pending"/>
  </r>
  <r>
    <s v="ORD10044"/>
    <s v="C009"/>
    <s v="P203"/>
    <x v="41"/>
    <d v="2026-02-14T00:00:00"/>
    <s v="Mohit Verma"/>
    <s v="Male"/>
    <d v="2001-07-14T00:00:00"/>
    <s v="Jaipur"/>
    <x v="1"/>
    <x v="0"/>
    <s v="Microwave"/>
    <n v="1"/>
    <n v="8500"/>
    <n v="0"/>
    <n v="8500"/>
    <n v="2"/>
    <s v="Card"/>
    <s v="Neha"/>
    <s v="mohit.verma@company.com"/>
    <n v="9636416962"/>
    <s v="Pending"/>
  </r>
  <r>
    <s v="ORD10045"/>
    <s v="C001"/>
    <s v="P303"/>
    <x v="42"/>
    <d v="2025-03-31T00:00:00"/>
    <s v="Amit Sharma"/>
    <s v="Male"/>
    <d v="1991-08-09T00:00:00"/>
    <s v="Pune"/>
    <x v="2"/>
    <x v="2"/>
    <s v="Marker"/>
    <n v="8"/>
    <n v="45"/>
    <n v="15"/>
    <n v="306"/>
    <n v="2"/>
    <s v="Card"/>
    <s v="Aisha"/>
    <s v="amit.sharma@company.com"/>
    <n v="9357133880"/>
    <s v="Completed"/>
  </r>
  <r>
    <s v="ORD10046"/>
    <s v="C006"/>
    <s v="P202"/>
    <x v="43"/>
    <d v="2025-04-28T00:00:00"/>
    <s v="Sneha Joshi"/>
    <s v="Female"/>
    <d v="1988-10-21T00:00:00"/>
    <s v="Pune"/>
    <x v="2"/>
    <x v="0"/>
    <s v="Iron"/>
    <n v="16"/>
    <n v="2200"/>
    <n v="5"/>
    <n v="33440"/>
    <n v="5"/>
    <s v="Card"/>
    <s v="Aisha"/>
    <s v="sneha.joshi@company.com"/>
    <n v="9575210324"/>
    <s v="Cancelled"/>
  </r>
  <r>
    <s v="ORD10047"/>
    <s v="C009"/>
    <s v="P201"/>
    <x v="44"/>
    <d v="2025-10-23T00:00:00"/>
    <s v="Mohit Verma"/>
    <s v="Male"/>
    <d v="2002-11-19T00:00:00"/>
    <s v="Bengaluru"/>
    <x v="0"/>
    <x v="0"/>
    <s v="Mixer"/>
    <n v="19"/>
    <n v="3500"/>
    <n v="20"/>
    <n v="53200"/>
    <n v="3"/>
    <s v="Cash"/>
    <s v="Karan"/>
    <s v="mohit.verma@company.com"/>
    <n v="9276080204"/>
    <s v="Cancelled"/>
  </r>
  <r>
    <s v="ORD10048"/>
    <s v="C006"/>
    <s v="P102"/>
    <x v="45"/>
    <d v="2025-10-14T00:00:00"/>
    <s v="Sneha Joshi"/>
    <s v="Female"/>
    <d v="2000-07-06T00:00:00"/>
    <s v="Pune"/>
    <x v="2"/>
    <x v="1"/>
    <s v="Mouse"/>
    <n v="15"/>
    <n v="700"/>
    <n v="15"/>
    <n v="8925"/>
    <n v="4"/>
    <s v="UPI"/>
    <s v="Neha"/>
    <s v="sneha.joshicompany.com"/>
    <n v="9856624471"/>
    <s v="Completed"/>
  </r>
  <r>
    <s v="ORD10049"/>
    <s v="C006"/>
    <s v="P102"/>
    <x v="46"/>
    <d v="2025-12-03T00:00:00"/>
    <s v="Sneha Joshi"/>
    <s v="Female"/>
    <d v="1998-11-26T00:00:00"/>
    <s v="Jaipur"/>
    <x v="1"/>
    <x v="1"/>
    <s v="Mouse"/>
    <n v="19"/>
    <n v="700"/>
    <n v="20"/>
    <n v="10640"/>
    <n v="1"/>
    <s v="Cash"/>
    <s v="Neha"/>
    <s v="sneha.joshi@company.com"/>
    <n v="9238141322"/>
    <s v="Completed"/>
  </r>
  <r>
    <s v="ORD10050"/>
    <s v="C009"/>
    <s v="P104"/>
    <x v="47"/>
    <m/>
    <s v="Mohit Verma"/>
    <s v="Male"/>
    <d v="1996-06-03T00:00:00"/>
    <s v="Delhi"/>
    <x v="1"/>
    <x v="1"/>
    <s v="Monitor"/>
    <n v="19"/>
    <n v="12000"/>
    <n v="0"/>
    <n v="228000"/>
    <n v="1"/>
    <s v="NetBanking"/>
    <s v="Aisha"/>
    <s v="mohit.verma@company.com"/>
    <n v="9890380030"/>
    <s v="Completed"/>
  </r>
  <r>
    <s v="ORD10051"/>
    <s v="C004"/>
    <s v="P103"/>
    <x v="47"/>
    <d v="2026-04-21T00:00:00"/>
    <s v="Anita Gupta"/>
    <s v="Female"/>
    <d v="1987-03-15T00:00:00"/>
    <s v="Pune"/>
    <x v="2"/>
    <x v="1"/>
    <s v="Keyboard"/>
    <n v="6"/>
    <n v="1200"/>
    <n v="5"/>
    <n v="6840"/>
    <n v="2"/>
    <s v="Cash"/>
    <s v="Ritika"/>
    <s v="anita.gupta@company.com"/>
    <n v="9495893170"/>
    <s v="Pending"/>
  </r>
  <r>
    <s v="ORD10052"/>
    <s v="C010"/>
    <s v="P202"/>
    <x v="48"/>
    <d v="2025-04-07T00:00:00"/>
    <s v="pooja shah"/>
    <s v="Female"/>
    <d v="1979-02-20T00:00:00"/>
    <s v="Bengaluru"/>
    <x v="0"/>
    <x v="0"/>
    <s v="Iron"/>
    <n v="7"/>
    <n v="2200"/>
    <n v="15"/>
    <n v="13090"/>
    <n v="1"/>
    <s v="UPI"/>
    <s v="Aisha"/>
    <s v="pooja.shah@company.com"/>
    <n v="9485166307"/>
    <s v="Completed"/>
  </r>
  <r>
    <s v="ORD10053"/>
    <s v="C002"/>
    <s v="P301"/>
    <x v="49"/>
    <d v="2025-08-28T00:00:00"/>
    <s v="Priya Patel"/>
    <s v="Female"/>
    <d v="2000-08-09T00:00:00"/>
    <s v="Jaipur"/>
    <x v="1"/>
    <x v="2"/>
    <s v="Notebook"/>
    <n v="8"/>
    <n v="60"/>
    <n v="10"/>
    <n v="432"/>
    <n v="5"/>
    <s v="Card"/>
    <s v="Aisha"/>
    <s v="priYa.patel@company.com"/>
    <n v="9924709648"/>
    <s v="Cancelled"/>
  </r>
  <r>
    <s v="ORD10054"/>
    <s v="C005"/>
    <s v="P101"/>
    <x v="50"/>
    <d v="2025-08-23T00:00:00"/>
    <s v="Vikas Mehta"/>
    <s v="Male"/>
    <d v="1976-01-17T00:00:00"/>
    <s v="Kolkata"/>
    <x v="3"/>
    <x v="1"/>
    <s v="Laptop"/>
    <n v="12"/>
    <n v="55000"/>
    <n v="5"/>
    <n v="627000"/>
    <n v="2"/>
    <s v="UPI"/>
    <s v="Rahul"/>
    <s v="vikas.mehta@company.com"/>
    <n v="9350554626"/>
    <s v="Pending"/>
  </r>
  <r>
    <s v="ORD10055"/>
    <s v="C008"/>
    <s v="P102"/>
    <x v="51"/>
    <d v="2025-08-05T00:00:00"/>
    <s v="Kavya Nair"/>
    <s v="Female"/>
    <d v="1975-04-04T00:00:00"/>
    <s v="Jaipur"/>
    <x v="1"/>
    <x v="1"/>
    <s v="Mouse"/>
    <n v="3"/>
    <n v="700"/>
    <n v="0"/>
    <n v="2100"/>
    <n v="3"/>
    <s v="Card"/>
    <s v="Karan"/>
    <s v="KAvya.nair@company.com"/>
    <n v="9743295580"/>
    <s v="Cancelled"/>
  </r>
  <r>
    <s v="ORD10056"/>
    <s v="C003"/>
    <s v="P301"/>
    <x v="52"/>
    <d v="2025-02-26T00:00:00"/>
    <s v="Rohit Singh"/>
    <s v="Male"/>
    <d v="1976-12-11T00:00:00"/>
    <s v="Ahmedabad"/>
    <x v="2"/>
    <x v="2"/>
    <s v="Notebook"/>
    <n v="19"/>
    <n v="60"/>
    <n v="15"/>
    <n v="969"/>
    <n v="4"/>
    <s v="Card"/>
    <s v="Rahul"/>
    <s v="rohit.singh@company.com"/>
    <n v="9822926495"/>
    <s v="Cancelled"/>
  </r>
  <r>
    <s v="ORD10057"/>
    <s v="C001"/>
    <s v="P301"/>
    <x v="53"/>
    <d v="2025-08-11T00:00:00"/>
    <s v="Amit Sharma"/>
    <s v="Male"/>
    <d v="1979-12-03T00:00:00"/>
    <s v="Jaipur"/>
    <x v="1"/>
    <x v="2"/>
    <s v="Notebook"/>
    <n v="9"/>
    <n v="60"/>
    <n v="20"/>
    <n v="432"/>
    <n v="1"/>
    <s v="NetBanking"/>
    <s v="Neha"/>
    <s v="amit.sharma@company.com"/>
    <n v="9518298190"/>
    <s v="Pending"/>
  </r>
  <r>
    <s v="ORD10058"/>
    <s v="C001"/>
    <s v="P102"/>
    <x v="54"/>
    <d v="2026-03-30T00:00:00"/>
    <s v="Amit Sharma"/>
    <s v="Male"/>
    <d v="1978-12-27T00:00:00"/>
    <s v="Bengaluru"/>
    <x v="0"/>
    <x v="1"/>
    <s v="Mouse"/>
    <n v="6"/>
    <n v="700"/>
    <n v="0"/>
    <n v="4200"/>
    <n v="4"/>
    <s v="UPI"/>
    <s v="Rahul"/>
    <s v="amit.sharmcompany.com"/>
    <n v="9366223547"/>
    <s v="Cancelled"/>
  </r>
  <r>
    <s v="ORD10059"/>
    <s v="C003"/>
    <s v="P303"/>
    <x v="27"/>
    <d v="2026-03-19T00:00:00"/>
    <s v="Rohit Singh"/>
    <s v="Male"/>
    <d v="1975-04-15T00:00:00"/>
    <s v="Delhi"/>
    <x v="1"/>
    <x v="2"/>
    <s v="Marker"/>
    <n v="18"/>
    <n v="45"/>
    <n v="5"/>
    <n v="769.5"/>
    <n v="1"/>
    <s v="Card"/>
    <s v="Aisha"/>
    <s v="rohit.singh@company.com"/>
    <n v="9701988524"/>
    <s v="Pending"/>
  </r>
  <r>
    <s v="ORD10060"/>
    <s v="C007"/>
    <s v="P302"/>
    <x v="55"/>
    <d v="2025-06-26T00:00:00"/>
    <s v="arjun Rao"/>
    <s v="Male"/>
    <d v="1988-12-19T00:00:00"/>
    <s v="Jaipur"/>
    <x v="1"/>
    <x v="2"/>
    <s v="Pen"/>
    <n v="8"/>
    <n v="20"/>
    <n v="5"/>
    <n v="152"/>
    <n v="1"/>
    <s v="Card"/>
    <s v="Ritika"/>
    <s v="arjun.rao@company.com"/>
    <n v="9836327649"/>
    <s v="Completed"/>
  </r>
  <r>
    <s v="ORD10061"/>
    <s v="C005"/>
    <s v="P102"/>
    <x v="56"/>
    <d v="2025-03-06T00:00:00"/>
    <s v="Vikas Mehta"/>
    <s v="Male"/>
    <d v="1979-03-07T00:00:00"/>
    <s v="Jaipur"/>
    <x v="1"/>
    <x v="1"/>
    <s v="Mouse"/>
    <n v="8"/>
    <n v="700"/>
    <n v="10"/>
    <n v="5040"/>
    <n v="1"/>
    <s v="NetBanking"/>
    <s v="Aisha"/>
    <s v="vikas.mehta@company.com"/>
    <n v="9261800516"/>
    <s v="Cancelled"/>
  </r>
  <r>
    <s v="ORD10062"/>
    <s v="C008"/>
    <s v="P302"/>
    <x v="24"/>
    <d v="2026-04-19T00:00:00"/>
    <s v="Kavya Nair"/>
    <s v="Female"/>
    <d v="2003-12-17T00:00:00"/>
    <s v="Delhi"/>
    <x v="1"/>
    <x v="2"/>
    <s v="Pen"/>
    <n v="7"/>
    <n v="20"/>
    <n v="15"/>
    <n v="119"/>
    <n v="5"/>
    <s v="Card"/>
    <s v="Rahul"/>
    <s v="KAvya.nair@company.com"/>
    <n v="9950802015"/>
    <s v="Completed"/>
  </r>
  <r>
    <s v="ORD10063"/>
    <s v="C002"/>
    <s v="P302"/>
    <x v="57"/>
    <d v="2025-08-25T00:00:00"/>
    <s v="Priya Patel"/>
    <s v="Female"/>
    <d v="1984-04-05T00:00:00"/>
    <s v="Pune"/>
    <x v="2"/>
    <x v="2"/>
    <s v="Pen"/>
    <n v="16"/>
    <n v="20"/>
    <n v="0"/>
    <n v="320"/>
    <n v="5"/>
    <s v="NetBanking"/>
    <s v="Aisha"/>
    <s v="priYa.patel@company.com"/>
    <n v="9595183767"/>
    <s v="Pending"/>
  </r>
  <r>
    <s v="ORD10064"/>
    <s v="C010"/>
    <s v="P303"/>
    <x v="58"/>
    <d v="2026-05-20T00:00:00"/>
    <s v="pooja shah"/>
    <s v="Female"/>
    <d v="1996-04-13T00:00:00"/>
    <s v="Mumbai"/>
    <x v="2"/>
    <x v="2"/>
    <s v="Marker"/>
    <n v="15"/>
    <n v="45"/>
    <n v="0"/>
    <n v="675"/>
    <n v="4"/>
    <s v="Cash"/>
    <s v="Aisha"/>
    <s v="pooja.shah@company.com"/>
    <n v="9560201307"/>
    <s v="Cancelled"/>
  </r>
  <r>
    <s v="ORD10065"/>
    <s v="C006"/>
    <s v="P102"/>
    <x v="59"/>
    <d v="2025-03-05T00:00:00"/>
    <s v="Sneha Joshi"/>
    <s v="Female"/>
    <d v="2003-09-08T00:00:00"/>
    <s v="Ahmedabad"/>
    <x v="2"/>
    <x v="1"/>
    <s v="Mouse"/>
    <n v="15"/>
    <n v="700"/>
    <n v="10"/>
    <n v="9450"/>
    <n v="3"/>
    <s v="NetBanking"/>
    <s v="Karan"/>
    <s v="sneha.joshi@company.com"/>
    <n v="9826484650"/>
    <s v="Completed"/>
  </r>
  <r>
    <s v="ORD10066"/>
    <s v="C010"/>
    <s v="P303"/>
    <x v="60"/>
    <d v="2025-02-12T00:00:00"/>
    <s v="pooja shah"/>
    <s v="Female"/>
    <d v="1992-09-24T00:00:00"/>
    <s v="Kolkata"/>
    <x v="3"/>
    <x v="2"/>
    <s v="Marker"/>
    <n v="3"/>
    <n v="45"/>
    <n v="15"/>
    <n v="114.75"/>
    <n v="2"/>
    <s v="UPI"/>
    <s v="Neha"/>
    <s v="pooja.shah@company.com"/>
    <n v="9219978007"/>
    <s v="Pending"/>
  </r>
  <r>
    <s v="ORD10067"/>
    <s v="C002"/>
    <s v="P202"/>
    <x v="61"/>
    <d v="2026-01-10T00:00:00"/>
    <s v="Priya Patel"/>
    <s v="Female"/>
    <d v="1986-09-19T00:00:00"/>
    <s v="Kolkata"/>
    <x v="3"/>
    <x v="0"/>
    <s v="Iron"/>
    <n v="7"/>
    <n v="2200"/>
    <n v="15"/>
    <n v="13090"/>
    <n v="5"/>
    <s v="UPI"/>
    <s v="Neha"/>
    <s v="priYa.patel@company.com"/>
    <n v="9662063276"/>
    <s v="Completed"/>
  </r>
  <r>
    <s v="ORD10068"/>
    <s v="C008"/>
    <s v="P303"/>
    <x v="62"/>
    <d v="2025-09-05T00:00:00"/>
    <s v="Kavya Nair"/>
    <s v="Female"/>
    <d v="1985-05-28T00:00:00"/>
    <s v="Delhi"/>
    <x v="1"/>
    <x v="2"/>
    <s v="Marker"/>
    <n v="19"/>
    <n v="45"/>
    <n v="10"/>
    <n v="769.5"/>
    <n v="5"/>
    <s v="Card"/>
    <s v="Neha"/>
    <s v="KAvya.nair@company.com"/>
    <n v="9190393639"/>
    <s v="Cancelled"/>
  </r>
  <r>
    <s v="ORD10069"/>
    <s v="C006"/>
    <s v="P201"/>
    <x v="63"/>
    <d v="2026-02-14T00:00:00"/>
    <s v="Sneha Joshi"/>
    <s v="Female"/>
    <d v="1979-08-27T00:00:00"/>
    <s v="Hyderabad"/>
    <x v="0"/>
    <x v="0"/>
    <s v="Mixer"/>
    <n v="7"/>
    <n v="3500"/>
    <n v="15"/>
    <n v="20825"/>
    <n v="1"/>
    <s v="Cash"/>
    <s v="Karan"/>
    <s v="sneha.joshi@company.com"/>
    <n v="9106328582"/>
    <s v="Pending"/>
  </r>
  <r>
    <s v="ORD10070"/>
    <s v="C010"/>
    <s v="P203"/>
    <x v="64"/>
    <d v="2025-12-19T00:00:00"/>
    <s v="pooja shah"/>
    <s v="Female"/>
    <d v="1976-12-22T00:00:00"/>
    <s v="Jaipur"/>
    <x v="1"/>
    <x v="0"/>
    <s v="Microwave"/>
    <n v="7"/>
    <n v="8500"/>
    <n v="20"/>
    <n v="47600"/>
    <n v="4"/>
    <s v="NetBanking"/>
    <s v="Neha"/>
    <s v="pooja.shah@company.com"/>
    <n v="9264401015"/>
    <s v="Completed"/>
  </r>
  <r>
    <s v="ORD10071"/>
    <s v="C008"/>
    <s v="P101"/>
    <x v="65"/>
    <d v="2025-04-10T00:00:00"/>
    <s v="Kavya Nair"/>
    <s v="Female"/>
    <d v="2000-02-05T00:00:00"/>
    <s v="Bengaluru"/>
    <x v="0"/>
    <x v="1"/>
    <s v="Laptop"/>
    <n v="16"/>
    <n v="55000"/>
    <n v="10"/>
    <n v="792000"/>
    <n v="1"/>
    <s v="Card"/>
    <s v="Aisha"/>
    <s v="KAvya.nair@company.com"/>
    <n v="9959237375"/>
    <s v="Completed"/>
  </r>
  <r>
    <s v="ORD10072"/>
    <s v="C004"/>
    <s v="P104"/>
    <x v="66"/>
    <d v="2026-01-03T00:00:00"/>
    <s v="Anita Gupta"/>
    <s v="Female"/>
    <d v="1987-02-24T00:00:00"/>
    <s v="Mumbai"/>
    <x v="2"/>
    <x v="1"/>
    <s v="Monitor"/>
    <n v="2"/>
    <n v="12000"/>
    <n v="20"/>
    <n v="19200"/>
    <n v="1"/>
    <s v="Cash"/>
    <s v="Karan"/>
    <s v="anita.gupta@company.com"/>
    <n v="9561836580"/>
    <s v="Pending"/>
  </r>
  <r>
    <s v="ORD10073"/>
    <s v="C003"/>
    <s v="P303"/>
    <x v="67"/>
    <d v="2025-09-05T00:00:00"/>
    <s v="Rohit Singh"/>
    <s v="Male"/>
    <d v="1984-07-24T00:00:00"/>
    <s v="Bengaluru"/>
    <x v="0"/>
    <x v="2"/>
    <s v="Marker"/>
    <n v="4"/>
    <n v="45"/>
    <n v="5"/>
    <n v="171"/>
    <n v="1"/>
    <s v="Card"/>
    <s v="Rahul"/>
    <s v="rohit.singh@company.com"/>
    <n v="9512666401"/>
    <s v="Pending"/>
  </r>
  <r>
    <s v="ORD10074"/>
    <s v="C008"/>
    <s v="P103"/>
    <x v="68"/>
    <d v="2025-12-23T00:00:00"/>
    <s v="Kavya Nair"/>
    <s v="Female"/>
    <d v="1981-09-22T00:00:00"/>
    <s v="Jaipur"/>
    <x v="1"/>
    <x v="1"/>
    <s v="Keyboard"/>
    <n v="1"/>
    <n v="1200"/>
    <n v="5"/>
    <n v="1140"/>
    <n v="3"/>
    <s v="UPI"/>
    <s v="Aisha"/>
    <s v="KAvya.nair@company.com"/>
    <n v="9808988530"/>
    <s v="Cancelled"/>
  </r>
  <r>
    <s v="ORD10075"/>
    <s v="C010"/>
    <s v="P202"/>
    <x v="69"/>
    <d v="2026-02-16T00:00:00"/>
    <s v="pooja shah"/>
    <s v="Female"/>
    <d v="1980-06-20T00:00:00"/>
    <m/>
    <x v="0"/>
    <x v="0"/>
    <s v="Iron"/>
    <n v="1"/>
    <n v="2200"/>
    <n v="15"/>
    <n v="1870"/>
    <n v="4"/>
    <s v="Card"/>
    <s v="Aisha"/>
    <s v="pooja.shah@company.com"/>
    <n v="9286410494"/>
    <s v="Completed"/>
  </r>
  <r>
    <s v="ORD10076"/>
    <s v="C003"/>
    <s v="P103"/>
    <x v="70"/>
    <d v="2026-01-28T00:00:00"/>
    <s v="Rohit Singh"/>
    <s v="Male"/>
    <d v="1982-11-02T00:00:00"/>
    <s v="Pune"/>
    <x v="2"/>
    <x v="1"/>
    <s v="Keyboard"/>
    <n v="3"/>
    <n v="1200"/>
    <n v="10"/>
    <n v="3240"/>
    <n v="5"/>
    <s v="Cash"/>
    <s v="Rahul"/>
    <s v="rohit.singh@company.com"/>
    <n v="9311555196"/>
    <s v="Completed"/>
  </r>
  <r>
    <s v="ORD10077"/>
    <s v="C008"/>
    <s v="P201"/>
    <x v="71"/>
    <d v="2025-07-07T00:00:00"/>
    <s v="Kavya Nair"/>
    <s v="Female"/>
    <d v="1980-01-10T00:00:00"/>
    <s v="Bengaluru"/>
    <x v="0"/>
    <x v="0"/>
    <s v="Mixer"/>
    <n v="10"/>
    <n v="3500"/>
    <n v="20"/>
    <n v="28000"/>
    <n v="5"/>
    <s v="Card"/>
    <s v="Ritika"/>
    <s v="KAvya.nair@company.com"/>
    <n v="9101810266"/>
    <s v="Completed"/>
  </r>
  <r>
    <s v="ORD10078"/>
    <s v="C007"/>
    <s v="P102"/>
    <x v="72"/>
    <d v="2026-03-19T00:00:00"/>
    <s v="arjun Rao"/>
    <s v="Male"/>
    <d v="1981-04-27T00:00:00"/>
    <s v="Delhi"/>
    <x v="1"/>
    <x v="1"/>
    <s v="Mouse"/>
    <n v="18"/>
    <n v="700"/>
    <n v="5"/>
    <n v="11970"/>
    <n v="3"/>
    <s v="Card"/>
    <s v="Neha"/>
    <s v="arjun.rao@company.com"/>
    <n v="9464556593"/>
    <s v="Cancelled"/>
  </r>
  <r>
    <s v="ORD10079"/>
    <s v="C005"/>
    <s v="P102"/>
    <x v="73"/>
    <d v="2025-06-18T00:00:00"/>
    <s v="Vikas Mehta"/>
    <s v="Male"/>
    <d v="1985-03-12T00:00:00"/>
    <s v="Bengaluru"/>
    <x v="0"/>
    <x v="1"/>
    <s v="Mouse"/>
    <n v="12"/>
    <n v="700"/>
    <n v="15"/>
    <n v="7140"/>
    <n v="2"/>
    <s v="UPI"/>
    <s v="Rahul"/>
    <s v="vikas.mehta@company.com"/>
    <n v="9338278358"/>
    <s v="Completed"/>
  </r>
  <r>
    <s v="ORD10080"/>
    <s v="C009"/>
    <s v="P103"/>
    <x v="74"/>
    <d v="2025-11-16T00:00:00"/>
    <s v="Mohit Verma"/>
    <s v="Male"/>
    <d v="1999-03-15T00:00:00"/>
    <s v="Mumbai"/>
    <x v="2"/>
    <x v="1"/>
    <s v="Keyboard"/>
    <n v="8"/>
    <n v="1200"/>
    <n v="0"/>
    <n v="9600"/>
    <n v="4"/>
    <s v="Card"/>
    <s v="Rahul"/>
    <s v="mohit.verma@company.com"/>
    <n v="9621410770"/>
    <s v="Pending"/>
  </r>
  <r>
    <s v="ORD10081"/>
    <s v="C003"/>
    <s v="P301"/>
    <x v="75"/>
    <d v="2025-11-10T00:00:00"/>
    <s v="Rohit Singh"/>
    <s v="Male"/>
    <d v="1983-07-07T00:00:00"/>
    <s v="Pune"/>
    <x v="2"/>
    <x v="2"/>
    <s v="Notebook"/>
    <n v="2"/>
    <n v="60"/>
    <n v="0"/>
    <n v="120"/>
    <n v="2"/>
    <s v="UPI"/>
    <s v="Rahul"/>
    <s v="rohit.singh@company.com"/>
    <n v="9981333189"/>
    <s v="Completed"/>
  </r>
  <r>
    <s v="ORD10082"/>
    <s v="C001"/>
    <s v="P303"/>
    <x v="76"/>
    <d v="2025-01-07T00:00:00"/>
    <s v="Amit Sharma"/>
    <s v="Male"/>
    <d v="1989-03-06T00:00:00"/>
    <s v="Pune"/>
    <x v="2"/>
    <x v="2"/>
    <s v="Marker"/>
    <n v="10"/>
    <n v="45"/>
    <n v="15"/>
    <n v="382.5"/>
    <n v="3"/>
    <s v="NetBanking"/>
    <s v="Ritika"/>
    <s v="amit.sharma@company.com"/>
    <n v="9723450355"/>
    <s v="Cancelled"/>
  </r>
  <r>
    <s v="ORD10083"/>
    <s v="C005"/>
    <s v="P201"/>
    <x v="77"/>
    <d v="2026-05-03T00:00:00"/>
    <s v="Vikas Mehta"/>
    <s v="Male"/>
    <d v="1982-06-20T00:00:00"/>
    <s v="Kolkata"/>
    <x v="3"/>
    <x v="0"/>
    <s v="Mixer"/>
    <n v="12"/>
    <n v="3500"/>
    <n v="5"/>
    <n v="39900"/>
    <n v="3"/>
    <s v="NetBanking"/>
    <s v="Aisha"/>
    <s v="vikas.mehta@company.com"/>
    <n v="9886243907"/>
    <s v="Pending"/>
  </r>
  <r>
    <s v="ORD10084"/>
    <s v="C003"/>
    <s v="P301"/>
    <x v="10"/>
    <d v="2025-09-27T00:00:00"/>
    <s v="Rohit Singh"/>
    <s v="Male"/>
    <d v="2001-06-23T00:00:00"/>
    <s v="Mumbai"/>
    <x v="2"/>
    <x v="2"/>
    <s v="Notebook"/>
    <n v="2"/>
    <n v="60"/>
    <n v="15"/>
    <n v="102"/>
    <n v="1"/>
    <s v="UPI"/>
    <s v="Neha"/>
    <s v="rohit.singh@company.com"/>
    <n v="9473931904"/>
    <s v="Completed"/>
  </r>
  <r>
    <s v="ORD10085"/>
    <s v="C003"/>
    <s v="P103"/>
    <x v="78"/>
    <d v="2025-03-21T00:00:00"/>
    <s v="Rohit Singh"/>
    <s v="Male"/>
    <d v="1983-07-19T00:00:00"/>
    <s v="Hyderabad"/>
    <x v="0"/>
    <x v="1"/>
    <s v="Keyboard"/>
    <n v="18"/>
    <n v="1200"/>
    <n v="15"/>
    <n v="18360"/>
    <n v="3"/>
    <s v="Card"/>
    <s v="Neha"/>
    <s v="rohit.singh@company.com"/>
    <n v="9287159610"/>
    <s v="Pending"/>
  </r>
  <r>
    <s v="ORD10086"/>
    <s v="C008"/>
    <s v="P104"/>
    <x v="79"/>
    <d v="2025-10-31T00:00:00"/>
    <s v="Kavya Nair"/>
    <s v="Female"/>
    <d v="1993-03-24T00:00:00"/>
    <s v="Mumbai"/>
    <x v="2"/>
    <x v="1"/>
    <s v="Monitor"/>
    <n v="18"/>
    <n v="12000"/>
    <n v="15"/>
    <n v="183600"/>
    <n v="2"/>
    <s v="Cash"/>
    <s v="Rahul"/>
    <s v="KAvya.nair@company.com"/>
    <n v="9876513858"/>
    <s v="Completed"/>
  </r>
  <r>
    <s v="ORD10087"/>
    <s v="C007"/>
    <s v="P302"/>
    <x v="80"/>
    <d v="2025-11-11T00:00:00"/>
    <s v="arjun Rao"/>
    <s v="Male"/>
    <d v="1995-05-10T00:00:00"/>
    <s v="Ahmedabad"/>
    <x v="2"/>
    <x v="2"/>
    <s v="Pen"/>
    <n v="7"/>
    <n v="20"/>
    <n v="0"/>
    <n v="140"/>
    <n v="2"/>
    <s v="Card"/>
    <s v="Ritika"/>
    <s v="arjun.rao@company.com"/>
    <n v="9237400853"/>
    <s v="Cancelled"/>
  </r>
  <r>
    <s v="ORD10088"/>
    <s v="C006"/>
    <s v="P201"/>
    <x v="81"/>
    <d v="2025-04-18T00:00:00"/>
    <s v="Sneha Joshi"/>
    <s v="Female"/>
    <d v="2001-02-15T00:00:00"/>
    <s v="Pune"/>
    <x v="2"/>
    <x v="0"/>
    <s v="Mixer"/>
    <n v="20"/>
    <n v="3500"/>
    <n v="20"/>
    <n v="56000"/>
    <n v="4"/>
    <s v="Card"/>
    <s v="Neha"/>
    <s v="sneha.joshi@company.com"/>
    <n v="9599597595"/>
    <s v="Pending"/>
  </r>
  <r>
    <s v="ORD10089"/>
    <s v="C002"/>
    <s v="P203"/>
    <x v="82"/>
    <d v="2026-03-26T00:00:00"/>
    <s v="Priya Patel"/>
    <s v="Female"/>
    <d v="1999-08-14T00:00:00"/>
    <s v="Ahmedabad"/>
    <x v="2"/>
    <x v="0"/>
    <s v="Microwave"/>
    <n v="8"/>
    <n v="8500"/>
    <n v="20"/>
    <n v="54400"/>
    <n v="3"/>
    <s v="Card"/>
    <s v="Neha"/>
    <s v="priYa.patel@company.com"/>
    <n v="9230007509"/>
    <s v="Pending"/>
  </r>
  <r>
    <s v="ORD10090"/>
    <s v="C001"/>
    <s v="P104"/>
    <x v="83"/>
    <d v="2025-09-24T00:00:00"/>
    <s v="Amit Sharma"/>
    <s v="Male"/>
    <d v="2002-03-20T00:00:00"/>
    <s v="Ahmedabad"/>
    <x v="1"/>
    <x v="1"/>
    <s v="Monitor"/>
    <n v="6"/>
    <n v="12000"/>
    <n v="5"/>
    <n v="68400"/>
    <n v="4"/>
    <s v="NetBanking"/>
    <s v="Ritika"/>
    <s v="amit.sharma@company.com"/>
    <n v="9823428025"/>
    <s v="Completed"/>
  </r>
  <r>
    <s v="ORD10091"/>
    <s v="C008"/>
    <s v="P203"/>
    <x v="84"/>
    <d v="2026-03-19T00:00:00"/>
    <s v="Kavya Nair"/>
    <s v="Female"/>
    <d v="1992-06-13T00:00:00"/>
    <s v="Pune"/>
    <x v="2"/>
    <x v="0"/>
    <s v="Microwave"/>
    <n v="15"/>
    <n v="8500"/>
    <n v="0"/>
    <n v="127500"/>
    <n v="4"/>
    <s v="NetBanking"/>
    <s v="Ritika"/>
    <s v="KAvya.nair@company.com"/>
    <n v="9505048912"/>
    <s v="Cancelled"/>
  </r>
  <r>
    <s v="ORD10092"/>
    <s v="C010"/>
    <s v="P103"/>
    <x v="85"/>
    <d v="2025-08-23T00:00:00"/>
    <s v="pooja shah"/>
    <s v="Female"/>
    <d v="1996-06-18T00:00:00"/>
    <s v="Jaipur"/>
    <x v="1"/>
    <x v="1"/>
    <s v="Keyboard"/>
    <n v="5"/>
    <n v="1200"/>
    <n v="15"/>
    <n v="5100"/>
    <n v="1"/>
    <s v="NetBanking"/>
    <s v="Ritika"/>
    <s v="pooja.shah@company.com"/>
    <n v="9508068393"/>
    <s v="Cancelled"/>
  </r>
  <r>
    <s v="ORD10093"/>
    <s v="C010"/>
    <s v="P302"/>
    <x v="86"/>
    <d v="2025-08-14T00:00:00"/>
    <s v="pooja shah"/>
    <s v="Female"/>
    <d v="1982-11-08T00:00:00"/>
    <s v="Hyderabad"/>
    <x v="0"/>
    <x v="2"/>
    <s v="Pen"/>
    <n v="4"/>
    <n v="20"/>
    <n v="0"/>
    <n v="80"/>
    <n v="4"/>
    <s v="NetBanking"/>
    <s v="Rahul"/>
    <s v="pooja.shah@company.com"/>
    <n v="9785807771"/>
    <s v="Completed"/>
  </r>
  <r>
    <s v="ORD10094"/>
    <s v="C008"/>
    <s v="P302"/>
    <x v="87"/>
    <d v="2025-03-20T00:00:00"/>
    <s v="Kavya Nair"/>
    <s v="Female"/>
    <d v="1984-06-25T00:00:00"/>
    <s v="Bengaluru"/>
    <x v="0"/>
    <x v="2"/>
    <s v="Pen"/>
    <n v="10"/>
    <n v="20"/>
    <n v="0"/>
    <n v="200"/>
    <n v="3"/>
    <s v="Cash"/>
    <s v="Karan"/>
    <s v="KAvya.nair@company.com"/>
    <n v="9215250979"/>
    <s v="Pending"/>
  </r>
  <r>
    <s v="ORD10095"/>
    <s v="C004"/>
    <s v="P202"/>
    <x v="88"/>
    <d v="2025-09-10T00:00:00"/>
    <s v="Anita Gupta"/>
    <s v="Female"/>
    <d v="1994-06-21T00:00:00"/>
    <s v="Delhi"/>
    <x v="1"/>
    <x v="0"/>
    <s v="Iron"/>
    <n v="18"/>
    <n v="2200"/>
    <n v="10"/>
    <n v="35640"/>
    <n v="3"/>
    <s v="Cash"/>
    <s v="Ritika"/>
    <s v="anita.gupta@company.com"/>
    <n v="9845884906"/>
    <s v="Cancelled"/>
  </r>
  <r>
    <s v="ORD10096"/>
    <s v="C001"/>
    <s v="P201"/>
    <x v="89"/>
    <d v="2025-04-15T00:00:00"/>
    <s v="Amit Sharma"/>
    <s v="Male"/>
    <d v="1990-10-17T00:00:00"/>
    <s v="Delhi"/>
    <x v="1"/>
    <x v="0"/>
    <s v="Mixer"/>
    <n v="7"/>
    <n v="3500"/>
    <n v="15"/>
    <n v="20825"/>
    <n v="3"/>
    <s v="NetBanking"/>
    <s v="Rahul"/>
    <s v="amit.sharma@company.com"/>
    <n v="9393097397"/>
    <s v="Completed"/>
  </r>
  <r>
    <s v="ORD10097"/>
    <s v="C002"/>
    <s v="P203"/>
    <x v="90"/>
    <d v="2026-05-07T00:00:00"/>
    <s v="Priya Patel"/>
    <s v="Female"/>
    <d v="1987-01-28T00:00:00"/>
    <s v="Kolkata"/>
    <x v="3"/>
    <x v="0"/>
    <s v="Microwave"/>
    <n v="19"/>
    <n v="8500"/>
    <n v="15"/>
    <n v="137275"/>
    <n v="4"/>
    <s v="Card"/>
    <s v="Karan"/>
    <s v="priYa.patel@company.com"/>
    <n v="9958032109"/>
    <s v="Pending"/>
  </r>
  <r>
    <s v="ORD10098"/>
    <s v="C006"/>
    <s v="P104"/>
    <x v="91"/>
    <d v="2026-01-27T00:00:00"/>
    <s v="Sneha Joshi"/>
    <s v="Female"/>
    <d v="1983-09-21T00:00:00"/>
    <s v="Ahmedabad"/>
    <x v="2"/>
    <x v="1"/>
    <s v="Monitor"/>
    <n v="13"/>
    <n v="12000"/>
    <n v="15"/>
    <n v="132600"/>
    <n v="4"/>
    <s v="Cash"/>
    <s v="Rahul"/>
    <s v="sneha.joshi@company.com"/>
    <n v="9755082957"/>
    <s v="Completed"/>
  </r>
  <r>
    <s v="ORD10099"/>
    <s v="C001"/>
    <s v="P302"/>
    <x v="92"/>
    <d v="2026-03-24T00:00:00"/>
    <s v="Amit Sharma"/>
    <s v="Male"/>
    <d v="1989-04-04T00:00:00"/>
    <s v="Pune"/>
    <x v="2"/>
    <x v="2"/>
    <s v="Pen"/>
    <n v="7"/>
    <n v="20"/>
    <n v="0"/>
    <n v="140"/>
    <n v="1"/>
    <s v="Card"/>
    <s v="Karan"/>
    <s v="amit.sharma@company.com"/>
    <n v="9872235856"/>
    <s v="Cancelled"/>
  </r>
  <r>
    <s v="ORD10100"/>
    <s v="C004"/>
    <s v="P102"/>
    <x v="93"/>
    <d v="2025-05-11T00:00:00"/>
    <s v="Anita Gupta"/>
    <s v="Female"/>
    <d v="1987-09-25T00:00:00"/>
    <s v="Delhi"/>
    <x v="1"/>
    <x v="1"/>
    <s v="Mouse"/>
    <n v="5"/>
    <n v="700"/>
    <n v="15"/>
    <n v="999999"/>
    <n v="4"/>
    <s v="Card"/>
    <s v="Ritika"/>
    <s v="anita.gupta@company.com"/>
    <n v="9335138816"/>
    <s v="Pending"/>
  </r>
  <r>
    <s v="ORD10101"/>
    <s v="C007"/>
    <s v="P303"/>
    <x v="94"/>
    <d v="2026-05-10T00:00:00"/>
    <s v="arjun Rao"/>
    <s v="Male"/>
    <d v="1982-08-07T00:00:00"/>
    <s v="Bengaluru"/>
    <x v="0"/>
    <x v="2"/>
    <s v="Marker"/>
    <n v="9"/>
    <n v="45"/>
    <n v="5"/>
    <n v="384.75"/>
    <n v="3"/>
    <s v="Cash"/>
    <s v="Ritika"/>
    <s v="arjun.rao@company.com"/>
    <n v="9750365609"/>
    <s v="Completed"/>
  </r>
  <r>
    <s v="ORD10102"/>
    <s v="C003"/>
    <s v="P301"/>
    <x v="95"/>
    <d v="2025-04-29T00:00:00"/>
    <s v="Rohit Singh"/>
    <s v="Male"/>
    <d v="1986-07-17T00:00:00"/>
    <s v="Kolkata"/>
    <x v="3"/>
    <x v="2"/>
    <s v="Notebook"/>
    <n v="19"/>
    <n v="60"/>
    <n v="10"/>
    <n v="1026"/>
    <n v="5"/>
    <s v="NetBanking"/>
    <s v="Neha"/>
    <s v="rohit.singh@company.com"/>
    <n v="9736812737"/>
    <s v="Completed"/>
  </r>
  <r>
    <s v="ORD10103"/>
    <s v="C001"/>
    <s v="P102"/>
    <x v="96"/>
    <d v="2025-12-20T00:00:00"/>
    <s v="Amit Sharma"/>
    <s v="Male"/>
    <d v="1987-04-06T00:00:00"/>
    <s v="Ahmedabad"/>
    <x v="2"/>
    <x v="1"/>
    <s v="Mouse"/>
    <n v="4"/>
    <n v="700"/>
    <n v="5"/>
    <n v="2660"/>
    <n v="3"/>
    <s v="NetBanking"/>
    <s v="Aisha"/>
    <s v="amit.sharma@company.com"/>
    <n v="9271420931"/>
    <s v="Completed"/>
  </r>
  <r>
    <s v="ORD10104"/>
    <s v="C001"/>
    <s v="P201"/>
    <x v="94"/>
    <d v="2026-05-15T00:00:00"/>
    <s v="Amit Sharma"/>
    <s v="Male"/>
    <d v="2004-02-25T00:00:00"/>
    <s v="Pune"/>
    <x v="2"/>
    <x v="0"/>
    <s v="Mixer"/>
    <n v="16"/>
    <n v="3500"/>
    <n v="0"/>
    <n v="56000"/>
    <n v="2"/>
    <s v="Card"/>
    <s v="Rahul"/>
    <s v="amit.sharma@company.com"/>
    <n v="9781411370"/>
    <s v="Completed"/>
  </r>
  <r>
    <s v="ORD10105"/>
    <s v="C006"/>
    <s v="P303"/>
    <x v="97"/>
    <d v="2025-01-20T00:00:00"/>
    <s v="Sneha Joshi"/>
    <s v="Female"/>
    <d v="2001-04-24T00:00:00"/>
    <s v="Bengaluru"/>
    <x v="0"/>
    <x v="2"/>
    <s v="Marker"/>
    <n v="5"/>
    <n v="45"/>
    <n v="20"/>
    <n v="180"/>
    <n v="3"/>
    <s v="Card"/>
    <s v="Ritika"/>
    <s v="sneha.joshi@company.com"/>
    <n v="9584152818"/>
    <s v="Completed"/>
  </r>
  <r>
    <s v="ORD10106"/>
    <s v="C007"/>
    <s v="P302"/>
    <x v="98"/>
    <d v="2025-03-18T00:00:00"/>
    <s v="arjun Rao"/>
    <s v="Male"/>
    <d v="1996-07-01T00:00:00"/>
    <s v="Mumbai"/>
    <x v="2"/>
    <x v="2"/>
    <s v="Pen"/>
    <n v="9"/>
    <n v="20"/>
    <n v="10"/>
    <n v="162"/>
    <n v="4"/>
    <s v="Card"/>
    <s v="Ritika"/>
    <s v="arjun.rao@company.com"/>
    <n v="9507986836"/>
    <s v="Pending"/>
  </r>
  <r>
    <s v="ORD10107"/>
    <s v="C010"/>
    <s v="P103"/>
    <x v="99"/>
    <d v="2025-03-01T00:00:00"/>
    <s v="pooja shah"/>
    <s v="Female"/>
    <d v="1979-02-06T00:00:00"/>
    <s v="Delhi"/>
    <x v="1"/>
    <x v="1"/>
    <s v="Keyboard"/>
    <n v="9"/>
    <n v="1200"/>
    <n v="5"/>
    <n v="10260"/>
    <n v="3"/>
    <s v="UPI"/>
    <s v="Ritika"/>
    <s v="pooja.shah@company.com"/>
    <n v="9518249687"/>
    <s v="Pending"/>
  </r>
  <r>
    <s v="ORD10108"/>
    <s v="C002"/>
    <s v="P201"/>
    <x v="100"/>
    <d v="2025-02-27T00:00:00"/>
    <s v="Priya Patel"/>
    <s v="Female"/>
    <d v="1985-12-12T00:00:00"/>
    <s v="Delhi"/>
    <x v="1"/>
    <x v="0"/>
    <s v="Mixer"/>
    <n v="3"/>
    <n v="3500"/>
    <n v="10"/>
    <n v="9450"/>
    <n v="2"/>
    <s v="Card"/>
    <s v="Karan"/>
    <s v="priYa.patel@company.com"/>
    <n v="9179328207"/>
    <s v="Cancelled"/>
  </r>
  <r>
    <s v="ORD10109"/>
    <s v="C005"/>
    <s v="P103"/>
    <x v="27"/>
    <d v="2026-03-18T00:00:00"/>
    <s v="Vikas Mehta"/>
    <s v="Male"/>
    <d v="1992-01-28T00:00:00"/>
    <s v="Mumbai"/>
    <x v="2"/>
    <x v="1"/>
    <s v="Keyboard"/>
    <n v="6"/>
    <n v="1200"/>
    <n v="15"/>
    <n v="6120"/>
    <n v="4"/>
    <s v="UPI"/>
    <s v="Ritika"/>
    <s v="vikas.mehta@company.com"/>
    <n v="9778490728"/>
    <s v="Cancelled"/>
  </r>
  <r>
    <s v="ORD10110"/>
    <s v="C007"/>
    <s v="P103"/>
    <x v="101"/>
    <d v="2025-07-12T00:00:00"/>
    <s v="arjun Rao"/>
    <s v="Male"/>
    <d v="1993-07-05T00:00:00"/>
    <s v="Jaipur"/>
    <x v="1"/>
    <x v="1"/>
    <s v="Keyboard"/>
    <n v="17"/>
    <n v="1200"/>
    <n v="15"/>
    <n v="17340"/>
    <n v="1"/>
    <s v="Cash"/>
    <s v="Aisha"/>
    <s v="arjun.rao@company.com"/>
    <n v="9223058722"/>
    <s v="Completed"/>
  </r>
  <r>
    <s v="ORD10111"/>
    <s v="C005"/>
    <s v="P203"/>
    <x v="102"/>
    <d v="2025-11-26T00:00:00"/>
    <s v="Vikas Mehta"/>
    <s v="Male"/>
    <d v="1977-09-13T00:00:00"/>
    <s v="Bengaluru"/>
    <x v="0"/>
    <x v="0"/>
    <s v="Microwave"/>
    <n v="15"/>
    <n v="8500"/>
    <n v="0"/>
    <n v="127500"/>
    <n v="3"/>
    <s v="Cash"/>
    <s v="Neha"/>
    <s v="vikas.mehta@company.com"/>
    <n v="9999889465"/>
    <s v="Pending"/>
  </r>
  <r>
    <s v="ORD10112"/>
    <s v="C003"/>
    <s v="P103"/>
    <x v="7"/>
    <d v="2025-04-19T00:00:00"/>
    <s v="Rohit Singh"/>
    <s v="Male"/>
    <d v="1985-10-11T00:00:00"/>
    <s v="Hyderabad"/>
    <x v="0"/>
    <x v="1"/>
    <s v="Keyboard"/>
    <n v="1"/>
    <n v="1200"/>
    <n v="20"/>
    <n v="960"/>
    <n v="1"/>
    <s v="UPI"/>
    <s v="Neha"/>
    <s v="rohit.singh@company.com"/>
    <n v="9489687402"/>
    <s v="Pending"/>
  </r>
  <r>
    <s v="ORD10113"/>
    <s v="C003"/>
    <s v="P203"/>
    <x v="103"/>
    <d v="2025-04-18T00:00:00"/>
    <s v="Rohit Singh"/>
    <s v="Male"/>
    <d v="2001-10-02T00:00:00"/>
    <s v="Kolkata"/>
    <x v="3"/>
    <x v="0"/>
    <s v="Microwave"/>
    <n v="5"/>
    <n v="8500"/>
    <n v="10"/>
    <n v="38250"/>
    <n v="1"/>
    <s v="Card"/>
    <s v="Aisha"/>
    <s v="rohit.singh@company.com"/>
    <n v="9236963301"/>
    <s v="Completed"/>
  </r>
  <r>
    <s v="ORD10114"/>
    <s v="C010"/>
    <s v="P303"/>
    <x v="104"/>
    <d v="2026-04-10T00:00:00"/>
    <s v="pooja shah"/>
    <s v="Female"/>
    <d v="1986-04-08T00:00:00"/>
    <s v="Hyderabad"/>
    <x v="0"/>
    <x v="2"/>
    <s v="Marker"/>
    <n v="12"/>
    <n v="45"/>
    <n v="5"/>
    <n v="513"/>
    <n v="2"/>
    <s v="NetBanking"/>
    <s v="Ritika"/>
    <s v="pooja.shah@company.com"/>
    <n v="9653594592"/>
    <s v="Cancelled"/>
  </r>
  <r>
    <s v="ORD10115"/>
    <s v="C005"/>
    <s v="P301"/>
    <x v="105"/>
    <d v="2025-10-28T00:00:00"/>
    <s v="Vikas Mehta"/>
    <s v="Male"/>
    <d v="1990-07-21T00:00:00"/>
    <s v="Pune"/>
    <x v="2"/>
    <x v="2"/>
    <s v="Notebook"/>
    <n v="5"/>
    <n v="60"/>
    <n v="5"/>
    <n v="285"/>
    <n v="2"/>
    <s v="Cash"/>
    <s v="Aisha"/>
    <s v="vikas.mehta@company.com"/>
    <n v="9781970426"/>
    <s v="Completed"/>
  </r>
  <r>
    <s v="ORD10116"/>
    <s v="C010"/>
    <s v="P102"/>
    <x v="106"/>
    <d v="2025-04-14T00:00:00"/>
    <s v="pooja shah"/>
    <s v="Female"/>
    <d v="1994-04-11T00:00:00"/>
    <s v="Kolkata"/>
    <x v="3"/>
    <x v="1"/>
    <s v="Mouse"/>
    <n v="3"/>
    <n v="700"/>
    <n v="0"/>
    <n v="2100"/>
    <n v="4"/>
    <s v="Card"/>
    <s v="Aisha"/>
    <s v="pooja.shah@company.com"/>
    <n v="9862165194"/>
    <s v="Completed"/>
  </r>
  <r>
    <s v="ORD10117"/>
    <s v="C004"/>
    <s v="P302"/>
    <x v="43"/>
    <d v="2025-04-29T00:00:00"/>
    <s v="Anita Gupta"/>
    <s v="Female"/>
    <d v="1992-05-04T00:00:00"/>
    <s v="Delhi"/>
    <x v="1"/>
    <x v="2"/>
    <s v="Pen"/>
    <n v="6"/>
    <n v="20"/>
    <n v="15"/>
    <n v="102"/>
    <n v="5"/>
    <s v="Card"/>
    <s v="Karan"/>
    <s v="anita.gupta@company.com"/>
    <n v="9661280388"/>
    <s v="Completed"/>
  </r>
  <r>
    <s v="ORD10118"/>
    <s v="C002"/>
    <s v="P102"/>
    <x v="107"/>
    <d v="2025-08-31T00:00:00"/>
    <s v="Priya Patel"/>
    <s v="Female"/>
    <d v="1980-05-13T00:00:00"/>
    <s v="Bengaluru"/>
    <x v="0"/>
    <x v="1"/>
    <s v="Mouse"/>
    <n v="2"/>
    <n v="700"/>
    <n v="15"/>
    <n v="1190"/>
    <n v="4"/>
    <s v="Cash"/>
    <s v="Karan"/>
    <s v="priYa.patel@company.com"/>
    <n v="9896985355"/>
    <s v="Pending"/>
  </r>
  <r>
    <s v="ORD10119"/>
    <s v="C001"/>
    <s v="P303"/>
    <x v="108"/>
    <d v="2025-06-11T00:00:00"/>
    <s v="Amit Sharma"/>
    <s v="Male"/>
    <d v="1995-09-07T00:00:00"/>
    <s v="Pune"/>
    <x v="2"/>
    <x v="2"/>
    <s v="Marker"/>
    <n v="16"/>
    <n v="45"/>
    <n v="0"/>
    <n v="720"/>
    <n v="1"/>
    <s v="NetBanking"/>
    <s v="Aisha"/>
    <s v="amit.sharma@company.com"/>
    <n v="9807154421"/>
    <s v="Completed"/>
  </r>
  <r>
    <s v="ORD10120"/>
    <s v="C009"/>
    <s v="P103"/>
    <x v="109"/>
    <d v="2025-06-02T00:00:00"/>
    <s v="Mohit Verma"/>
    <s v="Male"/>
    <d v="1988-03-08T00:00:00"/>
    <s v="Ahmedabad"/>
    <x v="2"/>
    <x v="1"/>
    <s v="Keyboard"/>
    <s v="Ten"/>
    <n v="1200"/>
    <n v="15"/>
    <n v="7140"/>
    <n v="4"/>
    <s v="UPI"/>
    <s v="Karan"/>
    <s v="mohit.verma@company.com"/>
    <n v="9919834000"/>
    <s v="Pending"/>
  </r>
  <r>
    <s v="ORD10121"/>
    <s v="C002"/>
    <s v="P104"/>
    <x v="50"/>
    <d v="2025-08-30T00:00:00"/>
    <s v="Priya Patel"/>
    <s v="Female"/>
    <d v="1989-07-07T00:00:00"/>
    <s v="Jaipur"/>
    <x v="1"/>
    <x v="1"/>
    <s v="Monitor"/>
    <n v="14"/>
    <n v="12000"/>
    <n v="15"/>
    <n v="142800"/>
    <n v="2"/>
    <s v="NetBanking"/>
    <s v="Aisha"/>
    <s v="priYa.patel@company.com"/>
    <n v="9739798818"/>
    <s v="Pending"/>
  </r>
  <r>
    <s v="ORD10122"/>
    <s v="C003"/>
    <s v="P203"/>
    <x v="64"/>
    <d v="2025-12-16T00:00:00"/>
    <s v="Rohit Singh"/>
    <s v="Male"/>
    <d v="1993-11-11T00:00:00"/>
    <s v="Pune"/>
    <x v="2"/>
    <x v="0"/>
    <s v="Microwave"/>
    <n v="8"/>
    <n v="8500"/>
    <n v="20"/>
    <n v="54400"/>
    <n v="3"/>
    <s v="Card"/>
    <s v="Rahul"/>
    <s v="rohit.singh@company.com"/>
    <n v="9208625306"/>
    <s v="Completed"/>
  </r>
  <r>
    <s v="ORD10123"/>
    <s v="C007"/>
    <s v="P303"/>
    <x v="8"/>
    <d v="2026-02-10T00:00:00"/>
    <s v="arjun Rao"/>
    <s v="Male"/>
    <d v="2000-02-01T00:00:00"/>
    <s v="Bengaluru"/>
    <x v="0"/>
    <x v="2"/>
    <s v="Marker"/>
    <n v="3"/>
    <n v="45"/>
    <n v="0"/>
    <n v="135"/>
    <n v="4"/>
    <s v="UPI"/>
    <s v="Aisha"/>
    <s v="arjun.rao@company.com"/>
    <n v="9970178536"/>
    <s v="Cancelled"/>
  </r>
  <r>
    <s v="ORD10124"/>
    <s v="C001"/>
    <s v="P102"/>
    <x v="110"/>
    <d v="2026-01-04T00:00:00"/>
    <s v="Amit Sharma"/>
    <s v="Male"/>
    <d v="1986-06-22T00:00:00"/>
    <s v="Jaipur"/>
    <x v="1"/>
    <x v="1"/>
    <s v="Mouse"/>
    <n v="13"/>
    <n v="700"/>
    <n v="5"/>
    <n v="8645"/>
    <n v="3"/>
    <s v="Card"/>
    <s v="Neha"/>
    <s v="amit.sharma@company.com"/>
    <n v="9633745195"/>
    <s v="Pending"/>
  </r>
  <r>
    <s v="ORD10125"/>
    <s v="C004"/>
    <s v="P103"/>
    <x v="111"/>
    <d v="2025-10-26T00:00:00"/>
    <s v="Anita Gupta"/>
    <s v="Female"/>
    <d v="1986-02-16T00:00:00"/>
    <s v="Mumbai"/>
    <x v="2"/>
    <x v="1"/>
    <s v="Keyboard"/>
    <n v="14"/>
    <n v="1200"/>
    <n v="20"/>
    <n v="13440"/>
    <n v="5"/>
    <s v="NetBanking"/>
    <s v="Aisha"/>
    <s v="anita.gupta@company.com"/>
    <n v="9922102053"/>
    <s v="Completed"/>
  </r>
  <r>
    <s v="ORD10126"/>
    <s v="C002"/>
    <s v="P303"/>
    <x v="112"/>
    <d v="2025-05-21T00:00:00"/>
    <s v="Priya Patel"/>
    <s v="Female"/>
    <d v="1991-09-18T00:00:00"/>
    <s v="Delhi"/>
    <x v="1"/>
    <x v="2"/>
    <s v="Marker"/>
    <n v="2"/>
    <n v="45"/>
    <n v="5"/>
    <n v="85.5"/>
    <n v="3"/>
    <s v="UPI"/>
    <s v="Ritika"/>
    <s v="priYa.patel@company.com"/>
    <n v="9135963930"/>
    <s v="Cancelled"/>
  </r>
  <r>
    <s v="ORD10127"/>
    <s v="C004"/>
    <s v="P103"/>
    <x v="113"/>
    <d v="2026-01-06T00:00:00"/>
    <s v="Anita Gupta"/>
    <s v="Female"/>
    <d v="1981-01-04T00:00:00"/>
    <s v="Bengaluru"/>
    <x v="0"/>
    <x v="1"/>
    <s v="Keyboard"/>
    <n v="2"/>
    <n v="1200"/>
    <n v="20"/>
    <n v="1920"/>
    <n v="3"/>
    <s v="Card"/>
    <s v="Neha"/>
    <s v="anita.gupta@company.com"/>
    <n v="9429405275"/>
    <s v="Completed"/>
  </r>
  <r>
    <s v="ORD10128"/>
    <s v="C003"/>
    <s v="P101"/>
    <x v="114"/>
    <d v="2026-04-26T00:00:00"/>
    <s v="Rohit Singh"/>
    <s v="Male"/>
    <d v="2004-10-12T00:00:00"/>
    <s v="Bengaluru"/>
    <x v="0"/>
    <x v="1"/>
    <s v="Laptop"/>
    <n v="10"/>
    <n v="55000"/>
    <n v="5"/>
    <n v="522500"/>
    <n v="5"/>
    <s v="UPI"/>
    <s v="Aisha"/>
    <s v="rohit.singh@company.com"/>
    <n v="9521757571"/>
    <s v="Pending"/>
  </r>
  <r>
    <s v="ORD10129"/>
    <s v="C006"/>
    <s v="P201"/>
    <x v="115"/>
    <d v="2025-08-05T00:00:00"/>
    <s v="Sneha Joshi"/>
    <s v="Female"/>
    <d v="1984-03-25T00:00:00"/>
    <s v="Jaipur"/>
    <x v="1"/>
    <x v="0"/>
    <s v="Mixer"/>
    <n v="15"/>
    <n v="3500"/>
    <n v="10"/>
    <n v="47250"/>
    <n v="3"/>
    <s v="NetBanking"/>
    <s v="Neha"/>
    <s v="sneha.joshi@company.com"/>
    <n v="9467375455"/>
    <s v="Completed"/>
  </r>
  <r>
    <s v="ORD10130"/>
    <s v="C002"/>
    <s v="P202"/>
    <x v="86"/>
    <d v="2025-08-18T00:00:00"/>
    <s v="Priya Patel"/>
    <s v="Female"/>
    <d v="1982-09-09T00:00:00"/>
    <s v="Bengaluru"/>
    <x v="0"/>
    <x v="0"/>
    <s v="Iron"/>
    <n v="10"/>
    <n v="2200"/>
    <n v="15"/>
    <n v="18700"/>
    <n v="4"/>
    <s v="Card"/>
    <s v="Rahul"/>
    <s v="priYa.patel@company.com"/>
    <n v="9838809695"/>
    <s v="Pending"/>
  </r>
  <r>
    <s v="ORD10131"/>
    <s v="C006"/>
    <s v="P201"/>
    <x v="30"/>
    <d v="2025-06-24T00:00:00"/>
    <s v="Sneha Joshi"/>
    <s v="Female"/>
    <d v="1993-02-15T00:00:00"/>
    <s v="Pune"/>
    <x v="2"/>
    <x v="0"/>
    <s v="Mixer"/>
    <n v="11"/>
    <n v="3500"/>
    <n v="5"/>
    <n v="36575"/>
    <n v="5"/>
    <s v="Cash"/>
    <s v="Ritika"/>
    <s v="sneha.joshi@company.com"/>
    <n v="9296609782"/>
    <s v="Cancelled"/>
  </r>
  <r>
    <s v="ORD10132"/>
    <s v="C004"/>
    <s v="P103"/>
    <x v="116"/>
    <d v="2026-04-30T00:00:00"/>
    <s v="Anita Gupta"/>
    <s v="Female"/>
    <d v="2003-04-08T00:00:00"/>
    <s v="Bengaluru"/>
    <x v="0"/>
    <x v="1"/>
    <s v="Keyboard"/>
    <n v="14"/>
    <n v="1200"/>
    <n v="0"/>
    <n v="16800"/>
    <n v="5"/>
    <s v="Cash"/>
    <s v="Rahul"/>
    <s v="anita.gupta@company.com"/>
    <n v="9848259992"/>
    <s v="Cancelled"/>
  </r>
  <r>
    <s v="ORD10133"/>
    <s v="C002"/>
    <s v="P302"/>
    <x v="117"/>
    <d v="2026-02-22T00:00:00"/>
    <s v="Priya Patel"/>
    <s v="Female"/>
    <d v="1989-10-20T00:00:00"/>
    <s v="Delhi"/>
    <x v="1"/>
    <x v="2"/>
    <s v="Pen"/>
    <n v="11"/>
    <n v="20"/>
    <n v="20"/>
    <n v="176"/>
    <n v="4"/>
    <s v="NetBanking"/>
    <s v="Ritika"/>
    <s v="priYa.patel@company.com"/>
    <n v="9254082295"/>
    <s v="Completed"/>
  </r>
  <r>
    <s v="ORD10134"/>
    <s v="C009"/>
    <s v="P104"/>
    <x v="118"/>
    <d v="2026-04-10T00:00:00"/>
    <s v="Mohit Verma"/>
    <s v="Male"/>
    <d v="1995-09-15T00:00:00"/>
    <s v="Pune"/>
    <x v="2"/>
    <x v="1"/>
    <s v="Monitor"/>
    <n v="6"/>
    <n v="12000"/>
    <n v="10"/>
    <n v="64800"/>
    <n v="5"/>
    <s v="UPI"/>
    <s v="Karan"/>
    <s v="mohit.verma@company.com"/>
    <n v="9687923860"/>
    <s v="Completed"/>
  </r>
  <r>
    <s v="ORD10135"/>
    <s v="C009"/>
    <s v="P202"/>
    <x v="103"/>
    <d v="2025-04-18T00:00:00"/>
    <s v="Mohit Verma"/>
    <s v="Male"/>
    <d v="1994-04-07T00:00:00"/>
    <s v="Hyderabad"/>
    <x v="0"/>
    <x v="0"/>
    <s v="Iron"/>
    <n v="6"/>
    <n v="2200"/>
    <n v="5"/>
    <n v="12540"/>
    <n v="4"/>
    <s v="Cash"/>
    <s v="Rahul"/>
    <s v="mohit.verma@company.com"/>
    <n v="9426459149"/>
    <s v="Completed"/>
  </r>
  <r>
    <s v="ORD10136"/>
    <s v="C010"/>
    <s v="P201"/>
    <x v="55"/>
    <d v="2025-06-27T00:00:00"/>
    <s v="pooja shah"/>
    <s v="Female"/>
    <d v="2003-10-02T00:00:00"/>
    <s v="Delhi"/>
    <x v="1"/>
    <x v="0"/>
    <s v="Mixer"/>
    <n v="3"/>
    <n v="3500"/>
    <n v="5"/>
    <n v="9975"/>
    <n v="4"/>
    <s v="NetBanking"/>
    <s v="Rahul"/>
    <s v="pooja.shah@company.com"/>
    <n v="9155925975"/>
    <s v="Pending"/>
  </r>
  <r>
    <s v="ORD10137"/>
    <s v="C009"/>
    <s v="P203"/>
    <x v="119"/>
    <d v="2025-06-10T00:00:00"/>
    <s v="Mohit Verma"/>
    <s v="Male"/>
    <d v="1997-07-14T00:00:00"/>
    <s v="Hyderabad"/>
    <x v="0"/>
    <x v="0"/>
    <s v="Microwave"/>
    <n v="5"/>
    <n v="8500"/>
    <n v="20"/>
    <n v="34000"/>
    <n v="5"/>
    <s v="Cash"/>
    <s v="Aisha"/>
    <s v="mohit.verma@company.com"/>
    <n v="9945247701"/>
    <s v="Pending"/>
  </r>
  <r>
    <s v="ORD10138"/>
    <s v="C008"/>
    <s v="P201"/>
    <x v="120"/>
    <d v="2025-08-01T00:00:00"/>
    <s v="Kavya Nair"/>
    <s v="Female"/>
    <d v="1979-08-09T00:00:00"/>
    <s v="Bengaluru"/>
    <x v="0"/>
    <x v="0"/>
    <s v="Mixer"/>
    <n v="14"/>
    <n v="3500"/>
    <n v="10"/>
    <n v="44100"/>
    <n v="4"/>
    <s v="UPI"/>
    <s v="Ritika"/>
    <s v="KAvya.nair@company.com"/>
    <n v="9597378398"/>
    <s v="Cancelled"/>
  </r>
  <r>
    <s v="ORD10139"/>
    <s v="C001"/>
    <s v="P303"/>
    <x v="121"/>
    <d v="2025-01-21T00:00:00"/>
    <s v="Amit Sharma"/>
    <s v="Male"/>
    <d v="2002-10-20T00:00:00"/>
    <s v="Ahmedabad"/>
    <x v="2"/>
    <x v="2"/>
    <s v="Marker"/>
    <n v="8"/>
    <n v="45"/>
    <n v="0"/>
    <n v="360"/>
    <n v="1"/>
    <s v="Card"/>
    <s v="Karan"/>
    <s v="amit.sharma@company.com"/>
    <n v="9343963736"/>
    <s v="Cancelled"/>
  </r>
  <r>
    <s v="ORD10140"/>
    <s v="C005"/>
    <s v="P303"/>
    <x v="122"/>
    <d v="2025-02-05T00:00:00"/>
    <s v="Vikas Mehta"/>
    <s v="Male"/>
    <d v="1985-07-24T00:00:00"/>
    <s v="Delhi"/>
    <x v="1"/>
    <x v="2"/>
    <s v="Marker"/>
    <n v="11"/>
    <n v="45"/>
    <n v="5"/>
    <n v="470.25"/>
    <n v="3"/>
    <s v="Card"/>
    <s v="Rahul"/>
    <s v="vikas.mehta@company.com"/>
    <n v="9548742147"/>
    <s v="Completed"/>
  </r>
  <r>
    <s v="ORD10141"/>
    <s v="C007"/>
    <s v="P101"/>
    <x v="123"/>
    <d v="2025-01-30T00:00:00"/>
    <s v="arjun Rao"/>
    <s v="Male"/>
    <d v="1988-08-23T00:00:00"/>
    <s v="Ahmedabad"/>
    <x v="2"/>
    <x v="1"/>
    <s v="Laptop"/>
    <n v="19"/>
    <n v="55000"/>
    <n v="0"/>
    <n v="1045000"/>
    <n v="2"/>
    <s v="Card"/>
    <s v="Ritika"/>
    <s v="arjun.rao@company.com"/>
    <n v="9912945471"/>
    <s v="Cancelled"/>
  </r>
  <r>
    <s v="ORD10142"/>
    <s v="C010"/>
    <s v="P201"/>
    <x v="124"/>
    <d v="2025-04-18T00:00:00"/>
    <s v="pooja shah"/>
    <s v="Female"/>
    <d v="1979-01-09T00:00:00"/>
    <s v="Pune"/>
    <x v="2"/>
    <x v="0"/>
    <s v="Mixer"/>
    <n v="20"/>
    <n v="3500"/>
    <n v="20"/>
    <n v="56000"/>
    <n v="4"/>
    <s v="NetBanking"/>
    <s v="Rahul"/>
    <s v="pooja.shah@company.com"/>
    <n v="9912630684"/>
    <s v="Completed"/>
  </r>
  <r>
    <s v="ORD10143"/>
    <s v="C007"/>
    <s v="P202"/>
    <x v="125"/>
    <d v="2025-07-14T00:00:00"/>
    <s v="arjun Rao"/>
    <s v="Male"/>
    <d v="1986-08-25T00:00:00"/>
    <s v="Pune"/>
    <x v="2"/>
    <x v="0"/>
    <s v="Iron"/>
    <n v="17"/>
    <n v="2200"/>
    <n v="0"/>
    <n v="37400"/>
    <n v="5"/>
    <s v="NetBanking"/>
    <s v="Ritika"/>
    <s v="arjun.rao@company.com"/>
    <n v="9114017237"/>
    <s v="Pending"/>
  </r>
  <r>
    <s v="ORD10144"/>
    <s v="C007"/>
    <s v="P103"/>
    <x v="123"/>
    <d v="2025-01-29T00:00:00"/>
    <s v="arjun Rao"/>
    <s v="Male"/>
    <d v="1977-04-01T00:00:00"/>
    <s v="Pune"/>
    <x v="2"/>
    <x v="1"/>
    <s v="Keyboard"/>
    <n v="10"/>
    <n v="1200"/>
    <n v="5"/>
    <n v="11400"/>
    <n v="2"/>
    <s v="Cash"/>
    <s v="Rahul"/>
    <s v="arjun.rao@company.com"/>
    <n v="9872471236"/>
    <s v="Cancelled"/>
  </r>
  <r>
    <s v="ORD10145"/>
    <s v="C005"/>
    <s v="P301"/>
    <x v="126"/>
    <d v="2025-12-18T00:00:00"/>
    <s v="Vikas Mehta"/>
    <s v="Male"/>
    <d v="1983-08-04T00:00:00"/>
    <s v="Hyderabad"/>
    <x v="0"/>
    <x v="2"/>
    <s v="Notebook"/>
    <n v="3"/>
    <n v="60"/>
    <n v="0"/>
    <n v="180"/>
    <n v="4"/>
    <s v="NetBanking"/>
    <s v="Karan"/>
    <s v="vikas.mehta@company.com"/>
    <n v="9461383824"/>
    <s v="Completed"/>
  </r>
  <r>
    <s v="ORD10146"/>
    <s v="C010"/>
    <s v="P202"/>
    <x v="127"/>
    <d v="2025-10-21T00:00:00"/>
    <s v="pooja shah"/>
    <s v="Female"/>
    <d v="1978-04-07T00:00:00"/>
    <s v="Mumbai"/>
    <x v="2"/>
    <x v="0"/>
    <s v="Iron"/>
    <n v="18"/>
    <n v="2200"/>
    <n v="10"/>
    <n v="35640"/>
    <n v="1"/>
    <s v="Card"/>
    <s v="Karan"/>
    <s v="pooja.shah@company.com"/>
    <n v="9243407457"/>
    <s v="Cancelled"/>
  </r>
  <r>
    <s v="ORD10147"/>
    <s v="C009"/>
    <s v="P301"/>
    <x v="128"/>
    <d v="2026-03-10T00:00:00"/>
    <s v="Mohit Verma"/>
    <s v="Male"/>
    <d v="1983-03-04T00:00:00"/>
    <s v="Delhi"/>
    <x v="1"/>
    <x v="2"/>
    <s v="Notebook"/>
    <n v="18"/>
    <n v="60"/>
    <n v="5"/>
    <n v="1026"/>
    <n v="3"/>
    <s v="Card"/>
    <s v="Rahul"/>
    <s v="mohit.verma@company.com"/>
    <n v="9418672379"/>
    <s v="Pending"/>
  </r>
  <r>
    <s v="ORD10148"/>
    <s v="C003"/>
    <s v="P101"/>
    <x v="57"/>
    <d v="2025-08-23T00:00:00"/>
    <s v="Rohit Singh"/>
    <s v="Male"/>
    <d v="1987-10-27T00:00:00"/>
    <s v="Pune"/>
    <x v="2"/>
    <x v="1"/>
    <s v="Laptop"/>
    <n v="11"/>
    <n v="55000"/>
    <n v="15"/>
    <n v="514250"/>
    <n v="4"/>
    <s v="UPI"/>
    <s v="Neha"/>
    <s v="rohit.singh@company.com"/>
    <n v="9222733065"/>
    <s v="Cancelled"/>
  </r>
  <r>
    <s v="ORD10150"/>
    <s v="C006"/>
    <s v="P203"/>
    <x v="129"/>
    <d v="2026-01-03T00:00:00"/>
    <s v="Sneha Joshi"/>
    <s v="Female"/>
    <d v="2003-04-19T00:00:00"/>
    <s v="Kolkata"/>
    <x v="3"/>
    <x v="0"/>
    <s v="Microwave"/>
    <n v="5"/>
    <n v="8500"/>
    <n v="5"/>
    <n v="40375"/>
    <n v="4"/>
    <s v="Cash"/>
    <s v="Karan"/>
    <s v="sneha.joshi@company.com"/>
    <n v="9684246902"/>
    <s v="Completed"/>
  </r>
  <r>
    <s v="ORD10151"/>
    <s v="C002"/>
    <s v="P102"/>
    <x v="28"/>
    <d v="2025-09-19T00:00:00"/>
    <s v="Priya Patel"/>
    <s v="Female"/>
    <d v="2002-02-14T00:00:00"/>
    <s v="Jaipur"/>
    <x v="1"/>
    <x v="1"/>
    <s v="Mouse"/>
    <n v="16"/>
    <n v="700"/>
    <n v="15"/>
    <n v="9520"/>
    <n v="4"/>
    <s v="Card"/>
    <s v="Aisha"/>
    <s v="priYa.patel@company.com"/>
    <n v="9989580228"/>
    <s v="Completed"/>
  </r>
  <r>
    <s v="ORD10152"/>
    <s v="C003"/>
    <s v="P102"/>
    <x v="130"/>
    <d v="2025-07-13T00:00:00"/>
    <s v="Rohit Singh"/>
    <s v="Male"/>
    <d v="1975-07-05T00:00:00"/>
    <s v="Pune"/>
    <x v="2"/>
    <x v="1"/>
    <s v="Mouse"/>
    <n v="6"/>
    <n v="700"/>
    <n v="10"/>
    <n v="3780"/>
    <n v="4"/>
    <s v="Cash"/>
    <s v="Rahul"/>
    <s v="rohit.singh@company.com"/>
    <n v="9110269572"/>
    <s v="Cancelled"/>
  </r>
  <r>
    <s v="ORD10153"/>
    <s v="C010"/>
    <s v="P201"/>
    <x v="131"/>
    <d v="2026-05-15T00:00:00"/>
    <s v="pooja shah"/>
    <s v="Female"/>
    <d v="1992-03-05T00:00:00"/>
    <s v="Delhi"/>
    <x v="1"/>
    <x v="0"/>
    <s v="Mixer"/>
    <n v="20"/>
    <n v="3500"/>
    <n v="10"/>
    <n v="63000"/>
    <n v="4"/>
    <s v="UPI"/>
    <s v="Rahul"/>
    <s v="pooja.shah@company.com"/>
    <n v="9745972422"/>
    <s v="Pending"/>
  </r>
  <r>
    <s v="ORD10154"/>
    <s v="C008"/>
    <s v="P302"/>
    <x v="132"/>
    <d v="2025-12-07T00:00:00"/>
    <s v="Kavya Nair"/>
    <s v="Female"/>
    <d v="1998-06-03T00:00:00"/>
    <s v="Bengaluru"/>
    <x v="0"/>
    <x v="2"/>
    <s v="Pen"/>
    <n v="2"/>
    <n v="20"/>
    <n v="10"/>
    <n v="36"/>
    <n v="1"/>
    <s v="NetBanking"/>
    <s v="Neha"/>
    <s v="KAvya.nair@company.com"/>
    <n v="9123712257"/>
    <s v="Pending"/>
  </r>
  <r>
    <s v="ORD10155"/>
    <s v="C002"/>
    <s v="P202"/>
    <x v="133"/>
    <d v="2025-07-19T00:00:00"/>
    <s v="Priya Patel"/>
    <s v="Female"/>
    <d v="1996-09-28T00:00:00"/>
    <s v="Pune"/>
    <x v="2"/>
    <x v="0"/>
    <s v="Iron"/>
    <n v="16"/>
    <n v="2200"/>
    <n v="20"/>
    <n v="28160"/>
    <n v="2"/>
    <s v="UPI"/>
    <s v="Karan"/>
    <s v="priYa.patel@company.com"/>
    <n v="9665525431"/>
    <s v="Pending"/>
  </r>
  <r>
    <s v="ORD10156"/>
    <s v="C005"/>
    <s v="P104"/>
    <x v="134"/>
    <d v="2025-03-23T00:00:00"/>
    <s v="Vikas Mehta"/>
    <s v="Male"/>
    <d v="1995-12-15T00:00:00"/>
    <s v="Pune"/>
    <x v="2"/>
    <x v="1"/>
    <s v="Monitor"/>
    <n v="15"/>
    <n v="12000"/>
    <n v="0"/>
    <n v="180000"/>
    <n v="1"/>
    <s v="Card"/>
    <s v="Aisha"/>
    <s v="vikas.mehta@company.com"/>
    <n v="9682415134"/>
    <s v="Pending"/>
  </r>
  <r>
    <s v="ORD10157"/>
    <s v="C008"/>
    <s v="P301"/>
    <x v="135"/>
    <d v="2025-07-23T00:00:00"/>
    <s v="Kavya Nair"/>
    <s v="Female"/>
    <d v="1976-07-24T00:00:00"/>
    <s v="Delhi"/>
    <x v="1"/>
    <x v="2"/>
    <s v="Notebook"/>
    <n v="14"/>
    <n v="60"/>
    <n v="15"/>
    <n v="714"/>
    <n v="4"/>
    <s v="UPI"/>
    <s v="Rahul"/>
    <s v="KAvya.nair@company.com"/>
    <n v="9808223872"/>
    <s v="Completed"/>
  </r>
  <r>
    <s v="ORD10158"/>
    <s v="C010"/>
    <s v="P103"/>
    <x v="136"/>
    <d v="2025-07-24T00:00:00"/>
    <s v="pooja shah"/>
    <s v="Female"/>
    <d v="1984-06-22T00:00:00"/>
    <s v="Hyderabad"/>
    <x v="0"/>
    <x v="1"/>
    <s v="Keyboard"/>
    <n v="9"/>
    <n v="1200"/>
    <n v="5"/>
    <n v="10260"/>
    <n v="5"/>
    <s v="NetBanking"/>
    <s v="Aisha"/>
    <s v="pooja.shah@company.com"/>
    <n v="9193549730"/>
    <s v="Pending"/>
  </r>
  <r>
    <s v="ORD10159"/>
    <s v="C005"/>
    <s v="P103"/>
    <x v="137"/>
    <d v="2025-07-29T00:00:00"/>
    <s v="Vikas Mehta"/>
    <s v="Male"/>
    <d v="1998-08-06T00:00:00"/>
    <s v="Kolkata"/>
    <x v="3"/>
    <x v="1"/>
    <s v="Keyboard"/>
    <n v="3"/>
    <n v="1200"/>
    <n v="10"/>
    <n v="3240"/>
    <n v="2"/>
    <s v="Card"/>
    <s v="Karan"/>
    <s v="vikas.mehta@company.com"/>
    <n v="9520617130"/>
    <s v="Cancelled"/>
  </r>
  <r>
    <s v="ORD10160"/>
    <s v="C001"/>
    <s v="P301"/>
    <x v="81"/>
    <d v="2025-04-12T00:00:00"/>
    <s v="Amit Sharma"/>
    <s v="Male"/>
    <d v="2001-06-18T00:00:00"/>
    <s v="Hyderabad"/>
    <x v="0"/>
    <x v="2"/>
    <s v="Notebook"/>
    <n v="2"/>
    <n v="60"/>
    <n v="10"/>
    <n v="108"/>
    <n v="2"/>
    <s v="UPI"/>
    <s v="Aisha"/>
    <s v="amit.sharma@company.com"/>
    <n v="9264578122"/>
    <s v="Completed"/>
  </r>
  <r>
    <s v="ORD10161"/>
    <s v="C009"/>
    <s v="P201"/>
    <x v="58"/>
    <d v="2026-05-23T00:00:00"/>
    <s v="Mohit Verma"/>
    <s v="Male"/>
    <d v="1999-09-11T00:00:00"/>
    <s v="Delhi"/>
    <x v="1"/>
    <x v="0"/>
    <s v="Mixer"/>
    <n v="9"/>
    <n v="3500"/>
    <n v="20"/>
    <n v="25200"/>
    <n v="1"/>
    <s v="NetBanking"/>
    <s v="Ritika"/>
    <s v="mohit.verma@company.com"/>
    <n v="9275071213"/>
    <s v="Completed"/>
  </r>
  <r>
    <s v="ORD10162"/>
    <s v="C005"/>
    <s v="P101"/>
    <x v="27"/>
    <d v="2026-03-16T00:00:00"/>
    <s v="Vikas Mehta"/>
    <s v="Male"/>
    <d v="1995-12-07T00:00:00"/>
    <s v="Jaipur"/>
    <x v="1"/>
    <x v="1"/>
    <s v="Laptop"/>
    <n v="4"/>
    <n v="55000"/>
    <n v="5"/>
    <n v="209000"/>
    <n v="2"/>
    <s v="Cash"/>
    <s v="Karan"/>
    <s v="vikas.mehta@company.com"/>
    <n v="9715222543"/>
    <s v="Pending"/>
  </r>
  <r>
    <s v="ORD10163"/>
    <s v="C001"/>
    <s v="P102"/>
    <x v="71"/>
    <d v="2025-07-01T00:00:00"/>
    <s v="Amit Sharma"/>
    <s v="Male"/>
    <d v="1999-07-22T00:00:00"/>
    <s v="Delhi"/>
    <x v="1"/>
    <x v="1"/>
    <s v="Mouse"/>
    <n v="11"/>
    <n v="700"/>
    <n v="20"/>
    <n v="6160"/>
    <n v="4"/>
    <s v="Cash"/>
    <s v="Karan"/>
    <s v="amit.sharma@company.com"/>
    <n v="9942010833"/>
    <s v="Cancelled"/>
  </r>
  <r>
    <s v="ORD10164"/>
    <s v="C004"/>
    <s v="P103"/>
    <x v="34"/>
    <d v="2025-11-29T00:00:00"/>
    <s v="Anita Gupta"/>
    <s v="Female"/>
    <d v="2000-11-14T00:00:00"/>
    <s v="Kolkata"/>
    <x v="3"/>
    <x v="1"/>
    <s v="Keyboard"/>
    <n v="16"/>
    <n v="1200"/>
    <n v="5"/>
    <n v="18240"/>
    <n v="1"/>
    <s v="Card"/>
    <s v="Ritika"/>
    <s v="anita.gupta@company.com"/>
    <n v="9347718932"/>
    <s v="Pending"/>
  </r>
  <r>
    <s v="ORD10165"/>
    <s v="C004"/>
    <s v="P103"/>
    <x v="83"/>
    <d v="2025-09-17T00:00:00"/>
    <s v="Anita Gupta"/>
    <s v="Female"/>
    <d v="2002-07-24T00:00:00"/>
    <s v="Pune"/>
    <x v="2"/>
    <x v="1"/>
    <s v="Keyboard"/>
    <n v="1"/>
    <n v="1200"/>
    <n v="5"/>
    <n v="1140"/>
    <n v="4"/>
    <s v="Card"/>
    <s v="Ritika"/>
    <s v="anita.gupta@company.com"/>
    <n v="9274808844"/>
    <s v="Completed"/>
  </r>
  <r>
    <s v="ORD10166"/>
    <s v="C001"/>
    <s v="P301"/>
    <x v="138"/>
    <d v="2025-11-13T00:00:00"/>
    <s v="Amit Sharma"/>
    <s v="Male"/>
    <d v="2002-02-25T00:00:00"/>
    <s v="Jaipur"/>
    <x v="1"/>
    <x v="2"/>
    <s v="Notebook"/>
    <n v="7"/>
    <n v="60"/>
    <n v="0"/>
    <n v="420"/>
    <n v="2"/>
    <s v="UPI"/>
    <s v="Karan"/>
    <s v="amit.sharma@company.com"/>
    <n v="9798996063"/>
    <s v="Completed"/>
  </r>
  <r>
    <s v="ORD10167"/>
    <s v="C004"/>
    <s v="P202"/>
    <x v="21"/>
    <d v="2025-01-07T00:00:00"/>
    <s v="Anita Gupta"/>
    <s v="Female"/>
    <d v="1980-07-16T00:00:00"/>
    <s v="Pune"/>
    <x v="2"/>
    <x v="0"/>
    <s v="Iron"/>
    <n v="14"/>
    <n v="2200"/>
    <n v="0"/>
    <n v="30800"/>
    <n v="2"/>
    <s v="UPI"/>
    <s v="Ritika"/>
    <s v="anita.gupta@company.com"/>
    <n v="9145200936"/>
    <s v="Cancelled"/>
  </r>
  <r>
    <s v="ORD10168"/>
    <s v="C004"/>
    <s v="P201"/>
    <x v="139"/>
    <d v="2025-06-27T00:00:00"/>
    <s v="Anita Gupta"/>
    <s v="Female"/>
    <d v="1996-05-25T00:00:00"/>
    <s v="Ahmedabad"/>
    <x v="2"/>
    <x v="0"/>
    <s v="Mixer"/>
    <n v="15"/>
    <n v="3500"/>
    <n v="15"/>
    <n v="44625"/>
    <n v="2"/>
    <s v="UPI"/>
    <s v="Aisha"/>
    <s v="anita.gupta@company.com"/>
    <n v="9697654418"/>
    <s v="Pending"/>
  </r>
  <r>
    <s v="ORD10169"/>
    <s v="C003"/>
    <s v="P201"/>
    <x v="140"/>
    <d v="2025-04-06T00:00:00"/>
    <s v="Rohit Singh"/>
    <s v="Male"/>
    <d v="1986-05-11T00:00:00"/>
    <s v="Kolkata"/>
    <x v="3"/>
    <x v="0"/>
    <s v="Mixer"/>
    <n v="19"/>
    <n v="3500"/>
    <n v="5"/>
    <n v="63175"/>
    <n v="2"/>
    <s v="Cash"/>
    <s v="Neha"/>
    <s v="rohit.singh@company.com"/>
    <n v="9457923119"/>
    <s v="Cancelled"/>
  </r>
  <r>
    <s v="ORD10170"/>
    <s v="C001"/>
    <s v="P101"/>
    <x v="141"/>
    <d v="2025-07-10T00:00:00"/>
    <s v="Amit Sharma"/>
    <s v="Male"/>
    <d v="1989-05-25T00:00:00"/>
    <s v="Bengaluru"/>
    <x v="0"/>
    <x v="1"/>
    <s v="Laptop"/>
    <n v="12"/>
    <n v="55000"/>
    <n v="5"/>
    <n v="627000"/>
    <n v="4"/>
    <s v="Card"/>
    <s v="Aisha"/>
    <s v="amit.sharma@company.com"/>
    <n v="9236111271"/>
    <s v="Cancelled"/>
  </r>
  <r>
    <s v="ORD10171"/>
    <s v="C010"/>
    <s v="P103"/>
    <x v="91"/>
    <d v="2026-01-26T00:00:00"/>
    <s v="pooja shah"/>
    <s v="Female"/>
    <d v="1989-08-25T00:00:00"/>
    <s v="Mumbai"/>
    <x v="2"/>
    <x v="1"/>
    <s v="Keyboard"/>
    <n v="6"/>
    <n v="1200"/>
    <n v="10"/>
    <n v="6480"/>
    <n v="5"/>
    <s v="NetBanking"/>
    <s v="Neha"/>
    <s v="pooja.shah@company.com"/>
    <n v="9402569141"/>
    <s v="Cancelled"/>
  </r>
  <r>
    <s v="ORD10172"/>
    <s v="C006"/>
    <s v="P203"/>
    <x v="10"/>
    <d v="2025-09-20T00:00:00"/>
    <s v="Sneha Joshi"/>
    <s v="Female"/>
    <d v="1997-05-20T00:00:00"/>
    <s v="Hyderabad"/>
    <x v="0"/>
    <x v="0"/>
    <s v="Microwave"/>
    <n v="1"/>
    <n v="8500"/>
    <n v="0"/>
    <n v="8500"/>
    <n v="1"/>
    <s v="UPI"/>
    <s v="Karan"/>
    <s v="sneha.joshi@company.com"/>
    <n v="9138184056"/>
    <s v="Cancelled"/>
  </r>
  <r>
    <s v="ORD10173"/>
    <s v="C003"/>
    <s v="P101"/>
    <x v="142"/>
    <d v="2026-04-07T00:00:00"/>
    <s v="Rohit Singh"/>
    <s v="Male"/>
    <d v="1987-05-03T00:00:00"/>
    <s v="Ahmedabad"/>
    <x v="2"/>
    <x v="1"/>
    <s v="Laptop"/>
    <n v="20"/>
    <n v="55000"/>
    <n v="10"/>
    <n v="990000"/>
    <n v="5"/>
    <s v="NetBanking"/>
    <s v="Karan"/>
    <s v="rohit.singh@company.com"/>
    <n v="9609598700"/>
    <s v="Completed"/>
  </r>
  <r>
    <s v="ORD10174"/>
    <s v="C005"/>
    <s v="P103"/>
    <x v="143"/>
    <d v="2025-10-29T00:00:00"/>
    <s v="Vikas Mehta"/>
    <s v="Male"/>
    <d v="2002-12-02T00:00:00"/>
    <s v="Ahmedabad"/>
    <x v="2"/>
    <x v="1"/>
    <s v="Keyboard"/>
    <n v="8"/>
    <n v="1200"/>
    <n v="15"/>
    <n v="8160"/>
    <n v="2"/>
    <s v="UPI"/>
    <s v="Neha"/>
    <s v="vikas.mehta@company.com"/>
    <n v="9385894399"/>
    <s v="Cancelled"/>
  </r>
  <r>
    <s v="ORD10175"/>
    <s v="C008"/>
    <s v="P201"/>
    <x v="144"/>
    <d v="2025-02-17T00:00:00"/>
    <s v="Kavya Nair"/>
    <s v="Female"/>
    <d v="1986-05-25T00:00:00"/>
    <s v="Jaipur"/>
    <x v="1"/>
    <x v="0"/>
    <s v="Mixer"/>
    <n v="19"/>
    <n v="3500"/>
    <n v="5"/>
    <n v="63175"/>
    <n v="4"/>
    <s v="UPI"/>
    <s v="Rahul"/>
    <s v="KAvya.nair@company.com"/>
    <n v="9329448011"/>
    <s v="Pending"/>
  </r>
  <r>
    <s v="ORD10176"/>
    <s v="C005"/>
    <s v="P303"/>
    <x v="1"/>
    <d v="2025-04-29T00:00:00"/>
    <s v="Vikas Mehta"/>
    <s v="Male"/>
    <d v="1986-02-22T00:00:00"/>
    <s v="Jaipur"/>
    <x v="1"/>
    <x v="2"/>
    <s v="Marker"/>
    <n v="6"/>
    <n v="45"/>
    <n v="20"/>
    <n v="216"/>
    <n v="1"/>
    <s v="Card"/>
    <s v="Rahul"/>
    <s v="vikas.mehtacompany.com"/>
    <n v="9889544104"/>
    <s v="Pending"/>
  </r>
  <r>
    <s v="ORD10177"/>
    <s v="C006"/>
    <s v="P303"/>
    <x v="145"/>
    <d v="2025-03-25T00:00:00"/>
    <s v="Sneha Joshi"/>
    <s v="Female"/>
    <d v="1988-04-07T00:00:00"/>
    <s v="Pune"/>
    <x v="2"/>
    <x v="2"/>
    <s v="Marker"/>
    <n v="17"/>
    <n v="45"/>
    <n v="15"/>
    <n v="650.25"/>
    <n v="5"/>
    <s v="Cash"/>
    <s v="Neha"/>
    <s v="sneha.joshi@company.com"/>
    <n v="9101861045"/>
    <s v="Pending"/>
  </r>
  <r>
    <s v="ORD10178"/>
    <s v="C008"/>
    <s v="P302"/>
    <x v="125"/>
    <d v="2025-07-16T00:00:00"/>
    <s v="Kavya Nair"/>
    <s v="Female"/>
    <d v="1993-06-27T00:00:00"/>
    <s v="Pune"/>
    <x v="2"/>
    <x v="2"/>
    <s v="Pen"/>
    <n v="19"/>
    <n v="20"/>
    <n v="5"/>
    <n v="361"/>
    <n v="4"/>
    <s v="Cash"/>
    <s v="Ritika"/>
    <s v="KAvya.nair@company.com"/>
    <n v="9364712105"/>
    <s v="Pending"/>
  </r>
  <r>
    <s v="ORD10179"/>
    <s v="C006"/>
    <s v="P302"/>
    <x v="146"/>
    <d v="2025-12-03T00:00:00"/>
    <s v="Sneha Joshi"/>
    <s v="Female"/>
    <d v="2004-06-18T00:00:00"/>
    <s v="Ahmedabad"/>
    <x v="2"/>
    <x v="2"/>
    <s v="Pen"/>
    <n v="11"/>
    <n v="20"/>
    <n v="0"/>
    <n v="220"/>
    <n v="3"/>
    <s v="NetBanking"/>
    <s v="Rahul"/>
    <s v="sneha.joshi@company.com"/>
    <n v="9950206376"/>
    <s v="Completed"/>
  </r>
  <r>
    <s v="ORD10180"/>
    <s v="C004"/>
    <s v="P301"/>
    <x v="147"/>
    <d v="2026-02-21T00:00:00"/>
    <s v="Anita Gupta"/>
    <s v="Female"/>
    <d v="1993-09-09T00:00:00"/>
    <s v="Delhi"/>
    <x v="1"/>
    <x v="2"/>
    <s v="Notebook"/>
    <n v="12"/>
    <n v="60"/>
    <n v="0"/>
    <n v="720"/>
    <n v="2"/>
    <s v="NetBanking"/>
    <s v="Rahul"/>
    <s v="anita.gupta@company.com"/>
    <n v="9235822094"/>
    <s v="Completed"/>
  </r>
  <r>
    <s v="ORD10181"/>
    <s v="C005"/>
    <s v="P303"/>
    <x v="148"/>
    <d v="2025-11-13T00:00:00"/>
    <s v="Priya Patel"/>
    <s v="Male"/>
    <d v="2001-09-13T00:00:00"/>
    <s v="Kolkata"/>
    <x v="3"/>
    <x v="2"/>
    <s v="Marker"/>
    <n v="14"/>
    <n v="45"/>
    <n v="15"/>
    <n v="535.5"/>
    <n v="5"/>
    <s v="UPI"/>
    <s v="Neha"/>
    <s v="vikas.mehta@company.com"/>
    <n v="9311021344"/>
    <s v="Pending"/>
  </r>
  <r>
    <s v="ORD10182"/>
    <s v="C008"/>
    <s v="P102"/>
    <x v="149"/>
    <d v="2025-02-19T00:00:00"/>
    <s v="Kavya Nair"/>
    <s v="Female"/>
    <d v="1981-11-15T00:00:00"/>
    <s v="Hyderabad"/>
    <x v="0"/>
    <x v="1"/>
    <s v="Mouse"/>
    <n v="15"/>
    <n v="700"/>
    <n v="10"/>
    <n v="9450"/>
    <n v="3"/>
    <s v="NetBanking"/>
    <s v="Rahul"/>
    <s v="KAvya.nair@company.com"/>
    <n v="9891358505"/>
    <s v="Pending"/>
  </r>
  <r>
    <s v="ORD10183"/>
    <s v="C002"/>
    <s v="P203"/>
    <x v="150"/>
    <d v="2025-05-30T00:00:00"/>
    <s v="Priya Patel"/>
    <s v="Female"/>
    <d v="1980-09-12T00:00:00"/>
    <s v="Ahmedabad"/>
    <x v="2"/>
    <x v="0"/>
    <s v="Microwave"/>
    <n v="19"/>
    <n v="8500"/>
    <n v="15"/>
    <n v="137275"/>
    <n v="2"/>
    <s v="Cash"/>
    <s v="Ritika"/>
    <s v="priYa.patel@company.com"/>
    <n v="9910085332"/>
    <s v="Cancelled"/>
  </r>
  <r>
    <s v="ORD10184"/>
    <s v="C006"/>
    <s v="P301"/>
    <x v="151"/>
    <d v="2025-10-06T00:00:00"/>
    <s v="Sneha Joshi"/>
    <s v="Female"/>
    <d v="1988-04-07T00:00:00"/>
    <s v="Jaipur"/>
    <x v="1"/>
    <x v="2"/>
    <s v="Notebook"/>
    <n v="19"/>
    <n v="60"/>
    <n v="20"/>
    <n v="912"/>
    <n v="4"/>
    <s v="Card"/>
    <s v="Rahul"/>
    <s v="sneha.joshi@company.com"/>
    <n v="9756908023"/>
    <s v="Pending"/>
  </r>
  <r>
    <s v="ORD10185"/>
    <s v="C002"/>
    <s v="P303"/>
    <x v="152"/>
    <d v="2025-05-26T00:00:00"/>
    <s v="Priya Patel"/>
    <s v="Female"/>
    <d v="1988-02-19T00:00:00"/>
    <s v="Bengaluru"/>
    <x v="0"/>
    <x v="2"/>
    <s v="Marker"/>
    <n v="10"/>
    <n v="45"/>
    <n v="15"/>
    <n v="382.5"/>
    <n v="4"/>
    <s v="Cash"/>
    <s v="Karan"/>
    <s v="priYa.patel@company.com"/>
    <n v="9645913247"/>
    <s v="Completed"/>
  </r>
  <r>
    <s v="ORD10186"/>
    <s v="C009"/>
    <s v="P202"/>
    <x v="153"/>
    <d v="2025-06-23T00:00:00"/>
    <s v="Mohit Verma"/>
    <s v="Male"/>
    <d v="1981-12-03T00:00:00"/>
    <s v="Delhi"/>
    <x v="1"/>
    <x v="0"/>
    <s v="Iron"/>
    <n v="7"/>
    <n v="2200"/>
    <n v="20"/>
    <n v="12320"/>
    <n v="5"/>
    <s v="UPI"/>
    <s v="Rahul"/>
    <s v="mohit.verma@company.com"/>
    <n v="9806914795"/>
    <s v="Pending"/>
  </r>
  <r>
    <s v="ORD10187"/>
    <s v="C002"/>
    <s v="P203"/>
    <x v="154"/>
    <d v="2025-05-04T00:00:00"/>
    <s v="Priya Patel"/>
    <s v="Female"/>
    <d v="1984-02-11T00:00:00"/>
    <s v="Kolkata"/>
    <x v="3"/>
    <x v="0"/>
    <s v="Microwave"/>
    <n v="20"/>
    <n v="8500"/>
    <n v="20"/>
    <n v="136000"/>
    <n v="4"/>
    <s v="NetBanking"/>
    <s v="Ritika"/>
    <s v="priYa.patel@company.com"/>
    <n v="9276222829"/>
    <s v="Completed"/>
  </r>
  <r>
    <s v="ORD10188"/>
    <s v="C006"/>
    <s v="P202"/>
    <x v="123"/>
    <d v="2025-01-24T00:00:00"/>
    <s v="Sneha Joshi"/>
    <s v="Female"/>
    <d v="1991-12-07T00:00:00"/>
    <s v="Hyderabad"/>
    <x v="0"/>
    <x v="0"/>
    <s v="Iron"/>
    <n v="10"/>
    <n v="2200"/>
    <n v="5"/>
    <n v="20900"/>
    <n v="2"/>
    <s v="NetBanking"/>
    <s v="Rahul"/>
    <s v="sneha.joshi@company.com"/>
    <n v="9533835528"/>
    <s v="Completed"/>
  </r>
  <r>
    <s v="ORD10189"/>
    <s v="C003"/>
    <s v="P301"/>
    <x v="155"/>
    <d v="2025-12-26T00:00:00"/>
    <s v="Rohit Singh"/>
    <s v="Male"/>
    <d v="1976-02-21T00:00:00"/>
    <s v="Pune"/>
    <x v="2"/>
    <x v="2"/>
    <s v="Notebook"/>
    <n v="15"/>
    <n v="60"/>
    <n v="20"/>
    <n v="720"/>
    <n v="1"/>
    <s v="Card"/>
    <s v="Ritika"/>
    <s v="rohit.singh@company.com"/>
    <n v="9654885820"/>
    <s v="Completed"/>
  </r>
  <r>
    <s v="ORD10190"/>
    <s v="C005"/>
    <s v="P201"/>
    <x v="25"/>
    <d v="2025-06-28T00:00:00"/>
    <s v="Vikas Mehta"/>
    <s v="Male"/>
    <d v="1975-08-28T00:00:00"/>
    <s v="Hyderabad"/>
    <x v="0"/>
    <x v="0"/>
    <s v="Mixer"/>
    <n v="18"/>
    <n v="3500"/>
    <n v="5"/>
    <n v="59850"/>
    <n v="1"/>
    <s v="Card"/>
    <s v="Rahul"/>
    <s v="vikas.mehta@company.com"/>
    <n v="9456029544"/>
    <s v="Cancelled"/>
  </r>
  <r>
    <s v="ORD10191"/>
    <s v="C001"/>
    <s v="P104"/>
    <x v="156"/>
    <d v="2026-05-22T00:00:00"/>
    <s v="Amit Sharma"/>
    <s v="Male"/>
    <d v="1987-12-05T00:00:00"/>
    <s v="Pune"/>
    <x v="2"/>
    <x v="1"/>
    <s v="Monitor"/>
    <n v="6"/>
    <n v="12000"/>
    <n v="5"/>
    <n v="68400"/>
    <n v="1"/>
    <s v="NetBanking"/>
    <s v="Rahul"/>
    <s v="amit.sharma@company.com"/>
    <n v="9914571493"/>
    <s v="Cancelled"/>
  </r>
  <r>
    <s v="ORD10192"/>
    <s v="C001"/>
    <s v="P302"/>
    <x v="147"/>
    <d v="2026-02-16T00:00:00"/>
    <s v="Amit Sharma"/>
    <s v="Male"/>
    <d v="2004-08-26T00:00:00"/>
    <s v="Bengaluru"/>
    <x v="0"/>
    <x v="2"/>
    <s v="Pen"/>
    <n v="19"/>
    <n v="20"/>
    <n v="10"/>
    <n v="342"/>
    <n v="2"/>
    <s v="NetBanking"/>
    <s v="Ritika"/>
    <s v="amit.sharma@company.com"/>
    <n v="9270726986"/>
    <s v="Pending"/>
  </r>
  <r>
    <s v="ORD10193"/>
    <s v="C005"/>
    <s v="P202"/>
    <x v="58"/>
    <d v="2026-05-20T00:00:00"/>
    <s v="Vikas Mehta"/>
    <s v="Male"/>
    <d v="1994-01-16T00:00:00"/>
    <s v="Pune"/>
    <x v="2"/>
    <x v="0"/>
    <s v="Iron"/>
    <n v="7"/>
    <n v="2200"/>
    <n v="0"/>
    <n v="15400"/>
    <n v="1"/>
    <s v="Card"/>
    <s v="Neha"/>
    <s v="vikas.mehta@company.com"/>
    <n v="9570080664"/>
    <s v="Cancelled"/>
  </r>
  <r>
    <s v="ORD10194"/>
    <s v="C001"/>
    <s v="P104"/>
    <x v="157"/>
    <d v="2025-11-20T00:00:00"/>
    <s v="Amit Sharma"/>
    <s v="Male"/>
    <d v="2003-10-28T00:00:00"/>
    <s v="Jaipur"/>
    <x v="1"/>
    <x v="1"/>
    <s v="Monitor"/>
    <n v="3"/>
    <n v="12000"/>
    <n v="5"/>
    <n v="34200"/>
    <n v="3"/>
    <s v="Card"/>
    <s v="Aisha"/>
    <s v="amit.sharma@company.com"/>
    <n v="9109009524"/>
    <s v="Cancelled"/>
  </r>
  <r>
    <s v="ORD10195"/>
    <s v="C004"/>
    <s v="P202"/>
    <x v="105"/>
    <d v="2025-11-04T00:00:00"/>
    <s v="Anita Gupta"/>
    <s v="Female"/>
    <d v="2000-05-16T00:00:00"/>
    <s v="Jaipur"/>
    <x v="1"/>
    <x v="0"/>
    <s v="Iron"/>
    <n v="16"/>
    <n v="2200"/>
    <n v="0"/>
    <n v="35200"/>
    <n v="5"/>
    <s v="Card"/>
    <s v="Ritika"/>
    <s v="anita.gupta@company.com"/>
    <n v="9701276770"/>
    <s v="Pending"/>
  </r>
  <r>
    <s v="ORD10196"/>
    <s v="C006"/>
    <s v="P202"/>
    <x v="158"/>
    <d v="2025-02-18T00:00:00"/>
    <s v="Sneha Joshi"/>
    <s v="Female"/>
    <d v="1989-07-04T00:00:00"/>
    <s v="Delhi"/>
    <x v="1"/>
    <x v="0"/>
    <s v="Iron"/>
    <n v="8"/>
    <n v="2200"/>
    <n v="5"/>
    <n v="16720"/>
    <n v="2"/>
    <s v="UPI"/>
    <s v="Karan"/>
    <s v="sneha.joshi@company.com"/>
    <n v="9298278507"/>
    <s v="Completed"/>
  </r>
  <r>
    <s v="ORD10197"/>
    <s v="C006"/>
    <s v="P202"/>
    <x v="96"/>
    <d v="2025-12-14T00:00:00"/>
    <s v="Sneha Joshi"/>
    <s v="Female"/>
    <d v="1998-03-09T00:00:00"/>
    <s v="Ahmedabad"/>
    <x v="2"/>
    <x v="0"/>
    <s v="Iron"/>
    <n v="10"/>
    <n v="2200"/>
    <n v="10"/>
    <n v="19800"/>
    <n v="5"/>
    <s v="NetBanking"/>
    <s v="Neha"/>
    <s v="sneha.joshi@company.com"/>
    <n v="9895908093"/>
    <s v="Pending"/>
  </r>
  <r>
    <s v="ORD10198"/>
    <s v="C007"/>
    <s v="P302"/>
    <x v="159"/>
    <d v="2025-05-09T00:00:00"/>
    <s v="arjun Rao"/>
    <s v="Male"/>
    <d v="1988-05-21T00:00:00"/>
    <s v="Delhi"/>
    <x v="1"/>
    <x v="2"/>
    <s v="Pen"/>
    <n v="7"/>
    <n v="20"/>
    <n v="10"/>
    <n v="126"/>
    <n v="4"/>
    <s v="Card"/>
    <s v="Aisha"/>
    <s v="arjun.rao@company.com"/>
    <n v="9734108795"/>
    <s v="Completed"/>
  </r>
  <r>
    <s v="ORD10199"/>
    <s v="C005"/>
    <s v="P203"/>
    <x v="29"/>
    <d v="2026-01-14T00:00:00"/>
    <s v="Vikas Mehta"/>
    <s v="Male"/>
    <d v="1994-07-18T00:00:00"/>
    <s v="Hyderabad"/>
    <x v="0"/>
    <x v="0"/>
    <s v="Microwave"/>
    <n v="19"/>
    <n v="8500"/>
    <n v="20"/>
    <n v="129200"/>
    <n v="3"/>
    <s v="NetBanking"/>
    <s v="Aisha"/>
    <s v="vikas.mehta@company.com"/>
    <n v="9799597413"/>
    <s v="Pending"/>
  </r>
  <r>
    <s v="ORD10200"/>
    <s v="C002"/>
    <s v="P301"/>
    <x v="59"/>
    <d v="2025-03-06T00:00:00"/>
    <s v="Priya Patel"/>
    <s v="Female"/>
    <d v="1977-11-15T00:00:00"/>
    <s v="Pune"/>
    <x v="2"/>
    <x v="2"/>
    <s v="Notebook"/>
    <n v="16"/>
    <n v="60"/>
    <n v="0"/>
    <n v="960"/>
    <n v="2"/>
    <s v="NetBanking"/>
    <s v="Neha"/>
    <s v="priYa.patel@company.com"/>
    <n v="9688987266"/>
    <s v="Completed"/>
  </r>
  <r>
    <s v="ORD10201"/>
    <s v="C005"/>
    <s v="P201"/>
    <x v="160"/>
    <d v="2026-04-27T00:00:00"/>
    <s v="Vikas Mehta"/>
    <s v="Male"/>
    <d v="1982-09-22T00:00:00"/>
    <s v="Bengaluru"/>
    <x v="0"/>
    <x v="3"/>
    <s v="Mixer"/>
    <n v="18"/>
    <n v="3500"/>
    <n v="5"/>
    <n v="59850"/>
    <n v="1"/>
    <s v="UPI"/>
    <s v="Neha"/>
    <s v="vikas.mehta@company.com"/>
    <n v="9867169037"/>
    <s v="Pending"/>
  </r>
  <r>
    <s v="ORD10202"/>
    <s v="C002"/>
    <s v="P101"/>
    <x v="161"/>
    <d v="2025-03-01T00:00:00"/>
    <s v="Priya Patel"/>
    <s v="Female"/>
    <d v="1994-09-14T00:00:00"/>
    <s v="Jaipur"/>
    <x v="1"/>
    <x v="1"/>
    <s v="Laptop"/>
    <n v="16"/>
    <n v="55000"/>
    <n v="0"/>
    <n v="880000"/>
    <n v="1"/>
    <s v="Card"/>
    <s v="Aisha"/>
    <s v="priYa.patel@company.com"/>
    <n v="9485547425"/>
    <s v="Cancelled"/>
  </r>
  <r>
    <s v="ORD10203"/>
    <s v="C005"/>
    <s v="P103"/>
    <x v="144"/>
    <d v="2025-02-09T00:00:00"/>
    <s v="Vikas Mehta"/>
    <s v="Male"/>
    <d v="1995-12-02T00:00:00"/>
    <s v="Ahmedabad"/>
    <x v="2"/>
    <x v="1"/>
    <s v="Keyboard"/>
    <n v="18"/>
    <n v="1200"/>
    <n v="15"/>
    <n v="18360"/>
    <n v="2"/>
    <s v="NetBanking"/>
    <s v="Ritika"/>
    <s v="vikas.mehta@company.com"/>
    <n v="9889733076"/>
    <s v="Cancelled"/>
  </r>
  <r>
    <s v="ORD10204"/>
    <s v="C009"/>
    <s v="P303"/>
    <x v="162"/>
    <d v="2025-05-27T00:00:00"/>
    <s v="Mohit Verma"/>
    <s v="Male"/>
    <d v="1985-07-10T00:00:00"/>
    <s v="Hyderabad"/>
    <x v="0"/>
    <x v="2"/>
    <s v="Marker"/>
    <n v="2"/>
    <n v="45"/>
    <n v="15"/>
    <n v="76.5"/>
    <n v="5"/>
    <s v="Cash"/>
    <s v="Aisha"/>
    <s v="mohit.verma@company.com"/>
    <n v="9145434449"/>
    <s v="Cancelled"/>
  </r>
  <r>
    <s v="ORD10205"/>
    <s v="C010"/>
    <s v="P203"/>
    <x v="163"/>
    <d v="2026-01-12T00:00:00"/>
    <s v="pooja shah"/>
    <s v="Female"/>
    <d v="2001-03-25T00:00:00"/>
    <s v="Bengaluru"/>
    <x v="0"/>
    <x v="0"/>
    <s v="Microwave"/>
    <n v="20"/>
    <n v="8500"/>
    <n v="0"/>
    <n v="170000"/>
    <n v="4"/>
    <s v="NetBanking"/>
    <s v="Aisha"/>
    <s v="pooja.shah@company.com"/>
    <n v="9598942148"/>
    <s v="Cancelled"/>
  </r>
  <r>
    <s v="ORD10206"/>
    <s v="C003"/>
    <s v="P201"/>
    <x v="36"/>
    <d v="2026-03-09T00:00:00"/>
    <s v="Rohit Singh"/>
    <s v="Male"/>
    <d v="1981-04-27T00:00:00"/>
    <s v="Jaipur"/>
    <x v="1"/>
    <x v="0"/>
    <s v="Mixer"/>
    <n v="6"/>
    <n v="3500"/>
    <n v="5"/>
    <n v="19950"/>
    <n v="1"/>
    <s v="Cash"/>
    <s v="Karan"/>
    <s v="rohit.singh@company.com"/>
    <n v="9599252705"/>
    <s v="Completed"/>
  </r>
  <r>
    <s v="ORD10207"/>
    <s v="C004"/>
    <s v="P303"/>
    <x v="38"/>
    <d v="2025-10-09T00:00:00"/>
    <s v="Anita Gupta"/>
    <s v="Female"/>
    <d v="2003-01-14T00:00:00"/>
    <s v="Pune"/>
    <x v="2"/>
    <x v="2"/>
    <s v="Marker"/>
    <n v="8"/>
    <n v="45"/>
    <n v="5"/>
    <n v="342"/>
    <n v="2"/>
    <s v="Cash"/>
    <s v="Rahul"/>
    <s v="anita.gupta@company.com"/>
    <n v="9626843681"/>
    <s v="Pending"/>
  </r>
  <r>
    <s v="ORD10208"/>
    <s v="C001"/>
    <s v="P202"/>
    <x v="164"/>
    <d v="2025-03-12T00:00:00"/>
    <s v="Amit Sharma"/>
    <s v="Male"/>
    <d v="1980-10-02T00:00:00"/>
    <s v="Mumbai"/>
    <x v="2"/>
    <x v="0"/>
    <s v="Iron"/>
    <n v="18"/>
    <n v="2200"/>
    <n v="15"/>
    <n v="33660"/>
    <n v="4"/>
    <s v="Card"/>
    <s v="Aisha"/>
    <s v="amit.sharma@company.com"/>
    <n v="9934933215"/>
    <s v="Pending"/>
  </r>
  <r>
    <s v="ORD10209"/>
    <s v="C005"/>
    <s v="P102"/>
    <x v="165"/>
    <d v="2026-04-15T00:00:00"/>
    <s v="Vikas Mehta"/>
    <s v="Male"/>
    <d v="1990-10-24T00:00:00"/>
    <s v="Hyderabad"/>
    <x v="0"/>
    <x v="1"/>
    <s v="Mouse"/>
    <n v="18"/>
    <n v="700"/>
    <n v="15"/>
    <n v="10710"/>
    <n v="3"/>
    <s v="Card"/>
    <s v="Karan"/>
    <s v="vikas.mehta@company.com"/>
    <n v="9508025585"/>
    <s v="Cancelled"/>
  </r>
  <r>
    <s v="ORD10210"/>
    <s v="C001"/>
    <s v="P101"/>
    <x v="166"/>
    <d v="2026-01-20T00:00:00"/>
    <s v="Amit Sharma"/>
    <s v="Male"/>
    <d v="1977-09-24T00:00:00"/>
    <s v="Pune"/>
    <x v="2"/>
    <x v="1"/>
    <s v="Laptop"/>
    <n v="12"/>
    <n v="55000"/>
    <n v="0"/>
    <n v="660000"/>
    <n v="2"/>
    <s v="UPI"/>
    <s v="Rahul"/>
    <s v="amit.sharma@company.com"/>
    <n v="9364681052"/>
    <s v="Cancelled"/>
  </r>
  <r>
    <s v="ORD10211"/>
    <s v="C008"/>
    <s v="P104"/>
    <x v="74"/>
    <d v="2025-11-24T00:00:00"/>
    <s v="Kavya Nair"/>
    <s v="Female"/>
    <d v="1996-10-02T00:00:00"/>
    <s v="Mumbai"/>
    <x v="2"/>
    <x v="1"/>
    <s v="Monitor"/>
    <n v="7"/>
    <n v="12000"/>
    <n v="5"/>
    <n v="79800"/>
    <n v="3"/>
    <s v="Card"/>
    <s v="Karan"/>
    <s v="KAvya.nair@company.com"/>
    <n v="9117102884"/>
    <s v="Pending"/>
  </r>
  <r>
    <s v="ORD10212"/>
    <s v="C006"/>
    <s v="P104"/>
    <x v="167"/>
    <d v="2025-09-23T00:00:00"/>
    <s v="Sneha Joshi"/>
    <s v="Female"/>
    <d v="1976-05-17T00:00:00"/>
    <s v="Mumbai"/>
    <x v="2"/>
    <x v="1"/>
    <s v="Monitor"/>
    <n v="8"/>
    <n v="12000"/>
    <n v="15"/>
    <n v="81600"/>
    <n v="4"/>
    <s v="Card"/>
    <s v="Rahul"/>
    <s v="sneha.joshi@company.com"/>
    <n v="9819453185"/>
    <s v="Completed"/>
  </r>
  <r>
    <s v="ORD10213"/>
    <s v="C001"/>
    <s v="P201"/>
    <x v="168"/>
    <d v="2025-12-27T00:00:00"/>
    <s v="Amit Sharma"/>
    <s v="Male"/>
    <d v="1987-12-09T00:00:00"/>
    <s v="Mumbai"/>
    <x v="2"/>
    <x v="0"/>
    <s v="Mixer"/>
    <n v="19"/>
    <n v="3500"/>
    <n v="5"/>
    <n v="63175"/>
    <n v="3"/>
    <s v="Card"/>
    <s v="Aisha"/>
    <s v="amit.sharma@company.com"/>
    <n v="9511806701"/>
    <s v="Pending"/>
  </r>
  <r>
    <s v="ORD10214"/>
    <s v="C006"/>
    <s v="P303"/>
    <x v="144"/>
    <d v="2025-02-16T00:00:00"/>
    <s v="Sneha Joshi"/>
    <s v="Female"/>
    <d v="1990-07-16T00:00:00"/>
    <s v="Ahmedabad"/>
    <x v="2"/>
    <x v="2"/>
    <s v="Marker"/>
    <n v="7"/>
    <n v="45"/>
    <n v="5"/>
    <n v="299.25"/>
    <n v="3"/>
    <s v="Card"/>
    <s v="Ritika"/>
    <s v="sneha.joshi@company.com"/>
    <n v="9875249891"/>
    <s v="Cancelled"/>
  </r>
  <r>
    <s v="ORD10215"/>
    <s v="C008"/>
    <s v="P301"/>
    <x v="169"/>
    <d v="2025-06-08T00:00:00"/>
    <s v="Kavya Nair"/>
    <s v="Female"/>
    <d v="1991-08-09T00:00:00"/>
    <s v="Hyderabad"/>
    <x v="0"/>
    <x v="2"/>
    <s v="Notebook"/>
    <n v="3"/>
    <n v="60"/>
    <n v="15"/>
    <n v="153"/>
    <n v="3"/>
    <s v="NetBanking"/>
    <s v="Rahul"/>
    <s v="KAvya.nair@company.com"/>
    <n v="9438232503"/>
    <s v="Cancelled"/>
  </r>
  <r>
    <s v="ORD10216"/>
    <s v="C010"/>
    <s v="P303"/>
    <x v="170"/>
    <d v="2026-05-04T00:00:00"/>
    <s v="pooja shah"/>
    <s v="Female"/>
    <d v="1977-12-26T00:00:00"/>
    <s v="Pune"/>
    <x v="2"/>
    <x v="2"/>
    <s v="Marker"/>
    <n v="19"/>
    <n v="45"/>
    <n v="0"/>
    <n v="855"/>
    <n v="2"/>
    <s v="Cash"/>
    <s v="Aisha"/>
    <s v="pooja.shah@company.com"/>
    <n v="9449953754"/>
    <s v="Completed"/>
  </r>
  <r>
    <s v="ORD10217"/>
    <s v="C002"/>
    <s v="P104"/>
    <x v="171"/>
    <d v="2026-03-16T00:00:00"/>
    <s v="Priya Patel"/>
    <s v="Female"/>
    <d v="1995-06-04T00:00:00"/>
    <s v="Bengaluru"/>
    <x v="0"/>
    <x v="1"/>
    <s v="Monitor"/>
    <n v="10"/>
    <n v="12000"/>
    <n v="5"/>
    <n v="114000"/>
    <n v="1"/>
    <s v="Card"/>
    <s v="Neha"/>
    <s v="priYa.patel@company.com"/>
    <n v="9833801891"/>
    <s v="Cancelled"/>
  </r>
  <r>
    <s v="ORD10218"/>
    <s v="C008"/>
    <s v="P103"/>
    <x v="172"/>
    <d v="2025-03-12T00:00:00"/>
    <s v="Kavya Nair"/>
    <s v="Female"/>
    <d v="1983-11-16T00:00:00"/>
    <s v="Kolkata"/>
    <x v="3"/>
    <x v="1"/>
    <s v="Keyboard"/>
    <n v="4"/>
    <n v="1200"/>
    <n v="0"/>
    <n v="4800"/>
    <n v="4"/>
    <s v="Cash"/>
    <s v="Aisha"/>
    <s v="KAvya.nair@company.com"/>
    <n v="9183949273"/>
    <s v="Completed"/>
  </r>
  <r>
    <s v="ORD10219"/>
    <s v="C005"/>
    <s v="P203"/>
    <x v="80"/>
    <d v="2025-11-07T00:00:00"/>
    <s v="Vikas Mehta"/>
    <s v="Male"/>
    <d v="1985-10-10T00:00:00"/>
    <s v="Bengaluru"/>
    <x v="0"/>
    <x v="0"/>
    <s v="Microwave"/>
    <n v="2"/>
    <n v="8500"/>
    <n v="20"/>
    <n v="13600"/>
    <n v="3"/>
    <s v="Card"/>
    <s v="Karan"/>
    <s v="vikas.mehta@company.com"/>
    <n v="9168257367"/>
    <s v="Completed"/>
  </r>
  <r>
    <s v="ORD10220"/>
    <s v="C007"/>
    <s v="P102"/>
    <x v="173"/>
    <d v="2026-02-08T00:00:00"/>
    <s v="arjun Rao"/>
    <s v="Male"/>
    <d v="2002-01-07T00:00:00"/>
    <s v="Kolkata"/>
    <x v="3"/>
    <x v="1"/>
    <s v="Mouse"/>
    <n v="7"/>
    <n v="700"/>
    <n v="20"/>
    <n v="3920"/>
    <n v="2"/>
    <s v="Card"/>
    <s v="Karan"/>
    <s v="arjun.rao@company.com"/>
    <n v="9580903210"/>
    <s v="Pending"/>
  </r>
  <r>
    <s v="ORD10221"/>
    <s v="C010"/>
    <s v="P302"/>
    <x v="174"/>
    <d v="2026-05-03T00:00:00"/>
    <s v="pooja shah"/>
    <s v="Female"/>
    <d v="1999-07-18T00:00:00"/>
    <s v="Pune"/>
    <x v="2"/>
    <x v="2"/>
    <s v="Pen"/>
    <n v="9"/>
    <n v="20"/>
    <n v="15"/>
    <n v="153"/>
    <n v="3"/>
    <s v="NetBanking"/>
    <s v="Neha"/>
    <s v="pooja.shah@company.com"/>
    <n v="9602152945"/>
    <s v="Completed"/>
  </r>
  <r>
    <s v="ORD10222"/>
    <s v="C002"/>
    <s v="P203"/>
    <x v="175"/>
    <d v="2025-05-20T00:00:00"/>
    <s v="Priya Patel"/>
    <s v="Female"/>
    <d v="1990-09-02T00:00:00"/>
    <s v="Kolkata"/>
    <x v="3"/>
    <x v="0"/>
    <s v="Microwave"/>
    <n v="16"/>
    <n v="8500"/>
    <n v="0"/>
    <n v="136000"/>
    <n v="4"/>
    <s v="NetBanking"/>
    <s v="Ritika"/>
    <s v="priYa.patel@company.com"/>
    <n v="9646917552"/>
    <s v="Completed"/>
  </r>
  <r>
    <s v="ORD10223"/>
    <s v="C006"/>
    <s v="P201"/>
    <x v="176"/>
    <d v="2026-03-28T00:00:00"/>
    <s v="Sneha Joshi"/>
    <s v="Female"/>
    <d v="1992-08-02T00:00:00"/>
    <s v="Delhi"/>
    <x v="1"/>
    <x v="0"/>
    <s v="Mixer"/>
    <n v="10"/>
    <n v="3500"/>
    <n v="5"/>
    <n v="33250"/>
    <n v="3"/>
    <s v="NetBanking"/>
    <s v="Neha"/>
    <s v="sneha.joshi@company.com"/>
    <n v="9127548552"/>
    <s v="Completed"/>
  </r>
  <r>
    <s v="ORD10224"/>
    <s v="C010"/>
    <s v="P104"/>
    <x v="177"/>
    <d v="2026-01-27T00:00:00"/>
    <s v="pooja shah"/>
    <s v="Female"/>
    <d v="1980-02-09T00:00:00"/>
    <s v="Kolkata"/>
    <x v="3"/>
    <x v="1"/>
    <s v="Monitor"/>
    <n v="1"/>
    <n v="12000"/>
    <n v="0"/>
    <n v="12000"/>
    <n v="5"/>
    <s v="UPI"/>
    <s v="Neha"/>
    <s v="pooja.shah@company.com"/>
    <n v="9712805603"/>
    <s v="Pending"/>
  </r>
  <r>
    <s v="ORD10225"/>
    <s v="C001"/>
    <s v="P303"/>
    <x v="178"/>
    <d v="2026-05-10T00:00:00"/>
    <s v="Amit Sharma"/>
    <s v="Male"/>
    <d v="1989-02-18T00:00:00"/>
    <s v="Kolkata"/>
    <x v="3"/>
    <x v="2"/>
    <s v="Marker"/>
    <n v="19"/>
    <n v="45"/>
    <n v="15"/>
    <n v="726.75"/>
    <n v="2"/>
    <s v="UPI"/>
    <s v="Karan"/>
    <s v="amit.sharma@company.com"/>
    <n v="9798313682"/>
    <s v="Pending"/>
  </r>
  <r>
    <s v="ORD10226"/>
    <s v="C008"/>
    <s v="P101"/>
    <x v="80"/>
    <d v="2025-11-02T00:00:00"/>
    <s v="Kavya Nair"/>
    <s v="Female"/>
    <d v="1993-09-10T00:00:00"/>
    <s v="Delhi"/>
    <x v="1"/>
    <x v="1"/>
    <s v="Laptop"/>
    <n v="13"/>
    <n v="55000"/>
    <n v="5"/>
    <n v="679250"/>
    <n v="4"/>
    <s v="Card"/>
    <s v="Rahul"/>
    <s v="KAvya.nair@company.com"/>
    <n v="9642822397"/>
    <s v="Cancelled"/>
  </r>
  <r>
    <s v="ORD10227"/>
    <s v="C007"/>
    <s v="P303"/>
    <x v="179"/>
    <d v="2025-07-26T00:00:00"/>
    <s v="arjun Rao"/>
    <s v="Male"/>
    <d v="1981-11-17T00:00:00"/>
    <s v="Mumbai"/>
    <x v="2"/>
    <x v="2"/>
    <s v="Marker"/>
    <n v="2"/>
    <n v="45"/>
    <n v="15"/>
    <n v="76.5"/>
    <n v="1"/>
    <s v="NetBanking"/>
    <s v="Neha"/>
    <s v="arjun.rao@company.com"/>
    <n v="9490067655"/>
    <s v="Completed"/>
  </r>
  <r>
    <s v="ORD10228"/>
    <s v="C002"/>
    <s v="P302"/>
    <x v="180"/>
    <d v="2025-02-24T00:00:00"/>
    <s v="Priya Patel"/>
    <s v="Female"/>
    <d v="2003-08-24T00:00:00"/>
    <s v="Hyderabad"/>
    <x v="0"/>
    <x v="2"/>
    <s v="Pen"/>
    <n v="8"/>
    <n v="20"/>
    <n v="15"/>
    <n v="136"/>
    <n v="1"/>
    <s v="Card"/>
    <s v="Ritika"/>
    <s v="priYa.patel@company.com"/>
    <n v="9389792144"/>
    <s v="Pending"/>
  </r>
  <r>
    <s v="ORD10229"/>
    <s v="C004"/>
    <s v="P104"/>
    <x v="181"/>
    <d v="2025-05-01T00:00:00"/>
    <s v="Anita Gupta"/>
    <s v="Female"/>
    <d v="1985-07-19T00:00:00"/>
    <s v="Hyderabad"/>
    <x v="0"/>
    <x v="1"/>
    <s v="Monitor"/>
    <n v="9"/>
    <n v="12000"/>
    <n v="5"/>
    <n v="102600"/>
    <n v="2"/>
    <s v="Card"/>
    <s v="Ritika"/>
    <s v="anita.gupta@company.com"/>
    <n v="9736113863"/>
    <s v="Cancelled"/>
  </r>
  <r>
    <s v="ORD10230"/>
    <s v="C009"/>
    <s v="P201"/>
    <x v="182"/>
    <d v="2025-06-13T00:00:00"/>
    <s v="Mohit Verma"/>
    <s v="Male"/>
    <d v="1994-05-10T00:00:00"/>
    <s v="Kolkata"/>
    <x v="3"/>
    <x v="0"/>
    <s v="Mixer"/>
    <n v="3"/>
    <n v="3500"/>
    <n v="15"/>
    <n v="8925"/>
    <n v="1"/>
    <s v="Cash"/>
    <s v="Rahul"/>
    <s v="mohit.verma@company.com"/>
    <n v="9324634732"/>
    <s v="Cancelled"/>
  </r>
  <r>
    <s v="ORD10231"/>
    <s v="C002"/>
    <s v="P102"/>
    <x v="183"/>
    <d v="2025-05-23T00:00:00"/>
    <s v="Priya Patel"/>
    <s v="Female"/>
    <d v="1993-03-23T00:00:00"/>
    <s v="Hyderabad"/>
    <x v="0"/>
    <x v="1"/>
    <s v="Mouse"/>
    <n v="18"/>
    <n v="700"/>
    <n v="20"/>
    <n v="10080"/>
    <n v="1"/>
    <s v="Card"/>
    <s v="Karan"/>
    <s v="priYa.patel@company.com"/>
    <n v="9529968110"/>
    <s v="Completed"/>
  </r>
  <r>
    <s v="ORD10232"/>
    <s v="C009"/>
    <s v="P201"/>
    <x v="184"/>
    <d v="2026-01-31T00:00:00"/>
    <s v="Mohit Verma"/>
    <s v="Male"/>
    <d v="1979-06-13T00:00:00"/>
    <s v="Pune"/>
    <x v="2"/>
    <x v="0"/>
    <s v="Mixer"/>
    <n v="14"/>
    <n v="3500"/>
    <n v="5"/>
    <n v="46550"/>
    <n v="1"/>
    <s v="Cash"/>
    <s v="Aisha"/>
    <s v="mohit.verma@company.com"/>
    <n v="9102417647"/>
    <s v="Completed"/>
  </r>
  <r>
    <s v="ORD10233"/>
    <s v="C002"/>
    <s v="P102"/>
    <x v="169"/>
    <d v="2025-06-04T00:00:00"/>
    <s v="Priya Patel"/>
    <s v="Female"/>
    <d v="1991-01-24T00:00:00"/>
    <s v="Kolkata"/>
    <x v="3"/>
    <x v="1"/>
    <s v="Mouse"/>
    <n v="6"/>
    <n v="700"/>
    <n v="5"/>
    <n v="3990"/>
    <n v="5"/>
    <s v="Cash"/>
    <s v="Ritika"/>
    <s v="priYa.patel@company.com"/>
    <n v="9630302865"/>
    <s v="Completed"/>
  </r>
  <r>
    <s v="ORD10234"/>
    <s v="C002"/>
    <s v="P201"/>
    <x v="185"/>
    <d v="2025-06-19T00:00:00"/>
    <s v="Priya Patel"/>
    <s v="Female"/>
    <d v="2004-02-22T00:00:00"/>
    <s v="Mumbai"/>
    <x v="2"/>
    <x v="0"/>
    <s v="Mixer"/>
    <n v="17"/>
    <n v="3500"/>
    <n v="15"/>
    <n v="50575"/>
    <n v="3"/>
    <s v="NetBanking"/>
    <s v="Rahul"/>
    <s v="priYa.patel@company.com"/>
    <n v="9465353780"/>
    <s v="Pending"/>
  </r>
  <r>
    <s v="ORD10235"/>
    <s v="C006"/>
    <s v="P302"/>
    <x v="186"/>
    <d v="2026-01-24T00:00:00"/>
    <s v="Sneha Joshi"/>
    <s v="Female"/>
    <d v="1977-04-25T00:00:00"/>
    <s v="Kolkata"/>
    <x v="3"/>
    <x v="2"/>
    <s v="Pen"/>
    <n v="7"/>
    <n v="20"/>
    <n v="5"/>
    <n v="133"/>
    <n v="2"/>
    <s v="UPI"/>
    <s v="Karan"/>
    <s v="sneha.joshi@company.com"/>
    <n v="9837426414"/>
    <s v="Completed"/>
  </r>
  <r>
    <s v="ORD10236"/>
    <s v="C008"/>
    <s v="P202"/>
    <x v="187"/>
    <d v="2026-03-04T00:00:00"/>
    <s v="Kavya Nair"/>
    <s v="Female"/>
    <d v="1994-07-22T00:00:00"/>
    <s v="Bengaluru"/>
    <x v="0"/>
    <x v="0"/>
    <s v="Iron"/>
    <n v="15"/>
    <n v="2200"/>
    <n v="20"/>
    <n v="26400"/>
    <n v="2"/>
    <s v="Cash"/>
    <s v="Aisha"/>
    <s v="KAvya.nair@company.com"/>
    <n v="9249918272"/>
    <s v="Completed"/>
  </r>
  <r>
    <s v="ORD10237"/>
    <s v="C009"/>
    <s v="P302"/>
    <x v="117"/>
    <d v="2026-02-25T00:00:00"/>
    <s v="Mohit Verma"/>
    <s v="Male"/>
    <d v="1979-11-11T00:00:00"/>
    <s v="Mumbai"/>
    <x v="2"/>
    <x v="2"/>
    <s v="Pen"/>
    <n v="5"/>
    <n v="20"/>
    <n v="0"/>
    <n v="100"/>
    <n v="3"/>
    <s v="Cash"/>
    <s v="Karan"/>
    <s v="mohit.verma@company.com"/>
    <n v="9265580582"/>
    <s v="Completed"/>
  </r>
  <r>
    <s v="ORD10238"/>
    <s v="C003"/>
    <s v="P104"/>
    <x v="188"/>
    <d v="2025-07-14T00:00:00"/>
    <s v="Rohit Singh"/>
    <s v="Male"/>
    <d v="1995-05-27T00:00:00"/>
    <s v="Delhi"/>
    <x v="1"/>
    <x v="1"/>
    <s v="Monitor"/>
    <n v="8"/>
    <n v="12000"/>
    <n v="20"/>
    <n v="76800"/>
    <n v="3"/>
    <s v="Card"/>
    <s v="Aisha"/>
    <s v="rohit.singh@company.com"/>
    <n v="9751049833"/>
    <s v="Pending"/>
  </r>
  <r>
    <s v="ORD10239"/>
    <s v="C003"/>
    <s v="P201"/>
    <x v="189"/>
    <d v="2025-02-16T00:00:00"/>
    <s v="Rohit Singh"/>
    <s v="Male"/>
    <d v="1998-06-18T00:00:00"/>
    <s v="Mumbai"/>
    <x v="2"/>
    <x v="0"/>
    <s v="Mixer"/>
    <n v="4"/>
    <n v="3500"/>
    <n v="20"/>
    <n v="11200"/>
    <n v="1"/>
    <s v="Card"/>
    <s v="Neha"/>
    <s v="rohit.singh@company.com"/>
    <n v="9741671507"/>
    <s v="Completed"/>
  </r>
  <r>
    <s v="ORD10240"/>
    <s v="C005"/>
    <s v="P303"/>
    <x v="99"/>
    <d v="2025-03-04T00:00:00"/>
    <s v="Vikas Mehta"/>
    <s v="Male"/>
    <d v="1983-01-21T00:00:00"/>
    <s v="Hyderabad"/>
    <x v="0"/>
    <x v="2"/>
    <s v="Marker"/>
    <n v="19"/>
    <n v="45"/>
    <n v="10"/>
    <n v="769.5"/>
    <n v="1"/>
    <s v="Cash"/>
    <s v="Neha"/>
    <s v="vikas.mehta@company.com"/>
    <n v="9367541035"/>
    <s v="Completed"/>
  </r>
  <r>
    <s v="ORD10241"/>
    <s v="C010"/>
    <s v="P303"/>
    <x v="190"/>
    <d v="2026-02-06T00:00:00"/>
    <s v="pooja shah"/>
    <s v="Female"/>
    <d v="1978-03-03T00:00:00"/>
    <s v="Pune"/>
    <x v="2"/>
    <x v="2"/>
    <s v="Marker"/>
    <n v="10"/>
    <n v="45"/>
    <n v="0"/>
    <n v="450"/>
    <n v="4"/>
    <s v="UPI"/>
    <s v="Aisha"/>
    <s v="pooja.shah@company.com"/>
    <n v="9323696971"/>
    <s v="Completed"/>
  </r>
  <r>
    <s v="ORD10242"/>
    <s v="C010"/>
    <s v="P303"/>
    <x v="191"/>
    <d v="2026-01-17T00:00:00"/>
    <s v="pooja shah"/>
    <s v="Female"/>
    <d v="1997-06-24T00:00:00"/>
    <s v="Hyderabad"/>
    <x v="0"/>
    <x v="2"/>
    <s v="Marker"/>
    <n v="16"/>
    <n v="45"/>
    <n v="15"/>
    <n v="612"/>
    <n v="3"/>
    <s v="Cash"/>
    <s v="Neha"/>
    <s v="pooja.shah@company.com"/>
    <n v="9786384529"/>
    <s v="Cancelled"/>
  </r>
  <r>
    <s v="ORD10243"/>
    <s v="C004"/>
    <s v="P203"/>
    <x v="9"/>
    <d v="2025-03-27T00:00:00"/>
    <s v="Anita Gupta"/>
    <s v="Female"/>
    <d v="1976-08-25T00:00:00"/>
    <s v="Pune"/>
    <x v="2"/>
    <x v="0"/>
    <s v="Microwave"/>
    <n v="16"/>
    <n v="8500"/>
    <n v="15"/>
    <n v="115600"/>
    <n v="4"/>
    <s v="NetBanking"/>
    <s v="Ritika"/>
    <s v="anita.gupta@company.com"/>
    <n v="9444900541"/>
    <s v="Cancelled"/>
  </r>
  <r>
    <s v="ORD10244"/>
    <s v="C004"/>
    <s v="P302"/>
    <x v="62"/>
    <d v="2025-09-12T00:00:00"/>
    <s v="Anita Gupta"/>
    <s v="Female"/>
    <d v="1996-04-04T00:00:00"/>
    <s v="Kolkata"/>
    <x v="3"/>
    <x v="2"/>
    <s v="Pen"/>
    <n v="15"/>
    <n v="20"/>
    <n v="20"/>
    <n v="240"/>
    <n v="3"/>
    <s v="NetBanking"/>
    <s v="Rahul"/>
    <s v="anita.gupta@company.com"/>
    <n v="9108024911"/>
    <s v="Cancelled"/>
  </r>
  <r>
    <s v="ORD10245"/>
    <s v="C007"/>
    <s v="P301"/>
    <x v="61"/>
    <d v="2026-01-13T00:00:00"/>
    <s v="arjun Rao"/>
    <s v="Male"/>
    <d v="2001-10-09T00:00:00"/>
    <s v="Bengaluru"/>
    <x v="0"/>
    <x v="2"/>
    <s v="Notebook"/>
    <n v="14"/>
    <n v="60"/>
    <n v="5"/>
    <n v="798"/>
    <n v="4"/>
    <s v="Cash"/>
    <s v="Rahul"/>
    <s v="arjun.rao@company.com"/>
    <n v="9897181325"/>
    <s v="Completed"/>
  </r>
  <r>
    <s v="ORD10246"/>
    <s v="C010"/>
    <s v="P103"/>
    <x v="192"/>
    <d v="2026-05-19T00:00:00"/>
    <s v="pooja shah"/>
    <s v="Female"/>
    <d v="1995-04-11T00:00:00"/>
    <s v="Mumbai"/>
    <x v="2"/>
    <x v="1"/>
    <s v="Keyboard"/>
    <n v="19"/>
    <n v="1200"/>
    <n v="20"/>
    <n v="18240"/>
    <n v="2"/>
    <s v="Cash"/>
    <s v="Neha"/>
    <s v="pooja.shah@company.com"/>
    <n v="9554719621"/>
    <s v="Cancelled"/>
  </r>
  <r>
    <s v="ORD10247"/>
    <s v="C008"/>
    <s v="P303"/>
    <x v="44"/>
    <d v="2025-10-14T00:00:00"/>
    <s v="Kavya Nair"/>
    <s v="Female"/>
    <d v="2000-05-04T00:00:00"/>
    <s v="Bengaluru"/>
    <x v="0"/>
    <x v="2"/>
    <s v="Marker"/>
    <n v="5"/>
    <n v="45"/>
    <n v="15"/>
    <n v="191.25"/>
    <n v="2"/>
    <s v="Cash"/>
    <s v="Aisha"/>
    <s v="KAvya.nair@company.com"/>
    <n v="9815899217"/>
    <s v="Cancelled"/>
  </r>
  <r>
    <s v="ORD10248"/>
    <s v="C001"/>
    <s v="P102"/>
    <x v="193"/>
    <d v="2025-06-01T00:00:00"/>
    <s v="Amit Sharma"/>
    <s v="Male"/>
    <d v="2002-03-01T00:00:00"/>
    <s v="Hyderabad"/>
    <x v="0"/>
    <x v="1"/>
    <s v="Mouse"/>
    <n v="19"/>
    <n v="700"/>
    <n v="5"/>
    <n v="12635"/>
    <n v="5"/>
    <s v="UPI"/>
    <s v="Karan"/>
    <s v="amit.sharma@company.com"/>
    <n v="9308497039"/>
    <s v="Completed"/>
  </r>
  <r>
    <s v="ORD10249"/>
    <s v="C003"/>
    <s v="P301"/>
    <x v="110"/>
    <d v="2026-01-04T00:00:00"/>
    <s v="Rohit Singh"/>
    <s v="Male"/>
    <d v="1975-05-27T00:00:00"/>
    <s v="Kolkata"/>
    <x v="3"/>
    <x v="2"/>
    <s v="Notebook"/>
    <n v="7"/>
    <n v="60"/>
    <n v="0"/>
    <n v="420"/>
    <n v="4"/>
    <s v="Cash"/>
    <s v="Neha"/>
    <s v="rohit.singh@company.com"/>
    <n v="9882054354"/>
    <s v="Pending"/>
  </r>
  <r>
    <s v="ORD10250"/>
    <s v="C009"/>
    <s v="P202"/>
    <x v="23"/>
    <d v="2026-01-02T00:00:00"/>
    <s v="Mohit Verma"/>
    <s v="Male"/>
    <d v="1988-12-02T00:00:00"/>
    <s v="Mumbai"/>
    <x v="2"/>
    <x v="0"/>
    <s v="Iron"/>
    <n v="13"/>
    <n v="2200"/>
    <n v="10"/>
    <n v="25740"/>
    <n v="1"/>
    <s v="Card"/>
    <s v="Karan"/>
    <s v="mohit.verma@company.com"/>
    <n v="9193016830"/>
    <s v="Completed"/>
  </r>
  <r>
    <s v="ORD10251"/>
    <s v="C009"/>
    <s v="P202"/>
    <x v="194"/>
    <d v="2026-01-05T00:00:00"/>
    <s v="Mohit Verma"/>
    <s v="Male"/>
    <d v="1984-12-06T00:00:00"/>
    <s v="Bengaluru"/>
    <x v="0"/>
    <x v="0"/>
    <s v="Iron"/>
    <n v="9"/>
    <n v="2200"/>
    <n v="10"/>
    <n v="17820"/>
    <n v="2"/>
    <s v="Crypto"/>
    <s v="Aisha"/>
    <s v="mohit.verma@company.com"/>
    <n v="9921470418"/>
    <s v="Cancelled"/>
  </r>
  <r>
    <s v="ORD10252"/>
    <s v="C001"/>
    <s v="P203"/>
    <x v="152"/>
    <d v="2025-05-17T00:00:00"/>
    <s v="Amit Sharma"/>
    <s v="Male"/>
    <d v="1990-05-01T00:00:00"/>
    <s v="Bengaluru"/>
    <x v="0"/>
    <x v="0"/>
    <s v="Microwave"/>
    <n v="6"/>
    <n v="8500"/>
    <n v="15"/>
    <n v="43350"/>
    <n v="2"/>
    <s v="Cash"/>
    <s v="Karan"/>
    <s v="amit.sharma@company.com"/>
    <n v="9686979026"/>
    <s v="Cancelled"/>
  </r>
  <r>
    <s v="ORD10253"/>
    <s v="C005"/>
    <s v="P202"/>
    <x v="117"/>
    <d v="2026-02-25T00:00:00"/>
    <s v="Vikas Mehta"/>
    <s v="Male"/>
    <d v="1988-02-09T00:00:00"/>
    <s v="Delhi"/>
    <x v="1"/>
    <x v="0"/>
    <s v="Iron"/>
    <n v="9"/>
    <n v="2200"/>
    <n v="10"/>
    <n v="17820"/>
    <n v="3"/>
    <s v="Card"/>
    <s v="Ritika"/>
    <s v="vikas.mehta@company.com"/>
    <n v="9569007422"/>
    <s v="Pending"/>
  </r>
  <r>
    <s v="ORD10254"/>
    <s v="C008"/>
    <s v="P203"/>
    <x v="195"/>
    <d v="2025-03-26T00:00:00"/>
    <s v="Kavya Nair"/>
    <s v="Female"/>
    <d v="1982-03-28T00:00:00"/>
    <s v="Kolkata"/>
    <x v="3"/>
    <x v="0"/>
    <s v="Microwave"/>
    <n v="16"/>
    <n v="8500"/>
    <n v="0"/>
    <n v="136000"/>
    <n v="5"/>
    <s v="UPI"/>
    <s v="Neha"/>
    <s v="KAvya.nair@company.com"/>
    <n v="9180820441"/>
    <s v="Cancelled"/>
  </r>
  <r>
    <s v="ORD10255"/>
    <s v="C001"/>
    <s v="P103"/>
    <x v="196"/>
    <d v="2025-12-16T00:00:00"/>
    <s v="Amit Sharma"/>
    <s v="Male"/>
    <d v="1976-12-28T00:00:00"/>
    <s v="Delhi"/>
    <x v="1"/>
    <x v="1"/>
    <s v="Keyboard"/>
    <n v="10"/>
    <n v="1200"/>
    <n v="15"/>
    <n v="10200"/>
    <n v="5"/>
    <s v="Cash"/>
    <s v="Rahul"/>
    <s v="amit.sharma@company.com"/>
    <n v="9769075826"/>
    <s v="Completed"/>
  </r>
  <r>
    <s v="ORD10256"/>
    <s v="C003"/>
    <s v="P104"/>
    <x v="56"/>
    <d v="2025-03-15T00:00:00"/>
    <s v="Rohit Singh"/>
    <s v="Male"/>
    <d v="2003-08-03T00:00:00"/>
    <s v="Kolkata"/>
    <x v="3"/>
    <x v="1"/>
    <s v="Monitor"/>
    <n v="7"/>
    <n v="12000"/>
    <n v="0"/>
    <n v="84000"/>
    <n v="1"/>
    <s v="UPI"/>
    <s v="Karan"/>
    <s v="rohit.singh@company.com"/>
    <n v="9467916296"/>
    <s v="Pending"/>
  </r>
  <r>
    <s v="ORD10257"/>
    <s v="C005"/>
    <s v="P104"/>
    <x v="10"/>
    <d v="2025-10-01T00:00:00"/>
    <s v="Vikas Mehta"/>
    <s v="Male"/>
    <d v="1986-05-06T00:00:00"/>
    <s v="Pune"/>
    <x v="2"/>
    <x v="1"/>
    <s v="Monitor"/>
    <n v="3"/>
    <n v="12000"/>
    <n v="10"/>
    <n v="32400"/>
    <n v="4"/>
    <s v="Card"/>
    <s v="Karan"/>
    <s v="vikas.mehta@company.com"/>
    <n v="9477052923"/>
    <s v="Completed"/>
  </r>
  <r>
    <s v="ORD10258"/>
    <s v="C005"/>
    <s v="P104"/>
    <x v="197"/>
    <d v="2025-11-09T00:00:00"/>
    <s v="Vikas Mehta"/>
    <s v="Male"/>
    <d v="1989-02-04T00:00:00"/>
    <s v="Hyderabad"/>
    <x v="0"/>
    <x v="1"/>
    <s v="Monitor"/>
    <n v="4"/>
    <n v="12000"/>
    <n v="15"/>
    <n v="40800"/>
    <n v="3"/>
    <s v="Card"/>
    <s v="Ritika"/>
    <s v="vikas.mehta@company.com"/>
    <n v="9184311420"/>
    <s v="Pending"/>
  </r>
  <r>
    <s v="ORD10259"/>
    <s v="C003"/>
    <s v="P104"/>
    <x v="30"/>
    <d v="2025-06-18T00:00:00"/>
    <s v="Rohit Singh"/>
    <s v="Male"/>
    <d v="1980-02-08T00:00:00"/>
    <s v="Hyderabad"/>
    <x v="0"/>
    <x v="1"/>
    <s v="Monitor"/>
    <n v="13"/>
    <n v="12000"/>
    <n v="10"/>
    <n v="140400"/>
    <n v="2"/>
    <s v="Cash"/>
    <s v="Karan"/>
    <s v="rohit.singh@company.com"/>
    <n v="9630913127"/>
    <s v="Cancelled"/>
  </r>
  <r>
    <s v="ORD10260"/>
    <s v="C008"/>
    <s v="P201"/>
    <x v="40"/>
    <d v="2025-06-11T00:00:00"/>
    <s v="Kavya Nair"/>
    <s v="Female"/>
    <d v="1985-01-13T00:00:00"/>
    <s v="Bengaluru"/>
    <x v="0"/>
    <x v="0"/>
    <s v="Mixer"/>
    <n v="19"/>
    <n v="3500"/>
    <n v="20"/>
    <n v="53200"/>
    <n v="1"/>
    <s v="Cash"/>
    <s v="Aisha"/>
    <s v="KAvya.nair@company.com"/>
    <n v="9997515828"/>
    <s v="Cancelled"/>
  </r>
  <r>
    <s v="ORD10261"/>
    <s v="C008"/>
    <s v="P202"/>
    <x v="149"/>
    <d v="2025-02-12T00:00:00"/>
    <s v="Kavya Nair"/>
    <s v="Female"/>
    <d v="1979-07-24T00:00:00"/>
    <s v="Mumbai"/>
    <x v="2"/>
    <x v="0"/>
    <s v="Iron"/>
    <n v="7"/>
    <n v="2200"/>
    <n v="5"/>
    <n v="14630"/>
    <n v="3"/>
    <s v="UPI"/>
    <s v="Aisha"/>
    <s v="KAvya.nair@company.com"/>
    <n v="9394291182"/>
    <s v="Cancelled"/>
  </r>
  <r>
    <s v="ORD10262"/>
    <s v="C007"/>
    <s v="P102"/>
    <x v="198"/>
    <d v="2026-05-13T00:00:00"/>
    <s v="arjun Rao"/>
    <s v="Male"/>
    <d v="1993-08-03T00:00:00"/>
    <s v="Jaipur"/>
    <x v="1"/>
    <x v="1"/>
    <s v="Mouse"/>
    <n v="18"/>
    <n v="700"/>
    <n v="5"/>
    <n v="11970"/>
    <n v="2"/>
    <s v="UPI"/>
    <s v="Aisha"/>
    <s v="arjun.rao@company.com"/>
    <n v="9616853220"/>
    <s v="Cancelled"/>
  </r>
  <r>
    <s v="ORD10263"/>
    <s v="C008"/>
    <s v="P302"/>
    <x v="179"/>
    <d v="2025-07-30T00:00:00"/>
    <s v="Kavya Nair"/>
    <s v="Female"/>
    <d v="1975-08-23T00:00:00"/>
    <s v="Kolkata"/>
    <x v="3"/>
    <x v="2"/>
    <s v="Pen"/>
    <n v="11"/>
    <n v="20"/>
    <n v="0"/>
    <n v="220"/>
    <n v="2"/>
    <s v="NetBanking"/>
    <s v="Neha"/>
    <s v="KAvya.nair@company.com"/>
    <n v="9147552626"/>
    <s v="Cancelled"/>
  </r>
  <r>
    <s v="ORD10264"/>
    <s v="C001"/>
    <s v="P104"/>
    <x v="172"/>
    <d v="2025-03-07T00:00:00"/>
    <s v="Amit Sharma"/>
    <s v="Male"/>
    <d v="1978-04-23T00:00:00"/>
    <s v="Pune"/>
    <x v="2"/>
    <x v="1"/>
    <s v="Monitor"/>
    <n v="17"/>
    <n v="12000"/>
    <n v="20"/>
    <n v="163200"/>
    <n v="4"/>
    <s v="UPI"/>
    <s v="Karan"/>
    <s v="amit.sharma@company.com"/>
    <n v="9724197033"/>
    <s v="Completed"/>
  </r>
  <r>
    <s v="ORD10265"/>
    <s v="C006"/>
    <s v="P202"/>
    <x v="199"/>
    <d v="2025-07-13T00:00:00"/>
    <s v="Sneha Joshi"/>
    <s v="Female"/>
    <d v="2003-09-25T00:00:00"/>
    <s v="Kolkata"/>
    <x v="3"/>
    <x v="0"/>
    <s v="Iron"/>
    <n v="4"/>
    <n v="2200"/>
    <n v="5"/>
    <n v="8360"/>
    <n v="2"/>
    <s v="Cash"/>
    <s v="Ritika"/>
    <s v="sneha.joshi@company.com"/>
    <n v="9130666128"/>
    <s v="Completed"/>
  </r>
  <r>
    <s v="ORD10266"/>
    <s v="C008"/>
    <s v="P101"/>
    <x v="200"/>
    <d v="2025-12-19T00:00:00"/>
    <s v="Kavya Nair"/>
    <s v="Female"/>
    <d v="2002-04-09T00:00:00"/>
    <s v="Ahmedabad"/>
    <x v="2"/>
    <x v="1"/>
    <s v="Laptop"/>
    <n v="6"/>
    <n v="55000"/>
    <n v="20"/>
    <n v="264000"/>
    <n v="2"/>
    <s v="UPI"/>
    <s v="Karan"/>
    <s v="KAvya.nair@company.com"/>
    <n v="9866567601"/>
    <s v="Cancelled"/>
  </r>
  <r>
    <s v="ORD10267"/>
    <s v="C009"/>
    <s v="P203"/>
    <x v="5"/>
    <d v="2026-01-14T00:00:00"/>
    <s v="Mohit Verma"/>
    <s v="Male"/>
    <d v="1985-09-24T00:00:00"/>
    <s v="Delhi"/>
    <x v="1"/>
    <x v="0"/>
    <s v="Microwave"/>
    <n v="6"/>
    <n v="8500"/>
    <n v="10"/>
    <n v="45900"/>
    <n v="5"/>
    <s v="UPI"/>
    <s v="Aisha"/>
    <s v="mohit.verma@company.com"/>
    <n v="9477282450"/>
    <s v="Completed"/>
  </r>
  <r>
    <s v="ORD10268"/>
    <s v="C008"/>
    <s v="P302"/>
    <x v="85"/>
    <d v="2025-08-25T00:00:00"/>
    <s v="Kavya Nair"/>
    <s v="Female"/>
    <d v="1984-12-12T00:00:00"/>
    <s v="Jaipur"/>
    <x v="1"/>
    <x v="2"/>
    <s v="Pen"/>
    <n v="6"/>
    <n v="20"/>
    <n v="15"/>
    <n v="102"/>
    <n v="2"/>
    <s v="UPI"/>
    <s v="Rahul"/>
    <s v="KAvya.nair@company.com"/>
    <n v="9857621478"/>
    <s v="Cancelled"/>
  </r>
  <r>
    <s v="ORD10269"/>
    <s v="C010"/>
    <s v="P301"/>
    <x v="201"/>
    <d v="2025-05-11T00:00:00"/>
    <s v="pooja shah"/>
    <s v="Female"/>
    <d v="1984-07-20T00:00:00"/>
    <s v="Mumbai"/>
    <x v="2"/>
    <x v="2"/>
    <s v="Notebook"/>
    <n v="6"/>
    <n v="60"/>
    <n v="5"/>
    <n v="342"/>
    <n v="1"/>
    <s v="NetBanking"/>
    <s v="Aisha"/>
    <s v="pooja.shah@company.com"/>
    <n v="9753869055"/>
    <s v="Completed"/>
  </r>
  <r>
    <s v="ORD10270"/>
    <s v="C003"/>
    <s v="P203"/>
    <x v="202"/>
    <d v="2025-01-12T00:00:00"/>
    <s v="Rohit Singh"/>
    <s v="Male"/>
    <d v="1988-03-15T00:00:00"/>
    <s v="Hyderabad"/>
    <x v="0"/>
    <x v="0"/>
    <s v="Microwave"/>
    <n v="19"/>
    <n v="8500"/>
    <n v="0"/>
    <n v="161500"/>
    <n v="5"/>
    <s v="UPI"/>
    <s v="Karan"/>
    <s v="rohit.singh@company.com"/>
    <n v="9663266204"/>
    <s v="Completed"/>
  </r>
  <r>
    <s v="ORD10271"/>
    <s v="C006"/>
    <s v="P101"/>
    <x v="62"/>
    <d v="2025-09-10T00:00:00"/>
    <s v="Sneha Joshi"/>
    <s v="Female"/>
    <d v="1987-05-27T00:00:00"/>
    <s v="Jaipur"/>
    <x v="1"/>
    <x v="1"/>
    <s v="Laptop"/>
    <n v="8"/>
    <n v="55000"/>
    <n v="0"/>
    <n v="440000"/>
    <n v="3"/>
    <s v="Card"/>
    <s v="Neha"/>
    <s v="sneha.joshi@company.com"/>
    <n v="9675208616"/>
    <s v="Pending"/>
  </r>
  <r>
    <s v="ORD10272"/>
    <s v="C009"/>
    <s v="P104"/>
    <x v="178"/>
    <d v="2026-05-07T00:00:00"/>
    <s v="Mohit Verma"/>
    <s v="Male"/>
    <d v="1988-10-25T00:00:00"/>
    <s v="Kolkata"/>
    <x v="3"/>
    <x v="1"/>
    <s v="Monitor"/>
    <n v="18"/>
    <n v="12000"/>
    <n v="20"/>
    <n v="172800"/>
    <n v="5"/>
    <s v="UPI"/>
    <s v="Aisha"/>
    <s v="mohit.verma@company.com"/>
    <n v="9618393586"/>
    <s v="Cancelled"/>
  </r>
  <r>
    <s v="ORD10273"/>
    <s v="C003"/>
    <s v="P203"/>
    <x v="203"/>
    <d v="2025-04-26T00:00:00"/>
    <s v="Rohit Singh"/>
    <s v="Male"/>
    <d v="1990-12-12T00:00:00"/>
    <s v="Ahmedabad"/>
    <x v="2"/>
    <x v="0"/>
    <s v="Microwave"/>
    <n v="8"/>
    <n v="8500"/>
    <n v="5"/>
    <n v="64600"/>
    <n v="2"/>
    <s v="Card"/>
    <s v="Aisha"/>
    <s v="rohit.singh@company.com"/>
    <n v="9137027840"/>
    <s v="Cancelled"/>
  </r>
  <r>
    <s v="ORD10274"/>
    <s v="C008"/>
    <s v="P302"/>
    <x v="204"/>
    <d v="2025-08-18T00:00:00"/>
    <s v="Kavya Nair"/>
    <s v="Female"/>
    <d v="1981-02-23T00:00:00"/>
    <s v="Mumbai"/>
    <x v="2"/>
    <x v="2"/>
    <s v="Pen"/>
    <n v="13"/>
    <n v="20"/>
    <n v="5"/>
    <n v="247"/>
    <n v="3"/>
    <s v="NetBanking"/>
    <s v="Neha"/>
    <s v="KAvya.nair@company.com"/>
    <n v="9362758134"/>
    <s v="Pending"/>
  </r>
  <r>
    <s v="ORD10275"/>
    <s v="C007"/>
    <s v="P301"/>
    <x v="118"/>
    <d v="2026-04-16T00:00:00"/>
    <s v="arjun Rao"/>
    <s v="Male"/>
    <d v="1985-04-03T00:00:00"/>
    <s v="Jaipur"/>
    <x v="1"/>
    <x v="2"/>
    <s v="Notebook"/>
    <n v="1"/>
    <n v="60"/>
    <n v="15"/>
    <n v="51"/>
    <n v="2"/>
    <s v="Card"/>
    <s v="Aisha"/>
    <s v="arjun.rao@company.com"/>
    <n v="9648541985"/>
    <s v="Cancelled"/>
  </r>
  <r>
    <s v="ORD10276"/>
    <s v="C010"/>
    <s v="P302"/>
    <x v="205"/>
    <d v="2025-06-28T00:00:00"/>
    <s v="pooja shah"/>
    <s v="Female"/>
    <d v="1976-08-06T00:00:00"/>
    <s v="Pune"/>
    <x v="2"/>
    <x v="2"/>
    <s v="Pen"/>
    <n v="5"/>
    <n v="20"/>
    <n v="5"/>
    <n v="95"/>
    <n v="2"/>
    <s v="NetBanking"/>
    <s v="Rahul"/>
    <s v="pooja.shah@company.com"/>
    <n v="9175002781"/>
    <s v="Pending"/>
  </r>
  <r>
    <s v="ORD10277"/>
    <s v="C005"/>
    <s v="P302"/>
    <x v="206"/>
    <d v="2025-05-24T00:00:00"/>
    <s v="Vikas Mehta"/>
    <s v="Male"/>
    <d v="1978-05-13T00:00:00"/>
    <s v="Kolkata"/>
    <x v="3"/>
    <x v="2"/>
    <s v="Pen"/>
    <n v="19"/>
    <n v="20"/>
    <n v="20"/>
    <n v="304"/>
    <n v="3"/>
    <s v="Cash"/>
    <s v="Ritika"/>
    <s v="vikas.mehta@company.com"/>
    <n v="9786241263"/>
    <s v="Cancelled"/>
  </r>
  <r>
    <s v="ORD10278"/>
    <s v="C002"/>
    <s v="P303"/>
    <x v="207"/>
    <d v="2025-04-07T00:00:00"/>
    <s v="Priya Patel"/>
    <s v="Female"/>
    <d v="1998-08-19T00:00:00"/>
    <s v="Ahmedabad"/>
    <x v="2"/>
    <x v="2"/>
    <s v="Marker"/>
    <n v="17"/>
    <n v="45"/>
    <n v="5"/>
    <n v="726.75"/>
    <n v="4"/>
    <s v="Cash"/>
    <s v="Neha"/>
    <s v="priYa.patel@company.com"/>
    <n v="9691078176"/>
    <s v="Pending"/>
  </r>
  <r>
    <s v="ORD10279"/>
    <s v="C007"/>
    <s v="P102"/>
    <x v="208"/>
    <d v="2026-02-22T00:00:00"/>
    <s v="arjun Rao"/>
    <s v="Male"/>
    <d v="1975-10-20T00:00:00"/>
    <s v="Bengaluru"/>
    <x v="0"/>
    <x v="1"/>
    <s v="Mouse"/>
    <n v="8"/>
    <n v="700"/>
    <n v="15"/>
    <n v="4760"/>
    <n v="4"/>
    <s v="NetBanking"/>
    <s v="Ritika"/>
    <s v="arjun.rao@company.com"/>
    <n v="9336679085"/>
    <s v="Pending"/>
  </r>
  <r>
    <s v="ORD10280"/>
    <s v="C004"/>
    <s v="P202"/>
    <x v="209"/>
    <d v="2026-01-29T00:00:00"/>
    <s v="Anita Gupta"/>
    <s v="Female"/>
    <d v="1975-09-28T00:00:00"/>
    <s v="Mumbai"/>
    <x v="2"/>
    <x v="0"/>
    <s v="Iron"/>
    <n v="15"/>
    <n v="2200"/>
    <n v="10"/>
    <n v="29700"/>
    <n v="5"/>
    <s v="UPI"/>
    <s v="Karan"/>
    <s v="anita.gupta@company.com"/>
    <n v="9497351043"/>
    <s v="Completed"/>
  </r>
  <r>
    <s v="ORD10281"/>
    <s v="C002"/>
    <s v="P202"/>
    <x v="210"/>
    <d v="2025-09-29T00:00:00"/>
    <s v="Priya Patel"/>
    <s v="Female"/>
    <d v="2002-09-23T00:00:00"/>
    <s v="Mumbai"/>
    <x v="2"/>
    <x v="0"/>
    <s v="Iron"/>
    <n v="1"/>
    <n v="2200"/>
    <n v="0"/>
    <n v="2200"/>
    <n v="4"/>
    <s v="Cash"/>
    <s v="Rahul"/>
    <s v="priYa.patel@company.com"/>
    <n v="9357038998"/>
    <s v="Cancelled"/>
  </r>
  <r>
    <s v="ORD10282"/>
    <s v="C006"/>
    <s v="P201"/>
    <x v="139"/>
    <d v="2025-06-30T00:00:00"/>
    <s v="Sneha Joshi"/>
    <s v="Female"/>
    <d v="1988-06-17T00:00:00"/>
    <s v="Ahmedabad"/>
    <x v="2"/>
    <x v="0"/>
    <s v="Mixer"/>
    <n v="10"/>
    <n v="3500"/>
    <n v="10"/>
    <n v="31500"/>
    <n v="4"/>
    <s v="NetBanking"/>
    <s v="Ritika"/>
    <s v="sneha.joshi@company.com"/>
    <n v="9986371291"/>
    <s v="Cancelled"/>
  </r>
  <r>
    <s v="ORD10283"/>
    <s v="C009"/>
    <s v="P201"/>
    <x v="211"/>
    <d v="2025-05-16T00:00:00"/>
    <s v="Mohit Verma"/>
    <s v="Male"/>
    <d v="1991-02-02T00:00:00"/>
    <s v="Jaipur"/>
    <x v="1"/>
    <x v="0"/>
    <s v="Mixer"/>
    <n v="16"/>
    <n v="3500"/>
    <n v="15"/>
    <n v="47600"/>
    <n v="1"/>
    <s v="Card"/>
    <s v="Neha"/>
    <s v="mohit.verma@company.com"/>
    <n v="9397839191"/>
    <s v="Pending"/>
  </r>
  <r>
    <s v="ORD10284"/>
    <s v="C006"/>
    <s v="P104"/>
    <x v="212"/>
    <d v="2025-09-18T00:00:00"/>
    <s v="Sneha Joshi"/>
    <s v="Female"/>
    <d v="1978-08-09T00:00:00"/>
    <s v="Jaipur"/>
    <x v="1"/>
    <x v="1"/>
    <s v="Monitor"/>
    <n v="1"/>
    <n v="12000"/>
    <n v="0"/>
    <n v="12000"/>
    <n v="4"/>
    <s v="NetBanking"/>
    <s v="Neha"/>
    <s v="sneha.joshi@company.com"/>
    <n v="9162975843"/>
    <s v="Cancelled"/>
  </r>
  <r>
    <s v="ORD10285"/>
    <s v="C007"/>
    <s v="P102"/>
    <x v="213"/>
    <d v="2025-04-29T00:00:00"/>
    <s v="arjun Rao"/>
    <s v="Male"/>
    <d v="1994-02-02T00:00:00"/>
    <s v="Mumbai"/>
    <x v="2"/>
    <x v="1"/>
    <s v="Mouse"/>
    <n v="6"/>
    <n v="700"/>
    <n v="20"/>
    <n v="3360"/>
    <n v="2"/>
    <s v="NetBanking"/>
    <s v="Neha"/>
    <s v="arjun.rao@company.com"/>
    <n v="9237616558"/>
    <s v="Pending"/>
  </r>
  <r>
    <s v="ORD10286"/>
    <s v="C009"/>
    <s v="P202"/>
    <x v="214"/>
    <d v="2026-02-27T00:00:00"/>
    <s v="Mohit Verma"/>
    <s v="Male"/>
    <d v="1995-03-28T00:00:00"/>
    <s v="Ahmedabad"/>
    <x v="2"/>
    <x v="0"/>
    <s v="Iron"/>
    <n v="3"/>
    <n v="2200"/>
    <n v="0"/>
    <n v="6600"/>
    <n v="4"/>
    <s v="Card"/>
    <s v="Ritika"/>
    <s v="mohit.verma@company.com"/>
    <n v="9935063989"/>
    <s v="Completed"/>
  </r>
  <r>
    <s v="ORD10287"/>
    <s v="C006"/>
    <s v="P303"/>
    <x v="194"/>
    <d v="2026-01-01T00:00:00"/>
    <s v="Sneha Joshi"/>
    <s v="Female"/>
    <d v="1992-03-12T00:00:00"/>
    <s v="Hyderabad"/>
    <x v="0"/>
    <x v="2"/>
    <s v="Marker"/>
    <n v="6"/>
    <n v="45"/>
    <n v="15"/>
    <n v="229.5"/>
    <n v="1"/>
    <s v="UPI"/>
    <s v="Rahul"/>
    <s v="sneha.joshi@company.com"/>
    <n v="9167376169"/>
    <s v="Completed"/>
  </r>
  <r>
    <s v="ORD10288"/>
    <s v="C006"/>
    <s v="P103"/>
    <x v="215"/>
    <d v="2025-09-30T00:00:00"/>
    <s v="Sneha Joshi"/>
    <s v="Female"/>
    <d v="1981-01-23T00:00:00"/>
    <s v="Bengaluru"/>
    <x v="0"/>
    <x v="1"/>
    <s v="Keyboard"/>
    <n v="2"/>
    <n v="1200"/>
    <n v="0"/>
    <n v="2400"/>
    <n v="1"/>
    <s v="Cash"/>
    <s v="Karan"/>
    <s v="sneha.joshi@company.com"/>
    <n v="9231845497"/>
    <s v="Cancelled"/>
  </r>
  <r>
    <s v="ORD10289"/>
    <s v="C004"/>
    <s v="P102"/>
    <x v="216"/>
    <d v="2026-05-11T00:00:00"/>
    <s v="Anita Gupta"/>
    <s v="Female"/>
    <d v="1984-09-28T00:00:00"/>
    <s v="Hyderabad"/>
    <x v="0"/>
    <x v="1"/>
    <s v="Mouse"/>
    <n v="14"/>
    <n v="700"/>
    <n v="15"/>
    <n v="8330"/>
    <n v="5"/>
    <s v="Cash"/>
    <s v="Neha"/>
    <s v="anita.gupta@company.com"/>
    <n v="9409415805"/>
    <s v="Pending"/>
  </r>
  <r>
    <s v="ORD10290"/>
    <s v="C002"/>
    <s v="P302"/>
    <x v="35"/>
    <d v="2025-11-06T00:00:00"/>
    <s v="Priya Patel"/>
    <s v="Female"/>
    <d v="1975-11-06T00:00:00"/>
    <s v="Mumbai"/>
    <x v="2"/>
    <x v="2"/>
    <s v="Pen"/>
    <n v="13"/>
    <n v="20"/>
    <n v="5"/>
    <n v="247"/>
    <n v="1"/>
    <s v="Card"/>
    <s v="Ritika"/>
    <s v="priya.patecompany.com"/>
    <n v="9240800508"/>
    <s v="Pending"/>
  </r>
  <r>
    <s v="ORD10291"/>
    <s v="C009"/>
    <s v="P202"/>
    <x v="11"/>
    <d v="2025-03-15T00:00:00"/>
    <s v="Mohit Verma"/>
    <s v="Male"/>
    <d v="1995-06-26T00:00:00"/>
    <s v="Pune"/>
    <x v="2"/>
    <x v="0"/>
    <s v="Iron"/>
    <n v="3"/>
    <n v="2200"/>
    <n v="0"/>
    <n v="6600"/>
    <n v="4"/>
    <s v="NetBanking"/>
    <s v="Aisha"/>
    <s v="mohit.verma@company.com"/>
    <n v="9764609936"/>
    <s v="Cancelled"/>
  </r>
  <r>
    <s v="ORD10292"/>
    <s v="C009"/>
    <s v="P301"/>
    <x v="63"/>
    <d v="2026-02-21T00:00:00"/>
    <s v="Mohit Verma"/>
    <s v="Male"/>
    <d v="1979-11-21T00:00:00"/>
    <s v="Pune"/>
    <x v="2"/>
    <x v="2"/>
    <s v="Notebook"/>
    <n v="3"/>
    <n v="60"/>
    <n v="15"/>
    <n v="153"/>
    <n v="4"/>
    <s v="UPI"/>
    <s v="Neha"/>
    <s v="mohit.verma@company.com"/>
    <n v="9362733217"/>
    <s v="Completed"/>
  </r>
  <r>
    <s v="ORD10293"/>
    <s v="C003"/>
    <s v="P201"/>
    <x v="98"/>
    <d v="2025-03-23T00:00:00"/>
    <s v="Rohit Singh"/>
    <s v="Male"/>
    <d v="1987-01-28T00:00:00"/>
    <s v="Mumbai"/>
    <x v="2"/>
    <x v="0"/>
    <s v="Mixer"/>
    <n v="9"/>
    <n v="3500"/>
    <n v="5"/>
    <n v="29925"/>
    <n v="1"/>
    <s v="Cash"/>
    <s v="Aisha"/>
    <s v="rohit.singh@company.com"/>
    <n v="9270466205"/>
    <s v="Pending"/>
  </r>
  <r>
    <s v="ORD10294"/>
    <s v="C001"/>
    <s v="P103"/>
    <x v="217"/>
    <d v="2025-04-01T00:00:00"/>
    <s v="Amit Sharma"/>
    <s v="Male"/>
    <d v="2001-02-08T00:00:00"/>
    <s v="Jaipur"/>
    <x v="1"/>
    <x v="1"/>
    <s v="Keyboard"/>
    <n v="5"/>
    <n v="1200"/>
    <n v="20"/>
    <n v="4800"/>
    <n v="2"/>
    <s v="UPI"/>
    <s v="Neha"/>
    <s v="amit.sharma@company.com"/>
    <n v="9571436865"/>
    <s v="Pending"/>
  </r>
  <r>
    <s v="ORD10295"/>
    <s v="C010"/>
    <s v="P103"/>
    <x v="218"/>
    <d v="2025-03-14T00:00:00"/>
    <s v="pooja shah"/>
    <s v="Female"/>
    <d v="1989-12-14T00:00:00"/>
    <s v="Jaipur"/>
    <x v="1"/>
    <x v="1"/>
    <s v="Keyboard"/>
    <n v="10"/>
    <n v="1200"/>
    <n v="20"/>
    <n v="9600"/>
    <n v="4"/>
    <s v="Cash"/>
    <s v="Rahul"/>
    <s v="pooja.shah@company.com"/>
    <n v="9307011171"/>
    <s v="Completed"/>
  </r>
  <r>
    <s v="ORD10296"/>
    <s v="C008"/>
    <s v="P103"/>
    <x v="219"/>
    <d v="2026-02-24T00:00:00"/>
    <s v="Kavya Nair"/>
    <s v="Female"/>
    <d v="1988-12-15T00:00:00"/>
    <s v="Ahmedabad"/>
    <x v="2"/>
    <x v="1"/>
    <s v="Keyboard"/>
    <n v="5"/>
    <n v="1200"/>
    <n v="20"/>
    <n v="4800"/>
    <n v="3"/>
    <s v="NetBanking"/>
    <s v="Karan"/>
    <s v="KAvya.nair@company.com"/>
    <n v="9922380435"/>
    <s v="Completed"/>
  </r>
  <r>
    <s v="ORD10297"/>
    <s v="C004"/>
    <s v="P302"/>
    <x v="220"/>
    <d v="2025-02-14T00:00:00"/>
    <s v="Anita Gupta"/>
    <s v="Female"/>
    <d v="1990-10-20T00:00:00"/>
    <s v="Mumbai"/>
    <x v="2"/>
    <x v="2"/>
    <s v="Pen"/>
    <n v="10"/>
    <n v="20"/>
    <n v="5"/>
    <n v="190"/>
    <n v="4"/>
    <s v="Cash"/>
    <s v="Karan"/>
    <s v="anita.gupta@company.com"/>
    <n v="9463618792"/>
    <s v="Pending"/>
  </r>
  <r>
    <s v="ORD10298"/>
    <s v="C002"/>
    <s v="P301"/>
    <x v="221"/>
    <d v="2025-01-27T00:00:00"/>
    <s v="Priya Patel"/>
    <s v="Female"/>
    <d v="1978-09-08T00:00:00"/>
    <s v="Delhi"/>
    <x v="1"/>
    <x v="2"/>
    <s v="Notebook"/>
    <n v="20"/>
    <n v="60"/>
    <n v="15"/>
    <n v="1020"/>
    <n v="5"/>
    <s v="Card"/>
    <s v="Ritika"/>
    <s v="priYa.patel@company.com"/>
    <n v="9954973200"/>
    <s v="Pending"/>
  </r>
  <r>
    <s v="ORD10299"/>
    <s v="C001"/>
    <s v="P202"/>
    <x v="222"/>
    <d v="2025-04-12T00:00:00"/>
    <s v="Amit Sharma"/>
    <s v="Male"/>
    <d v="1978-02-09T00:00:00"/>
    <s v="Ahmedabad"/>
    <x v="2"/>
    <x v="0"/>
    <s v="Iron"/>
    <n v="7"/>
    <n v="2200"/>
    <n v="15"/>
    <n v="13090"/>
    <n v="4"/>
    <s v="Cash"/>
    <s v="Aisha"/>
    <s v="amit.sharma@company.com"/>
    <n v="9383199236"/>
    <s v="Cancelled"/>
  </r>
  <r>
    <s v="ORD10300"/>
    <s v="C003"/>
    <s v="P101"/>
    <x v="97"/>
    <d v="2025-01-16T00:00:00"/>
    <s v="Rohit Singh"/>
    <s v="Male"/>
    <d v="2004-01-03T00:00:00"/>
    <s v="Hyderabad"/>
    <x v="0"/>
    <x v="1"/>
    <s v="Laptop"/>
    <n v="11"/>
    <n v="55000"/>
    <n v="5"/>
    <n v="574750"/>
    <n v="1"/>
    <s v="UPI"/>
    <s v="Ritika"/>
    <s v="rohit.singh@company.com"/>
    <n v="9482699727"/>
    <s v="Cancelled"/>
  </r>
  <r>
    <s v="ORD10301"/>
    <s v="C007"/>
    <s v="P201"/>
    <x v="38"/>
    <d v="2025-10-17T00:00:00"/>
    <s v="arjun Rao"/>
    <s v="Male"/>
    <d v="1992-05-02T00:00:00"/>
    <s v="Jaipur"/>
    <x v="1"/>
    <x v="0"/>
    <s v="Mixer"/>
    <n v="12"/>
    <n v="3500"/>
    <n v="0"/>
    <n v="42000"/>
    <n v="2"/>
    <s v="NetBanking"/>
    <m/>
    <s v="arjun.rao@company.com"/>
    <n v="9332473934"/>
    <s v="Pending"/>
  </r>
  <r>
    <s v="ORD10302"/>
    <s v="C009"/>
    <s v="P303"/>
    <x v="223"/>
    <d v="2026-03-08T00:00:00"/>
    <s v="Mohit Verma"/>
    <s v="Male"/>
    <d v="2003-01-26T00:00:00"/>
    <s v="Hyderabad"/>
    <x v="0"/>
    <x v="2"/>
    <s v="Marker"/>
    <n v="15"/>
    <n v="45"/>
    <n v="10"/>
    <n v="607.5"/>
    <n v="2"/>
    <s v="Cash"/>
    <s v="Karan"/>
    <s v="mohit.verma@company.com"/>
    <n v="9647657382"/>
    <s v="Pending"/>
  </r>
  <r>
    <s v="ORD10303"/>
    <s v="C001"/>
    <s v="P303"/>
    <x v="224"/>
    <d v="2025-05-26T00:00:00"/>
    <s v="Amit Sharma"/>
    <s v="Male"/>
    <d v="1987-05-20T00:00:00"/>
    <s v="Bengaluru"/>
    <x v="0"/>
    <x v="2"/>
    <s v="Marker"/>
    <n v="13"/>
    <n v="45"/>
    <n v="0"/>
    <n v="585"/>
    <n v="5"/>
    <s v="NetBanking"/>
    <s v="Rahul"/>
    <s v="amit.sharma@company.com"/>
    <n v="9736797776"/>
    <s v="Pending"/>
  </r>
  <r>
    <s v="ORD10304"/>
    <s v="C003"/>
    <s v="P101"/>
    <x v="113"/>
    <d v="2026-01-05T00:00:00"/>
    <s v="Rohit Singh"/>
    <s v="Male"/>
    <d v="1975-09-07T00:00:00"/>
    <s v="Bengaluru"/>
    <x v="0"/>
    <x v="1"/>
    <s v="Laptop"/>
    <n v="8"/>
    <n v="55000"/>
    <n v="0"/>
    <n v="440000"/>
    <n v="2"/>
    <s v="UPI"/>
    <s v="Karan"/>
    <s v="rohit.singh@company.com"/>
    <n v="9745773533"/>
    <s v="Cancelled"/>
  </r>
  <r>
    <s v="ORD10305"/>
    <s v="C006"/>
    <s v="P101"/>
    <x v="225"/>
    <d v="2025-07-27T00:00:00"/>
    <s v="Sneha Joshi"/>
    <s v="Female"/>
    <d v="1980-08-10T00:00:00"/>
    <s v="Delhi"/>
    <x v="1"/>
    <x v="1"/>
    <s v="Laptop"/>
    <n v="4"/>
    <n v="55000"/>
    <n v="20"/>
    <n v="176000"/>
    <n v="5"/>
    <s v="Cash"/>
    <s v="Rahul"/>
    <s v="sneha.joshi@company.com"/>
    <n v="9246715757"/>
    <s v="Pending"/>
  </r>
  <r>
    <s v="ORD10306"/>
    <s v="C008"/>
    <s v="P201"/>
    <x v="226"/>
    <d v="2026-04-26T00:00:00"/>
    <s v="Kavya Nair"/>
    <s v="Female"/>
    <d v="1989-04-07T00:00:00"/>
    <s v="Ahmedabad"/>
    <x v="2"/>
    <x v="0"/>
    <s v="Mixer"/>
    <n v="19"/>
    <n v="3500"/>
    <n v="5"/>
    <n v="63175"/>
    <n v="1"/>
    <s v="Card"/>
    <s v="Neha"/>
    <s v="KAvya.nair@company.com"/>
    <n v="9904065774"/>
    <s v="Completed"/>
  </r>
  <r>
    <s v="ORD10307"/>
    <s v="C005"/>
    <s v="P103"/>
    <x v="227"/>
    <d v="2025-03-06T00:00:00"/>
    <s v="Vikas Mehta"/>
    <s v="Male"/>
    <d v="1998-08-20T00:00:00"/>
    <s v="Jaipur"/>
    <x v="1"/>
    <x v="1"/>
    <s v="Keyboard"/>
    <n v="17"/>
    <n v="1200"/>
    <n v="15"/>
    <n v="17340"/>
    <n v="2"/>
    <s v="NetBanking"/>
    <s v="Rahul"/>
    <s v="vikas.mehta@company.com"/>
    <n v="9652985385"/>
    <s v="Completed"/>
  </r>
  <r>
    <s v="ORD10308"/>
    <s v="C008"/>
    <s v="P202"/>
    <x v="63"/>
    <d v="2026-02-17T00:00:00"/>
    <s v="Kavya Nair"/>
    <s v="Female"/>
    <d v="2001-04-03T00:00:00"/>
    <s v="Hyderabad"/>
    <x v="0"/>
    <x v="0"/>
    <s v="Iron"/>
    <n v="8"/>
    <n v="2200"/>
    <n v="5"/>
    <n v="16720"/>
    <n v="3"/>
    <s v="Card"/>
    <s v="Neha"/>
    <s v="KAvya.nair@company.com"/>
    <n v="9427001508"/>
    <s v="Pending"/>
  </r>
  <r>
    <s v="ORD10309"/>
    <s v="C006"/>
    <s v="P102"/>
    <x v="158"/>
    <d v="2025-02-26T00:00:00"/>
    <s v="Sneha Joshi"/>
    <s v="Female"/>
    <d v="1992-03-05T00:00:00"/>
    <s v="Mumbai"/>
    <x v="2"/>
    <x v="1"/>
    <s v="Mouse"/>
    <n v="17"/>
    <n v="700"/>
    <n v="20"/>
    <n v="9520"/>
    <n v="4"/>
    <s v="NetBanking"/>
    <s v="Neha"/>
    <s v="sneha.joshi@company.com"/>
    <n v="9666803655"/>
    <s v="Completed"/>
  </r>
  <r>
    <s v="ORD10310"/>
    <s v="C006"/>
    <s v="P203"/>
    <x v="228"/>
    <d v="2025-09-08T00:00:00"/>
    <s v="Sneha Joshi"/>
    <s v="Female"/>
    <d v="1976-12-28T00:00:00"/>
    <s v="Pune"/>
    <x v="2"/>
    <x v="0"/>
    <s v="Microwave"/>
    <n v="6"/>
    <n v="8500"/>
    <n v="15"/>
    <n v="43350"/>
    <n v="1"/>
    <s v="Cash"/>
    <s v="Aisha"/>
    <s v="sneha.joshi@company.com"/>
    <n v="9134878547"/>
    <s v="Completed"/>
  </r>
  <r>
    <s v="ORD10311"/>
    <s v="C010"/>
    <s v="P201"/>
    <x v="229"/>
    <d v="2025-10-11T00:00:00"/>
    <s v="pooja shah"/>
    <s v="Female"/>
    <d v="1986-09-04T00:00:00"/>
    <s v="Hyderabad"/>
    <x v="0"/>
    <x v="0"/>
    <s v="Mixer"/>
    <n v="3"/>
    <n v="3500"/>
    <n v="10"/>
    <n v="9450"/>
    <n v="1"/>
    <s v="NetBanking"/>
    <s v="Rahul"/>
    <s v="pooja.shah@company.com"/>
    <n v="9253593557"/>
    <s v="Completed"/>
  </r>
  <r>
    <s v="ORD10312"/>
    <s v="C009"/>
    <s v="P104"/>
    <x v="221"/>
    <d v="2025-01-29T00:00:00"/>
    <s v="Mohit Verma"/>
    <s v="Male"/>
    <d v="1989-08-14T00:00:00"/>
    <s v="Ahmedabad"/>
    <x v="2"/>
    <x v="1"/>
    <s v="Monitor"/>
    <n v="2"/>
    <n v="12000"/>
    <n v="20"/>
    <n v="19200"/>
    <n v="1"/>
    <s v="Card"/>
    <s v="Aisha"/>
    <s v="mohit.verma@company.com"/>
    <n v="9183094051"/>
    <s v="Completed"/>
  </r>
  <r>
    <s v="ORD10313"/>
    <s v="C005"/>
    <s v="P302"/>
    <x v="44"/>
    <d v="2025-10-16T00:00:00"/>
    <s v="Vikas Mehta"/>
    <s v="Male"/>
    <d v="1991-03-02T00:00:00"/>
    <s v="Delhi"/>
    <x v="1"/>
    <x v="2"/>
    <s v="Pen"/>
    <n v="12"/>
    <n v="20"/>
    <n v="20"/>
    <n v="192"/>
    <n v="2"/>
    <s v="Card"/>
    <s v="Rahul"/>
    <s v="vikas.mehta@company.com"/>
    <n v="9293147620"/>
    <s v="Completed"/>
  </r>
  <r>
    <s v="ORD10314"/>
    <s v="C002"/>
    <s v="P104"/>
    <x v="230"/>
    <d v="2026-04-28T00:00:00"/>
    <s v="Priya Patel"/>
    <s v="Female"/>
    <d v="1989-08-13T00:00:00"/>
    <s v="Kolkata"/>
    <x v="3"/>
    <x v="1"/>
    <s v="Monitor"/>
    <n v="20"/>
    <n v="12000"/>
    <n v="15"/>
    <n v="204000"/>
    <n v="3"/>
    <s v="Cash"/>
    <s v="Ritika"/>
    <s v="priYa.patel@company.com"/>
    <n v="9755583734"/>
    <s v="Pending"/>
  </r>
  <r>
    <s v="ORD10315"/>
    <s v="C010"/>
    <s v="P301"/>
    <x v="54"/>
    <d v="2026-04-04T00:00:00"/>
    <s v="pooja shah"/>
    <s v="Female"/>
    <d v="2003-02-02T00:00:00"/>
    <s v="Jaipur"/>
    <x v="1"/>
    <x v="2"/>
    <s v="Notebook"/>
    <n v="13"/>
    <n v="60"/>
    <n v="10"/>
    <n v="702"/>
    <n v="5"/>
    <s v="Cash"/>
    <s v="Ritika"/>
    <s v="pooja.shah@company.com"/>
    <n v="9186592813"/>
    <s v="Pending"/>
  </r>
  <r>
    <s v="ORD10316"/>
    <s v="C009"/>
    <s v="P101"/>
    <x v="231"/>
    <d v="2025-05-19T00:00:00"/>
    <s v="Mohit Verma"/>
    <s v="Male"/>
    <d v="1995-11-16T00:00:00"/>
    <s v="Pune"/>
    <x v="2"/>
    <x v="1"/>
    <s v="Laptop"/>
    <n v="13"/>
    <n v="55000"/>
    <n v="5"/>
    <n v="679250"/>
    <n v="1"/>
    <s v="UPI"/>
    <s v="Karan"/>
    <s v="mohit.verma@company.com"/>
    <n v="9203482008"/>
    <s v="Pending"/>
  </r>
  <r>
    <s v="ORD10317"/>
    <s v="C002"/>
    <s v="P103"/>
    <x v="128"/>
    <d v="2026-03-10T00:00:00"/>
    <s v="Priya Patel"/>
    <s v="Female"/>
    <d v="1989-11-24T00:00:00"/>
    <s v="Bengaluru"/>
    <x v="0"/>
    <x v="1"/>
    <s v="Keyboard"/>
    <n v="7"/>
    <n v="1200"/>
    <n v="15"/>
    <n v="7140"/>
    <n v="5"/>
    <s v="UPI"/>
    <s v="Rahul"/>
    <s v="priYa.patel@company.com"/>
    <n v="9829888777"/>
    <s v="Pending"/>
  </r>
  <r>
    <s v="ORD10318"/>
    <s v="C007"/>
    <s v="P104"/>
    <x v="232"/>
    <d v="2025-12-30T00:00:00"/>
    <s v="arjun Rao"/>
    <s v="Male"/>
    <d v="1988-04-20T00:00:00"/>
    <s v="Jaipur"/>
    <x v="1"/>
    <x v="1"/>
    <s v="Monitor"/>
    <n v="17"/>
    <n v="12000"/>
    <n v="5"/>
    <n v="193800"/>
    <n v="1"/>
    <s v="Cash"/>
    <s v="Aisha"/>
    <s v="arjun.rao@company.com"/>
    <n v="9566101317"/>
    <s v="Cancelled"/>
  </r>
  <r>
    <s v="ORD10319"/>
    <s v="C007"/>
    <s v="P302"/>
    <x v="47"/>
    <d v="2026-04-25T00:00:00"/>
    <s v="arjun Rao"/>
    <s v="Male"/>
    <d v="1978-11-02T00:00:00"/>
    <s v="Bengaluru"/>
    <x v="0"/>
    <x v="2"/>
    <s v="Pen"/>
    <n v="10"/>
    <n v="20"/>
    <n v="5"/>
    <n v="190"/>
    <n v="2"/>
    <s v="Cash"/>
    <s v="Aisha"/>
    <s v="arjun.rao@company.com"/>
    <n v="9706240823"/>
    <s v="Cancelled"/>
  </r>
  <r>
    <s v="ORD10320"/>
    <s v="C004"/>
    <s v="P202"/>
    <x v="35"/>
    <d v="2025-11-08T00:00:00"/>
    <s v="Anita Gupta"/>
    <s v="Female"/>
    <d v="1989-12-13T00:00:00"/>
    <s v="Delhi"/>
    <x v="1"/>
    <x v="0"/>
    <s v="Iron"/>
    <n v="11"/>
    <n v="2200"/>
    <n v="5"/>
    <n v="22990"/>
    <n v="5"/>
    <s v="Card"/>
    <s v="Rahul"/>
    <s v="anita.gupta@company.com"/>
    <n v="9259943760"/>
    <s v="Pending"/>
  </r>
  <r>
    <s v="ORD10321"/>
    <s v="C002"/>
    <s v="P301"/>
    <x v="233"/>
    <d v="2026-02-28T00:00:00"/>
    <s v="Priya Patel"/>
    <s v="Female"/>
    <d v="1995-01-08T00:00:00"/>
    <s v="Jaipur"/>
    <x v="1"/>
    <x v="2"/>
    <s v="Notebook"/>
    <n v="8"/>
    <n v="60"/>
    <n v="15"/>
    <n v="408"/>
    <n v="4"/>
    <s v="Cash"/>
    <s v="Rahul"/>
    <s v="priYa.patel@company.com"/>
    <n v="9527326977"/>
    <s v="Pending"/>
  </r>
  <r>
    <s v="ORD10322"/>
    <s v="C005"/>
    <s v="P303"/>
    <x v="195"/>
    <d v="2025-03-25T00:00:00"/>
    <s v="Vikas Mehta"/>
    <s v="Male"/>
    <d v="1994-10-23T00:00:00"/>
    <s v="Delhi"/>
    <x v="1"/>
    <x v="2"/>
    <s v="Marker"/>
    <n v="17"/>
    <n v="45"/>
    <n v="15"/>
    <n v="650.25"/>
    <n v="2"/>
    <s v="UPI"/>
    <s v="Karan"/>
    <s v="vikas.mehta@company.com"/>
    <n v="9886970990"/>
    <s v="Completed"/>
  </r>
  <r>
    <s v="ORD10323"/>
    <s v="C001"/>
    <s v="P102"/>
    <x v="234"/>
    <d v="2025-03-10T00:00:00"/>
    <s v="Amit Sharma"/>
    <s v="Male"/>
    <d v="1996-05-21T00:00:00"/>
    <s v="Jaipur"/>
    <x v="1"/>
    <x v="1"/>
    <s v="Mouse"/>
    <n v="14"/>
    <n v="700"/>
    <n v="15"/>
    <n v="8330"/>
    <n v="1"/>
    <s v="Card"/>
    <s v="Neha"/>
    <s v="amit.sharma@company.com"/>
    <n v="9106930369"/>
    <s v="Completed"/>
  </r>
  <r>
    <s v="ORD10324"/>
    <s v="C007"/>
    <s v="P103"/>
    <x v="235"/>
    <d v="2025-06-14T00:00:00"/>
    <s v="arjun Rao"/>
    <s v="Male"/>
    <d v="1982-05-26T00:00:00"/>
    <s v="Pune"/>
    <x v="2"/>
    <x v="1"/>
    <s v="Keyboard"/>
    <n v="3"/>
    <n v="1200"/>
    <n v="5"/>
    <n v="3420"/>
    <n v="3"/>
    <s v="NetBanking"/>
    <s v="Karan"/>
    <s v="arjun.rao@company.com"/>
    <n v="9342009114"/>
    <s v="Completed"/>
  </r>
  <r>
    <s v="ORD10325"/>
    <s v="C008"/>
    <s v="P103"/>
    <x v="130"/>
    <d v="2025-07-16T00:00:00"/>
    <s v="Kavya Nair"/>
    <s v="Female"/>
    <d v="2001-11-22T00:00:00"/>
    <s v="Ahmedabad"/>
    <x v="2"/>
    <x v="1"/>
    <s v="Keyboard"/>
    <n v="9"/>
    <n v="1200"/>
    <n v="15"/>
    <n v="9180"/>
    <n v="3"/>
    <s v="Cash"/>
    <s v="Rahul"/>
    <s v="KAvya.nair@company.com"/>
    <n v="9992739960"/>
    <s v="Completed"/>
  </r>
  <r>
    <s v="ORD10326"/>
    <s v="C006"/>
    <s v="P302"/>
    <x v="114"/>
    <d v="2026-04-21T00:00:00"/>
    <s v="Sneha Joshi"/>
    <s v="Female"/>
    <d v="1989-02-26T00:00:00"/>
    <s v="Mumbai"/>
    <x v="2"/>
    <x v="2"/>
    <s v="Pen"/>
    <n v="5"/>
    <n v="20"/>
    <n v="5"/>
    <n v="95"/>
    <n v="4"/>
    <s v="Cash"/>
    <s v="Karan"/>
    <s v="sneha.joshi@company.com"/>
    <n v="9241987748"/>
    <s v="Completed"/>
  </r>
  <r>
    <s v="ORD10327"/>
    <s v="C006"/>
    <s v="P202"/>
    <x v="236"/>
    <d v="2025-12-21T00:00:00"/>
    <s v="Sneha Joshi"/>
    <s v="Female"/>
    <d v="1985-08-18T00:00:00"/>
    <s v="Ahmedabad"/>
    <x v="2"/>
    <x v="0"/>
    <s v="Iron"/>
    <n v="8"/>
    <n v="2200"/>
    <n v="10"/>
    <n v="15840"/>
    <n v="4"/>
    <s v="UPI"/>
    <s v="Aisha"/>
    <s v="sneha.joshi@company.com"/>
    <n v="9571990711"/>
    <s v="Cancelled"/>
  </r>
  <r>
    <s v="ORD10328"/>
    <s v="C006"/>
    <s v="P102"/>
    <x v="36"/>
    <d v="2026-03-12T00:00:00"/>
    <s v="Sneha Joshi"/>
    <s v="Female"/>
    <d v="1980-01-03T00:00:00"/>
    <s v="Mumbai"/>
    <x v="2"/>
    <x v="1"/>
    <s v="Mouse"/>
    <n v="10"/>
    <n v="700"/>
    <n v="20"/>
    <n v="5600"/>
    <n v="1"/>
    <s v="UPI"/>
    <s v="Neha"/>
    <s v="sneha.joshi@company.com"/>
    <n v="9219231183"/>
    <s v="Completed"/>
  </r>
  <r>
    <s v="ORD10329"/>
    <s v="C007"/>
    <s v="P102"/>
    <x v="237"/>
    <d v="2025-11-28T00:00:00"/>
    <s v="arjun Rao"/>
    <s v="Male"/>
    <d v="1978-01-08T00:00:00"/>
    <s v="Bengaluru"/>
    <x v="0"/>
    <x v="1"/>
    <s v="Mouse"/>
    <n v="2"/>
    <n v="700"/>
    <n v="20"/>
    <n v="1120"/>
    <n v="2"/>
    <s v="Cash"/>
    <s v="Neha"/>
    <s v="arjun.rao@company.com"/>
    <n v="9847386174"/>
    <s v="Pending"/>
  </r>
  <r>
    <s v="ORD10330"/>
    <s v="C005"/>
    <s v="P201"/>
    <x v="139"/>
    <d v="2025-06-28T00:00:00"/>
    <s v="Vikas Mehta"/>
    <s v="Male"/>
    <d v="1992-08-05T00:00:00"/>
    <s v="Pune"/>
    <x v="2"/>
    <x v="0"/>
    <s v="Mixer"/>
    <n v="16"/>
    <n v="3500"/>
    <n v="20"/>
    <n v="44800"/>
    <n v="2"/>
    <s v="UPI"/>
    <s v="Ritika"/>
    <s v="vikas.mehta@company.com"/>
    <n v="9941274924"/>
    <s v="Pending"/>
  </r>
  <r>
    <s v="ORD10331"/>
    <s v="C004"/>
    <s v="P201"/>
    <x v="135"/>
    <d v="2025-08-01T00:00:00"/>
    <s v="Anita Gupta"/>
    <s v="Female"/>
    <d v="2004-12-28T00:00:00"/>
    <s v="Delhi"/>
    <x v="1"/>
    <x v="0"/>
    <s v="Mixer"/>
    <n v="9"/>
    <n v="3500"/>
    <n v="20"/>
    <n v="25200"/>
    <n v="1"/>
    <s v="Card"/>
    <s v="Rahul"/>
    <s v="anita.gupta@company.com"/>
    <n v="9950650508"/>
    <s v="Cancelled"/>
  </r>
  <r>
    <s v="ORD10332"/>
    <s v="C003"/>
    <s v="P102"/>
    <x v="238"/>
    <d v="2025-10-30T00:00:00"/>
    <s v="Rohit Singh"/>
    <s v="Male"/>
    <d v="2003-01-07T00:00:00"/>
    <s v="Hyderabad"/>
    <x v="0"/>
    <x v="1"/>
    <s v="Mouse"/>
    <n v="15"/>
    <n v="700"/>
    <n v="5"/>
    <n v="9975"/>
    <n v="1"/>
    <s v="Cash"/>
    <s v="Rahul"/>
    <s v="rohit.singh@company.com"/>
    <n v="9464035549"/>
    <s v="Cancelled"/>
  </r>
  <r>
    <s v="ORD10333"/>
    <s v="C010"/>
    <s v="P103"/>
    <x v="239"/>
    <d v="2026-03-10T00:00:00"/>
    <s v="pooja shah"/>
    <s v="Female"/>
    <d v="1993-03-09T00:00:00"/>
    <s v="Ahmedabad"/>
    <x v="2"/>
    <x v="1"/>
    <s v="Keyboard"/>
    <n v="13"/>
    <n v="1200"/>
    <n v="0"/>
    <n v="15600"/>
    <n v="3"/>
    <s v="NetBanking"/>
    <s v="Neha"/>
    <s v="pooja.shah@company.com"/>
    <n v="9142334315"/>
    <s v="Cancelled"/>
  </r>
  <r>
    <s v="ORD10334"/>
    <s v="C001"/>
    <s v="P104"/>
    <x v="240"/>
    <d v="2025-09-07T00:00:00"/>
    <s v="Amit Sharma"/>
    <s v="Male"/>
    <d v="1993-06-03T00:00:00"/>
    <s v="Delhi"/>
    <x v="1"/>
    <x v="1"/>
    <s v="Monitor"/>
    <n v="5"/>
    <n v="12000"/>
    <n v="10"/>
    <n v="54000"/>
    <n v="3"/>
    <s v="UPI"/>
    <s v="Rahul"/>
    <s v="amit.sharma@company.com"/>
    <n v="9123961962"/>
    <s v="Completed"/>
  </r>
  <r>
    <s v="ORD10335"/>
    <s v="C010"/>
    <s v="P303"/>
    <x v="241"/>
    <d v="2025-04-08T00:00:00"/>
    <s v="pooja shah"/>
    <s v="Female"/>
    <d v="1999-12-10T00:00:00"/>
    <s v="Bengaluru"/>
    <x v="0"/>
    <x v="2"/>
    <s v="Marker"/>
    <n v="12"/>
    <n v="45"/>
    <n v="20"/>
    <n v="432"/>
    <n v="3"/>
    <s v="NetBanking"/>
    <s v="Aisha"/>
    <s v="pooja.shah@company.com"/>
    <n v="9741953402"/>
    <s v="Completed"/>
  </r>
  <r>
    <s v="ORD10336"/>
    <s v="C008"/>
    <s v="P201"/>
    <x v="103"/>
    <d v="2025-04-14T00:00:00"/>
    <s v="Kavya Nair"/>
    <s v="Female"/>
    <d v="1976-06-06T00:00:00"/>
    <s v="Bengaluru"/>
    <x v="0"/>
    <x v="0"/>
    <s v="Mixer"/>
    <n v="2"/>
    <n v="3500"/>
    <n v="0"/>
    <n v="7000"/>
    <n v="1"/>
    <s v="NetBanking"/>
    <s v="Neha"/>
    <s v="KAvya.nair@company.com"/>
    <n v="9404733633"/>
    <s v="Pending"/>
  </r>
  <r>
    <s v="ORD10337"/>
    <s v="C008"/>
    <s v="P202"/>
    <x v="58"/>
    <d v="2026-05-16T00:00:00"/>
    <s v="Kavya Nair"/>
    <s v="Female"/>
    <d v="1984-10-27T00:00:00"/>
    <s v="Pune"/>
    <x v="2"/>
    <x v="0"/>
    <s v="Iron"/>
    <n v="15"/>
    <n v="2200"/>
    <n v="15"/>
    <n v="28050"/>
    <n v="2"/>
    <s v="NetBanking"/>
    <s v="Rahul"/>
    <s v="KAvya.nair@company.com"/>
    <n v="9297492337"/>
    <s v="Pending"/>
  </r>
  <r>
    <s v="ORD10338"/>
    <s v="C002"/>
    <s v="P302"/>
    <x v="242"/>
    <d v="2025-12-12T00:00:00"/>
    <s v="Priya Patel"/>
    <s v="Female"/>
    <d v="1975-02-28T00:00:00"/>
    <s v="Ahmedabad"/>
    <x v="2"/>
    <x v="2"/>
    <s v="Pen"/>
    <n v="8"/>
    <n v="20"/>
    <n v="20"/>
    <n v="128"/>
    <n v="5"/>
    <s v="UPI"/>
    <s v="Rahul"/>
    <s v="priYa.patel@company.com"/>
    <n v="9350338928"/>
    <s v="Completed"/>
  </r>
  <r>
    <s v="ORD10339"/>
    <s v="C003"/>
    <s v="P302"/>
    <x v="36"/>
    <d v="2026-03-10T00:00:00"/>
    <s v="Rohit Singh"/>
    <s v="Male"/>
    <d v="1993-10-19T00:00:00"/>
    <s v="Hyderabad"/>
    <x v="0"/>
    <x v="2"/>
    <s v="Pen"/>
    <n v="1"/>
    <n v="20"/>
    <n v="0"/>
    <n v="20"/>
    <n v="3"/>
    <s v="UPI"/>
    <s v="Ritika"/>
    <s v="rohit.singh@company.com"/>
    <n v="9933894798"/>
    <s v="Completed"/>
  </r>
  <r>
    <s v="ORD10340"/>
    <s v="C008"/>
    <s v="P102"/>
    <x v="243"/>
    <d v="2026-01-16T00:00:00"/>
    <s v="Kavya Nair"/>
    <s v="Female"/>
    <d v="1983-10-25T00:00:00"/>
    <s v="Jaipur"/>
    <x v="1"/>
    <x v="1"/>
    <s v="Mouse"/>
    <n v="15"/>
    <n v="700"/>
    <n v="0"/>
    <n v="10500"/>
    <n v="2"/>
    <s v="UPI"/>
    <s v="Rahul"/>
    <s v="KAvya.nair@company.com"/>
    <n v="9705218824"/>
    <s v="Completed"/>
  </r>
  <r>
    <s v="ORD10341"/>
    <s v="C001"/>
    <s v="P201"/>
    <x v="149"/>
    <d v="2025-02-10T00:00:00"/>
    <s v="Amit Sharma"/>
    <s v="Male"/>
    <d v="1983-01-08T00:00:00"/>
    <s v="Hyderabad"/>
    <x v="0"/>
    <x v="0"/>
    <s v="Mixer"/>
    <n v="15"/>
    <n v="3500"/>
    <n v="10"/>
    <n v="47250"/>
    <n v="3"/>
    <s v="Cash"/>
    <s v="Karan"/>
    <s v="amit.sharma@company.com"/>
    <n v="9229164453"/>
    <s v="Pending"/>
  </r>
  <r>
    <s v="ORD10342"/>
    <s v="C008"/>
    <s v="P301"/>
    <x v="244"/>
    <d v="2025-08-07T00:00:00"/>
    <s v="Kavya Nair"/>
    <s v="Female"/>
    <d v="1983-12-14T00:00:00"/>
    <s v="Kolkata"/>
    <x v="3"/>
    <x v="2"/>
    <s v="Notebook"/>
    <n v="16"/>
    <n v="60"/>
    <n v="10"/>
    <n v="864"/>
    <n v="4"/>
    <s v="Card"/>
    <s v="Aisha"/>
    <s v="KAvya.nair@company.com"/>
    <n v="9219806176"/>
    <s v="Completed"/>
  </r>
  <r>
    <s v="ORD10343"/>
    <s v="C003"/>
    <s v="P303"/>
    <x v="245"/>
    <d v="2025-10-21T00:00:00"/>
    <s v="Rohit Singh"/>
    <s v="Male"/>
    <d v="1983-09-26T00:00:00"/>
    <s v="Delhi"/>
    <x v="1"/>
    <x v="2"/>
    <s v="Marker"/>
    <n v="2"/>
    <n v="45"/>
    <n v="15"/>
    <n v="76.5"/>
    <n v="1"/>
    <s v="UPI"/>
    <s v="Karan"/>
    <s v="rohit.singh@company.com"/>
    <n v="9630210250"/>
    <s v="Cancelled"/>
  </r>
  <r>
    <s v="ORD10344"/>
    <s v="C004"/>
    <s v="P301"/>
    <x v="246"/>
    <d v="2025-12-15T00:00:00"/>
    <s v="Anita Gupta"/>
    <s v="Female"/>
    <d v="1975-05-23T00:00:00"/>
    <s v="Delhi"/>
    <x v="1"/>
    <x v="2"/>
    <s v="Notebook"/>
    <n v="13"/>
    <n v="60"/>
    <n v="15"/>
    <n v="663"/>
    <n v="2"/>
    <s v="NetBanking"/>
    <s v="Aisha"/>
    <s v="anita.gupta@company.com"/>
    <n v="9583354052"/>
    <s v="Cancelled"/>
  </r>
  <r>
    <s v="ORD10345"/>
    <s v="C007"/>
    <s v="P104"/>
    <x v="183"/>
    <d v="2025-05-22T00:00:00"/>
    <s v="arjun Rao"/>
    <s v="Male"/>
    <d v="1994-11-09T00:00:00"/>
    <s v="Delhi"/>
    <x v="1"/>
    <x v="1"/>
    <s v="Monitor"/>
    <n v="15"/>
    <n v="12000"/>
    <n v="20"/>
    <n v="144000"/>
    <n v="3"/>
    <s v="Card"/>
    <s v="Ritika"/>
    <s v="arjun.rao@company.com"/>
    <n v="9242534507"/>
    <s v="Cancelled"/>
  </r>
  <r>
    <s v="ORD10346"/>
    <s v="C001"/>
    <s v="P302"/>
    <x v="120"/>
    <d v="2025-08-02T00:00:00"/>
    <s v="Amit Sharma"/>
    <s v="Male"/>
    <d v="1987-12-17T00:00:00"/>
    <s v="Delhi"/>
    <x v="1"/>
    <x v="2"/>
    <s v="Pen"/>
    <n v="2"/>
    <n v="20"/>
    <n v="20"/>
    <n v="32"/>
    <n v="4"/>
    <s v="Cash"/>
    <s v="Ritika"/>
    <s v="amit.sharma@company.com"/>
    <n v="9291239150"/>
    <s v="Pending"/>
  </r>
  <r>
    <s v="ORD10347"/>
    <s v="C003"/>
    <s v="P201"/>
    <x v="247"/>
    <d v="2025-08-17T00:00:00"/>
    <s v="Rohit Singh"/>
    <s v="Male"/>
    <d v="1975-06-19T00:00:00"/>
    <s v="Bengaluru"/>
    <x v="0"/>
    <x v="0"/>
    <s v="Mixer"/>
    <n v="16"/>
    <n v="3500"/>
    <n v="0"/>
    <n v="56000"/>
    <n v="4"/>
    <s v="Cash"/>
    <s v="Neha"/>
    <s v="rohit.singh@company.com"/>
    <n v="9550820904"/>
    <s v="Completed"/>
  </r>
  <r>
    <s v="ORD10348"/>
    <s v="C010"/>
    <s v="P201"/>
    <x v="208"/>
    <d v="2026-02-25T00:00:00"/>
    <s v="pooja shah"/>
    <s v="Female"/>
    <d v="1977-01-09T00:00:00"/>
    <s v="Ahmedabad"/>
    <x v="2"/>
    <x v="0"/>
    <s v="Mixer"/>
    <n v="18"/>
    <n v="3500"/>
    <n v="15"/>
    <n v="53550"/>
    <n v="5"/>
    <s v="Cash"/>
    <s v="Karan"/>
    <s v="pooja.shah@company.com"/>
    <n v="9294486423"/>
    <s v="Cancelled"/>
  </r>
  <r>
    <s v="ORD10349"/>
    <s v="C008"/>
    <s v="P303"/>
    <x v="3"/>
    <d v="2026-03-26T00:00:00"/>
    <s v="Kavya Nair"/>
    <s v="Female"/>
    <d v="1993-09-20T00:00:00"/>
    <s v="Ahmedabad"/>
    <x v="2"/>
    <x v="2"/>
    <s v="Marker"/>
    <n v="20"/>
    <n v="45"/>
    <n v="15"/>
    <n v="765"/>
    <n v="4"/>
    <s v="Cash"/>
    <s v="Karan"/>
    <s v="KAvya.nair@company.com"/>
    <n v="9260258621"/>
    <s v="Cancelled"/>
  </r>
  <r>
    <s v="ORD10350"/>
    <s v="C006"/>
    <s v="P202"/>
    <x v="248"/>
    <d v="2026-04-19T00:00:00"/>
    <s v="Sneha Joshi"/>
    <s v="Female"/>
    <d v="1997-03-05T00:00:00"/>
    <s v="Delhi"/>
    <x v="1"/>
    <x v="0"/>
    <s v="Iron"/>
    <n v="13"/>
    <n v="2200"/>
    <n v="15"/>
    <n v="24310"/>
    <n v="2"/>
    <s v="NetBanking"/>
    <s v="Neha"/>
    <s v="sneha.joshi@company.com"/>
    <n v="9697433584"/>
    <s v="Pending"/>
  </r>
  <r>
    <s v="ORD10351"/>
    <s v="C010"/>
    <s v="P999"/>
    <x v="44"/>
    <d v="2025-10-14T00:00:00"/>
    <s v="pooja shah"/>
    <s v="Female"/>
    <d v="2002-07-10T00:00:00"/>
    <s v="Kolkata"/>
    <x v="3"/>
    <x v="0"/>
    <s v="Microwave"/>
    <n v="11"/>
    <n v="8500"/>
    <n v="5"/>
    <n v="88825"/>
    <n v="1"/>
    <s v="UPI"/>
    <s v="Neha"/>
    <s v="pooja.shah@company.com"/>
    <n v="9837969758"/>
    <s v="Cancelled"/>
  </r>
  <r>
    <s v="ORD10352"/>
    <s v="C010"/>
    <s v="P202"/>
    <x v="249"/>
    <d v="2025-12-10T00:00:00"/>
    <s v="pooja shah"/>
    <s v="Female"/>
    <d v="1984-04-18T00:00:00"/>
    <s v="Jaipur"/>
    <x v="1"/>
    <x v="0"/>
    <s v="Iron"/>
    <n v="2"/>
    <n v="2200"/>
    <n v="0"/>
    <n v="4400"/>
    <n v="4"/>
    <s v="UPI"/>
    <s v="Karan"/>
    <s v="pooja.shah@company.com"/>
    <n v="9209736419"/>
    <s v="Pending"/>
  </r>
  <r>
    <s v="ORD10353"/>
    <s v="C007"/>
    <s v="P102"/>
    <x v="250"/>
    <d v="2025-08-04T00:00:00"/>
    <s v="arjun Rao"/>
    <s v="Male"/>
    <d v="2003-07-01T00:00:00"/>
    <s v="Mumbai"/>
    <x v="2"/>
    <x v="1"/>
    <s v="Mouse"/>
    <n v="15"/>
    <n v="700"/>
    <n v="15"/>
    <n v="8925"/>
    <n v="3"/>
    <s v="NetBanking"/>
    <s v="Neha"/>
    <s v="arjun.rao@company.com"/>
    <n v="9645907237"/>
    <s v="Completed"/>
  </r>
  <r>
    <s v="ORD10354"/>
    <s v="C003"/>
    <s v="P202"/>
    <x v="251"/>
    <d v="2025-07-24T00:00:00"/>
    <s v="Rohit Singh"/>
    <s v="Male"/>
    <d v="1992-10-25T00:00:00"/>
    <s v="Ahmedabad"/>
    <x v="2"/>
    <x v="0"/>
    <s v="Iron"/>
    <n v="5"/>
    <n v="2200"/>
    <n v="15"/>
    <n v="9350"/>
    <n v="1"/>
    <s v="NetBanking"/>
    <s v="Neha"/>
    <s v="rohit.singh@company.com"/>
    <n v="9566149945"/>
    <s v="Pending"/>
  </r>
  <r>
    <s v="ORD10355"/>
    <s v="C007"/>
    <s v="P103"/>
    <x v="84"/>
    <d v="2026-03-12T00:00:00"/>
    <s v="arjun Rao"/>
    <s v="Male"/>
    <d v="1988-08-05T00:00:00"/>
    <s v="Ahmedabad"/>
    <x v="2"/>
    <x v="1"/>
    <s v="Keyboard"/>
    <n v="15"/>
    <n v="1200"/>
    <n v="0"/>
    <n v="18000"/>
    <n v="3"/>
    <s v="NetBanking"/>
    <s v="Aisha"/>
    <s v="arjun.rao@company.com"/>
    <n v="9935018068"/>
    <s v="Cancelled"/>
  </r>
  <r>
    <s v="ORD10356"/>
    <s v="C006"/>
    <s v="P103"/>
    <x v="15"/>
    <d v="2026-04-10T00:00:00"/>
    <s v="Sneha Joshi"/>
    <s v="Female"/>
    <d v="1987-06-24T00:00:00"/>
    <s v="Mumbai"/>
    <x v="2"/>
    <x v="1"/>
    <s v="Keyboard"/>
    <n v="19"/>
    <n v="1200"/>
    <n v="0"/>
    <n v="22800"/>
    <n v="1"/>
    <s v="Cash"/>
    <s v="Rahul"/>
    <s v="sneha.joshi@company.com"/>
    <n v="9171794652"/>
    <s v="Cancelled"/>
  </r>
  <r>
    <s v="ORD10357"/>
    <s v="C004"/>
    <s v="P104"/>
    <x v="0"/>
    <d v="2025-09-25T00:00:00"/>
    <s v="Anita Gupta"/>
    <s v="Female"/>
    <d v="1989-10-19T00:00:00"/>
    <s v="Mumbai"/>
    <x v="2"/>
    <x v="1"/>
    <s v="Monitor"/>
    <n v="9"/>
    <n v="12000"/>
    <n v="15"/>
    <n v="91800"/>
    <n v="3"/>
    <s v="UPI"/>
    <s v="Rahul"/>
    <s v="anita.gupta@company.com"/>
    <n v="9671497416"/>
    <s v="Cancelled"/>
  </r>
  <r>
    <s v="ORD10358"/>
    <s v="C008"/>
    <s v="P303"/>
    <x v="45"/>
    <d v="2025-10-21T00:00:00"/>
    <s v="Kavya Nair"/>
    <s v="Female"/>
    <d v="1992-05-22T00:00:00"/>
    <s v="Jaipur"/>
    <x v="1"/>
    <x v="2"/>
    <s v="Marker"/>
    <n v="5"/>
    <n v="45"/>
    <n v="5"/>
    <n v="213.75"/>
    <n v="1"/>
    <s v="Card"/>
    <s v="Neha"/>
    <s v="KAvya.nair@company.com"/>
    <n v="9810433484"/>
    <s v="Completed"/>
  </r>
  <r>
    <s v="ORD10359"/>
    <s v="C006"/>
    <s v="P102"/>
    <x v="252"/>
    <d v="2025-02-11T00:00:00"/>
    <s v="Sneha Joshi"/>
    <s v="Female"/>
    <d v="1989-11-10T00:00:00"/>
    <s v="Mumbai"/>
    <x v="2"/>
    <x v="1"/>
    <s v="Mouse"/>
    <n v="3"/>
    <n v="700"/>
    <n v="15"/>
    <n v="1785"/>
    <n v="4"/>
    <s v="Cash"/>
    <s v="Karan"/>
    <s v="sneha.joshi@company.com"/>
    <n v="9990243436"/>
    <s v="Completed"/>
  </r>
  <r>
    <s v="ORD10360"/>
    <s v="C009"/>
    <s v="P203"/>
    <x v="64"/>
    <d v="2025-12-26T00:00:00"/>
    <s v="Mohit Verma"/>
    <s v="Male"/>
    <d v="1980-09-03T00:00:00"/>
    <s v="Jaipur"/>
    <x v="1"/>
    <x v="0"/>
    <s v="Microwave"/>
    <n v="12"/>
    <n v="8500"/>
    <n v="5"/>
    <n v="96900"/>
    <n v="3"/>
    <s v="Card"/>
    <s v="Aisha"/>
    <s v="mohit.verma@company.com"/>
    <n v="9396678031"/>
    <s v="Pending"/>
  </r>
  <r>
    <s v="ORD10361"/>
    <s v="C006"/>
    <s v="P203"/>
    <x v="253"/>
    <d v="2026-04-19T00:00:00"/>
    <s v="Sneha Joshi"/>
    <s v="Female"/>
    <d v="1979-03-06T00:00:00"/>
    <s v="Pune"/>
    <x v="2"/>
    <x v="0"/>
    <s v="Microwave"/>
    <n v="4"/>
    <n v="8500"/>
    <n v="15"/>
    <n v="28900"/>
    <n v="4"/>
    <s v="NetBanking"/>
    <s v="Aisha"/>
    <s v="sneha.joshi@company.com"/>
    <n v="9818591245"/>
    <s v="Pending"/>
  </r>
  <r>
    <s v="ORD10362"/>
    <s v="C003"/>
    <s v="P302"/>
    <x v="22"/>
    <d v="2025-04-22T00:00:00"/>
    <s v="Rohit Singh"/>
    <s v="Male"/>
    <d v="1996-09-04T00:00:00"/>
    <s v="Jaipur"/>
    <x v="1"/>
    <x v="2"/>
    <s v="Pen"/>
    <n v="16"/>
    <n v="20"/>
    <n v="10"/>
    <n v="288"/>
    <n v="4"/>
    <s v="Cash"/>
    <s v="Neha"/>
    <s v="rohit.singh@company.com"/>
    <n v="9505550047"/>
    <s v="Cancelled"/>
  </r>
  <r>
    <s v="ORD10363"/>
    <s v="C003"/>
    <s v="P301"/>
    <x v="254"/>
    <d v="2026-05-18T00:00:00"/>
    <s v="Rohit Singh"/>
    <s v="Male"/>
    <d v="1999-03-14T00:00:00"/>
    <s v="Mumbai"/>
    <x v="2"/>
    <x v="2"/>
    <s v="Notebook"/>
    <n v="3"/>
    <n v="60"/>
    <n v="20"/>
    <n v="144"/>
    <n v="4"/>
    <s v="UPI"/>
    <s v="Karan"/>
    <s v="rohit.singh@company.com"/>
    <n v="9469828772"/>
    <s v="Pending"/>
  </r>
  <r>
    <s v="ORD10364"/>
    <s v="C009"/>
    <s v="P202"/>
    <x v="179"/>
    <d v="2025-07-26T00:00:00"/>
    <s v="Mohit Verma"/>
    <s v="Male"/>
    <d v="1984-10-03T00:00:00"/>
    <s v="Mumbai"/>
    <x v="2"/>
    <x v="0"/>
    <s v="Iron"/>
    <n v="19"/>
    <n v="2200"/>
    <n v="10"/>
    <n v="37620"/>
    <n v="2"/>
    <s v="Cash"/>
    <s v="Karan"/>
    <s v="mohit.verma@company.com"/>
    <n v="9885092680"/>
    <s v="Pending"/>
  </r>
  <r>
    <s v="ORD10365"/>
    <s v="C009"/>
    <s v="P103"/>
    <x v="255"/>
    <d v="2026-01-27T00:00:00"/>
    <s v="Mohit Verma"/>
    <s v="Male"/>
    <d v="1984-07-09T00:00:00"/>
    <s v="Hyderabad"/>
    <x v="0"/>
    <x v="1"/>
    <s v="Keyboard"/>
    <n v="7"/>
    <n v="1200"/>
    <n v="20"/>
    <n v="6720"/>
    <n v="3"/>
    <s v="Card"/>
    <s v="Neha"/>
    <s v="mohit.verma@company.com"/>
    <n v="9362319457"/>
    <s v="Cancelled"/>
  </r>
  <r>
    <s v="ORD10366"/>
    <s v="C010"/>
    <s v="P302"/>
    <x v="82"/>
    <d v="2026-03-21T00:00:00"/>
    <s v="pooja shah"/>
    <s v="Female"/>
    <d v="1989-03-10T00:00:00"/>
    <s v="Bengaluru"/>
    <x v="0"/>
    <x v="2"/>
    <s v="Pen"/>
    <n v="20"/>
    <n v="20"/>
    <n v="20"/>
    <n v="320"/>
    <n v="5"/>
    <s v="Card"/>
    <s v="Neha"/>
    <s v="pooja.shah@company.com"/>
    <n v="9223945130"/>
    <s v="Pending"/>
  </r>
  <r>
    <s v="ORD10367"/>
    <s v="C002"/>
    <s v="P103"/>
    <x v="256"/>
    <d v="2025-05-07T00:00:00"/>
    <s v="Priya Patel"/>
    <s v="Female"/>
    <d v="1985-04-19T00:00:00"/>
    <s v="Hyderabad"/>
    <x v="0"/>
    <x v="1"/>
    <s v="Keyboard"/>
    <n v="19"/>
    <n v="1200"/>
    <n v="5"/>
    <n v="21660"/>
    <n v="3"/>
    <s v="Card"/>
    <s v="Ritika"/>
    <s v="priYa.patel@company.com"/>
    <n v="9910804926"/>
    <s v="Pending"/>
  </r>
  <r>
    <s v="ORD10368"/>
    <s v="C010"/>
    <s v="P302"/>
    <x v="257"/>
    <d v="2025-02-13T00:00:00"/>
    <s v="pooja shah"/>
    <s v="Female"/>
    <d v="2003-08-13T00:00:00"/>
    <s v="Hyderabad"/>
    <x v="0"/>
    <x v="2"/>
    <s v="Pen"/>
    <n v="5"/>
    <n v="20"/>
    <n v="0"/>
    <n v="100"/>
    <n v="2"/>
    <s v="UPI"/>
    <s v="Rahul"/>
    <s v="pooja.shah@company.com"/>
    <n v="9274269744"/>
    <s v="Pending"/>
  </r>
  <r>
    <s v="ORD10369"/>
    <s v="C002"/>
    <s v="P303"/>
    <x v="128"/>
    <d v="2026-03-16T00:00:00"/>
    <s v="Priya Patel"/>
    <s v="Female"/>
    <d v="1983-09-11T00:00:00"/>
    <s v="Jaipur"/>
    <x v="1"/>
    <x v="2"/>
    <s v="Marker"/>
    <n v="16"/>
    <n v="45"/>
    <n v="15"/>
    <n v="612"/>
    <n v="5"/>
    <s v="Cash"/>
    <s v="Aisha"/>
    <s v="priYa.patel@company.com"/>
    <n v="9223196101"/>
    <s v="Cancelled"/>
  </r>
  <r>
    <s v="ORD10370"/>
    <s v="C008"/>
    <s v="P202"/>
    <x v="201"/>
    <d v="2025-05-15T00:00:00"/>
    <s v="Kavya Nair"/>
    <s v="Female"/>
    <d v="1976-06-11T00:00:00"/>
    <s v="Jaipur"/>
    <x v="1"/>
    <x v="0"/>
    <s v="Iron"/>
    <n v="1"/>
    <n v="2200"/>
    <n v="10"/>
    <n v="1980"/>
    <n v="5"/>
    <s v="Card"/>
    <s v="Rahul"/>
    <s v="KAvya.nair@company.com"/>
    <n v="9888477457"/>
    <s v="Completed"/>
  </r>
  <r>
    <s v="ORD10371"/>
    <s v="C010"/>
    <s v="P301"/>
    <x v="142"/>
    <d v="2026-04-05T00:00:00"/>
    <s v="pooja shah"/>
    <s v="Female"/>
    <d v="1987-01-04T00:00:00"/>
    <s v="Hyderabad"/>
    <x v="0"/>
    <x v="2"/>
    <s v="Notebook"/>
    <n v="19"/>
    <n v="60"/>
    <n v="15"/>
    <n v="969"/>
    <n v="4"/>
    <s v="NetBanking"/>
    <s v="Neha"/>
    <s v="pooja.shah@company.com"/>
    <n v="9435947486"/>
    <s v="Cancelled"/>
  </r>
  <r>
    <s v="ORD10372"/>
    <s v="C001"/>
    <s v="P101"/>
    <x v="258"/>
    <d v="2025-02-02T00:00:00"/>
    <s v="Amit Sharma"/>
    <s v="Male"/>
    <d v="1992-05-14T00:00:00"/>
    <s v="Delhi"/>
    <x v="1"/>
    <x v="1"/>
    <s v="Laptop"/>
    <n v="15"/>
    <n v="55000"/>
    <n v="0"/>
    <n v="825000"/>
    <n v="5"/>
    <s v="Card"/>
    <s v="Neha"/>
    <s v="amit.sharma@company.com"/>
    <n v="9411668831"/>
    <s v="Cancelled"/>
  </r>
  <r>
    <s v="ORD10373"/>
    <s v="C009"/>
    <s v="P303"/>
    <x v="229"/>
    <d v="2025-10-08T00:00:00"/>
    <s v="Mohit Verma"/>
    <s v="Male"/>
    <d v="1989-05-03T00:00:00"/>
    <s v="Bengaluru"/>
    <x v="0"/>
    <x v="2"/>
    <s v="Marker"/>
    <n v="11"/>
    <n v="45"/>
    <n v="5"/>
    <n v="470.25"/>
    <n v="5"/>
    <s v="NetBanking"/>
    <s v="Karan"/>
    <s v="mohit.verma@company.com"/>
    <n v="9523682403"/>
    <s v="Completed"/>
  </r>
  <r>
    <s v="ORD10374"/>
    <s v="C006"/>
    <s v="P302"/>
    <x v="259"/>
    <d v="2025-06-17T00:00:00"/>
    <s v="Sneha Joshi"/>
    <s v="Female"/>
    <d v="1990-12-19T00:00:00"/>
    <s v="Jaipur"/>
    <x v="1"/>
    <x v="2"/>
    <s v="Pen"/>
    <n v="9"/>
    <n v="20"/>
    <n v="10"/>
    <n v="162"/>
    <n v="1"/>
    <s v="Card"/>
    <s v="Rahul"/>
    <s v="sneha.joshi@company.com"/>
    <n v="9652936744"/>
    <s v="Cancelled"/>
  </r>
  <r>
    <s v="ORD10375"/>
    <s v="C004"/>
    <s v="P303"/>
    <x v="102"/>
    <d v="2025-11-20T00:00:00"/>
    <s v="Anita Gupta"/>
    <s v="Female"/>
    <d v="1995-07-09T00:00:00"/>
    <s v="Bengaluru"/>
    <x v="0"/>
    <x v="2"/>
    <s v="Marker"/>
    <n v="5"/>
    <n v="45"/>
    <n v="5"/>
    <n v="213.75"/>
    <n v="3"/>
    <s v="Card"/>
    <s v="Neha"/>
    <s v="anita.gupta@company.com"/>
    <n v="9726464733"/>
    <s v="Pending"/>
  </r>
  <r>
    <s v="ORD10376"/>
    <s v="C007"/>
    <s v="P102"/>
    <x v="260"/>
    <d v="2025-11-02T00:00:00"/>
    <s v="arjun Rao"/>
    <s v="Male"/>
    <d v="1998-12-23T00:00:00"/>
    <s v="Hyderabad"/>
    <x v="0"/>
    <x v="1"/>
    <s v="Mouse"/>
    <n v="5"/>
    <n v="700"/>
    <n v="10"/>
    <n v="3150"/>
    <n v="2"/>
    <s v="UPI"/>
    <s v="Rahul"/>
    <s v="arjun.rao@company.com"/>
    <n v="9273520544"/>
    <s v="Completed"/>
  </r>
  <r>
    <s v="ORD10377"/>
    <s v="C005"/>
    <s v="P102"/>
    <x v="261"/>
    <d v="2025-01-31T00:00:00"/>
    <s v="Vikas Mehta"/>
    <s v="Male"/>
    <d v="1979-12-23T00:00:00"/>
    <s v="Kolkata"/>
    <x v="3"/>
    <x v="1"/>
    <s v="Mouse"/>
    <n v="1"/>
    <n v="700"/>
    <n v="0"/>
    <n v="700"/>
    <n v="1"/>
    <s v="UPI"/>
    <s v="Karan"/>
    <s v="vikas.mehta@company.com"/>
    <n v="9374259988"/>
    <s v="Completed"/>
  </r>
  <r>
    <s v="ORD10378"/>
    <s v="C008"/>
    <s v="P102"/>
    <x v="219"/>
    <d v="2026-02-21T00:00:00"/>
    <s v="Kavya Nair"/>
    <s v="Female"/>
    <d v="1975-12-15T00:00:00"/>
    <s v="Mumbai"/>
    <x v="2"/>
    <x v="1"/>
    <s v="Mouse"/>
    <n v="13"/>
    <n v="700"/>
    <n v="20"/>
    <n v="7280"/>
    <n v="2"/>
    <s v="Card"/>
    <s v="Ritika"/>
    <s v="KAvya.nair@company.com"/>
    <n v="9538129419"/>
    <s v="Completed"/>
  </r>
  <r>
    <s v="ORD10379"/>
    <s v="C009"/>
    <s v="P104"/>
    <x v="189"/>
    <d v="2025-02-19T00:00:00"/>
    <s v="Mohit Verma"/>
    <s v="Male"/>
    <d v="1993-05-17T00:00:00"/>
    <s v="Pune"/>
    <x v="2"/>
    <x v="1"/>
    <s v="Monitor"/>
    <n v="20"/>
    <n v="12000"/>
    <n v="0"/>
    <n v="240000"/>
    <n v="2"/>
    <s v="Card"/>
    <s v="Neha"/>
    <s v="mohit.verma@company.com"/>
    <n v="9382815686"/>
    <s v="Completed"/>
  </r>
  <r>
    <s v="ORD10380"/>
    <s v="C007"/>
    <s v="P103"/>
    <x v="194"/>
    <d v="2026-01-06T00:00:00"/>
    <s v="arjun Rao"/>
    <s v="Male"/>
    <d v="1976-09-17T00:00:00"/>
    <s v="Kolkata"/>
    <x v="3"/>
    <x v="1"/>
    <s v="Keyboard"/>
    <n v="9"/>
    <n v="1200"/>
    <n v="15"/>
    <n v="9180"/>
    <n v="1"/>
    <s v="UPI"/>
    <s v="Ritika"/>
    <s v="arjun.rao@company.com"/>
    <n v="9450746157"/>
    <s v="Pending"/>
  </r>
  <r>
    <s v="ORD10381"/>
    <s v="C007"/>
    <s v="P302"/>
    <x v="262"/>
    <d v="2025-10-03T00:00:00"/>
    <s v="arjun Rao"/>
    <s v="Male"/>
    <d v="1996-12-22T00:00:00"/>
    <s v="Jaipur"/>
    <x v="1"/>
    <x v="2"/>
    <s v="Pen"/>
    <n v="3"/>
    <n v="20"/>
    <n v="15"/>
    <n v="51"/>
    <n v="3"/>
    <s v="Cash"/>
    <s v="Neha"/>
    <s v="arjun.rao@company.com"/>
    <n v="9349012570"/>
    <s v="Pending"/>
  </r>
  <r>
    <s v="ORD10382"/>
    <s v="C006"/>
    <s v="P101"/>
    <x v="168"/>
    <d v="2025-12-19T00:00:00"/>
    <s v="Sneha Joshi"/>
    <s v="Female"/>
    <d v="1995-12-25T00:00:00"/>
    <s v="Delhi"/>
    <x v="1"/>
    <x v="1"/>
    <s v="Laptop"/>
    <n v="8"/>
    <n v="55000"/>
    <n v="20"/>
    <n v="352000"/>
    <n v="5"/>
    <s v="Card"/>
    <s v="Karan"/>
    <s v="sneha.joshi@company.com"/>
    <n v="9442163790"/>
    <s v="Pending"/>
  </r>
  <r>
    <s v="ORD10383"/>
    <s v="C006"/>
    <s v="P301"/>
    <x v="263"/>
    <d v="2025-10-07T00:00:00"/>
    <s v="Sneha Joshi"/>
    <s v="Female"/>
    <d v="1985-06-23T00:00:00"/>
    <s v="Delhi"/>
    <x v="1"/>
    <x v="2"/>
    <s v="Notebook"/>
    <n v="17"/>
    <n v="60"/>
    <n v="20"/>
    <n v="816"/>
    <n v="1"/>
    <s v="UPI"/>
    <s v="Ritika"/>
    <s v="sneha.joshi@company.com"/>
    <n v="9953329223"/>
    <s v="Pending"/>
  </r>
  <r>
    <s v="ORD10384"/>
    <s v="C003"/>
    <s v="P302"/>
    <x v="264"/>
    <d v="2025-05-22T00:00:00"/>
    <s v="Rohit Singh"/>
    <s v="Male"/>
    <d v="1984-02-10T00:00:00"/>
    <s v="Bengaluru"/>
    <x v="0"/>
    <x v="2"/>
    <s v="Pen"/>
    <n v="4"/>
    <n v="20"/>
    <n v="15"/>
    <n v="68"/>
    <n v="3"/>
    <s v="NetBanking"/>
    <s v="Aisha"/>
    <s v="rohit.singh@company.com"/>
    <n v="9202321359"/>
    <s v="Pending"/>
  </r>
  <r>
    <s v="ORD10385"/>
    <s v="C003"/>
    <s v="P202"/>
    <x v="222"/>
    <d v="2025-04-11T00:00:00"/>
    <s v="Rohit Singh"/>
    <s v="Male"/>
    <d v="2002-04-02T00:00:00"/>
    <s v="Kolkata"/>
    <x v="3"/>
    <x v="0"/>
    <s v="Iron"/>
    <n v="2"/>
    <n v="2200"/>
    <n v="10"/>
    <n v="3960"/>
    <n v="2"/>
    <s v="UPI"/>
    <s v="Rahul"/>
    <s v="rohit.singh@company.com"/>
    <n v="9812564160"/>
    <s v="Pending"/>
  </r>
  <r>
    <s v="ORD10386"/>
    <s v="C005"/>
    <s v="P301"/>
    <x v="65"/>
    <d v="2025-04-18T00:00:00"/>
    <s v="Vikas Mehta"/>
    <s v="Male"/>
    <d v="2003-07-17T00:00:00"/>
    <s v="Bengaluru"/>
    <x v="0"/>
    <x v="2"/>
    <s v="Notebook"/>
    <n v="5"/>
    <n v="60"/>
    <n v="5"/>
    <n v="285"/>
    <n v="1"/>
    <s v="UPI"/>
    <s v="Ritika"/>
    <s v="vikas.mehta@company.com"/>
    <n v="9688458222"/>
    <s v="Cancelled"/>
  </r>
  <r>
    <s v="ORD10387"/>
    <s v="C003"/>
    <s v="P202"/>
    <x v="265"/>
    <d v="2026-02-23T00:00:00"/>
    <s v="Rohit Singh"/>
    <s v="Male"/>
    <d v="1991-10-06T00:00:00"/>
    <s v="Delhi"/>
    <x v="1"/>
    <x v="0"/>
    <s v="Iron"/>
    <n v="17"/>
    <n v="2200"/>
    <n v="0"/>
    <n v="37400"/>
    <n v="2"/>
    <s v="UPI"/>
    <s v="Karan"/>
    <s v="rohit.singh@company.com"/>
    <n v="9634473337"/>
    <s v="Cancelled"/>
  </r>
  <r>
    <s v="ORD10388"/>
    <s v="C004"/>
    <s v="P301"/>
    <x v="242"/>
    <d v="2025-12-11T00:00:00"/>
    <s v="Anita Gupta"/>
    <s v="Female"/>
    <d v="1984-01-05T00:00:00"/>
    <s v="Ahmedabad"/>
    <x v="2"/>
    <x v="2"/>
    <s v="Notebook"/>
    <n v="7"/>
    <n v="60"/>
    <n v="0"/>
    <n v="420"/>
    <n v="2"/>
    <s v="UPI"/>
    <s v="Aisha"/>
    <s v="anita.gupta@company.com"/>
    <n v="9608737026"/>
    <s v="Pending"/>
  </r>
  <r>
    <s v="ORD10389"/>
    <s v="C005"/>
    <s v="P101"/>
    <x v="111"/>
    <d v="2025-10-24T00:00:00"/>
    <s v="Vikas Mehta"/>
    <s v="Male"/>
    <d v="1975-03-12T00:00:00"/>
    <s v="Hyderabad"/>
    <x v="0"/>
    <x v="1"/>
    <s v="Laptop"/>
    <n v="6"/>
    <n v="55000"/>
    <n v="5"/>
    <n v="313500"/>
    <n v="4"/>
    <s v="Card"/>
    <s v="Aisha"/>
    <s v="vikas.mehta@company.com"/>
    <n v="9804498139"/>
    <s v="Completed"/>
  </r>
  <r>
    <s v="ORD10390"/>
    <s v="C009"/>
    <s v="P302"/>
    <x v="209"/>
    <d v="2026-01-25T00:00:00"/>
    <s v="Mohit Verma"/>
    <s v="Male"/>
    <d v="1983-03-15T00:00:00"/>
    <s v="Hyderabad"/>
    <x v="0"/>
    <x v="2"/>
    <s v="Pen"/>
    <n v="16"/>
    <n v="20"/>
    <n v="5"/>
    <n v="304"/>
    <n v="1"/>
    <s v="Card"/>
    <s v="Rahul"/>
    <s v="mohit.verma@company.com"/>
    <n v="9798643580"/>
    <s v="Completed"/>
  </r>
  <r>
    <s v="ORD10391"/>
    <s v="C008"/>
    <s v="P202"/>
    <x v="266"/>
    <d v="2025-01-28T00:00:00"/>
    <s v="Kavya Nair"/>
    <s v="Female"/>
    <d v="1976-04-20T00:00:00"/>
    <s v="Kolkata"/>
    <x v="3"/>
    <x v="0"/>
    <s v="Iron"/>
    <n v="11"/>
    <n v="2200"/>
    <n v="15"/>
    <n v="20570"/>
    <n v="1"/>
    <s v="NetBanking"/>
    <s v="Neha"/>
    <s v="KAvya.nair@company.com"/>
    <n v="9809823278"/>
    <s v="Cancelled"/>
  </r>
  <r>
    <s v="ORD10392"/>
    <s v="C002"/>
    <s v="P302"/>
    <x v="172"/>
    <d v="2025-03-02T00:00:00"/>
    <s v="Priya Patel"/>
    <s v="Female"/>
    <d v="1986-02-11T00:00:00"/>
    <s v="Pune"/>
    <x v="2"/>
    <x v="2"/>
    <s v="Pen"/>
    <n v="19"/>
    <n v="20"/>
    <n v="5"/>
    <n v="361"/>
    <n v="4"/>
    <s v="UPI"/>
    <s v="Ritika"/>
    <s v="priYa.patel@company.com"/>
    <n v="9177767854"/>
    <s v="Pending"/>
  </r>
  <r>
    <s v="ORD10393"/>
    <s v="C002"/>
    <s v="P103"/>
    <x v="267"/>
    <d v="2025-06-21T00:00:00"/>
    <s v="Priya Patel"/>
    <s v="Female"/>
    <d v="1978-03-21T00:00:00"/>
    <s v="Pune"/>
    <x v="2"/>
    <x v="1"/>
    <s v="Keyboard"/>
    <n v="20"/>
    <n v="1200"/>
    <n v="15"/>
    <n v="20400"/>
    <n v="4"/>
    <s v="Card"/>
    <s v="Ritika"/>
    <s v="priYa.patel@company.com"/>
    <n v="9643440006"/>
    <s v="Pending"/>
  </r>
  <r>
    <s v="ORD10394"/>
    <s v="C010"/>
    <s v="P302"/>
    <x v="268"/>
    <d v="2025-06-06T00:00:00"/>
    <s v="pooja shah"/>
    <s v="Female"/>
    <d v="1996-07-12T00:00:00"/>
    <s v="Hyderabad"/>
    <x v="0"/>
    <x v="2"/>
    <s v="Pen"/>
    <n v="13"/>
    <n v="20"/>
    <n v="15"/>
    <n v="221"/>
    <n v="4"/>
    <s v="Cash"/>
    <s v="Ritika"/>
    <s v="pooja.shah@company.com"/>
    <n v="9673698825"/>
    <s v="Pending"/>
  </r>
  <r>
    <s v="ORD10395"/>
    <s v="C006"/>
    <s v="P103"/>
    <x v="21"/>
    <d v="2025-01-08T00:00:00"/>
    <s v="Sneha Joshi"/>
    <s v="Female"/>
    <d v="1992-12-02T00:00:00"/>
    <s v="Delhi"/>
    <x v="1"/>
    <x v="1"/>
    <s v="Keyboard"/>
    <n v="12"/>
    <n v="1200"/>
    <n v="10"/>
    <n v="12960"/>
    <n v="3"/>
    <s v="NetBanking"/>
    <s v="Ritika"/>
    <s v="sneha.joshi@company.com"/>
    <n v="9706238784"/>
    <s v="Pending"/>
  </r>
  <r>
    <s v="ORD10396"/>
    <s v="C002"/>
    <s v="P203"/>
    <x v="269"/>
    <d v="2025-01-29T00:00:00"/>
    <s v="Priya Patel"/>
    <s v="Female"/>
    <d v="1996-03-23T00:00:00"/>
    <s v="Kolkata"/>
    <x v="3"/>
    <x v="0"/>
    <s v="Microwave"/>
    <n v="6"/>
    <n v="8500"/>
    <n v="5"/>
    <n v="48450"/>
    <n v="5"/>
    <s v="Cash"/>
    <s v="Neha"/>
    <s v="priYa.patel@company.com"/>
    <n v="9132959877"/>
    <s v="Cancelled"/>
  </r>
  <r>
    <s v="ORD10397"/>
    <s v="C008"/>
    <s v="P203"/>
    <x v="208"/>
    <d v="2026-02-26T00:00:00"/>
    <s v="Kavya Nair"/>
    <s v="Female"/>
    <d v="1994-06-23T00:00:00"/>
    <s v="Ahmedabad"/>
    <x v="2"/>
    <x v="0"/>
    <s v="Microwave"/>
    <n v="15"/>
    <n v="8500"/>
    <n v="10"/>
    <n v="114750"/>
    <n v="1"/>
    <s v="Cash"/>
    <s v="Neha"/>
    <s v="KAvya.nair@company.com"/>
    <n v="9295011645"/>
    <s v="Completed"/>
  </r>
  <r>
    <s v="ORD10398"/>
    <s v="C003"/>
    <s v="P104"/>
    <x v="270"/>
    <d v="2025-08-15T00:00:00"/>
    <s v="Rohit Singh"/>
    <s v="Male"/>
    <d v="1980-02-02T00:00:00"/>
    <s v="Hyderabad"/>
    <x v="0"/>
    <x v="1"/>
    <s v="Monitor"/>
    <n v="19"/>
    <n v="12000"/>
    <n v="20"/>
    <n v="182400"/>
    <n v="5"/>
    <s v="Cash"/>
    <s v="Neha"/>
    <s v="rohit.singh@company.com"/>
    <n v="9677606427"/>
    <s v="Completed"/>
  </r>
  <r>
    <s v="ORD10399"/>
    <s v="C007"/>
    <s v="P102"/>
    <x v="271"/>
    <d v="2025-01-18T00:00:00"/>
    <s v="arjun Rao"/>
    <s v="Male"/>
    <d v="1990-08-24T00:00:00"/>
    <s v="Delhi"/>
    <x v="1"/>
    <x v="1"/>
    <s v="Mouse"/>
    <n v="5"/>
    <n v="700"/>
    <n v="0"/>
    <n v="3500"/>
    <n v="2"/>
    <s v="Card"/>
    <s v="Aisha"/>
    <s v="arjun.rao@company.com"/>
    <n v="9161631566"/>
    <s v="Cancelled"/>
  </r>
  <r>
    <s v="ORD10400"/>
    <s v="C007"/>
    <s v="P104"/>
    <x v="272"/>
    <d v="2025-02-04T00:00:00"/>
    <s v="arjun Rao"/>
    <s v="Male"/>
    <d v="1978-12-10T00:00:00"/>
    <s v="Kolkata"/>
    <x v="3"/>
    <x v="1"/>
    <s v="Monitor"/>
    <n v="19"/>
    <n v="12000"/>
    <n v="0"/>
    <n v="228000"/>
    <n v="4"/>
    <s v="UPI"/>
    <s v="Aisha"/>
    <s v="arjun.rao@company.com"/>
    <n v="9136906750"/>
    <s v="Pending"/>
  </r>
  <r>
    <s v="ORD10401"/>
    <s v="C001"/>
    <s v="P102"/>
    <x v="273"/>
    <d v="2025-11-03T00:00:00"/>
    <s v="Amit Sharma"/>
    <s v="Male"/>
    <d v="1979-09-01T00:00:00"/>
    <s v="Bengaluru"/>
    <x v="0"/>
    <x v="1"/>
    <s v="Mouse"/>
    <n v="12"/>
    <n v="700"/>
    <n v="15"/>
    <n v="7140"/>
    <n v="3"/>
    <s v="Card"/>
    <s v="Ritika"/>
    <s v="amit.sharma@company.com"/>
    <n v="9485286324"/>
    <s v="Completed"/>
  </r>
  <r>
    <s v="ORD10402"/>
    <s v="C008"/>
    <s v="P103"/>
    <x v="274"/>
    <d v="2025-05-21T00:00:00"/>
    <s v="Kavya Nair"/>
    <s v="Female"/>
    <d v="2001-04-08T00:00:00"/>
    <s v="Delhi"/>
    <x v="1"/>
    <x v="1"/>
    <s v="Keyboard"/>
    <n v="16"/>
    <n v="1200"/>
    <n v="20"/>
    <n v="15360"/>
    <n v="1"/>
    <s v="Cash"/>
    <s v="Rahul"/>
    <s v="KAvya.nair@company.com"/>
    <n v="9414633966"/>
    <s v="Pending"/>
  </r>
  <r>
    <s v="ORD10403"/>
    <s v="C009"/>
    <s v="P203"/>
    <x v="275"/>
    <d v="2026-01-04T00:00:00"/>
    <s v="Mohit Verma"/>
    <s v="Male"/>
    <d v="1983-01-01T00:00:00"/>
    <s v="Hyderabad"/>
    <x v="0"/>
    <x v="0"/>
    <s v="Microwave"/>
    <n v="10"/>
    <n v="8500"/>
    <n v="5"/>
    <n v="80750"/>
    <n v="5"/>
    <s v="NetBanking"/>
    <s v="Ritika"/>
    <s v="mohit.verma@company.com"/>
    <n v="9833735234"/>
    <s v="Completed"/>
  </r>
  <r>
    <s v="ORD10404"/>
    <s v="C008"/>
    <s v="P302"/>
    <x v="220"/>
    <d v="2025-02-21T00:00:00"/>
    <s v="Kavya Nair"/>
    <s v="Female"/>
    <d v="1989-08-09T00:00:00"/>
    <s v="Ahmedabad"/>
    <x v="2"/>
    <x v="2"/>
    <s v="Pen"/>
    <n v="18"/>
    <n v="20"/>
    <n v="20"/>
    <n v="288"/>
    <n v="1"/>
    <s v="UPI"/>
    <s v="Ritika"/>
    <s v="KAvya.nair@company.com"/>
    <n v="9523689108"/>
    <s v="Pending"/>
  </r>
  <r>
    <s v="ORD10405"/>
    <s v="C009"/>
    <s v="P203"/>
    <x v="27"/>
    <d v="2026-03-19T00:00:00"/>
    <s v="Mohit Verma"/>
    <s v="Male"/>
    <d v="1993-10-22T00:00:00"/>
    <s v="Mumbai"/>
    <x v="2"/>
    <x v="0"/>
    <s v="Microwave"/>
    <n v="9"/>
    <n v="8500"/>
    <n v="0"/>
    <n v="76500"/>
    <n v="2"/>
    <s v="Card"/>
    <s v="Ritika"/>
    <s v="mohit.verma@company.com"/>
    <n v="9812909831"/>
    <s v="Pending"/>
  </r>
  <r>
    <s v="ORD10406"/>
    <s v="C008"/>
    <s v="P203"/>
    <x v="262"/>
    <d v="2025-10-12T00:00:00"/>
    <s v="Kavya Nair"/>
    <s v="Female"/>
    <d v="2000-05-05T00:00:00"/>
    <s v="Mumbai"/>
    <x v="2"/>
    <x v="0"/>
    <s v="Microwave"/>
    <n v="8"/>
    <n v="8500"/>
    <n v="10"/>
    <n v="61200"/>
    <n v="4"/>
    <s v="Cash"/>
    <s v="Neha"/>
    <s v="KAvya.nair@company.com"/>
    <n v="9106290987"/>
    <s v="Cancelled"/>
  </r>
  <r>
    <s v="ORD10407"/>
    <s v="C010"/>
    <s v="P302"/>
    <x v="70"/>
    <d v="2026-02-01T00:00:00"/>
    <s v="pooja shah"/>
    <s v="Female"/>
    <d v="1984-02-18T00:00:00"/>
    <s v="Pune"/>
    <x v="2"/>
    <x v="2"/>
    <s v="Pen"/>
    <n v="3"/>
    <n v="20"/>
    <n v="10"/>
    <n v="54"/>
    <n v="3"/>
    <s v="Card"/>
    <s v="Karan"/>
    <s v="pooja.shah@company.com"/>
    <n v="9767727724"/>
    <s v="Pending"/>
  </r>
  <r>
    <s v="ORD10408"/>
    <s v="C004"/>
    <s v="P203"/>
    <x v="276"/>
    <d v="2025-07-12T00:00:00"/>
    <s v="Anita Gupta"/>
    <s v="Female"/>
    <d v="1991-06-13T00:00:00"/>
    <s v="Kolkata"/>
    <x v="3"/>
    <x v="0"/>
    <s v="Microwave"/>
    <n v="18"/>
    <n v="8500"/>
    <n v="10"/>
    <n v="137700"/>
    <n v="4"/>
    <s v="Cash"/>
    <s v="Rahul"/>
    <s v="anita.gupta@company.com"/>
    <n v="9865401727"/>
    <s v="Cancelled"/>
  </r>
  <r>
    <s v="ORD10409"/>
    <s v="C010"/>
    <s v="P303"/>
    <x v="38"/>
    <d v="2025-10-09T00:00:00"/>
    <s v="pooja shah"/>
    <s v="Female"/>
    <d v="1996-05-19T00:00:00"/>
    <s v="Pune"/>
    <x v="2"/>
    <x v="2"/>
    <s v="Marker"/>
    <n v="5"/>
    <n v="45"/>
    <n v="10"/>
    <n v="202.5"/>
    <n v="3"/>
    <s v="Cash"/>
    <s v="Neha"/>
    <s v="pooja.shah@company.com"/>
    <n v="9603848571"/>
    <s v="Pending"/>
  </r>
  <r>
    <s v="ORD10410"/>
    <s v="C009"/>
    <s v="P303"/>
    <x v="109"/>
    <d v="2025-06-02T00:00:00"/>
    <s v="Mohit Verma"/>
    <s v="Male"/>
    <d v="1992-05-23T00:00:00"/>
    <s v="Mumbai"/>
    <x v="2"/>
    <x v="2"/>
    <s v="Marker"/>
    <n v="2"/>
    <n v="45"/>
    <n v="20"/>
    <n v="72"/>
    <n v="5"/>
    <s v="UPI"/>
    <s v="Aisha"/>
    <s v="mohit.verma@company.com"/>
    <n v="9101231789"/>
    <s v="Cancelled"/>
  </r>
  <r>
    <s v="ORD10411"/>
    <s v="C002"/>
    <s v="P303"/>
    <x v="277"/>
    <d v="2025-02-06T00:00:00"/>
    <s v="Priya Patel"/>
    <s v="Female"/>
    <d v="1988-06-15T00:00:00"/>
    <s v="Hyderabad"/>
    <x v="0"/>
    <x v="2"/>
    <s v="Marker"/>
    <n v="18"/>
    <n v="45"/>
    <n v="10"/>
    <n v="729"/>
    <n v="2"/>
    <s v="NetBanking"/>
    <s v="Neha"/>
    <s v="priYa.patel@company.com"/>
    <n v="9485017802"/>
    <s v="Pending"/>
  </r>
  <r>
    <s v="ORD10412"/>
    <s v="C003"/>
    <s v="P103"/>
    <x v="66"/>
    <d v="2026-01-01T00:00:00"/>
    <s v="Rohit Singh"/>
    <s v="Male"/>
    <d v="1993-07-22T00:00:00"/>
    <s v="Kolkata"/>
    <x v="3"/>
    <x v="1"/>
    <s v="Keyboard"/>
    <n v="13"/>
    <n v="1200"/>
    <n v="5"/>
    <n v="14820"/>
    <n v="4"/>
    <s v="Card"/>
    <s v="Neha"/>
    <s v="rohit.singh@company.com"/>
    <n v="9815464650"/>
    <s v="Completed"/>
  </r>
  <r>
    <s v="ORD10413"/>
    <s v="C008"/>
    <s v="P302"/>
    <x v="278"/>
    <d v="2026-05-17T00:00:00"/>
    <s v="Kavya Nair"/>
    <s v="Female"/>
    <d v="2004-02-03T00:00:00"/>
    <s v="Hyderabad"/>
    <x v="0"/>
    <x v="2"/>
    <s v="Pen"/>
    <n v="14"/>
    <n v="20"/>
    <n v="20"/>
    <n v="224"/>
    <n v="5"/>
    <s v="UPI"/>
    <s v="Rahul"/>
    <s v="KAvya.nair@company.com"/>
    <n v="9860715839"/>
    <s v="Pending"/>
  </r>
  <r>
    <s v="ORD10414"/>
    <s v="C002"/>
    <s v="P201"/>
    <x v="279"/>
    <d v="2026-02-23T00:00:00"/>
    <s v="Priya Patel"/>
    <s v="Female"/>
    <d v="1978-12-23T00:00:00"/>
    <s v="Hyderabad"/>
    <x v="0"/>
    <x v="0"/>
    <s v="Mixer"/>
    <n v="16"/>
    <n v="3500"/>
    <n v="15"/>
    <n v="47600"/>
    <n v="3"/>
    <s v="UPI"/>
    <s v="Aisha"/>
    <s v="priYa.patel@company.com"/>
    <n v="9207561051"/>
    <s v="Cancelled"/>
  </r>
  <r>
    <s v="ORD10415"/>
    <s v="C006"/>
    <s v="P302"/>
    <x v="158"/>
    <d v="2025-02-24T00:00:00"/>
    <s v="Sneha Joshi"/>
    <s v="Female"/>
    <d v="1993-10-15T00:00:00"/>
    <s v="Bengaluru"/>
    <x v="0"/>
    <x v="2"/>
    <s v="Pen"/>
    <n v="20"/>
    <n v="20"/>
    <n v="15"/>
    <n v="340"/>
    <n v="1"/>
    <s v="NetBanking"/>
    <s v="Aisha"/>
    <s v="sneha.joshi@company.com"/>
    <n v="9159894508"/>
    <s v="Cancelled"/>
  </r>
  <r>
    <s v="ORD10416"/>
    <s v="C004"/>
    <s v="P101"/>
    <x v="103"/>
    <d v="2025-04-14T00:00:00"/>
    <s v="Anita Gupta"/>
    <s v="Female"/>
    <d v="1979-12-12T00:00:00"/>
    <s v="Ahmedabad"/>
    <x v="2"/>
    <x v="1"/>
    <s v="Laptop"/>
    <n v="1"/>
    <n v="55000"/>
    <n v="15"/>
    <n v="46750"/>
    <n v="2"/>
    <s v="UPI"/>
    <s v="Neha"/>
    <s v="anita.gupta@company.com"/>
    <n v="9531465024"/>
    <s v="Cancelled"/>
  </r>
  <r>
    <s v="ORD10417"/>
    <s v="C002"/>
    <s v="P301"/>
    <x v="271"/>
    <d v="2025-01-20T00:00:00"/>
    <s v="Priya Patel"/>
    <s v="Female"/>
    <d v="2002-05-24T00:00:00"/>
    <s v="Ahmedabad"/>
    <x v="2"/>
    <x v="2"/>
    <s v="Notebook"/>
    <n v="15"/>
    <n v="60"/>
    <n v="5"/>
    <n v="855"/>
    <n v="4"/>
    <s v="NetBanking"/>
    <s v="Aisha"/>
    <s v="priYa.patel@company.com"/>
    <n v="9158813608"/>
    <s v="Completed"/>
  </r>
  <r>
    <s v="ORD10418"/>
    <s v="C007"/>
    <s v="P102"/>
    <x v="280"/>
    <d v="2026-04-02T00:00:00"/>
    <s v="arjun Rao"/>
    <s v="Male"/>
    <d v="1976-03-09T00:00:00"/>
    <s v="Mumbai"/>
    <x v="2"/>
    <x v="1"/>
    <s v="Mouse"/>
    <n v="15"/>
    <n v="700"/>
    <n v="0"/>
    <n v="10500"/>
    <n v="5"/>
    <s v="NetBanking"/>
    <s v="Neha"/>
    <s v="arjun.rao@company.com"/>
    <n v="9308461700"/>
    <s v="Completed"/>
  </r>
  <r>
    <s v="ORD10419"/>
    <s v="C005"/>
    <s v="P104"/>
    <x v="243"/>
    <d v="2026-01-09T00:00:00"/>
    <s v="Vikas Mehta"/>
    <s v="Male"/>
    <d v="1980-09-20T00:00:00"/>
    <s v="Kolkata"/>
    <x v="3"/>
    <x v="1"/>
    <s v="Monitor"/>
    <n v="13"/>
    <n v="12000"/>
    <n v="10"/>
    <n v="140400"/>
    <n v="1"/>
    <s v="Cash"/>
    <s v="Karan"/>
    <s v="vikas.mehta@company.com"/>
    <n v="9882279049"/>
    <s v="Cancelled"/>
  </r>
  <r>
    <s v="ORD10420"/>
    <s v="C007"/>
    <s v="P104"/>
    <x v="281"/>
    <d v="2026-04-29T00:00:00"/>
    <s v="arjun Rao"/>
    <s v="Male"/>
    <d v="1988-06-24T00:00:00"/>
    <s v="Hyderabad"/>
    <x v="0"/>
    <x v="1"/>
    <s v="Monitor"/>
    <n v="12"/>
    <n v="12000"/>
    <n v="20"/>
    <n v="115200"/>
    <n v="2"/>
    <s v="Cash"/>
    <s v="Ritika"/>
    <s v="arjun.rao@company.com"/>
    <n v="9961801338"/>
    <s v="Completed"/>
  </r>
  <r>
    <s v="ORD10421"/>
    <s v="C007"/>
    <s v="P303"/>
    <x v="9"/>
    <d v="2025-03-29T00:00:00"/>
    <s v="arjun Rao"/>
    <s v="Male"/>
    <d v="2003-06-11T00:00:00"/>
    <s v="Mumbai"/>
    <x v="2"/>
    <x v="2"/>
    <s v="Marker"/>
    <n v="10"/>
    <n v="45"/>
    <n v="0"/>
    <n v="450"/>
    <n v="5"/>
    <s v="Card"/>
    <s v="Neha"/>
    <s v="arjun.rao@company.com"/>
    <n v="9853525026"/>
    <s v="Cancelled"/>
  </r>
  <r>
    <s v="ORD10422"/>
    <s v="C003"/>
    <s v="P103"/>
    <x v="1"/>
    <d v="2025-05-09T00:00:00"/>
    <s v="Rohit Singh"/>
    <s v="Male"/>
    <d v="1981-12-10T00:00:00"/>
    <s v="Mumbai"/>
    <x v="2"/>
    <x v="1"/>
    <s v="Keyboard"/>
    <n v="20"/>
    <n v="1200"/>
    <n v="20"/>
    <n v="19200"/>
    <n v="5"/>
    <s v="NetBanking"/>
    <s v="Aisha"/>
    <s v="rohit.singh@company.com"/>
    <n v="9209649485"/>
    <s v="Cancelled"/>
  </r>
  <r>
    <s v="ORD10423"/>
    <s v="C009"/>
    <s v="P103"/>
    <x v="10"/>
    <d v="2025-09-26T00:00:00"/>
    <s v="Mohit Verma"/>
    <s v="Male"/>
    <d v="1975-02-24T00:00:00"/>
    <s v="Pune"/>
    <x v="2"/>
    <x v="1"/>
    <s v="Keyboard"/>
    <n v="8"/>
    <n v="1200"/>
    <n v="10"/>
    <n v="8640"/>
    <n v="4"/>
    <s v="NetBanking"/>
    <s v="Aisha"/>
    <s v="mohit.verma@company.com"/>
    <n v="9712905525"/>
    <s v="Completed"/>
  </r>
  <r>
    <s v="ORD10424"/>
    <s v="C003"/>
    <s v="P103"/>
    <x v="175"/>
    <d v="2025-05-20T00:00:00"/>
    <s v="Rohit Singh"/>
    <s v="Male"/>
    <d v="1977-09-27T00:00:00"/>
    <s v="Jaipur"/>
    <x v="1"/>
    <x v="1"/>
    <s v="Keyboard"/>
    <n v="8"/>
    <n v="1200"/>
    <n v="10"/>
    <n v="8640"/>
    <n v="5"/>
    <s v="Card"/>
    <s v="Rahul"/>
    <s v="rohit.singh@company.com"/>
    <n v="9812472447"/>
    <s v="Cancelled"/>
  </r>
  <r>
    <s v="ORD10425"/>
    <s v="C001"/>
    <s v="P202"/>
    <x v="282"/>
    <d v="2025-12-30T00:00:00"/>
    <s v="Amit Sharma"/>
    <s v="Male"/>
    <d v="1987-12-25T00:00:00"/>
    <s v="Jaipur"/>
    <x v="1"/>
    <x v="0"/>
    <s v="Iron"/>
    <n v="9"/>
    <n v="2200"/>
    <n v="20"/>
    <n v="15840"/>
    <n v="1"/>
    <s v="NetBanking"/>
    <s v="Neha"/>
    <s v="amit.sharma@company.com"/>
    <n v="9281127052"/>
    <s v="Completed"/>
  </r>
  <r>
    <s v="ORD10426"/>
    <s v="C003"/>
    <s v="P302"/>
    <x v="283"/>
    <d v="2025-01-16T00:00:00"/>
    <s v="Rohit Singh"/>
    <s v="Male"/>
    <d v="2001-03-23T00:00:00"/>
    <s v="Kolkata"/>
    <x v="3"/>
    <x v="2"/>
    <s v="Pen"/>
    <n v="8"/>
    <n v="20"/>
    <n v="20"/>
    <n v="128"/>
    <n v="4"/>
    <s v="Cash"/>
    <s v="Ritika"/>
    <s v="rohit.singh@company.com"/>
    <n v="9346312555"/>
    <s v="Cancelled"/>
  </r>
  <r>
    <s v="ORD10427"/>
    <s v="C005"/>
    <s v="P101"/>
    <x v="284"/>
    <d v="2026-01-22T00:00:00"/>
    <s v="Vikas Mehta"/>
    <s v="Male"/>
    <d v="1982-09-22T00:00:00"/>
    <s v="Pune"/>
    <x v="2"/>
    <x v="1"/>
    <s v="Laptop"/>
    <n v="5"/>
    <n v="55000"/>
    <n v="0"/>
    <n v="275000"/>
    <n v="1"/>
    <s v="Card"/>
    <s v="Neha"/>
    <s v="vikas.mehta@company.com"/>
    <n v="9443786067"/>
    <s v="Completed"/>
  </r>
  <r>
    <s v="ORD10428"/>
    <s v="C002"/>
    <s v="P103"/>
    <x v="285"/>
    <d v="2026-03-18T00:00:00"/>
    <s v="Priya Patel"/>
    <s v="Female"/>
    <d v="1986-09-15T00:00:00"/>
    <s v="Mumbai"/>
    <x v="2"/>
    <x v="1"/>
    <s v="Keyboard"/>
    <n v="13"/>
    <n v="1200"/>
    <n v="5"/>
    <n v="14820"/>
    <n v="2"/>
    <s v="Card"/>
    <s v="Ritika"/>
    <s v="priYa.patel@company.com"/>
    <n v="9452540528"/>
    <s v="Cancelled"/>
  </r>
  <r>
    <s v="ORD10429"/>
    <s v="C007"/>
    <s v="P203"/>
    <x v="237"/>
    <d v="2025-11-30T00:00:00"/>
    <s v="arjun Rao"/>
    <s v="Male"/>
    <d v="2002-12-12T00:00:00"/>
    <s v="Jaipur"/>
    <x v="1"/>
    <x v="0"/>
    <s v="Microwave"/>
    <n v="13"/>
    <n v="8500"/>
    <n v="20"/>
    <n v="88400"/>
    <n v="5"/>
    <s v="Cash"/>
    <s v="Rahul"/>
    <s v="arjun.rao@company.com"/>
    <n v="9750918728"/>
    <s v="Pending"/>
  </r>
  <r>
    <s v="ORD10430"/>
    <s v="C009"/>
    <s v="P301"/>
    <x v="122"/>
    <d v="2025-02-15T00:00:00"/>
    <s v="Mohit Verma"/>
    <s v="Male"/>
    <d v="1998-09-15T00:00:00"/>
    <s v="Pune"/>
    <x v="2"/>
    <x v="2"/>
    <s v="Notebook"/>
    <n v="14"/>
    <n v="60"/>
    <n v="10"/>
    <n v="756"/>
    <n v="1"/>
    <s v="Cash"/>
    <s v="Aisha"/>
    <s v="mohit.verma@company.com"/>
    <n v="9375975834"/>
    <s v="Cancelled"/>
  </r>
  <r>
    <s v="ORD10431"/>
    <s v="C006"/>
    <s v="P202"/>
    <x v="159"/>
    <d v="2025-04-29T00:00:00"/>
    <s v="Sneha Joshi"/>
    <s v="Female"/>
    <d v="1985-10-17T00:00:00"/>
    <s v="Bengaluru"/>
    <x v="0"/>
    <x v="0"/>
    <s v="Iron"/>
    <n v="15"/>
    <n v="2200"/>
    <n v="0"/>
    <n v="33000"/>
    <n v="1"/>
    <s v="Cash"/>
    <s v="Aisha"/>
    <s v="sneha.joshi@company.com"/>
    <n v="9497321112"/>
    <s v="Completed"/>
  </r>
  <r>
    <s v="ORD10432"/>
    <s v="C007"/>
    <s v="P301"/>
    <x v="286"/>
    <d v="2025-08-29T00:00:00"/>
    <s v="arjun Rao"/>
    <s v="Male"/>
    <d v="1995-08-15T00:00:00"/>
    <s v="Jaipur"/>
    <x v="1"/>
    <x v="2"/>
    <s v="Notebook"/>
    <n v="19"/>
    <n v="60"/>
    <n v="20"/>
    <n v="912"/>
    <n v="3"/>
    <s v="Cash"/>
    <s v="Karan"/>
    <s v="arjun.rao@company.com"/>
    <n v="9828749888"/>
    <s v="Pending"/>
  </r>
  <r>
    <s v="ORD10433"/>
    <s v="C010"/>
    <s v="P303"/>
    <x v="287"/>
    <d v="2025-10-23T00:00:00"/>
    <s v="pooja shah"/>
    <s v="Female"/>
    <d v="1985-08-27T00:00:00"/>
    <s v="Jaipur"/>
    <x v="1"/>
    <x v="2"/>
    <s v="Marker"/>
    <n v="13"/>
    <n v="45"/>
    <n v="15"/>
    <n v="497.25"/>
    <n v="2"/>
    <s v="Cash"/>
    <s v="Rahul"/>
    <s v="pooja.shah@company.com"/>
    <n v="9814267382"/>
    <s v="Completed"/>
  </r>
  <r>
    <s v="ORD10434"/>
    <s v="C006"/>
    <s v="P104"/>
    <x v="288"/>
    <d v="2026-01-24T00:00:00"/>
    <s v="Sneha Joshi"/>
    <s v="Female"/>
    <d v="1975-06-05T00:00:00"/>
    <s v="Mumbai"/>
    <x v="2"/>
    <x v="1"/>
    <s v="Monitor"/>
    <n v="7"/>
    <n v="12000"/>
    <n v="5"/>
    <n v="79800"/>
    <n v="4"/>
    <s v="Card"/>
    <s v="Karan"/>
    <s v="sneha.joshi@company.com"/>
    <n v="9937007439"/>
    <s v="Cancelled"/>
  </r>
  <r>
    <s v="ORD10435"/>
    <s v="C001"/>
    <s v="P302"/>
    <x v="254"/>
    <m/>
    <s v="Amit Sharma"/>
    <s v="Male"/>
    <d v="1997-03-25T00:00:00"/>
    <s v="Kolkata"/>
    <x v="3"/>
    <x v="2"/>
    <s v="Pen"/>
    <n v="8"/>
    <n v="20"/>
    <n v="0"/>
    <n v="160"/>
    <n v="4"/>
    <s v="Card"/>
    <s v="Aisha"/>
    <s v="amit.sharma@company.com"/>
    <n v="9657513435"/>
    <s v="Pending"/>
  </r>
  <r>
    <s v="ORD10436"/>
    <s v="C008"/>
    <s v="P201"/>
    <x v="258"/>
    <d v="2025-02-06T00:00:00"/>
    <s v="Kavya Nair"/>
    <s v="Female"/>
    <d v="1997-04-18T00:00:00"/>
    <s v="Kolkata"/>
    <x v="3"/>
    <x v="0"/>
    <s v="Mixer"/>
    <n v="16"/>
    <n v="3500"/>
    <n v="5"/>
    <n v="53200"/>
    <n v="1"/>
    <s v="Card"/>
    <s v="Aisha"/>
    <s v="KAvya.nair@company.com"/>
    <n v="9999406260"/>
    <s v="Cancelled"/>
  </r>
  <r>
    <s v="ORD10437"/>
    <s v="C001"/>
    <s v="P203"/>
    <x v="289"/>
    <d v="2025-03-04T00:00:00"/>
    <s v="Amit Sharma"/>
    <s v="Male"/>
    <d v="1999-05-28T00:00:00"/>
    <s v="Mumbai"/>
    <x v="2"/>
    <x v="0"/>
    <s v="Microwave"/>
    <n v="12"/>
    <n v="8500"/>
    <n v="10"/>
    <n v="91800"/>
    <n v="3"/>
    <s v="Card"/>
    <s v="Ritika"/>
    <s v="amit.sharma@company.com"/>
    <n v="9233727886"/>
    <s v="Completed"/>
  </r>
  <r>
    <s v="ORD10438"/>
    <s v="C008"/>
    <s v="P301"/>
    <x v="290"/>
    <d v="2025-04-20T00:00:00"/>
    <s v="Kavya Nair"/>
    <s v="Female"/>
    <d v="1983-06-25T00:00:00"/>
    <s v="Ahmedabad"/>
    <x v="2"/>
    <x v="2"/>
    <s v="Notebook"/>
    <n v="1"/>
    <n v="60"/>
    <n v="20"/>
    <n v="48"/>
    <n v="2"/>
    <s v="Card"/>
    <s v="Karan"/>
    <s v="KAvya.nair@company.com"/>
    <n v="9831688801"/>
    <s v="Completed"/>
  </r>
  <r>
    <s v="ORD10439"/>
    <s v="C003"/>
    <s v="P301"/>
    <x v="75"/>
    <d v="2025-11-11T00:00:00"/>
    <s v="Rohit Singh"/>
    <s v="Male"/>
    <d v="1993-01-26T00:00:00"/>
    <s v="Hyderabad"/>
    <x v="0"/>
    <x v="2"/>
    <s v="Notebook"/>
    <n v="3"/>
    <n v="60"/>
    <n v="15"/>
    <n v="153"/>
    <n v="4"/>
    <s v="Card"/>
    <s v="Ritika"/>
    <s v="rohit.singh@company.com"/>
    <n v="9982849508"/>
    <s v="Completed"/>
  </r>
  <r>
    <s v="ORD10440"/>
    <s v="C002"/>
    <s v="P102"/>
    <x v="291"/>
    <d v="2025-03-25T00:00:00"/>
    <s v="Priya Patel"/>
    <s v="Female"/>
    <d v="1979-03-03T00:00:00"/>
    <s v="Kolkata"/>
    <x v="3"/>
    <x v="1"/>
    <s v="Mouse"/>
    <n v="10"/>
    <n v="700"/>
    <n v="15"/>
    <n v="5950"/>
    <n v="3"/>
    <s v="NetBanking"/>
    <s v="Ritika"/>
    <s v="priYa.patel@company.com"/>
    <n v="9288309246"/>
    <s v="Pending"/>
  </r>
  <r>
    <s v="ORD10441"/>
    <s v="C007"/>
    <s v="P302"/>
    <x v="292"/>
    <d v="2025-10-25T00:00:00"/>
    <s v="arjun Rao"/>
    <s v="Male"/>
    <d v="1976-09-13T00:00:00"/>
    <s v="Ahmedabad"/>
    <x v="2"/>
    <x v="2"/>
    <s v="Pen"/>
    <n v="2"/>
    <n v="20"/>
    <n v="10"/>
    <n v="36"/>
    <n v="2"/>
    <s v="UPI"/>
    <s v="Aisha"/>
    <s v="arjun.rao@company.com"/>
    <n v="9808476235"/>
    <s v="Completed"/>
  </r>
  <r>
    <s v="ORD10442"/>
    <s v="C007"/>
    <s v="P302"/>
    <x v="293"/>
    <d v="2026-01-05T00:00:00"/>
    <s v="arjun Rao"/>
    <s v="Male"/>
    <d v="1991-07-27T00:00:00"/>
    <s v="Delhi"/>
    <x v="1"/>
    <x v="2"/>
    <s v="Pen"/>
    <n v="14"/>
    <n v="20"/>
    <n v="20"/>
    <n v="224"/>
    <n v="5"/>
    <s v="Cash"/>
    <s v="Karan"/>
    <s v="arjun.rao@company.com"/>
    <n v="9869056117"/>
    <s v="Pending"/>
  </r>
  <r>
    <s v="ORD10443"/>
    <s v="C001"/>
    <s v="P201"/>
    <x v="294"/>
    <d v="2025-06-25T00:00:00"/>
    <s v="Amit Sharma"/>
    <s v="Male"/>
    <d v="1987-10-25T00:00:00"/>
    <s v="Ahmedabad"/>
    <x v="2"/>
    <x v="0"/>
    <s v="Mixer"/>
    <n v="4"/>
    <n v="3500"/>
    <n v="0"/>
    <n v="14000"/>
    <n v="2"/>
    <s v="UPI"/>
    <s v="Ritika"/>
    <s v="amit.sharma@company.com"/>
    <n v="9734229772"/>
    <s v="Cancelled"/>
  </r>
  <r>
    <s v="ORD10444"/>
    <s v="C007"/>
    <s v="P201"/>
    <x v="40"/>
    <d v="2025-06-05T00:00:00"/>
    <s v="arjun Rao"/>
    <s v="Male"/>
    <d v="1983-11-09T00:00:00"/>
    <s v="Jaipur"/>
    <x v="1"/>
    <x v="0"/>
    <s v="Mixer"/>
    <n v="9"/>
    <n v="3500"/>
    <n v="5"/>
    <n v="29925"/>
    <n v="3"/>
    <s v="Card"/>
    <s v="Aisha"/>
    <s v="arjun.rao@company.com"/>
    <n v="9791617906"/>
    <s v="Completed"/>
  </r>
  <r>
    <s v="ORD10445"/>
    <s v="C003"/>
    <s v="P301"/>
    <x v="109"/>
    <d v="2025-06-03T00:00:00"/>
    <s v="Rohit Singh"/>
    <s v="Male"/>
    <d v="1983-12-28T00:00:00"/>
    <s v="Mumbai"/>
    <x v="2"/>
    <x v="2"/>
    <s v="Notebook"/>
    <n v="9"/>
    <n v="60"/>
    <n v="0"/>
    <n v="540"/>
    <n v="3"/>
    <s v="UPI"/>
    <s v="Ritika"/>
    <s v="rohit.singh@company.com"/>
    <n v="9286316823"/>
    <s v="Pending"/>
  </r>
  <r>
    <s v="ORD10446"/>
    <s v="C004"/>
    <s v="P103"/>
    <x v="295"/>
    <d v="2025-05-03T00:00:00"/>
    <s v="Anita Gupta"/>
    <s v="Female"/>
    <d v="1992-09-15T00:00:00"/>
    <s v="Ahmedabad"/>
    <x v="2"/>
    <x v="1"/>
    <s v="Keyboard"/>
    <n v="4"/>
    <n v="1200"/>
    <n v="0"/>
    <n v="4800"/>
    <n v="1"/>
    <s v="NetBanking"/>
    <s v="Aisha"/>
    <s v="anita.gupta@company.com"/>
    <n v="9810569252"/>
    <s v="Completed"/>
  </r>
  <r>
    <s v="ORD10447"/>
    <s v="C010"/>
    <s v="P101"/>
    <x v="257"/>
    <d v="2025-02-13T00:00:00"/>
    <s v="pooja shah"/>
    <s v="Female"/>
    <d v="1999-08-09T00:00:00"/>
    <s v="Hyderabad"/>
    <x v="0"/>
    <x v="1"/>
    <s v="Laptop"/>
    <n v="10"/>
    <n v="55000"/>
    <n v="5"/>
    <n v="522500"/>
    <n v="5"/>
    <s v="UPI"/>
    <s v="Neha"/>
    <s v="pooja.shah@company.com"/>
    <n v="9771745925"/>
    <s v="Completed"/>
  </r>
  <r>
    <s v="ORD10448"/>
    <s v="C005"/>
    <s v="P303"/>
    <x v="296"/>
    <d v="2025-07-06T00:00:00"/>
    <s v="Vikas Mehta"/>
    <s v="Male"/>
    <d v="1990-02-27T00:00:00"/>
    <s v="Hyderabad"/>
    <x v="0"/>
    <x v="2"/>
    <s v="Marker"/>
    <n v="20"/>
    <n v="45"/>
    <n v="15"/>
    <n v="765"/>
    <n v="2"/>
    <s v="Card"/>
    <s v="Ritika"/>
    <s v="vikas.mehta@company.com"/>
    <n v="9820683063"/>
    <s v="Cancelled"/>
  </r>
  <r>
    <s v="ORD10449"/>
    <s v="C008"/>
    <s v="P302"/>
    <x v="297"/>
    <d v="2026-02-22T00:00:00"/>
    <s v="Kavya Nair"/>
    <s v="Female"/>
    <d v="1994-03-27T00:00:00"/>
    <s v="Mumbai"/>
    <x v="2"/>
    <x v="2"/>
    <s v="Pen"/>
    <n v="9"/>
    <n v="20"/>
    <n v="20"/>
    <n v="144"/>
    <n v="3"/>
    <s v="Card"/>
    <s v="Aisha"/>
    <s v="KAvya.nair@company.com"/>
    <n v="9292891941"/>
    <s v="Completed"/>
  </r>
  <r>
    <s v="ORD10450"/>
    <s v="C008"/>
    <s v="P101"/>
    <x v="298"/>
    <d v="2025-03-14T00:00:00"/>
    <s v="Kavya Nair"/>
    <s v="Female"/>
    <d v="1980-06-11T00:00:00"/>
    <s v="Pune"/>
    <x v="2"/>
    <x v="1"/>
    <s v="Laptop"/>
    <n v="8"/>
    <n v="55000"/>
    <n v="0"/>
    <n v="440000"/>
    <n v="4"/>
    <s v="Cash"/>
    <s v="Neha"/>
    <s v="KAvya.nair@company.com"/>
    <n v="9413789556"/>
    <s v="Completed"/>
  </r>
  <r>
    <s v="ORD10451"/>
    <s v="C001"/>
    <s v="P103"/>
    <x v="299"/>
    <d v="2026-04-28T00:00:00"/>
    <s v="Amit Sharma"/>
    <s v="Male"/>
    <d v="2000-06-10T00:00:00"/>
    <s v="Ahmedabad"/>
    <x v="2"/>
    <x v="1"/>
    <s v="Keyboard"/>
    <n v="4"/>
    <n v="1200"/>
    <n v="10"/>
    <n v="4320"/>
    <n v="4"/>
    <s v="UPI"/>
    <s v="Ritika"/>
    <s v="amit.sharma@company.com"/>
    <n v="98765"/>
    <s v="Cancelled"/>
  </r>
  <r>
    <s v="ORD10452"/>
    <s v="C001"/>
    <s v="P203"/>
    <x v="131"/>
    <d v="2026-05-13T00:00:00"/>
    <s v="Amit Sharma"/>
    <s v="Male"/>
    <d v="1998-04-21T00:00:00"/>
    <s v="Kolkata"/>
    <x v="3"/>
    <x v="0"/>
    <s v="Microwave"/>
    <n v="14"/>
    <n v="8500"/>
    <n v="10"/>
    <n v="107100"/>
    <n v="4"/>
    <s v="Cash"/>
    <s v="Ritika"/>
    <s v="amit.sharma@company.com"/>
    <n v="9211936331"/>
    <s v="Completed"/>
  </r>
  <r>
    <s v="ORD10453"/>
    <s v="C009"/>
    <s v="P303"/>
    <x v="109"/>
    <d v="2025-06-07T00:00:00"/>
    <s v="Mohit Verma"/>
    <s v="Male"/>
    <d v="1984-05-10T00:00:00"/>
    <s v="Hyderabad"/>
    <x v="0"/>
    <x v="2"/>
    <s v="Marker"/>
    <n v="1"/>
    <n v="45"/>
    <n v="0"/>
    <n v="45"/>
    <n v="3"/>
    <s v="UPI"/>
    <s v="Karan"/>
    <s v="mohit.verma@company.com"/>
    <n v="9167291747"/>
    <s v="Cancelled"/>
  </r>
  <r>
    <s v="ORD10454"/>
    <s v="C009"/>
    <s v="P101"/>
    <x v="300"/>
    <d v="2025-02-28T00:00:00"/>
    <s v="Mohit Verma"/>
    <s v="Male"/>
    <d v="1986-10-07T00:00:00"/>
    <s v="Delhi"/>
    <x v="1"/>
    <x v="1"/>
    <s v="Laptop"/>
    <n v="16"/>
    <n v="55000"/>
    <n v="15"/>
    <n v="748000"/>
    <n v="1"/>
    <s v="Card"/>
    <s v="Karan"/>
    <s v="mohit.verma@company.com"/>
    <n v="9637283597"/>
    <s v="Cancelled"/>
  </r>
  <r>
    <s v="ORD10455"/>
    <s v="C010"/>
    <s v="P102"/>
    <x v="301"/>
    <d v="2026-03-29T00:00:00"/>
    <s v="pooja shah"/>
    <s v="Female"/>
    <d v="2003-11-01T00:00:00"/>
    <s v="Ahmedabad"/>
    <x v="2"/>
    <x v="1"/>
    <s v="Mouse"/>
    <n v="8"/>
    <n v="700"/>
    <n v="0"/>
    <n v="5600"/>
    <n v="3"/>
    <s v="Cash"/>
    <s v="Rahul"/>
    <s v="pooja.shah@company.com"/>
    <n v="9514269002"/>
    <s v="Completed"/>
  </r>
  <r>
    <s v="ORD10456"/>
    <s v="C006"/>
    <s v="P103"/>
    <x v="302"/>
    <d v="2026-04-13T00:00:00"/>
    <s v="Sneha Joshi"/>
    <s v="Female"/>
    <d v="2003-06-10T00:00:00"/>
    <s v="Ahmedabad"/>
    <x v="2"/>
    <x v="1"/>
    <s v="Keyboard"/>
    <n v="3"/>
    <n v="1200"/>
    <n v="0"/>
    <n v="3600"/>
    <n v="1"/>
    <s v="Card"/>
    <s v="Rahul"/>
    <s v="sneha.joshi@company.com"/>
    <n v="9778908233"/>
    <s v="Cancelled"/>
  </r>
  <r>
    <s v="ORD10457"/>
    <s v="C009"/>
    <s v="P201"/>
    <x v="303"/>
    <d v="2025-02-26T00:00:00"/>
    <s v="Mohit Verma"/>
    <s v="Male"/>
    <d v="1990-03-27T00:00:00"/>
    <s v="Kolkata"/>
    <x v="3"/>
    <x v="0"/>
    <s v="Mixer"/>
    <n v="7"/>
    <n v="3500"/>
    <n v="15"/>
    <n v="20825"/>
    <n v="4"/>
    <s v="Card"/>
    <s v="Aisha"/>
    <s v="mohit.verma@company.com"/>
    <n v="9981118755"/>
    <s v="Pending"/>
  </r>
  <r>
    <s v="ORD10458"/>
    <s v="C010"/>
    <s v="P101"/>
    <x v="304"/>
    <d v="2026-04-04T00:00:00"/>
    <s v="pooja shah"/>
    <s v="Female"/>
    <d v="2003-05-28T00:00:00"/>
    <s v="Pune"/>
    <x v="2"/>
    <x v="1"/>
    <s v="Laptop"/>
    <n v="9"/>
    <n v="55000"/>
    <n v="15"/>
    <n v="420750"/>
    <n v="3"/>
    <s v="UPI"/>
    <s v="Ritika"/>
    <s v="pooja.shah@company.com"/>
    <n v="9887896743"/>
    <s v="Cancelled"/>
  </r>
  <r>
    <s v="ORD10459"/>
    <s v="C001"/>
    <s v="P104"/>
    <x v="18"/>
    <d v="2025-12-02T00:00:00"/>
    <s v="Amit Sharma"/>
    <s v="Male"/>
    <d v="1993-02-06T00:00:00"/>
    <s v="Bengaluru"/>
    <x v="0"/>
    <x v="1"/>
    <s v="Monitor"/>
    <n v="12"/>
    <n v="12000"/>
    <n v="0"/>
    <n v="144000"/>
    <n v="3"/>
    <s v="Card"/>
    <s v="Karan"/>
    <s v="amit.sharma@company.com"/>
    <n v="9585330043"/>
    <s v="Cancelled"/>
  </r>
  <r>
    <s v="ORD10460"/>
    <s v="C002"/>
    <s v="P301"/>
    <x v="305"/>
    <d v="2025-05-11T00:00:00"/>
    <s v="Priya Patel"/>
    <s v="Female"/>
    <d v="1975-09-02T00:00:00"/>
    <s v="Ahmedabad"/>
    <x v="2"/>
    <x v="2"/>
    <s v="Notebook"/>
    <n v="7"/>
    <n v="60"/>
    <n v="10"/>
    <n v="378"/>
    <n v="4"/>
    <s v="Cash"/>
    <s v="Rahul"/>
    <s v="priYa.patel@company.com"/>
    <n v="9423719975"/>
    <s v="Cancelled"/>
  </r>
  <r>
    <s v="ORD10461"/>
    <s v="C005"/>
    <s v="P202"/>
    <x v="306"/>
    <d v="2025-08-31T00:00:00"/>
    <s v="Vikas Mehta"/>
    <s v="Male"/>
    <d v="1994-09-09T00:00:00"/>
    <s v="Mumbai"/>
    <x v="2"/>
    <x v="0"/>
    <s v="Iron"/>
    <n v="17"/>
    <n v="2200"/>
    <n v="15"/>
    <n v="31790"/>
    <n v="3"/>
    <s v="UPI"/>
    <s v="Karan"/>
    <s v="vikas.mehta@company.com"/>
    <n v="9270746961"/>
    <s v="Pending"/>
  </r>
  <r>
    <s v="ORD10462"/>
    <s v="C001"/>
    <s v="P102"/>
    <x v="46"/>
    <d v="2025-12-06T00:00:00"/>
    <s v="Amit Sharma"/>
    <s v="Male"/>
    <d v="1992-10-07T00:00:00"/>
    <s v="Bengaluru"/>
    <x v="0"/>
    <x v="1"/>
    <s v="Mouse"/>
    <n v="17"/>
    <n v="700"/>
    <n v="10"/>
    <n v="10710"/>
    <n v="2"/>
    <s v="Cash"/>
    <s v="Aisha"/>
    <s v="amit.sharma@company.com"/>
    <n v="9333162025"/>
    <s v="Pending"/>
  </r>
  <r>
    <s v="ORD10463"/>
    <s v="C001"/>
    <s v="P101"/>
    <x v="307"/>
    <d v="2025-06-01T00:00:00"/>
    <s v="Amit Sharma"/>
    <s v="Male"/>
    <d v="2002-07-17T00:00:00"/>
    <s v="Delhi"/>
    <x v="1"/>
    <x v="1"/>
    <s v="Laptop"/>
    <n v="19"/>
    <n v="55000"/>
    <n v="20"/>
    <n v="836000"/>
    <n v="5"/>
    <s v="NetBanking"/>
    <s v="Aisha"/>
    <s v="amit.sharma@company.com"/>
    <n v="9247023285"/>
    <s v="Completed"/>
  </r>
  <r>
    <s v="ORD10464"/>
    <s v="C003"/>
    <s v="P301"/>
    <x v="308"/>
    <d v="2025-09-19T00:00:00"/>
    <s v="Rohit Singh"/>
    <s v="Male"/>
    <d v="2001-02-03T00:00:00"/>
    <s v="Delhi"/>
    <x v="1"/>
    <x v="2"/>
    <s v="Notebook"/>
    <n v="1"/>
    <n v="60"/>
    <n v="10"/>
    <n v="54"/>
    <n v="4"/>
    <s v="NetBanking"/>
    <m/>
    <s v="rohit.singh@company.com"/>
    <n v="9448658297"/>
    <s v="Cancelled"/>
  </r>
  <r>
    <s v="ORD10465"/>
    <s v="C009"/>
    <s v="P201"/>
    <x v="309"/>
    <d v="2026-03-11T00:00:00"/>
    <s v="Mohit Verma"/>
    <s v="Male"/>
    <d v="1990-06-23T00:00:00"/>
    <s v="Hyderabad"/>
    <x v="0"/>
    <x v="0"/>
    <s v="Mixer"/>
    <n v="16"/>
    <n v="3500"/>
    <n v="0"/>
    <n v="56000"/>
    <n v="4"/>
    <s v="NetBanking"/>
    <s v="Ritika"/>
    <s v="mohit.verma@company.com"/>
    <n v="9906748486"/>
    <s v="Pending"/>
  </r>
  <r>
    <s v="ORD10466"/>
    <s v="C003"/>
    <s v="P302"/>
    <x v="261"/>
    <d v="2025-02-05T00:00:00"/>
    <s v="Rohit Singh"/>
    <s v="Male"/>
    <d v="1978-05-13T00:00:00"/>
    <s v="Pune"/>
    <x v="2"/>
    <x v="2"/>
    <s v="Pen"/>
    <n v="14"/>
    <n v="20"/>
    <n v="10"/>
    <n v="252"/>
    <n v="1"/>
    <s v="NetBanking"/>
    <s v="Aisha"/>
    <s v="rohit.singh@company.com"/>
    <n v="9365182725"/>
    <s v="Pending"/>
  </r>
  <r>
    <s v="ORD10467"/>
    <s v="C009"/>
    <s v="P202"/>
    <x v="68"/>
    <d v="2025-12-14T00:00:00"/>
    <s v="Mohit Verma"/>
    <s v="Male"/>
    <d v="2000-07-22T00:00:00"/>
    <s v="Bengaluru"/>
    <x v="0"/>
    <x v="0"/>
    <s v="Iron"/>
    <n v="11"/>
    <n v="2200"/>
    <n v="15"/>
    <n v="20570"/>
    <n v="4"/>
    <s v="NetBanking"/>
    <s v="Rahul"/>
    <s v="mohit.verma@company.com"/>
    <n v="9937119494"/>
    <s v="Cancelled"/>
  </r>
  <r>
    <s v="ORD10468"/>
    <s v="C007"/>
    <s v="P101"/>
    <x v="310"/>
    <d v="2025-08-09T00:00:00"/>
    <s v="arjun Rao"/>
    <s v="Male"/>
    <d v="1985-03-20T00:00:00"/>
    <s v="Jaipur"/>
    <x v="1"/>
    <x v="1"/>
    <s v="Laptop"/>
    <n v="2"/>
    <n v="55000"/>
    <n v="0"/>
    <n v="110000"/>
    <n v="4"/>
    <s v="NetBanking"/>
    <s v="Rahul"/>
    <s v="arjun.rao@company.com"/>
    <n v="9828015293"/>
    <s v="Cancelled"/>
  </r>
  <r>
    <s v="ORD10469"/>
    <s v="C010"/>
    <s v="P202"/>
    <x v="76"/>
    <d v="2025-01-07T00:00:00"/>
    <s v="pooja shah"/>
    <s v="Female"/>
    <d v="1988-02-08T00:00:00"/>
    <s v="Pune"/>
    <x v="2"/>
    <x v="0"/>
    <s v="Iron"/>
    <n v="7"/>
    <n v="2200"/>
    <n v="5"/>
    <n v="14630"/>
    <n v="4"/>
    <s v="Card"/>
    <s v="Neha"/>
    <s v="pooja.shah@company.com"/>
    <n v="9864206250"/>
    <s v="Cancelled"/>
  </r>
  <r>
    <s v="ORD10470"/>
    <s v="C008"/>
    <s v="P303"/>
    <x v="311"/>
    <d v="2025-04-12T00:00:00"/>
    <s v="Kavya Nair"/>
    <s v="Female"/>
    <d v="1997-04-26T00:00:00"/>
    <s v="Ahmedabad"/>
    <x v="2"/>
    <x v="2"/>
    <s v="Marker"/>
    <n v="11"/>
    <n v="45"/>
    <n v="15"/>
    <n v="420.75"/>
    <n v="4"/>
    <s v="Card"/>
    <s v="Aisha"/>
    <s v="KAvya.nair@company.com"/>
    <n v="9519293104"/>
    <s v="Pending"/>
  </r>
  <r>
    <s v="ORD10471"/>
    <s v="C002"/>
    <s v="P301"/>
    <x v="181"/>
    <d v="2025-04-30T00:00:00"/>
    <s v="Priya Patel"/>
    <s v="Female"/>
    <d v="2001-05-22T00:00:00"/>
    <s v="Mumbai"/>
    <x v="2"/>
    <x v="2"/>
    <s v="Notebook"/>
    <n v="16"/>
    <n v="60"/>
    <n v="5"/>
    <n v="912"/>
    <n v="2"/>
    <s v="Cash"/>
    <s v="Neha"/>
    <s v="priYa.patel@company.com"/>
    <n v="9296075245"/>
    <s v="Cancelled"/>
  </r>
  <r>
    <s v="ORD10472"/>
    <s v="C001"/>
    <s v="P101"/>
    <x v="273"/>
    <d v="2025-11-04T00:00:00"/>
    <s v="Amit Sharma"/>
    <s v="Male"/>
    <d v="1982-06-19T00:00:00"/>
    <s v="Pune"/>
    <x v="2"/>
    <x v="1"/>
    <s v="Laptop"/>
    <n v="18"/>
    <n v="55000"/>
    <n v="0"/>
    <n v="990000"/>
    <n v="5"/>
    <s v="NetBanking"/>
    <s v="Rahul"/>
    <s v="amit.sharma@company.com"/>
    <n v="9316770206"/>
    <s v="Pending"/>
  </r>
  <r>
    <s v="ORD10473"/>
    <s v="C008"/>
    <s v="P103"/>
    <x v="312"/>
    <d v="2025-10-22T00:00:00"/>
    <s v="Kavya Nair"/>
    <s v="Female"/>
    <d v="1999-06-23T00:00:00"/>
    <s v="Bengaluru"/>
    <x v="0"/>
    <x v="1"/>
    <s v="Keyboard"/>
    <n v="17"/>
    <n v="1200"/>
    <n v="5"/>
    <n v="19380"/>
    <n v="1"/>
    <s v="NetBanking"/>
    <s v="Ritika"/>
    <s v="KAvya.nair@company.com"/>
    <n v="9706553861"/>
    <s v="Pending"/>
  </r>
  <r>
    <s v="ORD10474"/>
    <s v="C010"/>
    <s v="P101"/>
    <x v="1"/>
    <d v="2025-05-05T00:00:00"/>
    <s v="pooja shah"/>
    <s v="Female"/>
    <d v="2001-02-02T00:00:00"/>
    <s v="Pune"/>
    <x v="2"/>
    <x v="1"/>
    <s v="Laptop"/>
    <n v="11"/>
    <n v="55000"/>
    <n v="0"/>
    <n v="605000"/>
    <n v="2"/>
    <s v="Cash"/>
    <s v="Aisha"/>
    <s v="pooja.shah@company.com"/>
    <n v="9524904662"/>
    <s v="Pending"/>
  </r>
  <r>
    <s v="ORD10475"/>
    <s v="C006"/>
    <s v="P102"/>
    <x v="26"/>
    <d v="2025-05-31T00:00:00"/>
    <s v="Sneha Joshi"/>
    <s v="Female"/>
    <d v="1999-02-09T00:00:00"/>
    <s v="Delhi"/>
    <x v="1"/>
    <x v="1"/>
    <s v="Mouse"/>
    <n v="20"/>
    <n v="700"/>
    <n v="20"/>
    <n v="11200"/>
    <n v="5"/>
    <s v="NetBanking"/>
    <s v="Aisha"/>
    <s v="sneha.joshi@company.com"/>
    <n v="9577624596"/>
    <s v="Completed"/>
  </r>
  <r>
    <s v="ORD10476"/>
    <s v="C009"/>
    <s v="P302"/>
    <x v="313"/>
    <d v="2026-02-08T00:00:00"/>
    <s v="Mohit Verma"/>
    <s v="Male"/>
    <d v="1988-05-06T00:00:00"/>
    <s v="Delhi"/>
    <x v="1"/>
    <x v="2"/>
    <s v="Pen"/>
    <n v="5"/>
    <n v="20"/>
    <n v="5"/>
    <n v="95"/>
    <n v="4"/>
    <s v="Cash"/>
    <s v="Rahul"/>
    <s v="mohit.verma@company.com"/>
    <n v="9898452436"/>
    <s v="Cancelled"/>
  </r>
  <r>
    <s v="ORD10477"/>
    <s v="C001"/>
    <s v="P101"/>
    <x v="122"/>
    <d v="2025-02-11T00:00:00"/>
    <s v="Amit Sharma"/>
    <s v="Male"/>
    <d v="1975-02-12T00:00:00"/>
    <s v="Mumbai"/>
    <x v="2"/>
    <x v="1"/>
    <s v="Laptop"/>
    <n v="13"/>
    <n v="55000"/>
    <n v="5"/>
    <n v="679250"/>
    <n v="1"/>
    <s v="NetBanking"/>
    <s v="Rahul"/>
    <s v="amit.sharma@company.com"/>
    <n v="9960757012"/>
    <s v="Pending"/>
  </r>
  <r>
    <s v="ORD10478"/>
    <s v="C003"/>
    <s v="P101"/>
    <x v="22"/>
    <d v="2025-04-20T00:00:00"/>
    <s v="Rohit Singh"/>
    <s v="Male"/>
    <d v="2004-01-01T00:00:00"/>
    <s v="Kolkata"/>
    <x v="3"/>
    <x v="1"/>
    <s v="Laptop"/>
    <n v="12"/>
    <n v="55000"/>
    <n v="5"/>
    <n v="627000"/>
    <n v="1"/>
    <s v="NetBanking"/>
    <s v="Neha"/>
    <s v="rohit.singh@company.com"/>
    <n v="9331268182"/>
    <s v="Cancelled"/>
  </r>
  <r>
    <s v="ORD10479"/>
    <s v="C010"/>
    <s v="P303"/>
    <x v="314"/>
    <d v="2025-01-28T00:00:00"/>
    <s v="pooja shah"/>
    <s v="Female"/>
    <d v="2001-08-23T00:00:00"/>
    <s v="Mumbai"/>
    <x v="2"/>
    <x v="2"/>
    <s v="Marker"/>
    <n v="16"/>
    <n v="45"/>
    <n v="20"/>
    <n v="576"/>
    <n v="2"/>
    <s v="Cash"/>
    <s v="Rahul"/>
    <s v="pooja.shah@company.com"/>
    <n v="9135996862"/>
    <s v="Pending"/>
  </r>
  <r>
    <s v="ORD10480"/>
    <s v="C008"/>
    <s v="P103"/>
    <x v="0"/>
    <d v="2025-09-27T00:00:00"/>
    <s v="Kavya Nair"/>
    <s v="Female"/>
    <d v="1998-01-23T00:00:00"/>
    <s v="Bengaluru"/>
    <x v="0"/>
    <x v="1"/>
    <s v="Keyboard"/>
    <n v="5"/>
    <n v="1200"/>
    <n v="10"/>
    <n v="5400"/>
    <n v="1"/>
    <s v="Cash"/>
    <m/>
    <s v="KAvya.nair@company.com"/>
    <n v="9540813143"/>
    <s v="Completed"/>
  </r>
  <r>
    <s v="ORD10481"/>
    <s v="C004"/>
    <s v="P303"/>
    <x v="315"/>
    <d v="2025-10-20T00:00:00"/>
    <s v="Anita Gupta"/>
    <s v="Female"/>
    <d v="2004-05-28T00:00:00"/>
    <s v="Kolkata"/>
    <x v="3"/>
    <x v="2"/>
    <s v="Marker"/>
    <n v="2"/>
    <n v="45"/>
    <n v="10"/>
    <n v="81"/>
    <n v="4"/>
    <s v="UPI"/>
    <s v="Rahul"/>
    <s v="anita.gupta@company.com"/>
    <n v="9910913552"/>
    <s v="Pending"/>
  </r>
  <r>
    <s v="ORD10482"/>
    <s v="C003"/>
    <s v="P104"/>
    <x v="316"/>
    <d v="2026-01-18T00:00:00"/>
    <s v="Rohit Singh"/>
    <s v="Male"/>
    <d v="1985-03-06T00:00:00"/>
    <s v="Ahmedabad"/>
    <x v="2"/>
    <x v="1"/>
    <s v="Monitor"/>
    <n v="3"/>
    <n v="12000"/>
    <n v="0"/>
    <n v="36000"/>
    <n v="2"/>
    <s v="UPI"/>
    <s v="Karan"/>
    <s v="rohit.singh@company.com"/>
    <n v="9282751683"/>
    <s v="Pending"/>
  </r>
  <r>
    <s v="ORD10483"/>
    <s v="C008"/>
    <s v="P104"/>
    <x v="317"/>
    <d v="2025-02-01T00:00:00"/>
    <s v="Kavya Nair"/>
    <s v="Female"/>
    <d v="1986-09-06T00:00:00"/>
    <s v="Bengaluru"/>
    <x v="0"/>
    <x v="1"/>
    <s v="Monitor"/>
    <n v="3"/>
    <n v="12000"/>
    <n v="20"/>
    <n v="28800"/>
    <n v="3"/>
    <s v="UPI"/>
    <s v="Neha"/>
    <s v="KAvya.nair@company.com"/>
    <n v="9939332058"/>
    <s v="Completed"/>
  </r>
  <r>
    <s v="ORD10484"/>
    <s v="C003"/>
    <s v="P203"/>
    <x v="318"/>
    <d v="2026-04-08T00:00:00"/>
    <s v="Rohit Singh"/>
    <s v="Male"/>
    <d v="1981-08-21T00:00:00"/>
    <s v="Kolkata"/>
    <x v="3"/>
    <x v="0"/>
    <s v="Microwave"/>
    <n v="9"/>
    <n v="8500"/>
    <n v="15"/>
    <n v="65025"/>
    <n v="5"/>
    <s v="Cash"/>
    <s v="Rahul"/>
    <s v="rohit.singh@company.com"/>
    <n v="9780626473"/>
    <s v="Pending"/>
  </r>
  <r>
    <s v="ORD10485"/>
    <s v="C009"/>
    <s v="P102"/>
    <x v="319"/>
    <d v="2025-07-06T00:00:00"/>
    <s v="Mohit Verma"/>
    <s v="Male"/>
    <d v="1992-04-23T00:00:00"/>
    <s v="Kolkata"/>
    <x v="3"/>
    <x v="1"/>
    <s v="Mouse"/>
    <n v="17"/>
    <n v="700"/>
    <n v="0"/>
    <n v="11900"/>
    <n v="2"/>
    <s v="Cash"/>
    <s v="Aisha"/>
    <s v="mohit.verma@company.com"/>
    <n v="9347298020"/>
    <s v="Cancelled"/>
  </r>
  <r>
    <s v="ORD10486"/>
    <s v="C008"/>
    <s v="P102"/>
    <x v="199"/>
    <d v="2025-07-18T00:00:00"/>
    <s v="Kavya Nair"/>
    <s v="Female"/>
    <d v="1991-07-03T00:00:00"/>
    <s v="Hyderabad"/>
    <x v="0"/>
    <x v="1"/>
    <s v="Mouse"/>
    <n v="20"/>
    <n v="700"/>
    <n v="5"/>
    <n v="13300"/>
    <n v="2"/>
    <s v="UPI"/>
    <s v="Ritika"/>
    <s v="KAvya.nair@company.com"/>
    <n v="9345328522"/>
    <s v="Completed"/>
  </r>
  <r>
    <s v="ORD10487"/>
    <s v="C001"/>
    <s v="P103"/>
    <x v="84"/>
    <d v="2026-03-21T00:00:00"/>
    <s v="Amit Sharma"/>
    <s v="Male"/>
    <d v="1978-02-05T00:00:00"/>
    <s v="Ahmedabad"/>
    <x v="2"/>
    <x v="1"/>
    <s v="Keyboard"/>
    <n v="13"/>
    <n v="1200"/>
    <n v="20"/>
    <n v="12480"/>
    <n v="5"/>
    <s v="Card"/>
    <s v="Neha"/>
    <s v="amit.sharma@company.com"/>
    <n v="9160310438"/>
    <s v="Completed"/>
  </r>
  <r>
    <s v="ORD10488"/>
    <s v="C002"/>
    <s v="P101"/>
    <x v="320"/>
    <d v="2026-03-29T00:00:00"/>
    <s v="Priya Patel"/>
    <s v="Female"/>
    <d v="1999-07-18T00:00:00"/>
    <s v="Jaipur"/>
    <x v="1"/>
    <x v="1"/>
    <s v="Laptop"/>
    <n v="20"/>
    <n v="55000"/>
    <n v="10"/>
    <n v="990000"/>
    <n v="1"/>
    <s v="UPI"/>
    <s v="Ritika"/>
    <s v="priYa.patel@company.com"/>
    <n v="9343776153"/>
    <s v="Pending"/>
  </r>
  <r>
    <s v="ORD10489"/>
    <s v="C006"/>
    <s v="P103"/>
    <x v="80"/>
    <d v="2025-11-05T00:00:00"/>
    <s v="Sneha Joshi"/>
    <s v="Female"/>
    <d v="1988-04-03T00:00:00"/>
    <s v="Kolkata"/>
    <x v="3"/>
    <x v="1"/>
    <s v="Keyboard"/>
    <n v="8"/>
    <n v="1200"/>
    <n v="0"/>
    <n v="9600"/>
    <n v="2"/>
    <s v="NetBanking"/>
    <s v="Karan"/>
    <s v="sneha.joshi@company.com"/>
    <n v="9458599727"/>
    <s v="Completed"/>
  </r>
  <r>
    <s v="ORD10490"/>
    <s v="C010"/>
    <s v="P302"/>
    <x v="321"/>
    <d v="2026-05-09T00:00:00"/>
    <s v="pooja shah"/>
    <s v="Female"/>
    <d v="1978-11-11T00:00:00"/>
    <s v="Kolkata"/>
    <x v="3"/>
    <x v="2"/>
    <s v="Pen"/>
    <n v="18"/>
    <n v="20"/>
    <n v="10"/>
    <n v="324"/>
    <n v="5"/>
    <s v="Card"/>
    <m/>
    <s v="pooja.shah@company.com"/>
    <n v="9218660140"/>
    <s v="Pending"/>
  </r>
  <r>
    <s v="ORD10491"/>
    <s v="C004"/>
    <s v="P104"/>
    <x v="322"/>
    <d v="2025-03-07T00:00:00"/>
    <s v="Anita Gupta"/>
    <s v="Female"/>
    <d v="1994-04-02T00:00:00"/>
    <s v="Pune"/>
    <x v="2"/>
    <x v="1"/>
    <s v="Monitor"/>
    <n v="11"/>
    <n v="12000"/>
    <n v="10"/>
    <n v="118800"/>
    <n v="1"/>
    <s v="Card"/>
    <s v="Rahul"/>
    <s v="anita.gupta@company.com"/>
    <n v="9341979199"/>
    <s v="Cancelled"/>
  </r>
  <r>
    <s v="ORD10492"/>
    <s v="C001"/>
    <s v="P203"/>
    <x v="271"/>
    <d v="2025-01-17T00:00:00"/>
    <s v="Amit Sharma"/>
    <s v="Male"/>
    <d v="1993-05-09T00:00:00"/>
    <s v="Hyderabad"/>
    <x v="0"/>
    <x v="0"/>
    <s v="Microwave"/>
    <n v="2"/>
    <n v="8500"/>
    <n v="5"/>
    <n v="16150"/>
    <n v="1"/>
    <s v="Card"/>
    <s v="Aisha"/>
    <s v="amit.sharma@company.com"/>
    <n v="9823080381"/>
    <s v="Completed"/>
  </r>
  <r>
    <s v="ORD10493"/>
    <s v="C002"/>
    <s v="P202"/>
    <x v="42"/>
    <d v="2025-04-08T00:00:00"/>
    <s v="Priya Patel"/>
    <s v="Female"/>
    <d v="1994-07-11T00:00:00"/>
    <s v="Pune"/>
    <x v="2"/>
    <x v="0"/>
    <s v="Iron"/>
    <n v="7"/>
    <n v="2200"/>
    <n v="0"/>
    <n v="15400"/>
    <n v="5"/>
    <s v="NetBanking"/>
    <s v="Ritika"/>
    <s v="priYa.patel@company.com"/>
    <n v="9981183477"/>
    <s v="Pending"/>
  </r>
  <r>
    <s v="ORD10494"/>
    <s v="C007"/>
    <s v="P203"/>
    <x v="299"/>
    <d v="2026-05-02T00:00:00"/>
    <s v="arjun Rao"/>
    <s v="Male"/>
    <d v="1982-12-19T00:00:00"/>
    <s v="Delhi"/>
    <x v="1"/>
    <x v="0"/>
    <s v="Microwave"/>
    <n v="20"/>
    <n v="8500"/>
    <n v="0"/>
    <n v="170000"/>
    <n v="3"/>
    <s v="NetBanking"/>
    <s v="Rahul"/>
    <s v="arjun.rao@company.com"/>
    <n v="9281596011"/>
    <s v="Completed"/>
  </r>
  <r>
    <s v="ORD10495"/>
    <s v="C003"/>
    <s v="P103"/>
    <x v="179"/>
    <d v="2025-07-29T00:00:00"/>
    <s v="Rohit Singh"/>
    <s v="Male"/>
    <d v="2001-11-02T00:00:00"/>
    <s v="Hyderabad"/>
    <x v="0"/>
    <x v="1"/>
    <s v="Keyboard"/>
    <n v="11"/>
    <n v="1200"/>
    <n v="5"/>
    <n v="12540"/>
    <n v="2"/>
    <s v="Cash"/>
    <s v="Ritika"/>
    <s v="rohit.singh@company.com"/>
    <n v="9211734022"/>
    <s v="Pending"/>
  </r>
  <r>
    <s v="ORD10496"/>
    <s v="C007"/>
    <s v="P102"/>
    <x v="323"/>
    <d v="2025-08-01T00:00:00"/>
    <s v="arjun Rao"/>
    <s v="Male"/>
    <d v="2001-10-18T00:00:00"/>
    <s v="Ahmedabad"/>
    <x v="2"/>
    <x v="1"/>
    <s v="Mouse"/>
    <n v="14"/>
    <n v="700"/>
    <n v="0"/>
    <n v="9800"/>
    <n v="2"/>
    <s v="Card"/>
    <s v="Karan"/>
    <s v="arjun.rao@company.com"/>
    <n v="9447151666"/>
    <s v="Cancelled"/>
  </r>
  <r>
    <s v="ORD10497"/>
    <s v="C009"/>
    <s v="P103"/>
    <x v="324"/>
    <d v="2025-11-01T00:00:00"/>
    <s v="Mohit Verma"/>
    <s v="Male"/>
    <d v="2000-12-21T00:00:00"/>
    <s v="Pune"/>
    <x v="2"/>
    <x v="1"/>
    <s v="Keyboard"/>
    <n v="16"/>
    <n v="1200"/>
    <n v="15"/>
    <n v="16320"/>
    <n v="4"/>
    <s v="Cash"/>
    <s v="Karan"/>
    <s v="mohit.verma@company.com"/>
    <n v="9345342793"/>
    <s v="Pending"/>
  </r>
  <r>
    <s v="ORD10498"/>
    <s v="C004"/>
    <s v="P202"/>
    <x v="72"/>
    <d v="2026-03-29T00:00:00"/>
    <s v="Anita Gupta"/>
    <s v="Female"/>
    <d v="1983-02-20T00:00:00"/>
    <s v="Jaipur"/>
    <x v="1"/>
    <x v="0"/>
    <s v="Iron"/>
    <n v="20"/>
    <n v="2200"/>
    <n v="0"/>
    <n v="44000"/>
    <n v="5"/>
    <s v="Cash"/>
    <s v="Ritika"/>
    <s v="anita.gupta@company.com"/>
    <n v="9329668173"/>
    <s v="Cancelled"/>
  </r>
  <r>
    <s v="ORD10499"/>
    <s v="C007"/>
    <s v="P104"/>
    <x v="322"/>
    <d v="2025-03-07T00:00:00"/>
    <s v="arjun Rao"/>
    <s v="Male"/>
    <d v="1988-06-13T00:00:00"/>
    <s v="Jaipur"/>
    <x v="1"/>
    <x v="1"/>
    <s v="Monitor"/>
    <n v="12"/>
    <n v="12000"/>
    <n v="15"/>
    <n v="122400"/>
    <n v="5"/>
    <s v="Cash"/>
    <s v="Karan"/>
    <s v="arjun.rao@company.com"/>
    <n v="9294740227"/>
    <s v="Completed"/>
  </r>
  <r>
    <s v="ORD10500"/>
    <s v="C005"/>
    <s v="P103"/>
    <x v="96"/>
    <d v="2025-12-20T00:00:00"/>
    <s v="Vikas Mehta"/>
    <s v="Male"/>
    <d v="1992-07-22T00:00:00"/>
    <s v="Delhi"/>
    <x v="1"/>
    <x v="1"/>
    <s v="Keyboard"/>
    <n v="3"/>
    <n v="1200"/>
    <n v="20"/>
    <n v="2880"/>
    <n v="2"/>
    <s v="NetBanking"/>
    <s v="Neha"/>
    <s v="vikas.mehtacompany.com"/>
    <n v="9549426303"/>
    <s v="Pending"/>
  </r>
  <r>
    <m/>
    <s v="C002"/>
    <s v="P101"/>
    <x v="125"/>
    <d v="2025-07-05T00:00:00"/>
    <s v="Priya Patel"/>
    <s v="Female"/>
    <d v="1979-08-12T00:00:00"/>
    <s v="Mumbai"/>
    <x v="2"/>
    <x v="1"/>
    <s v="Laptop,Mouse"/>
    <n v="6"/>
    <n v="55000"/>
    <n v="20"/>
    <n v="264000"/>
    <n v="3"/>
    <s v="Cash"/>
    <s v="Karan"/>
    <s v="priYa.patel@company.com"/>
    <n v="9374249303"/>
    <s v="Completed"/>
  </r>
  <r>
    <m/>
    <s v="C002"/>
    <s v="P201"/>
    <x v="325"/>
    <d v="2025-09-23T00:00:00"/>
    <s v="Priya Patel"/>
    <s v="Female"/>
    <d v="1976-11-24T00:00:00"/>
    <s v="Bengaluru"/>
    <x v="0"/>
    <x v="0"/>
    <s v="Mixer"/>
    <n v="20"/>
    <n v="3500"/>
    <n v="0"/>
    <n v="70000"/>
    <n v="1"/>
    <s v="NetBanking"/>
    <s v="Karan"/>
    <s v="priYa.patel@company.com"/>
    <n v="9810334941"/>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8F7189-B304-402C-8144-2463DAAA2CE5}" name="PivotTable6" cacheId="59"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chartFormat="22">
  <location ref="T28:U31" firstHeaderRow="1" firstDataRow="1" firstDataCol="1"/>
  <pivotFields count="25">
    <pivotField showAll="0"/>
    <pivotField showAll="0"/>
    <pivotField showAll="0"/>
    <pivotField axis="axisRow" showAll="0">
      <items count="327">
        <item x="76"/>
        <item x="21"/>
        <item x="202"/>
        <item x="12"/>
        <item x="283"/>
        <item x="97"/>
        <item x="271"/>
        <item x="121"/>
        <item x="221"/>
        <item x="314"/>
        <item x="123"/>
        <item x="261"/>
        <item x="266"/>
        <item x="317"/>
        <item x="277"/>
        <item x="269"/>
        <item x="272"/>
        <item x="258"/>
        <item x="257"/>
        <item x="122"/>
        <item x="144"/>
        <item x="149"/>
        <item x="189"/>
        <item x="60"/>
        <item x="252"/>
        <item x="220"/>
        <item x="37"/>
        <item x="158"/>
        <item x="300"/>
        <item x="303"/>
        <item x="180"/>
        <item x="161"/>
        <item x="52"/>
        <item x="289"/>
        <item x="322"/>
        <item x="6"/>
        <item x="99"/>
        <item x="100"/>
        <item x="234"/>
        <item x="172"/>
        <item x="59"/>
        <item x="227"/>
        <item x="298"/>
        <item x="56"/>
        <item x="164"/>
        <item x="32"/>
        <item x="11"/>
        <item x="13"/>
        <item x="218"/>
        <item x="134"/>
        <item x="145"/>
        <item x="87"/>
        <item x="98"/>
        <item x="78"/>
        <item x="291"/>
        <item x="195"/>
        <item x="9"/>
        <item x="140"/>
        <item x="217"/>
        <item x="48"/>
        <item x="207"/>
        <item x="42"/>
        <item x="222"/>
        <item x="106"/>
        <item x="241"/>
        <item x="65"/>
        <item x="311"/>
        <item x="103"/>
        <item x="81"/>
        <item x="124"/>
        <item x="89"/>
        <item x="7"/>
        <item x="203"/>
        <item x="290"/>
        <item x="22"/>
        <item x="181"/>
        <item x="95"/>
        <item x="154"/>
        <item x="213"/>
        <item x="43"/>
        <item x="20"/>
        <item x="1"/>
        <item x="159"/>
        <item x="256"/>
        <item x="295"/>
        <item x="201"/>
        <item x="305"/>
        <item x="231"/>
        <item x="93"/>
        <item x="112"/>
        <item x="211"/>
        <item x="274"/>
        <item x="264"/>
        <item x="152"/>
        <item x="224"/>
        <item x="175"/>
        <item x="206"/>
        <item x="183"/>
        <item x="26"/>
        <item x="162"/>
        <item x="193"/>
        <item x="150"/>
        <item x="268"/>
        <item x="307"/>
        <item x="109"/>
        <item x="108"/>
        <item x="169"/>
        <item x="235"/>
        <item x="40"/>
        <item x="182"/>
        <item x="119"/>
        <item x="73"/>
        <item x="185"/>
        <item x="259"/>
        <item x="153"/>
        <item x="55"/>
        <item x="30"/>
        <item x="139"/>
        <item x="267"/>
        <item x="294"/>
        <item x="205"/>
        <item x="25"/>
        <item x="19"/>
        <item x="319"/>
        <item x="71"/>
        <item x="296"/>
        <item x="31"/>
        <item x="276"/>
        <item x="125"/>
        <item x="141"/>
        <item x="130"/>
        <item x="199"/>
        <item x="188"/>
        <item x="101"/>
        <item x="133"/>
        <item x="251"/>
        <item x="137"/>
        <item x="179"/>
        <item x="136"/>
        <item x="135"/>
        <item x="225"/>
        <item x="120"/>
        <item x="14"/>
        <item x="51"/>
        <item x="244"/>
        <item x="323"/>
        <item x="250"/>
        <item x="310"/>
        <item x="270"/>
        <item x="115"/>
        <item x="247"/>
        <item x="204"/>
        <item x="53"/>
        <item x="86"/>
        <item x="57"/>
        <item x="50"/>
        <item x="85"/>
        <item x="306"/>
        <item x="107"/>
        <item x="49"/>
        <item x="240"/>
        <item x="286"/>
        <item x="228"/>
        <item x="67"/>
        <item x="62"/>
        <item x="2"/>
        <item x="88"/>
        <item x="212"/>
        <item x="28"/>
        <item x="308"/>
        <item x="83"/>
        <item x="325"/>
        <item x="210"/>
        <item x="0"/>
        <item x="10"/>
        <item x="167"/>
        <item x="215"/>
        <item x="4"/>
        <item x="263"/>
        <item x="262"/>
        <item x="151"/>
        <item x="38"/>
        <item x="229"/>
        <item x="33"/>
        <item x="127"/>
        <item x="45"/>
        <item x="287"/>
        <item x="44"/>
        <item x="245"/>
        <item x="312"/>
        <item x="315"/>
        <item x="111"/>
        <item x="324"/>
        <item x="292"/>
        <item x="105"/>
        <item x="143"/>
        <item x="238"/>
        <item x="79"/>
        <item x="80"/>
        <item x="260"/>
        <item x="273"/>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5"/>
        <item x="194"/>
        <item x="282"/>
        <item x="293"/>
        <item x="113"/>
        <item x="110"/>
        <item x="5"/>
        <item x="243"/>
        <item x="163"/>
        <item x="191"/>
        <item x="61"/>
        <item x="29"/>
        <item x="316"/>
        <item x="284"/>
        <item x="288"/>
        <item x="186"/>
        <item x="166"/>
        <item x="91"/>
        <item x="177"/>
        <item x="209"/>
        <item x="255"/>
        <item x="184"/>
        <item x="70"/>
        <item x="190"/>
        <item x="313"/>
        <item x="173"/>
        <item x="8"/>
        <item x="69"/>
        <item x="41"/>
        <item x="63"/>
        <item x="39"/>
        <item x="279"/>
        <item x="297"/>
        <item x="219"/>
        <item x="147"/>
        <item x="117"/>
        <item x="208"/>
        <item x="265"/>
        <item x="187"/>
        <item x="214"/>
        <item x="16"/>
        <item x="233"/>
        <item x="223"/>
        <item x="17"/>
        <item x="309"/>
        <item x="239"/>
        <item x="171"/>
        <item x="128"/>
        <item x="36"/>
        <item x="84"/>
        <item x="27"/>
        <item x="92"/>
        <item x="285"/>
        <item x="82"/>
        <item x="72"/>
        <item x="3"/>
        <item x="301"/>
        <item x="320"/>
        <item x="54"/>
        <item x="176"/>
        <item x="280"/>
        <item x="304"/>
        <item x="142"/>
        <item x="302"/>
        <item x="104"/>
        <item x="118"/>
        <item x="165"/>
        <item x="318"/>
        <item x="15"/>
        <item x="24"/>
        <item x="253"/>
        <item x="160"/>
        <item x="248"/>
        <item x="281"/>
        <item x="47"/>
        <item x="114"/>
        <item x="170"/>
        <item x="226"/>
        <item x="299"/>
        <item x="77"/>
        <item x="230"/>
        <item x="116"/>
        <item x="174"/>
        <item x="178"/>
        <item x="131"/>
        <item x="90"/>
        <item x="321"/>
        <item x="94"/>
        <item x="216"/>
        <item x="198"/>
        <item x="254"/>
        <item x="278"/>
        <item x="156"/>
        <item x="58"/>
        <item x="192"/>
        <item t="default"/>
      </items>
    </pivotField>
    <pivotField showAll="0"/>
    <pivotField showAll="0"/>
    <pivotField showAll="0"/>
    <pivotField numFmtId="14"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24"/>
    <field x="23"/>
    <field x="22"/>
    <field x="3"/>
  </rowFields>
  <rowItems count="3">
    <i>
      <x v="1"/>
    </i>
    <i>
      <x v="2"/>
    </i>
    <i t="grand">
      <x/>
    </i>
  </rowItems>
  <colItems count="1">
    <i/>
  </colItems>
  <dataFields count="1">
    <dataField name="Sum of Sales" fld="15" baseField="0" baseItem="0"/>
  </dataFields>
  <chartFormats count="5">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Dark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F416FD-26F6-45ED-9C7E-1EACD39C3F2A}" name="PivotTable1" cacheId="59" applyNumberFormats="0" applyBorderFormats="0" applyFontFormats="0" applyPatternFormats="0" applyAlignmentFormats="0" applyWidthHeightFormats="1" dataCaption="Values" updatedVersion="8" minRefreshableVersion="5" showDrill="0" useAutoFormatting="1" itemPrintTitles="1" createdVersion="8" indent="0" showHeaders="0" outline="1" outlineData="1" chartFormat="10">
  <location ref="T14:U19" firstHeaderRow="1" firstDataRow="1" firstDataCol="1"/>
  <pivotFields count="25">
    <pivotField showAll="0"/>
    <pivotField showAll="0"/>
    <pivotField showAll="0"/>
    <pivotField showAll="0">
      <items count="327">
        <item x="76"/>
        <item x="21"/>
        <item x="202"/>
        <item x="12"/>
        <item x="283"/>
        <item x="97"/>
        <item x="271"/>
        <item x="121"/>
        <item x="221"/>
        <item x="314"/>
        <item x="123"/>
        <item x="261"/>
        <item x="266"/>
        <item x="317"/>
        <item x="277"/>
        <item x="269"/>
        <item x="272"/>
        <item x="258"/>
        <item x="257"/>
        <item x="122"/>
        <item x="144"/>
        <item x="149"/>
        <item x="189"/>
        <item x="60"/>
        <item x="252"/>
        <item x="220"/>
        <item x="37"/>
        <item x="158"/>
        <item x="300"/>
        <item x="303"/>
        <item x="180"/>
        <item x="161"/>
        <item x="52"/>
        <item x="289"/>
        <item x="322"/>
        <item x="6"/>
        <item x="99"/>
        <item x="100"/>
        <item x="234"/>
        <item x="172"/>
        <item x="59"/>
        <item x="227"/>
        <item x="298"/>
        <item x="56"/>
        <item x="164"/>
        <item x="32"/>
        <item x="11"/>
        <item x="13"/>
        <item x="218"/>
        <item x="134"/>
        <item x="145"/>
        <item x="87"/>
        <item x="98"/>
        <item x="78"/>
        <item x="291"/>
        <item x="195"/>
        <item x="9"/>
        <item x="140"/>
        <item x="217"/>
        <item x="48"/>
        <item x="207"/>
        <item x="42"/>
        <item x="222"/>
        <item x="106"/>
        <item x="241"/>
        <item x="65"/>
        <item x="311"/>
        <item x="103"/>
        <item x="81"/>
        <item x="124"/>
        <item x="89"/>
        <item x="7"/>
        <item x="203"/>
        <item x="290"/>
        <item x="22"/>
        <item x="181"/>
        <item x="95"/>
        <item x="154"/>
        <item x="213"/>
        <item x="43"/>
        <item x="20"/>
        <item x="1"/>
        <item x="159"/>
        <item x="256"/>
        <item x="295"/>
        <item x="201"/>
        <item x="305"/>
        <item x="231"/>
        <item x="93"/>
        <item x="112"/>
        <item x="211"/>
        <item x="274"/>
        <item x="264"/>
        <item x="152"/>
        <item x="224"/>
        <item x="175"/>
        <item x="206"/>
        <item x="183"/>
        <item x="26"/>
        <item x="162"/>
        <item x="193"/>
        <item x="150"/>
        <item x="268"/>
        <item x="307"/>
        <item x="109"/>
        <item x="108"/>
        <item x="169"/>
        <item x="235"/>
        <item x="40"/>
        <item x="182"/>
        <item x="119"/>
        <item x="73"/>
        <item x="185"/>
        <item x="259"/>
        <item x="153"/>
        <item x="55"/>
        <item x="30"/>
        <item x="139"/>
        <item x="267"/>
        <item x="294"/>
        <item x="205"/>
        <item x="25"/>
        <item x="19"/>
        <item x="319"/>
        <item x="71"/>
        <item x="296"/>
        <item x="31"/>
        <item x="276"/>
        <item x="125"/>
        <item x="141"/>
        <item x="130"/>
        <item x="199"/>
        <item x="188"/>
        <item x="101"/>
        <item x="133"/>
        <item x="251"/>
        <item x="137"/>
        <item x="179"/>
        <item x="136"/>
        <item x="135"/>
        <item x="225"/>
        <item x="120"/>
        <item x="14"/>
        <item x="51"/>
        <item x="244"/>
        <item x="323"/>
        <item x="250"/>
        <item x="310"/>
        <item x="270"/>
        <item x="115"/>
        <item x="247"/>
        <item x="204"/>
        <item x="53"/>
        <item x="86"/>
        <item x="57"/>
        <item x="50"/>
        <item x="85"/>
        <item x="306"/>
        <item x="107"/>
        <item x="49"/>
        <item x="240"/>
        <item x="286"/>
        <item x="228"/>
        <item x="67"/>
        <item x="62"/>
        <item x="2"/>
        <item x="88"/>
        <item x="212"/>
        <item x="28"/>
        <item x="308"/>
        <item x="83"/>
        <item x="325"/>
        <item x="210"/>
        <item x="0"/>
        <item x="10"/>
        <item x="167"/>
        <item x="215"/>
        <item x="4"/>
        <item x="263"/>
        <item x="262"/>
        <item x="151"/>
        <item x="38"/>
        <item x="229"/>
        <item x="33"/>
        <item x="127"/>
        <item x="45"/>
        <item x="287"/>
        <item x="44"/>
        <item x="245"/>
        <item x="312"/>
        <item x="315"/>
        <item x="111"/>
        <item x="324"/>
        <item x="292"/>
        <item x="105"/>
        <item x="143"/>
        <item x="238"/>
        <item x="79"/>
        <item x="80"/>
        <item x="260"/>
        <item x="273"/>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5"/>
        <item x="194"/>
        <item x="282"/>
        <item x="293"/>
        <item x="113"/>
        <item x="110"/>
        <item x="5"/>
        <item x="243"/>
        <item x="163"/>
        <item x="191"/>
        <item x="61"/>
        <item x="29"/>
        <item x="316"/>
        <item x="284"/>
        <item x="288"/>
        <item x="186"/>
        <item x="166"/>
        <item x="91"/>
        <item x="177"/>
        <item x="209"/>
        <item x="255"/>
        <item x="184"/>
        <item x="70"/>
        <item x="190"/>
        <item x="313"/>
        <item x="173"/>
        <item x="8"/>
        <item x="69"/>
        <item x="41"/>
        <item x="63"/>
        <item x="39"/>
        <item x="279"/>
        <item x="297"/>
        <item x="219"/>
        <item x="147"/>
        <item x="117"/>
        <item x="208"/>
        <item x="265"/>
        <item x="187"/>
        <item x="214"/>
        <item x="16"/>
        <item x="233"/>
        <item x="223"/>
        <item x="17"/>
        <item x="309"/>
        <item x="239"/>
        <item x="171"/>
        <item x="128"/>
        <item x="36"/>
        <item x="84"/>
        <item x="27"/>
        <item x="92"/>
        <item x="285"/>
        <item x="82"/>
        <item x="72"/>
        <item x="3"/>
        <item x="301"/>
        <item x="320"/>
        <item x="54"/>
        <item x="176"/>
        <item x="280"/>
        <item x="304"/>
        <item x="142"/>
        <item x="302"/>
        <item x="104"/>
        <item x="118"/>
        <item x="165"/>
        <item x="318"/>
        <item x="15"/>
        <item x="24"/>
        <item x="253"/>
        <item x="160"/>
        <item x="248"/>
        <item x="281"/>
        <item x="47"/>
        <item x="114"/>
        <item x="170"/>
        <item x="226"/>
        <item x="299"/>
        <item x="77"/>
        <item x="230"/>
        <item x="116"/>
        <item x="174"/>
        <item x="178"/>
        <item x="131"/>
        <item x="90"/>
        <item x="321"/>
        <item x="94"/>
        <item x="216"/>
        <item x="198"/>
        <item x="254"/>
        <item x="278"/>
        <item x="156"/>
        <item x="58"/>
        <item x="192"/>
        <item t="default"/>
      </items>
    </pivotField>
    <pivotField showAll="0"/>
    <pivotField showAll="0"/>
    <pivotField showAll="0"/>
    <pivotField numFmtId="14" showAll="0"/>
    <pivotField showAll="0"/>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2"/>
    </i>
    <i>
      <x v="1"/>
    </i>
    <i>
      <x v="3"/>
    </i>
    <i t="grand">
      <x/>
    </i>
  </rowItems>
  <colItems count="1">
    <i/>
  </colItems>
  <dataFields count="1">
    <dataField name="Sum of Sales" fld="15"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832ED9-E2BF-4812-A8A3-8A42F4B05BAF}" name="PivotTable2" cacheId="59"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chartFormat="17">
  <location ref="T21:U26" firstHeaderRow="1" firstDataRow="1" firstDataCol="1"/>
  <pivotFields count="25">
    <pivotField showAll="0"/>
    <pivotField showAll="0"/>
    <pivotField showAll="0"/>
    <pivotField showAll="0">
      <items count="327">
        <item x="76"/>
        <item x="21"/>
        <item x="202"/>
        <item x="12"/>
        <item x="283"/>
        <item x="97"/>
        <item x="271"/>
        <item x="121"/>
        <item x="221"/>
        <item x="314"/>
        <item x="123"/>
        <item x="261"/>
        <item x="266"/>
        <item x="317"/>
        <item x="277"/>
        <item x="269"/>
        <item x="272"/>
        <item x="258"/>
        <item x="257"/>
        <item x="122"/>
        <item x="144"/>
        <item x="149"/>
        <item x="189"/>
        <item x="60"/>
        <item x="252"/>
        <item x="220"/>
        <item x="37"/>
        <item x="158"/>
        <item x="300"/>
        <item x="303"/>
        <item x="180"/>
        <item x="161"/>
        <item x="52"/>
        <item x="289"/>
        <item x="322"/>
        <item x="6"/>
        <item x="99"/>
        <item x="100"/>
        <item x="234"/>
        <item x="172"/>
        <item x="59"/>
        <item x="227"/>
        <item x="298"/>
        <item x="56"/>
        <item x="164"/>
        <item x="32"/>
        <item x="11"/>
        <item x="13"/>
        <item x="218"/>
        <item x="134"/>
        <item x="145"/>
        <item x="87"/>
        <item x="98"/>
        <item x="78"/>
        <item x="291"/>
        <item x="195"/>
        <item x="9"/>
        <item x="140"/>
        <item x="217"/>
        <item x="48"/>
        <item x="207"/>
        <item x="42"/>
        <item x="222"/>
        <item x="106"/>
        <item x="241"/>
        <item x="65"/>
        <item x="311"/>
        <item x="103"/>
        <item x="81"/>
        <item x="124"/>
        <item x="89"/>
        <item x="7"/>
        <item x="203"/>
        <item x="290"/>
        <item x="22"/>
        <item x="181"/>
        <item x="95"/>
        <item x="154"/>
        <item x="213"/>
        <item x="43"/>
        <item x="20"/>
        <item x="1"/>
        <item x="159"/>
        <item x="256"/>
        <item x="295"/>
        <item x="201"/>
        <item x="305"/>
        <item x="231"/>
        <item x="93"/>
        <item x="112"/>
        <item x="211"/>
        <item x="274"/>
        <item x="264"/>
        <item x="152"/>
        <item x="224"/>
        <item x="175"/>
        <item x="206"/>
        <item x="183"/>
        <item x="26"/>
        <item x="162"/>
        <item x="193"/>
        <item x="150"/>
        <item x="268"/>
        <item x="307"/>
        <item x="109"/>
        <item x="108"/>
        <item x="169"/>
        <item x="235"/>
        <item x="40"/>
        <item x="182"/>
        <item x="119"/>
        <item x="73"/>
        <item x="185"/>
        <item x="259"/>
        <item x="153"/>
        <item x="55"/>
        <item x="30"/>
        <item x="139"/>
        <item x="267"/>
        <item x="294"/>
        <item x="205"/>
        <item x="25"/>
        <item x="19"/>
        <item x="319"/>
        <item x="71"/>
        <item x="296"/>
        <item x="31"/>
        <item x="276"/>
        <item x="125"/>
        <item x="141"/>
        <item x="130"/>
        <item x="199"/>
        <item x="188"/>
        <item x="101"/>
        <item x="133"/>
        <item x="251"/>
        <item x="137"/>
        <item x="179"/>
        <item x="136"/>
        <item x="135"/>
        <item x="225"/>
        <item x="120"/>
        <item x="14"/>
        <item x="51"/>
        <item x="244"/>
        <item x="323"/>
        <item x="250"/>
        <item x="310"/>
        <item x="270"/>
        <item x="115"/>
        <item x="247"/>
        <item x="204"/>
        <item x="53"/>
        <item x="86"/>
        <item x="57"/>
        <item x="50"/>
        <item x="85"/>
        <item x="306"/>
        <item x="107"/>
        <item x="49"/>
        <item x="240"/>
        <item x="286"/>
        <item x="228"/>
        <item x="67"/>
        <item x="62"/>
        <item x="2"/>
        <item x="88"/>
        <item x="212"/>
        <item x="28"/>
        <item x="308"/>
        <item x="83"/>
        <item x="325"/>
        <item x="210"/>
        <item x="0"/>
        <item x="10"/>
        <item x="167"/>
        <item x="215"/>
        <item x="4"/>
        <item x="263"/>
        <item x="262"/>
        <item x="151"/>
        <item x="38"/>
        <item x="229"/>
        <item x="33"/>
        <item x="127"/>
        <item x="45"/>
        <item x="287"/>
        <item x="44"/>
        <item x="245"/>
        <item x="312"/>
        <item x="315"/>
        <item x="111"/>
        <item x="324"/>
        <item x="292"/>
        <item x="105"/>
        <item x="143"/>
        <item x="238"/>
        <item x="79"/>
        <item x="80"/>
        <item x="260"/>
        <item x="273"/>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5"/>
        <item x="194"/>
        <item x="282"/>
        <item x="293"/>
        <item x="113"/>
        <item x="110"/>
        <item x="5"/>
        <item x="243"/>
        <item x="163"/>
        <item x="191"/>
        <item x="61"/>
        <item x="29"/>
        <item x="316"/>
        <item x="284"/>
        <item x="288"/>
        <item x="186"/>
        <item x="166"/>
        <item x="91"/>
        <item x="177"/>
        <item x="209"/>
        <item x="255"/>
        <item x="184"/>
        <item x="70"/>
        <item x="190"/>
        <item x="313"/>
        <item x="173"/>
        <item x="8"/>
        <item x="69"/>
        <item x="41"/>
        <item x="63"/>
        <item x="39"/>
        <item x="279"/>
        <item x="297"/>
        <item x="219"/>
        <item x="147"/>
        <item x="117"/>
        <item x="208"/>
        <item x="265"/>
        <item x="187"/>
        <item x="214"/>
        <item x="16"/>
        <item x="233"/>
        <item x="223"/>
        <item x="17"/>
        <item x="309"/>
        <item x="239"/>
        <item x="171"/>
        <item x="128"/>
        <item x="36"/>
        <item x="84"/>
        <item x="27"/>
        <item x="92"/>
        <item x="285"/>
        <item x="82"/>
        <item x="72"/>
        <item x="3"/>
        <item x="301"/>
        <item x="320"/>
        <item x="54"/>
        <item x="176"/>
        <item x="280"/>
        <item x="304"/>
        <item x="142"/>
        <item x="302"/>
        <item x="104"/>
        <item x="118"/>
        <item x="165"/>
        <item x="318"/>
        <item x="15"/>
        <item x="24"/>
        <item x="253"/>
        <item x="160"/>
        <item x="248"/>
        <item x="281"/>
        <item x="47"/>
        <item x="114"/>
        <item x="170"/>
        <item x="226"/>
        <item x="299"/>
        <item x="77"/>
        <item x="230"/>
        <item x="116"/>
        <item x="174"/>
        <item x="178"/>
        <item x="131"/>
        <item x="90"/>
        <item x="321"/>
        <item x="94"/>
        <item x="216"/>
        <item x="198"/>
        <item x="254"/>
        <item x="278"/>
        <item x="156"/>
        <item x="58"/>
        <item x="192"/>
        <item t="default"/>
      </items>
    </pivotField>
    <pivotField showAll="0"/>
    <pivotField showAll="0"/>
    <pivotField showAll="0"/>
    <pivotField numFmtId="14" showAll="0"/>
    <pivotField showAll="0"/>
    <pivotField showAll="0" sortType="ascending">
      <autoSortScope>
        <pivotArea dataOnly="0" outline="0" fieldPosition="0">
          <references count="1">
            <reference field="4294967294" count="1" selected="0">
              <x v="0"/>
            </reference>
          </references>
        </pivotArea>
      </autoSortScope>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v="3"/>
    </i>
    <i>
      <x v="2"/>
    </i>
    <i>
      <x v="1"/>
    </i>
    <i>
      <x/>
    </i>
    <i t="grand">
      <x/>
    </i>
  </rowItems>
  <colItems count="1">
    <i/>
  </colItems>
  <dataFields count="1">
    <dataField name="Sum of Sales" fld="15" baseField="0" baseItem="0"/>
  </dataFields>
  <chartFormats count="7">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0" count="1" selected="0">
            <x v="3"/>
          </reference>
        </references>
      </pivotArea>
    </chartFormat>
    <chartFormat chart="12" format="2">
      <pivotArea type="data" outline="0" fieldPosition="0">
        <references count="2">
          <reference field="4294967294" count="1" selected="0">
            <x v="0"/>
          </reference>
          <reference field="10" count="1" selected="0">
            <x v="2"/>
          </reference>
        </references>
      </pivotArea>
    </chartFormat>
    <chartFormat chart="12" format="3">
      <pivotArea type="data" outline="0" fieldPosition="0">
        <references count="2">
          <reference field="4294967294" count="1" selected="0">
            <x v="0"/>
          </reference>
          <reference field="10" count="1" selected="0">
            <x v="1"/>
          </reference>
        </references>
      </pivotArea>
    </chartFormat>
    <chartFormat chart="12" format="4">
      <pivotArea type="data" outline="0" fieldPosition="0">
        <references count="2">
          <reference field="4294967294" count="1" selected="0">
            <x v="0"/>
          </reference>
          <reference field="10" count="1" selected="0">
            <x v="0"/>
          </reference>
        </references>
      </pivotArea>
    </chartFormat>
  </chartFormats>
  <pivotTableStyleInfo name="PivotStyleDark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F183A2-C42D-4057-872E-1E4CCF111D8C}" name="PivotTable5" cacheId="59" applyNumberFormats="0" applyBorderFormats="0" applyFontFormats="0" applyPatternFormats="0" applyAlignmentFormats="0" applyWidthHeightFormats="1" dataCaption="Values" updatedVersion="8" minRefreshableVersion="3" showDrill="0" itemPrintTitles="1" createdVersion="8" indent="0" showHeaders="0" outline="1" outlineData="1" chartFormat="17">
  <location ref="AA12:AC29" firstHeaderRow="1" firstDataRow="1" firstDataCol="0"/>
  <pivotFields count="25">
    <pivotField showAll="0"/>
    <pivotField showAll="0"/>
    <pivotField showAll="0"/>
    <pivotField multipleItemSelectionAllowed="1" showAll="0">
      <items count="327">
        <item x="76"/>
        <item x="21"/>
        <item x="202"/>
        <item x="12"/>
        <item x="283"/>
        <item x="97"/>
        <item x="271"/>
        <item x="121"/>
        <item x="221"/>
        <item x="314"/>
        <item x="123"/>
        <item x="261"/>
        <item x="266"/>
        <item x="317"/>
        <item x="277"/>
        <item x="269"/>
        <item x="272"/>
        <item x="258"/>
        <item x="257"/>
        <item x="122"/>
        <item x="144"/>
        <item x="149"/>
        <item x="189"/>
        <item x="60"/>
        <item x="252"/>
        <item x="220"/>
        <item x="37"/>
        <item x="158"/>
        <item x="300"/>
        <item x="303"/>
        <item x="180"/>
        <item x="161"/>
        <item x="52"/>
        <item x="289"/>
        <item x="322"/>
        <item x="6"/>
        <item x="99"/>
        <item x="100"/>
        <item x="234"/>
        <item x="172"/>
        <item x="59"/>
        <item x="227"/>
        <item x="298"/>
        <item x="56"/>
        <item x="164"/>
        <item x="32"/>
        <item x="11"/>
        <item x="13"/>
        <item x="218"/>
        <item x="134"/>
        <item x="145"/>
        <item x="87"/>
        <item x="98"/>
        <item x="78"/>
        <item x="291"/>
        <item x="195"/>
        <item x="9"/>
        <item x="140"/>
        <item x="217"/>
        <item x="48"/>
        <item x="207"/>
        <item x="42"/>
        <item x="222"/>
        <item x="106"/>
        <item x="241"/>
        <item x="65"/>
        <item x="311"/>
        <item x="103"/>
        <item x="81"/>
        <item x="124"/>
        <item x="89"/>
        <item x="7"/>
        <item x="203"/>
        <item x="290"/>
        <item x="22"/>
        <item x="181"/>
        <item x="95"/>
        <item x="154"/>
        <item x="213"/>
        <item x="43"/>
        <item x="20"/>
        <item x="1"/>
        <item x="159"/>
        <item x="256"/>
        <item x="295"/>
        <item x="201"/>
        <item x="305"/>
        <item x="231"/>
        <item x="93"/>
        <item x="112"/>
        <item x="211"/>
        <item x="274"/>
        <item x="264"/>
        <item x="152"/>
        <item x="224"/>
        <item x="175"/>
        <item x="206"/>
        <item x="183"/>
        <item x="26"/>
        <item x="162"/>
        <item x="193"/>
        <item x="150"/>
        <item x="268"/>
        <item x="307"/>
        <item x="109"/>
        <item x="108"/>
        <item x="169"/>
        <item x="235"/>
        <item x="40"/>
        <item x="182"/>
        <item x="119"/>
        <item x="73"/>
        <item x="185"/>
        <item x="259"/>
        <item x="153"/>
        <item x="55"/>
        <item x="30"/>
        <item x="139"/>
        <item x="267"/>
        <item x="294"/>
        <item x="205"/>
        <item x="25"/>
        <item x="19"/>
        <item x="319"/>
        <item x="71"/>
        <item x="296"/>
        <item x="31"/>
        <item x="276"/>
        <item x="125"/>
        <item x="141"/>
        <item x="130"/>
        <item x="199"/>
        <item x="188"/>
        <item x="101"/>
        <item x="133"/>
        <item x="251"/>
        <item x="137"/>
        <item x="179"/>
        <item x="136"/>
        <item x="135"/>
        <item x="225"/>
        <item x="120"/>
        <item x="14"/>
        <item x="51"/>
        <item x="244"/>
        <item x="323"/>
        <item x="250"/>
        <item x="310"/>
        <item x="270"/>
        <item x="115"/>
        <item x="247"/>
        <item x="204"/>
        <item x="53"/>
        <item x="86"/>
        <item x="57"/>
        <item x="50"/>
        <item x="85"/>
        <item x="306"/>
        <item x="107"/>
        <item x="49"/>
        <item x="240"/>
        <item x="286"/>
        <item x="228"/>
        <item x="67"/>
        <item x="62"/>
        <item x="2"/>
        <item x="88"/>
        <item x="212"/>
        <item x="28"/>
        <item x="308"/>
        <item x="83"/>
        <item x="325"/>
        <item x="210"/>
        <item x="0"/>
        <item x="10"/>
        <item x="167"/>
        <item x="215"/>
        <item x="4"/>
        <item x="263"/>
        <item x="262"/>
        <item x="151"/>
        <item x="38"/>
        <item x="229"/>
        <item x="33"/>
        <item x="127"/>
        <item x="45"/>
        <item x="287"/>
        <item x="44"/>
        <item x="245"/>
        <item x="312"/>
        <item x="315"/>
        <item x="111"/>
        <item x="324"/>
        <item x="292"/>
        <item x="105"/>
        <item x="143"/>
        <item x="238"/>
        <item x="79"/>
        <item x="80"/>
        <item x="260"/>
        <item x="273"/>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5"/>
        <item x="194"/>
        <item x="282"/>
        <item x="293"/>
        <item x="113"/>
        <item x="110"/>
        <item x="5"/>
        <item x="243"/>
        <item x="163"/>
        <item x="191"/>
        <item x="61"/>
        <item x="29"/>
        <item x="316"/>
        <item x="284"/>
        <item x="288"/>
        <item x="186"/>
        <item x="166"/>
        <item x="91"/>
        <item x="177"/>
        <item x="209"/>
        <item x="255"/>
        <item x="184"/>
        <item x="70"/>
        <item x="190"/>
        <item x="313"/>
        <item x="173"/>
        <item x="8"/>
        <item x="69"/>
        <item x="41"/>
        <item x="63"/>
        <item x="39"/>
        <item x="279"/>
        <item x="297"/>
        <item x="219"/>
        <item x="147"/>
        <item x="117"/>
        <item x="208"/>
        <item x="265"/>
        <item x="187"/>
        <item x="214"/>
        <item x="16"/>
        <item x="233"/>
        <item x="223"/>
        <item x="17"/>
        <item x="309"/>
        <item x="239"/>
        <item x="171"/>
        <item x="128"/>
        <item x="36"/>
        <item x="84"/>
        <item x="27"/>
        <item x="92"/>
        <item x="285"/>
        <item x="82"/>
        <item x="72"/>
        <item x="3"/>
        <item x="301"/>
        <item x="320"/>
        <item x="54"/>
        <item x="176"/>
        <item x="280"/>
        <item x="304"/>
        <item x="142"/>
        <item x="302"/>
        <item x="104"/>
        <item x="118"/>
        <item x="165"/>
        <item x="318"/>
        <item x="15"/>
        <item x="24"/>
        <item x="253"/>
        <item x="160"/>
        <item x="248"/>
        <item x="281"/>
        <item x="47"/>
        <item x="114"/>
        <item x="170"/>
        <item x="226"/>
        <item x="299"/>
        <item x="77"/>
        <item x="230"/>
        <item x="116"/>
        <item x="174"/>
        <item x="178"/>
        <item x="131"/>
        <item x="90"/>
        <item x="321"/>
        <item x="94"/>
        <item x="216"/>
        <item x="198"/>
        <item x="254"/>
        <item x="278"/>
        <item x="156"/>
        <item x="58"/>
        <item x="192"/>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C2F287-F5D0-4D2E-8767-17F9BA5B0B41}" sourceName="Region">
  <extLst>
    <x:ext xmlns:x15="http://schemas.microsoft.com/office/spreadsheetml/2010/11/main" uri="{2F2917AC-EB37-4324-AD4E-5DD8C200BD13}">
      <x15:tableSlicerCache tableId="2"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C3E9A2-75FE-4E80-9C25-FFDC73FDAD61}" sourceName="Category">
  <extLst>
    <x:ext xmlns:x15="http://schemas.microsoft.com/office/spreadsheetml/2010/11/main" uri="{2F2917AC-EB37-4324-AD4E-5DD8C200BD13}">
      <x15:tableSlicerCache tableId="2"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AB8007-3904-4342-8A49-FB78B50B15D9}" cache="Slicer_Region" caption="Region" style="SlicerStyleDark6" rowHeight="251883"/>
  <slicer name="Category" xr10:uid="{F151318A-7E79-4AD7-A3B6-A0A2F8B832E8}" cache="Slicer_Category" caption="Category"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5159B6-AB43-4AFC-B5A9-B8D66EDBA613}" name="Table1" displayName="Table1" ref="A1:F11" totalsRowShown="0" headerRowDxfId="13" dataDxfId="11" headerRowBorderDxfId="12" tableBorderDxfId="10" totalsRowBorderDxfId="9">
  <autoFilter ref="A1:F11" xr:uid="{C55159B6-AB43-4AFC-B5A9-B8D66EDBA613}"/>
  <tableColumns count="6">
    <tableColumn id="1" xr3:uid="{F8A1B1B2-7253-48F7-96DD-A202CAF44F29}" name="Product_ID" dataDxfId="8"/>
    <tableColumn id="2" xr3:uid="{F5543B02-F095-49BE-A605-60E786F91FA1}" name="Product_Name" dataDxfId="7"/>
    <tableColumn id="3" xr3:uid="{114A33EE-B8D1-4DBA-87CA-93301CD40E07}" name="Category" dataDxfId="6"/>
    <tableColumn id="4" xr3:uid="{10B794D3-0528-4857-B0FA-11BA2D738391}" name="Supplier" dataDxfId="5"/>
    <tableColumn id="5" xr3:uid="{25BC4EB2-603C-4D93-819D-09063397EF91}" name="Cost_Price" dataDxfId="4"/>
    <tableColumn id="6" xr3:uid="{1AEF2194-3589-46F4-BD68-7F5D98F538A1}" name="Warranty_Months"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EA8C72-7A29-432F-AFE6-696CDD69B416}" name="Table2" displayName="Table2" ref="B34:W534" totalsRowShown="0" headerRowDxfId="36" dataDxfId="34" headerRowBorderDxfId="35" tableBorderDxfId="33">
  <autoFilter ref="B34:W534" xr:uid="{F7EA8C72-7A29-432F-AFE6-696CDD69B416}"/>
  <tableColumns count="22">
    <tableColumn id="1" xr3:uid="{A44DA355-3645-4F47-9D65-11A28B3A585E}" name="Order_ID"/>
    <tableColumn id="2" xr3:uid="{81DEED36-7F38-4DD3-BB17-0B901FDBFC07}" name="Customer_ID" dataDxfId="32"/>
    <tableColumn id="3" xr3:uid="{5B23738D-12EC-4BBE-BF46-A2A7394AA756}" name="Product_ID" dataDxfId="2"/>
    <tableColumn id="4" xr3:uid="{412D5764-A78C-43FB-983D-821DAAC55AB7}" name="Order_Date" dataDxfId="1"/>
    <tableColumn id="5" xr3:uid="{67B41F36-E988-42B4-A25A-8F0898633796}" name="Delivery_Date" dataDxfId="31"/>
    <tableColumn id="6" xr3:uid="{E164320A-CF9B-4863-B651-A59372BFE94D}" name="Customer_Name" dataDxfId="30"/>
    <tableColumn id="7" xr3:uid="{237E11B4-6127-4004-9FD4-58DFD78A3D95}" name="Gender" dataDxfId="29"/>
    <tableColumn id="8" xr3:uid="{4A9B73BD-B53E-45F6-B575-ED5C925135CD}" name="DOB" dataDxfId="28"/>
    <tableColumn id="9" xr3:uid="{CEFFA3A6-14E9-4B49-A556-3ACCD817DDDE}" name="City" dataDxfId="27"/>
    <tableColumn id="10" xr3:uid="{A5728CA1-5D1D-492A-87F9-87CBA77F250B}" name="Region" dataDxfId="26"/>
    <tableColumn id="11" xr3:uid="{AB4F2219-FBD5-4C3F-AA82-8A7116B4B52B}" name="Category" dataDxfId="25"/>
    <tableColumn id="12" xr3:uid="{3ED0CCA8-1C1D-4467-8691-E9428A927107}" name="Product_Name" dataDxfId="24"/>
    <tableColumn id="13" xr3:uid="{F4307769-4236-4872-8313-7FB2B210F0A1}" name="Quantity" dataDxfId="23"/>
    <tableColumn id="14" xr3:uid="{5E6852B2-9410-4314-B356-344CF57176FB}" name="Unit_Price" dataDxfId="22"/>
    <tableColumn id="15" xr3:uid="{3E07A80E-01E4-4889-90E1-DA4E67EDB656}" name="Discount_%" dataDxfId="21"/>
    <tableColumn id="16" xr3:uid="{5804CB97-AAB1-44C9-BDF4-E329A087AAB2}" name="Sales" dataDxfId="20"/>
    <tableColumn id="17" xr3:uid="{192B8F7E-E80A-421E-BB5F-06220CE078DC}" name="Rating" dataDxfId="19"/>
    <tableColumn id="18" xr3:uid="{EA733646-4B0D-4F40-B4F6-9FB30A2D41A0}" name="Payment_Mode" dataDxfId="18"/>
    <tableColumn id="19" xr3:uid="{9065043B-1B85-47F7-8718-720D152E4040}" name="Salesperson" dataDxfId="17"/>
    <tableColumn id="20" xr3:uid="{70917085-1BAB-4E11-9BFE-FECC22436D48}" name="Email" dataDxfId="16"/>
    <tableColumn id="21" xr3:uid="{C1267DAD-F3BE-4803-A4DD-4FCE3AA96004}" name="Phone" dataDxfId="15"/>
    <tableColumn id="22" xr3:uid="{725841C6-1435-450D-93FE-8F59E6F35522}" name="Order_Status"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40386EA-D412-45CA-9BCA-44B47BD76668}" sourceName="Order_Date">
  <pivotTables>
    <pivotTable tabId="14" name="PivotTable1"/>
  </pivotTables>
  <state minimalRefreshVersion="6" lastRefreshVersion="6" pivotCacheId="896136374"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8790714-E62A-42E7-A7D0-D2F0C92FE895}" cache="NativeTimeline_Order_Date" caption="Order_Date" level="2" selectionLevel="2" scrollPosition="2026-05-19T00:00:00" style="TimeSlicerStyleLight3"/>
</timelines>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PRiya.patel@company.com" TargetMode="External"/><Relationship Id="rId13" Type="http://schemas.openxmlformats.org/officeDocument/2006/relationships/hyperlink" Target="mailto:Anita.gupta@company.com" TargetMode="External"/><Relationship Id="rId18" Type="http://schemas.openxmlformats.org/officeDocument/2006/relationships/hyperlink" Target="mailto:pOOja.shah@company.com" TargetMode="Externa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hyperlink" Target="mailto:priYa.patel@company.com" TargetMode="External"/><Relationship Id="rId12" Type="http://schemas.openxmlformats.org/officeDocument/2006/relationships/hyperlink" Target="mailto:Vikas.mehta@company.com" TargetMode="External"/><Relationship Id="rId17" Type="http://schemas.openxmlformats.org/officeDocument/2006/relationships/hyperlink" Target="mailto:kavya.Nair@company.com" TargetMode="External"/><Relationship Id="rId2" Type="http://schemas.openxmlformats.org/officeDocument/2006/relationships/pivotTable" Target="../pivotTables/pivotTable2.xml"/><Relationship Id="rId16" Type="http://schemas.openxmlformats.org/officeDocument/2006/relationships/hyperlink" Target="mailto:rohit.sinGh@company.com" TargetMode="External"/><Relationship Id="rId20"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hyperlink" Target="mailto:kavya.nair@company.com" TargetMode="External"/><Relationship Id="rId11" Type="http://schemas.openxmlformats.org/officeDocument/2006/relationships/hyperlink" Target="mailto:arjun.Rao@company.com" TargetMode="External"/><Relationship Id="rId5" Type="http://schemas.openxmlformats.org/officeDocument/2006/relationships/hyperlink" Target="mailto:KAvya.nair@company.com" TargetMode="External"/><Relationship Id="rId15" Type="http://schemas.openxmlformats.org/officeDocument/2006/relationships/hyperlink" Target="mailto:amit.SHarma@company.com" TargetMode="External"/><Relationship Id="rId10" Type="http://schemas.openxmlformats.org/officeDocument/2006/relationships/hyperlink" Target="mailto:kavya.nair@company.com" TargetMode="Externa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hyperlink" Target="mailto:rOhit.singh@company.com" TargetMode="External"/><Relationship Id="rId14" Type="http://schemas.openxmlformats.org/officeDocument/2006/relationships/hyperlink" Target="mailto:Pooja.shah@company.com" TargetMode="External"/><Relationship Id="rId22"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A069-C166-4179-A5DB-B6C2061A604C}">
  <dimension ref="A1:Z501"/>
  <sheetViews>
    <sheetView workbookViewId="0">
      <selection sqref="A1:V501"/>
    </sheetView>
  </sheetViews>
  <sheetFormatPr defaultRowHeight="14.5" x14ac:dyDescent="0.35"/>
  <cols>
    <col min="1" max="1" width="9.54296875" bestFit="1" customWidth="1"/>
    <col min="2" max="2" width="11.6328125" bestFit="1" customWidth="1"/>
    <col min="3" max="3" width="10" bestFit="1" customWidth="1"/>
    <col min="4" max="4" width="10.1796875" bestFit="1" customWidth="1"/>
    <col min="5" max="5" width="12.36328125" bestFit="1" customWidth="1"/>
    <col min="6" max="6" width="14.81640625" bestFit="1" customWidth="1"/>
    <col min="7" max="7" width="6.90625" bestFit="1" customWidth="1"/>
    <col min="8" max="8" width="10.08984375" bestFit="1" customWidth="1"/>
    <col min="9" max="9" width="10.453125" bestFit="1" customWidth="1"/>
    <col min="10" max="10" width="6.54296875" bestFit="1" customWidth="1"/>
    <col min="11" max="11" width="15" bestFit="1" customWidth="1"/>
    <col min="12" max="12" width="13.1796875" bestFit="1" customWidth="1"/>
    <col min="13" max="13" width="8" bestFit="1" customWidth="1"/>
    <col min="14" max="14" width="9.453125" bestFit="1" customWidth="1"/>
    <col min="15" max="15" width="10.7265625" bestFit="1" customWidth="1"/>
    <col min="16" max="16" width="7.81640625" bestFit="1" customWidth="1"/>
    <col min="17" max="17" width="6.1796875" bestFit="1" customWidth="1"/>
    <col min="18" max="18" width="13.6328125" bestFit="1" customWidth="1"/>
    <col min="19" max="19" width="11.08984375" bestFit="1" customWidth="1"/>
    <col min="20" max="20" width="24.81640625" bestFit="1" customWidth="1"/>
    <col min="21" max="21" width="10.81640625" bestFit="1" customWidth="1"/>
    <col min="22" max="22" width="11.6328125" bestFit="1" customWidth="1"/>
  </cols>
  <sheetData>
    <row r="1" spans="1:26"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3"/>
      <c r="X1" s="3"/>
      <c r="Y1" s="3"/>
      <c r="Z1" s="3"/>
    </row>
    <row r="2" spans="1:26" ht="15.5" thickTop="1" thickBot="1" x14ac:dyDescent="0.4">
      <c r="A2" s="4" t="s">
        <v>22</v>
      </c>
      <c r="B2" s="4" t="s">
        <v>23</v>
      </c>
      <c r="C2" s="4" t="s">
        <v>24</v>
      </c>
      <c r="D2" s="5">
        <v>45918</v>
      </c>
      <c r="E2" s="5">
        <v>45922</v>
      </c>
      <c r="F2" s="4" t="s">
        <v>25</v>
      </c>
      <c r="G2" s="4" t="s">
        <v>26</v>
      </c>
      <c r="H2" s="5">
        <v>27973</v>
      </c>
      <c r="I2" s="4" t="s">
        <v>27</v>
      </c>
      <c r="J2" s="4" t="s">
        <v>28</v>
      </c>
      <c r="K2" s="4" t="s">
        <v>29</v>
      </c>
      <c r="L2" s="4" t="s">
        <v>30</v>
      </c>
      <c r="M2" s="6">
        <v>4</v>
      </c>
      <c r="N2" s="6">
        <v>2200</v>
      </c>
      <c r="O2" s="6">
        <v>10</v>
      </c>
      <c r="P2" s="6">
        <v>7920</v>
      </c>
      <c r="Q2" s="6">
        <v>4</v>
      </c>
      <c r="R2" s="4" t="s">
        <v>31</v>
      </c>
      <c r="S2" s="4" t="s">
        <v>32</v>
      </c>
      <c r="T2" s="7" t="s">
        <v>33</v>
      </c>
      <c r="U2" s="4">
        <v>9431429797</v>
      </c>
      <c r="V2" s="8" t="s">
        <v>34</v>
      </c>
      <c r="W2" s="3"/>
      <c r="X2" s="3"/>
      <c r="Y2" s="3"/>
      <c r="Z2" s="3"/>
    </row>
    <row r="3" spans="1:26" ht="15.5" thickTop="1" thickBot="1" x14ac:dyDescent="0.4">
      <c r="A3" s="9" t="s">
        <v>35</v>
      </c>
      <c r="B3" s="9" t="s">
        <v>23</v>
      </c>
      <c r="C3" s="9" t="s">
        <v>36</v>
      </c>
      <c r="D3" s="10">
        <v>45774</v>
      </c>
      <c r="E3" s="10">
        <v>45781</v>
      </c>
      <c r="F3" s="9" t="s">
        <v>25</v>
      </c>
      <c r="G3" s="9" t="s">
        <v>26</v>
      </c>
      <c r="H3" s="10">
        <v>36815</v>
      </c>
      <c r="I3" s="9" t="s">
        <v>37</v>
      </c>
      <c r="J3" s="9" t="s">
        <v>38</v>
      </c>
      <c r="K3" s="9" t="s">
        <v>39</v>
      </c>
      <c r="L3" s="9" t="s">
        <v>40</v>
      </c>
      <c r="M3" s="11">
        <v>17</v>
      </c>
      <c r="N3" s="11">
        <v>12000</v>
      </c>
      <c r="O3" s="11">
        <v>10</v>
      </c>
      <c r="P3" s="11">
        <v>183600</v>
      </c>
      <c r="Q3" s="11">
        <v>1</v>
      </c>
      <c r="R3" s="9" t="s">
        <v>41</v>
      </c>
      <c r="S3" s="9" t="s">
        <v>42</v>
      </c>
      <c r="T3" s="9" t="s">
        <v>43</v>
      </c>
      <c r="U3" s="9">
        <v>9129865339</v>
      </c>
      <c r="V3" s="12" t="s">
        <v>34</v>
      </c>
      <c r="W3" s="3"/>
      <c r="X3" s="3"/>
      <c r="Y3" s="3"/>
      <c r="Z3" s="3"/>
    </row>
    <row r="4" spans="1:26" ht="15" thickBot="1" x14ac:dyDescent="0.4">
      <c r="A4" s="4" t="s">
        <v>44</v>
      </c>
      <c r="B4" s="4" t="s">
        <v>45</v>
      </c>
      <c r="C4" s="4" t="s">
        <v>46</v>
      </c>
      <c r="D4" s="5">
        <v>45903</v>
      </c>
      <c r="E4" s="5">
        <v>45914</v>
      </c>
      <c r="F4" s="4" t="s">
        <v>47</v>
      </c>
      <c r="G4" s="4" t="s">
        <v>26</v>
      </c>
      <c r="H4" s="5">
        <v>34593</v>
      </c>
      <c r="I4" s="4" t="s">
        <v>48</v>
      </c>
      <c r="J4" s="4" t="s">
        <v>28</v>
      </c>
      <c r="K4" s="4" t="s">
        <v>39</v>
      </c>
      <c r="L4" s="4" t="s">
        <v>49</v>
      </c>
      <c r="M4" s="6">
        <v>5</v>
      </c>
      <c r="N4" s="6">
        <v>55000</v>
      </c>
      <c r="O4" s="6">
        <v>5</v>
      </c>
      <c r="P4" s="6">
        <v>261250</v>
      </c>
      <c r="Q4" s="6">
        <v>3</v>
      </c>
      <c r="R4" s="4" t="s">
        <v>41</v>
      </c>
      <c r="S4" s="4" t="s">
        <v>50</v>
      </c>
      <c r="T4" s="4" t="s">
        <v>51</v>
      </c>
      <c r="U4" s="4">
        <v>9380975626</v>
      </c>
      <c r="V4" s="4" t="s">
        <v>52</v>
      </c>
      <c r="W4" s="3"/>
      <c r="X4" s="3"/>
      <c r="Y4" s="3"/>
      <c r="Z4" s="3"/>
    </row>
    <row r="5" spans="1:26" ht="15" thickBot="1" x14ac:dyDescent="0.4">
      <c r="A5" s="9" t="s">
        <v>35</v>
      </c>
      <c r="B5" s="9" t="s">
        <v>23</v>
      </c>
      <c r="C5" s="9" t="s">
        <v>24</v>
      </c>
      <c r="D5" s="10">
        <v>46102</v>
      </c>
      <c r="E5" s="10">
        <v>46114</v>
      </c>
      <c r="F5" s="9" t="s">
        <v>25</v>
      </c>
      <c r="G5" s="9" t="s">
        <v>26</v>
      </c>
      <c r="H5" s="10">
        <v>38053</v>
      </c>
      <c r="I5" s="9" t="s">
        <v>48</v>
      </c>
      <c r="J5" s="9" t="s">
        <v>28</v>
      </c>
      <c r="K5" s="9" t="s">
        <v>29</v>
      </c>
      <c r="L5" s="9" t="s">
        <v>30</v>
      </c>
      <c r="M5" s="11">
        <v>5</v>
      </c>
      <c r="N5" s="11">
        <v>2200</v>
      </c>
      <c r="O5" s="11">
        <v>5</v>
      </c>
      <c r="P5" s="11">
        <v>10450</v>
      </c>
      <c r="Q5" s="11">
        <v>5</v>
      </c>
      <c r="R5" s="9" t="s">
        <v>41</v>
      </c>
      <c r="S5" s="9" t="s">
        <v>50</v>
      </c>
      <c r="T5" s="13" t="s">
        <v>43</v>
      </c>
      <c r="U5" s="9">
        <v>9600261125</v>
      </c>
      <c r="V5" s="9" t="s">
        <v>53</v>
      </c>
      <c r="W5" s="3"/>
      <c r="X5" s="3"/>
      <c r="Y5" s="3"/>
      <c r="Z5" s="3"/>
    </row>
    <row r="6" spans="1:26" ht="15" thickBot="1" x14ac:dyDescent="0.4">
      <c r="A6" s="4" t="s">
        <v>54</v>
      </c>
      <c r="B6" s="4" t="s">
        <v>55</v>
      </c>
      <c r="C6" s="4" t="s">
        <v>56</v>
      </c>
      <c r="D6" s="5">
        <v>45927</v>
      </c>
      <c r="E6" s="5">
        <v>45937</v>
      </c>
      <c r="F6" s="4" t="s">
        <v>57</v>
      </c>
      <c r="G6" s="4" t="s">
        <v>58</v>
      </c>
      <c r="H6" s="5">
        <v>27863</v>
      </c>
      <c r="I6" s="4" t="s">
        <v>37</v>
      </c>
      <c r="J6" s="4" t="s">
        <v>38</v>
      </c>
      <c r="K6" s="4" t="s">
        <v>39</v>
      </c>
      <c r="L6" s="4" t="s">
        <v>59</v>
      </c>
      <c r="M6" s="6">
        <v>8</v>
      </c>
      <c r="N6" s="6">
        <v>1200</v>
      </c>
      <c r="O6" s="6">
        <v>5</v>
      </c>
      <c r="P6" s="6">
        <v>9120</v>
      </c>
      <c r="Q6" s="6">
        <v>2</v>
      </c>
      <c r="R6" s="4" t="s">
        <v>60</v>
      </c>
      <c r="S6" s="4" t="s">
        <v>50</v>
      </c>
      <c r="T6" s="4" t="s">
        <v>61</v>
      </c>
      <c r="U6" s="4">
        <v>9724635978</v>
      </c>
      <c r="V6" s="4" t="s">
        <v>52</v>
      </c>
      <c r="W6" s="3"/>
      <c r="X6" s="3"/>
      <c r="Y6" s="3"/>
      <c r="Z6" s="3"/>
    </row>
    <row r="7" spans="1:26" ht="15.5" thickTop="1" thickBot="1" x14ac:dyDescent="0.4">
      <c r="A7" s="9" t="s">
        <v>62</v>
      </c>
      <c r="B7" s="9" t="s">
        <v>63</v>
      </c>
      <c r="C7" s="9" t="s">
        <v>24</v>
      </c>
      <c r="D7" s="10">
        <v>46026</v>
      </c>
      <c r="E7" s="10">
        <v>46034</v>
      </c>
      <c r="F7" s="9" t="s">
        <v>64</v>
      </c>
      <c r="G7" s="9" t="s">
        <v>58</v>
      </c>
      <c r="H7" s="10">
        <v>32180</v>
      </c>
      <c r="I7" s="9" t="s">
        <v>27</v>
      </c>
      <c r="J7" s="9" t="s">
        <v>28</v>
      </c>
      <c r="K7" s="9" t="s">
        <v>29</v>
      </c>
      <c r="L7" s="9" t="s">
        <v>30</v>
      </c>
      <c r="M7" s="11">
        <v>4</v>
      </c>
      <c r="N7" s="11">
        <v>2200</v>
      </c>
      <c r="O7" s="11">
        <v>0</v>
      </c>
      <c r="P7" s="11">
        <v>8800</v>
      </c>
      <c r="Q7" s="11">
        <v>1</v>
      </c>
      <c r="R7" s="9" t="s">
        <v>65</v>
      </c>
      <c r="S7" s="9" t="s">
        <v>32</v>
      </c>
      <c r="T7" s="9" t="s">
        <v>66</v>
      </c>
      <c r="U7" s="9">
        <v>9780584905</v>
      </c>
      <c r="V7" s="12" t="s">
        <v>34</v>
      </c>
      <c r="W7" s="3"/>
      <c r="X7" s="3"/>
      <c r="Y7" s="3"/>
      <c r="Z7" s="3"/>
    </row>
    <row r="8" spans="1:26" ht="15.5" thickTop="1" thickBot="1" x14ac:dyDescent="0.4">
      <c r="A8" s="4" t="s">
        <v>67</v>
      </c>
      <c r="B8" s="4" t="s">
        <v>23</v>
      </c>
      <c r="C8" s="4" t="s">
        <v>68</v>
      </c>
      <c r="D8" s="4" t="s">
        <v>69</v>
      </c>
      <c r="E8" s="5">
        <v>46078</v>
      </c>
      <c r="F8" s="4" t="s">
        <v>25</v>
      </c>
      <c r="G8" s="4" t="s">
        <v>26</v>
      </c>
      <c r="H8" s="5">
        <v>37700</v>
      </c>
      <c r="I8" s="4" t="s">
        <v>27</v>
      </c>
      <c r="J8" s="4" t="s">
        <v>28</v>
      </c>
      <c r="K8" s="4" t="s">
        <v>29</v>
      </c>
      <c r="L8" s="4" t="s">
        <v>70</v>
      </c>
      <c r="M8" s="6">
        <v>2</v>
      </c>
      <c r="N8" s="6">
        <v>3500</v>
      </c>
      <c r="O8" s="6">
        <v>5</v>
      </c>
      <c r="P8" s="6">
        <v>6650</v>
      </c>
      <c r="Q8" s="6">
        <v>1</v>
      </c>
      <c r="R8" s="4" t="s">
        <v>65</v>
      </c>
      <c r="S8" s="4" t="s">
        <v>32</v>
      </c>
      <c r="T8" s="4" t="s">
        <v>43</v>
      </c>
      <c r="U8" s="4">
        <v>9958252176</v>
      </c>
      <c r="V8" s="8" t="s">
        <v>34</v>
      </c>
      <c r="W8" s="3"/>
      <c r="X8" s="3"/>
      <c r="Y8" s="3"/>
      <c r="Z8" s="3"/>
    </row>
    <row r="9" spans="1:26" ht="15.5" thickTop="1" thickBot="1" x14ac:dyDescent="0.4">
      <c r="A9" s="9" t="s">
        <v>71</v>
      </c>
      <c r="B9" s="9" t="s">
        <v>72</v>
      </c>
      <c r="C9" s="9" t="s">
        <v>36</v>
      </c>
      <c r="D9" s="10">
        <v>45760</v>
      </c>
      <c r="E9" s="10">
        <v>45766</v>
      </c>
      <c r="F9" s="9" t="s">
        <v>73</v>
      </c>
      <c r="G9" s="9" t="s">
        <v>26</v>
      </c>
      <c r="H9" s="10">
        <v>34765</v>
      </c>
      <c r="I9" s="9" t="s">
        <v>74</v>
      </c>
      <c r="J9" s="9" t="s">
        <v>75</v>
      </c>
      <c r="K9" s="9" t="s">
        <v>39</v>
      </c>
      <c r="L9" s="9" t="s">
        <v>40</v>
      </c>
      <c r="M9" s="11">
        <v>14</v>
      </c>
      <c r="N9" s="11">
        <v>12000</v>
      </c>
      <c r="O9" s="11">
        <v>15</v>
      </c>
      <c r="P9" s="11">
        <v>142800</v>
      </c>
      <c r="Q9" s="11">
        <v>4</v>
      </c>
      <c r="R9" s="9" t="s">
        <v>41</v>
      </c>
      <c r="S9" s="9" t="s">
        <v>32</v>
      </c>
      <c r="T9" s="13" t="s">
        <v>76</v>
      </c>
      <c r="U9" s="9">
        <v>9705521654</v>
      </c>
      <c r="V9" s="12" t="s">
        <v>34</v>
      </c>
      <c r="W9" s="3"/>
      <c r="X9" s="3"/>
      <c r="Y9" s="3"/>
      <c r="Z9" s="3"/>
    </row>
    <row r="10" spans="1:26" ht="15.5" thickTop="1" thickBot="1" x14ac:dyDescent="0.4">
      <c r="A10" s="4" t="s">
        <v>77</v>
      </c>
      <c r="B10" s="4" t="s">
        <v>23</v>
      </c>
      <c r="C10" s="4" t="s">
        <v>36</v>
      </c>
      <c r="D10" s="5">
        <v>46053</v>
      </c>
      <c r="E10" s="5">
        <v>46055</v>
      </c>
      <c r="F10" s="4" t="s">
        <v>78</v>
      </c>
      <c r="G10" s="4" t="s">
        <v>26</v>
      </c>
      <c r="H10" s="5">
        <v>35526</v>
      </c>
      <c r="I10" s="4" t="s">
        <v>79</v>
      </c>
      <c r="J10" s="4" t="s">
        <v>75</v>
      </c>
      <c r="K10" s="4" t="s">
        <v>39</v>
      </c>
      <c r="L10" s="4" t="s">
        <v>40</v>
      </c>
      <c r="M10" s="6">
        <v>4</v>
      </c>
      <c r="N10" s="6">
        <v>12000</v>
      </c>
      <c r="O10" s="6">
        <v>15</v>
      </c>
      <c r="P10" s="6">
        <v>40800</v>
      </c>
      <c r="Q10" s="6">
        <v>4</v>
      </c>
      <c r="R10" s="4" t="s">
        <v>65</v>
      </c>
      <c r="S10" s="4" t="s">
        <v>80</v>
      </c>
      <c r="T10" s="4" t="s">
        <v>43</v>
      </c>
      <c r="U10" s="4">
        <v>9588041011</v>
      </c>
      <c r="V10" s="8" t="s">
        <v>34</v>
      </c>
      <c r="W10" s="3"/>
      <c r="X10" s="3"/>
      <c r="Y10" s="3"/>
      <c r="Z10" s="3"/>
    </row>
    <row r="11" spans="1:26" ht="15.5" thickTop="1" thickBot="1" x14ac:dyDescent="0.4">
      <c r="A11" s="9" t="s">
        <v>81</v>
      </c>
      <c r="B11" s="9" t="s">
        <v>72</v>
      </c>
      <c r="C11" s="9" t="s">
        <v>82</v>
      </c>
      <c r="D11" s="10">
        <v>45741</v>
      </c>
      <c r="E11" s="10">
        <v>45743</v>
      </c>
      <c r="F11" s="9" t="s">
        <v>73</v>
      </c>
      <c r="G11" s="9" t="s">
        <v>26</v>
      </c>
      <c r="H11" s="10">
        <v>32880</v>
      </c>
      <c r="I11" s="9" t="s">
        <v>74</v>
      </c>
      <c r="J11" s="9" t="s">
        <v>75</v>
      </c>
      <c r="K11" s="9" t="s">
        <v>83</v>
      </c>
      <c r="L11" s="9" t="s">
        <v>84</v>
      </c>
      <c r="M11" s="11">
        <v>6</v>
      </c>
      <c r="N11" s="11">
        <v>60</v>
      </c>
      <c r="O11" s="11">
        <v>0</v>
      </c>
      <c r="P11" s="11">
        <v>360</v>
      </c>
      <c r="Q11" s="11">
        <v>4</v>
      </c>
      <c r="R11" s="9" t="s">
        <v>60</v>
      </c>
      <c r="S11" s="9" t="s">
        <v>80</v>
      </c>
      <c r="T11" s="13" t="s">
        <v>85</v>
      </c>
      <c r="U11" s="9">
        <v>9340540608</v>
      </c>
      <c r="V11" s="12" t="s">
        <v>34</v>
      </c>
      <c r="W11" s="3"/>
      <c r="X11" s="3"/>
      <c r="Y11" s="3"/>
      <c r="Z11" s="3"/>
    </row>
    <row r="12" spans="1:26" ht="15" thickBot="1" x14ac:dyDescent="0.4">
      <c r="A12" s="4" t="s">
        <v>86</v>
      </c>
      <c r="B12" s="4" t="s">
        <v>87</v>
      </c>
      <c r="C12" s="4" t="s">
        <v>24</v>
      </c>
      <c r="D12" s="5">
        <v>45919</v>
      </c>
      <c r="E12" s="5">
        <v>45923</v>
      </c>
      <c r="F12" s="4" t="s">
        <v>88</v>
      </c>
      <c r="G12" s="4" t="s">
        <v>58</v>
      </c>
      <c r="H12" s="5">
        <v>30081</v>
      </c>
      <c r="I12" s="4" t="s">
        <v>37</v>
      </c>
      <c r="J12" s="4" t="s">
        <v>38</v>
      </c>
      <c r="K12" s="4" t="s">
        <v>29</v>
      </c>
      <c r="L12" s="4" t="s">
        <v>30</v>
      </c>
      <c r="M12" s="6">
        <v>-3</v>
      </c>
      <c r="N12" s="6">
        <v>2200</v>
      </c>
      <c r="O12" s="6">
        <v>0</v>
      </c>
      <c r="P12" s="6">
        <v>35200</v>
      </c>
      <c r="Q12" s="6">
        <v>2</v>
      </c>
      <c r="R12" s="4" t="s">
        <v>60</v>
      </c>
      <c r="S12" s="4" t="s">
        <v>42</v>
      </c>
      <c r="T12" s="4" t="s">
        <v>89</v>
      </c>
      <c r="U12" s="4">
        <v>9521710321</v>
      </c>
      <c r="V12" s="4" t="s">
        <v>52</v>
      </c>
      <c r="W12" s="3"/>
      <c r="X12" s="3"/>
      <c r="Y12" s="3"/>
      <c r="Z12" s="3"/>
    </row>
    <row r="13" spans="1:26" ht="15" thickBot="1" x14ac:dyDescent="0.4">
      <c r="A13" s="9" t="s">
        <v>90</v>
      </c>
      <c r="B13" s="9" t="s">
        <v>23</v>
      </c>
      <c r="C13" s="9" t="s">
        <v>68</v>
      </c>
      <c r="D13" s="10">
        <v>45724</v>
      </c>
      <c r="E13" s="10">
        <v>45731</v>
      </c>
      <c r="F13" s="9" t="s">
        <v>25</v>
      </c>
      <c r="G13" s="9" t="s">
        <v>26</v>
      </c>
      <c r="H13" s="10">
        <v>29974</v>
      </c>
      <c r="I13" s="9" t="s">
        <v>91</v>
      </c>
      <c r="J13" s="9" t="s">
        <v>75</v>
      </c>
      <c r="K13" s="9" t="s">
        <v>29</v>
      </c>
      <c r="L13" s="9" t="s">
        <v>70</v>
      </c>
      <c r="M13" s="11">
        <v>10</v>
      </c>
      <c r="N13" s="11">
        <v>3500</v>
      </c>
      <c r="O13" s="11">
        <v>5</v>
      </c>
      <c r="P13" s="11">
        <v>33250</v>
      </c>
      <c r="Q13" s="11">
        <v>5</v>
      </c>
      <c r="R13" s="9" t="s">
        <v>60</v>
      </c>
      <c r="S13" s="9" t="s">
        <v>50</v>
      </c>
      <c r="T13" s="9" t="s">
        <v>43</v>
      </c>
      <c r="U13" s="9">
        <v>9123535241</v>
      </c>
      <c r="V13" s="9" t="s">
        <v>53</v>
      </c>
      <c r="W13" s="3"/>
      <c r="X13" s="3"/>
      <c r="Y13" s="3"/>
      <c r="Z13" s="3"/>
    </row>
    <row r="14" spans="1:26" ht="15" thickBot="1" x14ac:dyDescent="0.4">
      <c r="A14" s="4" t="s">
        <v>92</v>
      </c>
      <c r="B14" s="4" t="s">
        <v>72</v>
      </c>
      <c r="C14" s="4" t="s">
        <v>24</v>
      </c>
      <c r="D14" s="5">
        <v>45667</v>
      </c>
      <c r="E14" s="5">
        <v>45672</v>
      </c>
      <c r="F14" s="4" t="s">
        <v>73</v>
      </c>
      <c r="G14" s="4" t="s">
        <v>26</v>
      </c>
      <c r="H14" s="5">
        <v>33791</v>
      </c>
      <c r="I14" s="4" t="s">
        <v>79</v>
      </c>
      <c r="J14" s="4" t="s">
        <v>75</v>
      </c>
      <c r="K14" s="4" t="s">
        <v>29</v>
      </c>
      <c r="L14" s="4" t="s">
        <v>30</v>
      </c>
      <c r="M14" s="6">
        <v>15</v>
      </c>
      <c r="N14" s="6">
        <v>2200</v>
      </c>
      <c r="O14" s="6">
        <v>10</v>
      </c>
      <c r="P14" s="6">
        <v>29700</v>
      </c>
      <c r="Q14" s="6">
        <v>1</v>
      </c>
      <c r="R14" s="4" t="s">
        <v>65</v>
      </c>
      <c r="S14" s="4" t="s">
        <v>80</v>
      </c>
      <c r="T14" s="4" t="s">
        <v>93</v>
      </c>
      <c r="U14" s="4">
        <v>9367316892</v>
      </c>
      <c r="V14" s="4" t="s">
        <v>52</v>
      </c>
      <c r="W14" s="3"/>
      <c r="X14" s="3"/>
      <c r="Y14" s="3"/>
      <c r="Z14" s="3"/>
    </row>
    <row r="15" spans="1:26" ht="15.5" thickTop="1" thickBot="1" x14ac:dyDescent="0.4">
      <c r="A15" s="9" t="s">
        <v>94</v>
      </c>
      <c r="B15" s="9" t="s">
        <v>87</v>
      </c>
      <c r="C15" s="9" t="s">
        <v>24</v>
      </c>
      <c r="D15" s="10">
        <v>45725</v>
      </c>
      <c r="E15" s="10">
        <v>45729</v>
      </c>
      <c r="F15" s="9" t="s">
        <v>95</v>
      </c>
      <c r="G15" s="9" t="s">
        <v>58</v>
      </c>
      <c r="H15" s="10">
        <v>37334</v>
      </c>
      <c r="I15" s="9" t="s">
        <v>74</v>
      </c>
      <c r="J15" s="9" t="s">
        <v>75</v>
      </c>
      <c r="K15" s="9" t="s">
        <v>29</v>
      </c>
      <c r="L15" s="9" t="s">
        <v>30</v>
      </c>
      <c r="M15" s="11">
        <v>17</v>
      </c>
      <c r="N15" s="11">
        <v>2200</v>
      </c>
      <c r="O15" s="11">
        <v>5</v>
      </c>
      <c r="P15" s="11">
        <v>35530</v>
      </c>
      <c r="Q15" s="11">
        <v>1</v>
      </c>
      <c r="R15" s="9" t="s">
        <v>31</v>
      </c>
      <c r="S15" s="9" t="s">
        <v>96</v>
      </c>
      <c r="T15" s="13" t="s">
        <v>97</v>
      </c>
      <c r="U15" s="9">
        <v>9778489803</v>
      </c>
      <c r="V15" s="12" t="s">
        <v>34</v>
      </c>
      <c r="W15" s="3"/>
      <c r="X15" s="3"/>
      <c r="Y15" s="3"/>
      <c r="Z15" s="3"/>
    </row>
    <row r="16" spans="1:26" ht="15" thickBot="1" x14ac:dyDescent="0.4">
      <c r="A16" s="4" t="s">
        <v>98</v>
      </c>
      <c r="B16" s="4" t="s">
        <v>23</v>
      </c>
      <c r="C16" s="4" t="s">
        <v>68</v>
      </c>
      <c r="D16" s="5">
        <v>45864</v>
      </c>
      <c r="E16" s="5">
        <v>45876</v>
      </c>
      <c r="F16" s="4" t="s">
        <v>99</v>
      </c>
      <c r="G16" s="4" t="s">
        <v>26</v>
      </c>
      <c r="H16" s="5">
        <v>36908</v>
      </c>
      <c r="I16" s="4" t="s">
        <v>74</v>
      </c>
      <c r="J16" s="4" t="s">
        <v>75</v>
      </c>
      <c r="K16" s="4" t="s">
        <v>29</v>
      </c>
      <c r="L16" s="4" t="s">
        <v>70</v>
      </c>
      <c r="M16" s="6">
        <v>15</v>
      </c>
      <c r="N16" s="6">
        <v>3500</v>
      </c>
      <c r="O16" s="6">
        <v>15</v>
      </c>
      <c r="P16" s="6">
        <v>44625</v>
      </c>
      <c r="Q16" s="6">
        <v>2</v>
      </c>
      <c r="R16" s="4" t="s">
        <v>31</v>
      </c>
      <c r="S16" s="4" t="s">
        <v>80</v>
      </c>
      <c r="T16" s="7" t="s">
        <v>43</v>
      </c>
      <c r="U16" s="4">
        <v>9582960180</v>
      </c>
      <c r="V16" s="4" t="s">
        <v>53</v>
      </c>
      <c r="W16" s="3"/>
      <c r="X16" s="3"/>
      <c r="Y16" s="3"/>
      <c r="Z16" s="3"/>
    </row>
    <row r="17" spans="1:26" ht="15" thickBot="1" x14ac:dyDescent="0.4">
      <c r="A17" s="9" t="s">
        <v>100</v>
      </c>
      <c r="B17" s="9" t="s">
        <v>45</v>
      </c>
      <c r="C17" s="9" t="s">
        <v>56</v>
      </c>
      <c r="D17" s="10">
        <v>46120</v>
      </c>
      <c r="E17" s="10">
        <v>46123</v>
      </c>
      <c r="F17" s="9" t="s">
        <v>101</v>
      </c>
      <c r="G17" s="9" t="s">
        <v>26</v>
      </c>
      <c r="H17" s="10">
        <v>37357</v>
      </c>
      <c r="I17" s="9" t="s">
        <v>27</v>
      </c>
      <c r="J17" s="9" t="s">
        <v>28</v>
      </c>
      <c r="K17" s="9" t="s">
        <v>39</v>
      </c>
      <c r="L17" s="9" t="s">
        <v>59</v>
      </c>
      <c r="M17" s="11">
        <v>3</v>
      </c>
      <c r="N17" s="11">
        <v>1200</v>
      </c>
      <c r="O17" s="11">
        <v>5</v>
      </c>
      <c r="P17" s="11">
        <v>3420</v>
      </c>
      <c r="Q17" s="11">
        <v>5</v>
      </c>
      <c r="R17" s="9" t="s">
        <v>65</v>
      </c>
      <c r="S17" s="9" t="s">
        <v>32</v>
      </c>
      <c r="T17" s="9" t="s">
        <v>102</v>
      </c>
      <c r="U17" s="9">
        <v>9611394005</v>
      </c>
      <c r="V17" s="12" t="s">
        <v>34</v>
      </c>
      <c r="W17" s="3"/>
      <c r="X17" s="3"/>
      <c r="Y17" s="3"/>
      <c r="Z17" s="3"/>
    </row>
    <row r="18" spans="1:26" ht="15" thickBot="1" x14ac:dyDescent="0.4">
      <c r="A18" s="4" t="s">
        <v>103</v>
      </c>
      <c r="B18" s="4" t="s">
        <v>104</v>
      </c>
      <c r="C18" s="4" t="s">
        <v>105</v>
      </c>
      <c r="D18" s="5">
        <v>46075</v>
      </c>
      <c r="E18" s="5">
        <v>46084</v>
      </c>
      <c r="F18" s="4" t="s">
        <v>106</v>
      </c>
      <c r="G18" s="4" t="s">
        <v>26</v>
      </c>
      <c r="H18" s="5">
        <v>37272</v>
      </c>
      <c r="I18" s="4" t="s">
        <v>79</v>
      </c>
      <c r="J18" s="4" t="s">
        <v>75</v>
      </c>
      <c r="K18" s="4" t="s">
        <v>29</v>
      </c>
      <c r="L18" s="4" t="s">
        <v>107</v>
      </c>
      <c r="M18" s="6">
        <v>13</v>
      </c>
      <c r="N18" s="6">
        <v>8500</v>
      </c>
      <c r="O18" s="6">
        <v>20</v>
      </c>
      <c r="P18" s="6">
        <v>88400</v>
      </c>
      <c r="Q18" s="6">
        <v>4</v>
      </c>
      <c r="R18" s="4" t="s">
        <v>60</v>
      </c>
      <c r="S18" s="4" t="s">
        <v>42</v>
      </c>
      <c r="T18" s="4" t="s">
        <v>108</v>
      </c>
      <c r="U18" s="4">
        <v>9692599404</v>
      </c>
      <c r="V18" s="4" t="s">
        <v>52</v>
      </c>
      <c r="W18" s="3"/>
      <c r="X18" s="3"/>
      <c r="Y18" s="3"/>
      <c r="Z18" s="3"/>
    </row>
    <row r="19" spans="1:26" ht="15" thickBot="1" x14ac:dyDescent="0.4">
      <c r="A19" s="9" t="s">
        <v>109</v>
      </c>
      <c r="B19" s="9" t="s">
        <v>63</v>
      </c>
      <c r="C19" s="9" t="s">
        <v>105</v>
      </c>
      <c r="D19" s="10">
        <v>46081</v>
      </c>
      <c r="E19" s="10">
        <v>46086</v>
      </c>
      <c r="F19" s="9" t="s">
        <v>110</v>
      </c>
      <c r="G19" s="9" t="s">
        <v>58</v>
      </c>
      <c r="H19" s="10">
        <v>32790</v>
      </c>
      <c r="I19" s="9" t="s">
        <v>91</v>
      </c>
      <c r="J19" s="9" t="s">
        <v>75</v>
      </c>
      <c r="K19" s="9" t="s">
        <v>29</v>
      </c>
      <c r="L19" s="9" t="s">
        <v>107</v>
      </c>
      <c r="M19" s="11">
        <v>4</v>
      </c>
      <c r="N19" s="11">
        <v>8500</v>
      </c>
      <c r="O19" s="11">
        <v>20</v>
      </c>
      <c r="P19" s="11">
        <v>27200</v>
      </c>
      <c r="Q19" s="11">
        <v>5</v>
      </c>
      <c r="R19" s="9" t="s">
        <v>60</v>
      </c>
      <c r="S19" s="9" t="s">
        <v>50</v>
      </c>
      <c r="T19" s="9" t="s">
        <v>66</v>
      </c>
      <c r="U19" s="9">
        <v>9426119622</v>
      </c>
      <c r="V19" s="9" t="s">
        <v>52</v>
      </c>
      <c r="W19" s="3"/>
      <c r="X19" s="3"/>
      <c r="Y19" s="3"/>
      <c r="Z19" s="3"/>
    </row>
    <row r="20" spans="1:26" ht="15" thickBot="1" x14ac:dyDescent="0.4">
      <c r="A20" s="4" t="s">
        <v>111</v>
      </c>
      <c r="B20" s="4" t="s">
        <v>63</v>
      </c>
      <c r="C20" s="4" t="s">
        <v>112</v>
      </c>
      <c r="D20" s="5">
        <v>45992</v>
      </c>
      <c r="E20" s="5">
        <v>45995</v>
      </c>
      <c r="F20" s="4" t="s">
        <v>113</v>
      </c>
      <c r="G20" s="4" t="s">
        <v>58</v>
      </c>
      <c r="H20" s="5">
        <v>33539</v>
      </c>
      <c r="I20" s="4" t="s">
        <v>74</v>
      </c>
      <c r="J20" s="4" t="s">
        <v>75</v>
      </c>
      <c r="K20" s="4" t="s">
        <v>39</v>
      </c>
      <c r="L20" s="4" t="s">
        <v>114</v>
      </c>
      <c r="M20" s="6">
        <v>9</v>
      </c>
      <c r="N20" s="6">
        <v>700</v>
      </c>
      <c r="O20" s="6">
        <v>5</v>
      </c>
      <c r="P20" s="6">
        <v>5985</v>
      </c>
      <c r="Q20" s="6">
        <v>3</v>
      </c>
      <c r="R20" s="4" t="s">
        <v>65</v>
      </c>
      <c r="S20" s="4" t="s">
        <v>32</v>
      </c>
      <c r="T20" s="7" t="s">
        <v>115</v>
      </c>
      <c r="U20" s="4">
        <v>9184436009</v>
      </c>
      <c r="V20" s="4" t="s">
        <v>52</v>
      </c>
      <c r="W20" s="3"/>
      <c r="X20" s="3"/>
      <c r="Y20" s="3"/>
      <c r="Z20" s="3"/>
    </row>
    <row r="21" spans="1:26" ht="15" thickBot="1" x14ac:dyDescent="0.4">
      <c r="A21" s="9" t="s">
        <v>116</v>
      </c>
      <c r="B21" s="9" t="s">
        <v>23</v>
      </c>
      <c r="C21" s="9" t="s">
        <v>46</v>
      </c>
      <c r="D21" s="10">
        <v>45833</v>
      </c>
      <c r="E21" s="10">
        <v>45841</v>
      </c>
      <c r="F21" s="9" t="s">
        <v>25</v>
      </c>
      <c r="G21" s="9" t="s">
        <v>26</v>
      </c>
      <c r="H21" s="10">
        <v>32933</v>
      </c>
      <c r="I21" s="9" t="s">
        <v>91</v>
      </c>
      <c r="J21" s="9" t="s">
        <v>75</v>
      </c>
      <c r="K21" s="9" t="s">
        <v>39</v>
      </c>
      <c r="L21" s="9" t="s">
        <v>49</v>
      </c>
      <c r="M21" s="11">
        <v>8</v>
      </c>
      <c r="N21" s="11">
        <v>55000</v>
      </c>
      <c r="O21" s="11">
        <v>20</v>
      </c>
      <c r="P21" s="11">
        <v>352000</v>
      </c>
      <c r="Q21" s="11">
        <v>1</v>
      </c>
      <c r="R21" s="9" t="s">
        <v>31</v>
      </c>
      <c r="S21" s="9" t="s">
        <v>96</v>
      </c>
      <c r="T21" s="9" t="s">
        <v>43</v>
      </c>
      <c r="U21" s="9">
        <v>9263774934</v>
      </c>
      <c r="V21" s="12" t="s">
        <v>34</v>
      </c>
      <c r="W21" s="3"/>
      <c r="X21" s="3"/>
      <c r="Y21" s="3"/>
      <c r="Z21" s="3"/>
    </row>
    <row r="22" spans="1:26" ht="15" thickBot="1" x14ac:dyDescent="0.4">
      <c r="A22" s="4" t="s">
        <v>117</v>
      </c>
      <c r="B22" s="4" t="s">
        <v>87</v>
      </c>
      <c r="C22" s="4" t="s">
        <v>112</v>
      </c>
      <c r="D22" s="5">
        <v>45773</v>
      </c>
      <c r="E22" s="5">
        <v>45782</v>
      </c>
      <c r="F22" s="4" t="s">
        <v>88</v>
      </c>
      <c r="G22" s="4" t="s">
        <v>58</v>
      </c>
      <c r="H22" s="5">
        <v>37455</v>
      </c>
      <c r="I22" s="4" t="s">
        <v>37</v>
      </c>
      <c r="J22" s="4" t="s">
        <v>38</v>
      </c>
      <c r="K22" s="4" t="s">
        <v>118</v>
      </c>
      <c r="L22" s="4" t="s">
        <v>114</v>
      </c>
      <c r="M22" s="6">
        <v>10</v>
      </c>
      <c r="N22" s="6">
        <v>700</v>
      </c>
      <c r="O22" s="6">
        <v>20</v>
      </c>
      <c r="P22" s="6">
        <v>5600</v>
      </c>
      <c r="Q22" s="6">
        <v>4</v>
      </c>
      <c r="R22" s="4" t="s">
        <v>60</v>
      </c>
      <c r="S22" s="4" t="s">
        <v>50</v>
      </c>
      <c r="T22" s="4" t="s">
        <v>89</v>
      </c>
      <c r="U22" s="4">
        <v>9473159572</v>
      </c>
      <c r="V22" s="4" t="s">
        <v>53</v>
      </c>
      <c r="W22" s="3"/>
      <c r="X22" s="3"/>
      <c r="Y22" s="3"/>
      <c r="Z22" s="3"/>
    </row>
    <row r="23" spans="1:26" ht="15" thickBot="1" x14ac:dyDescent="0.4">
      <c r="A23" s="9" t="s">
        <v>119</v>
      </c>
      <c r="B23" s="9" t="s">
        <v>23</v>
      </c>
      <c r="C23" s="9" t="s">
        <v>68</v>
      </c>
      <c r="D23" s="10">
        <v>45660</v>
      </c>
      <c r="E23" s="10">
        <v>45665</v>
      </c>
      <c r="F23" s="9" t="s">
        <v>78</v>
      </c>
      <c r="G23" s="9" t="s">
        <v>26</v>
      </c>
      <c r="H23" s="10">
        <v>38336</v>
      </c>
      <c r="I23" s="9" t="s">
        <v>48</v>
      </c>
      <c r="J23" s="9" t="s">
        <v>28</v>
      </c>
      <c r="K23" s="9" t="s">
        <v>29</v>
      </c>
      <c r="L23" s="9" t="s">
        <v>70</v>
      </c>
      <c r="M23" s="11">
        <v>1</v>
      </c>
      <c r="N23" s="11">
        <v>3500</v>
      </c>
      <c r="O23" s="11">
        <v>5</v>
      </c>
      <c r="P23" s="11">
        <v>3325</v>
      </c>
      <c r="Q23" s="11">
        <v>3</v>
      </c>
      <c r="R23" s="9" t="s">
        <v>65</v>
      </c>
      <c r="S23" s="9" t="s">
        <v>80</v>
      </c>
      <c r="T23" s="9" t="s">
        <v>43</v>
      </c>
      <c r="U23" s="9">
        <v>9660493688</v>
      </c>
      <c r="V23" s="9" t="s">
        <v>53</v>
      </c>
      <c r="W23" s="3"/>
      <c r="X23" s="3"/>
      <c r="Y23" s="3"/>
      <c r="Z23" s="3"/>
    </row>
    <row r="24" spans="1:26" ht="15" thickBot="1" x14ac:dyDescent="0.4">
      <c r="A24" s="4" t="s">
        <v>120</v>
      </c>
      <c r="B24" s="4" t="s">
        <v>72</v>
      </c>
      <c r="C24" s="4" t="s">
        <v>112</v>
      </c>
      <c r="D24" s="5">
        <v>45766</v>
      </c>
      <c r="E24" s="5">
        <v>45777</v>
      </c>
      <c r="F24" s="4" t="s">
        <v>73</v>
      </c>
      <c r="G24" s="4" t="s">
        <v>26</v>
      </c>
      <c r="H24" s="5">
        <v>30867</v>
      </c>
      <c r="I24" s="4" t="s">
        <v>121</v>
      </c>
      <c r="J24" s="4" t="s">
        <v>38</v>
      </c>
      <c r="K24" s="4" t="s">
        <v>39</v>
      </c>
      <c r="L24" s="4" t="s">
        <v>114</v>
      </c>
      <c r="M24" s="6">
        <v>19</v>
      </c>
      <c r="N24" s="6">
        <v>700</v>
      </c>
      <c r="O24" s="6">
        <v>15</v>
      </c>
      <c r="P24" s="6">
        <v>11305</v>
      </c>
      <c r="Q24" s="6">
        <v>3</v>
      </c>
      <c r="R24" s="4" t="s">
        <v>41</v>
      </c>
      <c r="S24" s="4" t="s">
        <v>96</v>
      </c>
      <c r="T24" s="4" t="s">
        <v>93</v>
      </c>
      <c r="U24" s="4">
        <v>9513325819</v>
      </c>
      <c r="V24" s="4" t="s">
        <v>52</v>
      </c>
      <c r="W24" s="3"/>
      <c r="X24" s="3"/>
      <c r="Y24" s="3"/>
      <c r="Z24" s="3"/>
    </row>
    <row r="25" spans="1:26" ht="15" thickBot="1" x14ac:dyDescent="0.4">
      <c r="A25" s="9" t="s">
        <v>122</v>
      </c>
      <c r="B25" s="9" t="s">
        <v>55</v>
      </c>
      <c r="C25" s="9" t="s">
        <v>46</v>
      </c>
      <c r="D25" s="10">
        <v>46013</v>
      </c>
      <c r="E25" s="10">
        <v>46023</v>
      </c>
      <c r="F25" s="9" t="s">
        <v>57</v>
      </c>
      <c r="G25" s="9" t="s">
        <v>58</v>
      </c>
      <c r="H25" s="10">
        <v>28546</v>
      </c>
      <c r="I25" s="9" t="s">
        <v>48</v>
      </c>
      <c r="J25" s="9" t="s">
        <v>28</v>
      </c>
      <c r="K25" s="9" t="s">
        <v>39</v>
      </c>
      <c r="L25" s="9" t="s">
        <v>49</v>
      </c>
      <c r="M25" s="11">
        <v>12</v>
      </c>
      <c r="N25" s="11">
        <v>55000</v>
      </c>
      <c r="O25" s="11">
        <v>0</v>
      </c>
      <c r="P25" s="11">
        <v>660000</v>
      </c>
      <c r="Q25" s="11">
        <v>1</v>
      </c>
      <c r="R25" s="9" t="s">
        <v>60</v>
      </c>
      <c r="S25" s="9" t="s">
        <v>42</v>
      </c>
      <c r="T25" s="9" t="s">
        <v>61</v>
      </c>
      <c r="U25" s="9">
        <v>9641063242</v>
      </c>
      <c r="V25" s="9" t="s">
        <v>52</v>
      </c>
      <c r="W25" s="3"/>
      <c r="X25" s="3"/>
      <c r="Y25" s="3"/>
      <c r="Z25" s="3"/>
    </row>
    <row r="26" spans="1:26" ht="15" thickBot="1" x14ac:dyDescent="0.4">
      <c r="A26" s="4" t="s">
        <v>123</v>
      </c>
      <c r="B26" s="4" t="s">
        <v>124</v>
      </c>
      <c r="C26" s="4" t="s">
        <v>125</v>
      </c>
      <c r="D26" s="5">
        <v>46121</v>
      </c>
      <c r="E26" s="5">
        <v>46132</v>
      </c>
      <c r="F26" s="4" t="s">
        <v>126</v>
      </c>
      <c r="G26" s="4" t="s">
        <v>58</v>
      </c>
      <c r="H26" s="5">
        <v>33453</v>
      </c>
      <c r="I26" s="4" t="s">
        <v>74</v>
      </c>
      <c r="J26" s="4" t="s">
        <v>75</v>
      </c>
      <c r="K26" s="4" t="s">
        <v>83</v>
      </c>
      <c r="L26" s="4" t="s">
        <v>127</v>
      </c>
      <c r="M26" s="6">
        <v>1</v>
      </c>
      <c r="N26" s="6">
        <v>20</v>
      </c>
      <c r="O26" s="6">
        <v>5</v>
      </c>
      <c r="P26" s="6">
        <v>19</v>
      </c>
      <c r="Q26" s="6">
        <v>5</v>
      </c>
      <c r="R26" s="4" t="s">
        <v>60</v>
      </c>
      <c r="S26" s="4" t="s">
        <v>32</v>
      </c>
      <c r="T26" s="4" t="s">
        <v>128</v>
      </c>
      <c r="U26" s="4">
        <v>9277372518</v>
      </c>
      <c r="V26" s="4" t="s">
        <v>53</v>
      </c>
      <c r="W26" s="3"/>
      <c r="X26" s="3"/>
      <c r="Y26" s="3"/>
      <c r="Z26" s="3"/>
    </row>
    <row r="27" spans="1:26" ht="15" thickBot="1" x14ac:dyDescent="0.4">
      <c r="A27" s="9" t="s">
        <v>129</v>
      </c>
      <c r="B27" s="9" t="s">
        <v>63</v>
      </c>
      <c r="C27" s="9" t="s">
        <v>125</v>
      </c>
      <c r="D27" s="10">
        <v>45832</v>
      </c>
      <c r="E27" s="10">
        <v>45840</v>
      </c>
      <c r="F27" s="9" t="s">
        <v>110</v>
      </c>
      <c r="G27" s="9" t="s">
        <v>58</v>
      </c>
      <c r="H27" s="10">
        <v>28470</v>
      </c>
      <c r="I27" s="9" t="s">
        <v>74</v>
      </c>
      <c r="J27" s="9" t="s">
        <v>75</v>
      </c>
      <c r="K27" s="9" t="s">
        <v>83</v>
      </c>
      <c r="L27" s="9" t="s">
        <v>127</v>
      </c>
      <c r="M27" s="11">
        <v>2</v>
      </c>
      <c r="N27" s="11">
        <v>20</v>
      </c>
      <c r="O27" s="11">
        <v>15</v>
      </c>
      <c r="P27" s="11">
        <v>34</v>
      </c>
      <c r="Q27" s="11">
        <v>1</v>
      </c>
      <c r="R27" s="9" t="s">
        <v>65</v>
      </c>
      <c r="S27" s="9" t="s">
        <v>32</v>
      </c>
      <c r="T27" s="9" t="s">
        <v>66</v>
      </c>
      <c r="U27" s="9">
        <v>9193154372</v>
      </c>
      <c r="V27" s="9" t="s">
        <v>52</v>
      </c>
      <c r="W27" s="3"/>
      <c r="X27" s="3"/>
      <c r="Y27" s="3"/>
      <c r="Z27" s="3"/>
    </row>
    <row r="28" spans="1:26" ht="15" thickBot="1" x14ac:dyDescent="0.4">
      <c r="A28" s="4" t="s">
        <v>130</v>
      </c>
      <c r="B28" s="4" t="s">
        <v>55</v>
      </c>
      <c r="C28" s="4" t="s">
        <v>68</v>
      </c>
      <c r="D28" s="5">
        <v>45799</v>
      </c>
      <c r="E28" s="5">
        <v>45802</v>
      </c>
      <c r="F28" s="4" t="s">
        <v>57</v>
      </c>
      <c r="G28" s="4" t="s">
        <v>58</v>
      </c>
      <c r="H28" s="5">
        <v>33642</v>
      </c>
      <c r="I28" s="4" t="s">
        <v>91</v>
      </c>
      <c r="J28" s="4" t="s">
        <v>75</v>
      </c>
      <c r="K28" s="4" t="s">
        <v>29</v>
      </c>
      <c r="L28" s="4" t="s">
        <v>70</v>
      </c>
      <c r="M28" s="6">
        <v>12</v>
      </c>
      <c r="N28" s="6">
        <v>3500</v>
      </c>
      <c r="O28" s="6">
        <v>15</v>
      </c>
      <c r="P28" s="6">
        <v>35700</v>
      </c>
      <c r="Q28" s="6">
        <v>4</v>
      </c>
      <c r="R28" s="4" t="s">
        <v>31</v>
      </c>
      <c r="S28" s="4" t="s">
        <v>42</v>
      </c>
      <c r="T28" s="4" t="s">
        <v>61</v>
      </c>
      <c r="U28" s="4">
        <v>9400073244</v>
      </c>
      <c r="V28" s="4" t="s">
        <v>53</v>
      </c>
      <c r="W28" s="3"/>
      <c r="X28" s="3"/>
      <c r="Y28" s="3"/>
      <c r="Z28" s="3"/>
    </row>
    <row r="29" spans="1:26" ht="15" thickBot="1" x14ac:dyDescent="0.4">
      <c r="A29" s="9" t="s">
        <v>131</v>
      </c>
      <c r="B29" s="9" t="s">
        <v>23</v>
      </c>
      <c r="C29" s="9" t="s">
        <v>56</v>
      </c>
      <c r="D29" s="10">
        <v>46094</v>
      </c>
      <c r="E29" s="10">
        <v>46101</v>
      </c>
      <c r="F29" s="9" t="s">
        <v>25</v>
      </c>
      <c r="G29" s="9" t="s">
        <v>26</v>
      </c>
      <c r="H29" s="10">
        <v>38143</v>
      </c>
      <c r="I29" s="9" t="s">
        <v>91</v>
      </c>
      <c r="J29" s="9" t="s">
        <v>75</v>
      </c>
      <c r="K29" s="9" t="s">
        <v>39</v>
      </c>
      <c r="L29" s="9" t="s">
        <v>59</v>
      </c>
      <c r="M29" s="11">
        <v>11</v>
      </c>
      <c r="N29" s="11">
        <v>1200</v>
      </c>
      <c r="O29" s="11">
        <v>0</v>
      </c>
      <c r="P29" s="11">
        <v>13200</v>
      </c>
      <c r="Q29" s="11">
        <v>2</v>
      </c>
      <c r="R29" s="9" t="s">
        <v>65</v>
      </c>
      <c r="S29" s="9" t="s">
        <v>96</v>
      </c>
      <c r="T29" s="9" t="s">
        <v>43</v>
      </c>
      <c r="U29" s="9">
        <v>9771556720</v>
      </c>
      <c r="V29" s="12" t="s">
        <v>34</v>
      </c>
      <c r="W29" s="3"/>
      <c r="X29" s="3"/>
      <c r="Y29" s="3"/>
      <c r="Z29" s="3"/>
    </row>
    <row r="30" spans="1:26" ht="15" thickBot="1" x14ac:dyDescent="0.4">
      <c r="A30" s="4" t="s">
        <v>132</v>
      </c>
      <c r="B30" s="4" t="s">
        <v>87</v>
      </c>
      <c r="C30" s="4" t="s">
        <v>105</v>
      </c>
      <c r="D30" s="5">
        <v>45908</v>
      </c>
      <c r="E30" s="5">
        <v>45920</v>
      </c>
      <c r="F30" s="4" t="s">
        <v>88</v>
      </c>
      <c r="G30" s="4" t="s">
        <v>58</v>
      </c>
      <c r="H30" s="5">
        <v>37114</v>
      </c>
      <c r="I30" s="4" t="s">
        <v>79</v>
      </c>
      <c r="J30" s="4" t="s">
        <v>75</v>
      </c>
      <c r="K30" s="4" t="s">
        <v>29</v>
      </c>
      <c r="L30" s="4" t="s">
        <v>107</v>
      </c>
      <c r="M30" s="6">
        <v>6</v>
      </c>
      <c r="N30" s="6">
        <v>8500</v>
      </c>
      <c r="O30" s="6">
        <v>65</v>
      </c>
      <c r="P30" s="6">
        <v>51000</v>
      </c>
      <c r="Q30" s="6">
        <v>1</v>
      </c>
      <c r="R30" s="4" t="s">
        <v>60</v>
      </c>
      <c r="S30" s="4" t="s">
        <v>50</v>
      </c>
      <c r="T30" s="4" t="s">
        <v>89</v>
      </c>
      <c r="U30" s="4">
        <v>9127480734</v>
      </c>
      <c r="V30" s="8" t="s">
        <v>34</v>
      </c>
      <c r="W30" s="3"/>
      <c r="X30" s="3"/>
      <c r="Y30" s="3"/>
      <c r="Z30" s="3"/>
    </row>
    <row r="31" spans="1:26" ht="15" thickBot="1" x14ac:dyDescent="0.4">
      <c r="A31" s="9" t="s">
        <v>133</v>
      </c>
      <c r="B31" s="9" t="s">
        <v>134</v>
      </c>
      <c r="C31" s="9" t="s">
        <v>82</v>
      </c>
      <c r="D31" s="10">
        <v>46033</v>
      </c>
      <c r="E31" s="10">
        <v>46038</v>
      </c>
      <c r="F31" s="9" t="s">
        <v>135</v>
      </c>
      <c r="G31" s="9" t="s">
        <v>26</v>
      </c>
      <c r="H31" s="10">
        <v>29680</v>
      </c>
      <c r="I31" s="9" t="s">
        <v>79</v>
      </c>
      <c r="J31" s="9" t="s">
        <v>75</v>
      </c>
      <c r="K31" s="9" t="s">
        <v>83</v>
      </c>
      <c r="L31" s="9" t="s">
        <v>84</v>
      </c>
      <c r="M31" s="11">
        <v>2</v>
      </c>
      <c r="N31" s="11">
        <v>60</v>
      </c>
      <c r="O31" s="11">
        <v>5</v>
      </c>
      <c r="P31" s="11">
        <v>114</v>
      </c>
      <c r="Q31" s="11">
        <v>3</v>
      </c>
      <c r="R31" s="9" t="s">
        <v>31</v>
      </c>
      <c r="S31" s="9" t="s">
        <v>96</v>
      </c>
      <c r="T31" s="9" t="s">
        <v>136</v>
      </c>
      <c r="U31" s="9">
        <v>9512997042</v>
      </c>
      <c r="V31" s="9" t="s">
        <v>53</v>
      </c>
      <c r="W31" s="3"/>
      <c r="X31" s="3"/>
      <c r="Y31" s="3"/>
      <c r="Z31" s="3"/>
    </row>
    <row r="32" spans="1:26" ht="15" thickBot="1" x14ac:dyDescent="0.4">
      <c r="A32" s="4" t="s">
        <v>137</v>
      </c>
      <c r="B32" s="4" t="s">
        <v>23</v>
      </c>
      <c r="C32" s="4" t="s">
        <v>138</v>
      </c>
      <c r="D32" s="5">
        <v>45824</v>
      </c>
      <c r="E32" s="5">
        <v>45834</v>
      </c>
      <c r="F32" s="4" t="s">
        <v>25</v>
      </c>
      <c r="G32" s="4" t="s">
        <v>26</v>
      </c>
      <c r="H32" s="5">
        <v>35248</v>
      </c>
      <c r="I32" s="4" t="s">
        <v>48</v>
      </c>
      <c r="J32" s="4" t="s">
        <v>28</v>
      </c>
      <c r="K32" s="4" t="s">
        <v>83</v>
      </c>
      <c r="L32" s="4" t="s">
        <v>139</v>
      </c>
      <c r="M32" s="6">
        <v>19</v>
      </c>
      <c r="N32" s="6">
        <v>45</v>
      </c>
      <c r="O32" s="6">
        <v>20</v>
      </c>
      <c r="P32" s="6">
        <v>684</v>
      </c>
      <c r="Q32" s="6">
        <v>4</v>
      </c>
      <c r="R32" s="4" t="s">
        <v>41</v>
      </c>
      <c r="S32" s="4" t="s">
        <v>50</v>
      </c>
      <c r="T32" s="4" t="s">
        <v>43</v>
      </c>
      <c r="U32" s="4">
        <v>9372748661</v>
      </c>
      <c r="V32" s="4" t="s">
        <v>53</v>
      </c>
      <c r="W32" s="3"/>
      <c r="X32" s="3"/>
      <c r="Y32" s="3"/>
      <c r="Z32" s="3"/>
    </row>
    <row r="33" spans="1:26" ht="15" thickBot="1" x14ac:dyDescent="0.4">
      <c r="A33" s="9" t="s">
        <v>140</v>
      </c>
      <c r="B33" s="9" t="s">
        <v>72</v>
      </c>
      <c r="C33" s="9" t="s">
        <v>36</v>
      </c>
      <c r="D33" s="10">
        <v>45839</v>
      </c>
      <c r="E33" s="10">
        <v>45851</v>
      </c>
      <c r="F33" s="9" t="s">
        <v>73</v>
      </c>
      <c r="G33" s="9" t="s">
        <v>26</v>
      </c>
      <c r="H33" s="10">
        <v>28079</v>
      </c>
      <c r="I33" s="9" t="s">
        <v>91</v>
      </c>
      <c r="J33" s="9" t="s">
        <v>75</v>
      </c>
      <c r="K33" s="9" t="s">
        <v>39</v>
      </c>
      <c r="L33" s="9" t="s">
        <v>40</v>
      </c>
      <c r="M33" s="11">
        <v>11</v>
      </c>
      <c r="N33" s="11">
        <v>12000</v>
      </c>
      <c r="O33" s="11">
        <v>0</v>
      </c>
      <c r="P33" s="11">
        <v>132000</v>
      </c>
      <c r="Q33" s="11">
        <v>3</v>
      </c>
      <c r="R33" s="9" t="s">
        <v>65</v>
      </c>
      <c r="S33" s="9" t="s">
        <v>32</v>
      </c>
      <c r="T33" s="9" t="s">
        <v>93</v>
      </c>
      <c r="U33" s="9">
        <v>9570437805</v>
      </c>
      <c r="V33" s="9" t="s">
        <v>52</v>
      </c>
      <c r="W33" s="3"/>
      <c r="X33" s="3"/>
      <c r="Y33" s="3"/>
      <c r="Z33" s="3"/>
    </row>
    <row r="34" spans="1:26" ht="15" thickBot="1" x14ac:dyDescent="0.4">
      <c r="A34" s="4" t="s">
        <v>141</v>
      </c>
      <c r="B34" s="4" t="s">
        <v>134</v>
      </c>
      <c r="C34" s="4" t="s">
        <v>24</v>
      </c>
      <c r="D34" s="5">
        <v>45723</v>
      </c>
      <c r="E34" s="5">
        <v>45731</v>
      </c>
      <c r="F34" s="4" t="s">
        <v>135</v>
      </c>
      <c r="G34" s="4" t="s">
        <v>26</v>
      </c>
      <c r="H34" s="5">
        <v>32444</v>
      </c>
      <c r="I34" s="4" t="s">
        <v>48</v>
      </c>
      <c r="J34" s="4" t="s">
        <v>28</v>
      </c>
      <c r="K34" s="4" t="s">
        <v>29</v>
      </c>
      <c r="L34" s="4" t="s">
        <v>30</v>
      </c>
      <c r="M34" s="6">
        <v>20</v>
      </c>
      <c r="N34" s="6">
        <v>2200</v>
      </c>
      <c r="O34" s="6">
        <v>5</v>
      </c>
      <c r="P34" s="6">
        <v>41800</v>
      </c>
      <c r="Q34" s="6">
        <v>1</v>
      </c>
      <c r="R34" s="4" t="s">
        <v>31</v>
      </c>
      <c r="S34" s="4" t="s">
        <v>42</v>
      </c>
      <c r="T34" s="4" t="s">
        <v>136</v>
      </c>
      <c r="U34" s="4">
        <v>9310669113</v>
      </c>
      <c r="V34" s="4" t="s">
        <v>52</v>
      </c>
      <c r="W34" s="3"/>
      <c r="X34" s="3"/>
      <c r="Y34" s="3"/>
      <c r="Z34" s="3"/>
    </row>
    <row r="35" spans="1:26" ht="15" thickBot="1" x14ac:dyDescent="0.4">
      <c r="A35" s="9" t="s">
        <v>142</v>
      </c>
      <c r="B35" s="9" t="s">
        <v>63</v>
      </c>
      <c r="C35" s="9" t="s">
        <v>125</v>
      </c>
      <c r="D35" s="10">
        <v>45832</v>
      </c>
      <c r="E35" s="10">
        <v>45842</v>
      </c>
      <c r="F35" s="9" t="s">
        <v>110</v>
      </c>
      <c r="G35" s="9" t="s">
        <v>58</v>
      </c>
      <c r="H35" s="10">
        <v>38161</v>
      </c>
      <c r="I35" s="9" t="s">
        <v>91</v>
      </c>
      <c r="J35" s="9" t="s">
        <v>75</v>
      </c>
      <c r="K35" s="9" t="s">
        <v>83</v>
      </c>
      <c r="L35" s="9" t="s">
        <v>127</v>
      </c>
      <c r="M35" s="11">
        <v>3</v>
      </c>
      <c r="N35" s="11">
        <v>20</v>
      </c>
      <c r="O35" s="11">
        <v>0</v>
      </c>
      <c r="P35" s="11">
        <v>60</v>
      </c>
      <c r="Q35" s="11">
        <v>2</v>
      </c>
      <c r="R35" s="9" t="s">
        <v>60</v>
      </c>
      <c r="S35" s="9" t="s">
        <v>32</v>
      </c>
      <c r="T35" s="9" t="s">
        <v>143</v>
      </c>
      <c r="U35" s="9">
        <v>9437132894</v>
      </c>
      <c r="V35" s="9" t="s">
        <v>53</v>
      </c>
      <c r="W35" s="3"/>
      <c r="X35" s="3"/>
      <c r="Y35" s="3"/>
      <c r="Z35" s="3"/>
    </row>
    <row r="36" spans="1:26" ht="15" thickBot="1" x14ac:dyDescent="0.4">
      <c r="A36" s="4" t="s">
        <v>144</v>
      </c>
      <c r="B36" s="4" t="s">
        <v>87</v>
      </c>
      <c r="C36" s="4" t="s">
        <v>138</v>
      </c>
      <c r="D36" s="5">
        <v>45939</v>
      </c>
      <c r="E36" s="5">
        <v>45949</v>
      </c>
      <c r="F36" s="4" t="s">
        <v>88</v>
      </c>
      <c r="G36" s="4" t="s">
        <v>58</v>
      </c>
      <c r="H36" s="5">
        <v>35177</v>
      </c>
      <c r="I36" s="4" t="s">
        <v>79</v>
      </c>
      <c r="J36" s="4" t="s">
        <v>75</v>
      </c>
      <c r="K36" s="4" t="s">
        <v>83</v>
      </c>
      <c r="L36" s="4" t="s">
        <v>139</v>
      </c>
      <c r="M36" s="6">
        <v>18</v>
      </c>
      <c r="N36" s="6">
        <v>45</v>
      </c>
      <c r="O36" s="6">
        <v>20</v>
      </c>
      <c r="P36" s="6">
        <v>648</v>
      </c>
      <c r="Q36" s="6">
        <v>4</v>
      </c>
      <c r="R36" s="4" t="s">
        <v>41</v>
      </c>
      <c r="S36" s="4" t="s">
        <v>32</v>
      </c>
      <c r="T36" s="4" t="s">
        <v>89</v>
      </c>
      <c r="U36" s="4">
        <v>9762437243</v>
      </c>
      <c r="V36" s="4" t="s">
        <v>53</v>
      </c>
      <c r="W36" s="3"/>
      <c r="X36" s="3"/>
      <c r="Y36" s="3"/>
      <c r="Z36" s="3"/>
    </row>
    <row r="37" spans="1:26" ht="15" thickBot="1" x14ac:dyDescent="0.4">
      <c r="A37" s="9" t="s">
        <v>145</v>
      </c>
      <c r="B37" s="9" t="s">
        <v>87</v>
      </c>
      <c r="C37" s="9" t="s">
        <v>56</v>
      </c>
      <c r="D37" s="10">
        <v>45980</v>
      </c>
      <c r="E37" s="10">
        <v>45987</v>
      </c>
      <c r="F37" s="9" t="s">
        <v>88</v>
      </c>
      <c r="G37" s="9" t="s">
        <v>58</v>
      </c>
      <c r="H37" s="10">
        <v>29043</v>
      </c>
      <c r="I37" s="9" t="s">
        <v>48</v>
      </c>
      <c r="J37" s="9" t="s">
        <v>28</v>
      </c>
      <c r="K37" s="9" t="s">
        <v>39</v>
      </c>
      <c r="L37" s="9" t="s">
        <v>59</v>
      </c>
      <c r="M37" s="11">
        <v>4</v>
      </c>
      <c r="N37" s="11">
        <v>1200</v>
      </c>
      <c r="O37" s="11">
        <v>20</v>
      </c>
      <c r="P37" s="11">
        <v>3840</v>
      </c>
      <c r="Q37" s="11">
        <v>3</v>
      </c>
      <c r="R37" s="9" t="s">
        <v>41</v>
      </c>
      <c r="S37" s="9" t="s">
        <v>50</v>
      </c>
      <c r="T37" s="9" t="s">
        <v>89</v>
      </c>
      <c r="U37" s="9">
        <v>9149046970</v>
      </c>
      <c r="V37" s="12" t="s">
        <v>34</v>
      </c>
      <c r="W37" s="3"/>
      <c r="X37" s="3"/>
      <c r="Y37" s="3"/>
      <c r="Z37" s="3"/>
    </row>
    <row r="38" spans="1:26" ht="15" thickBot="1" x14ac:dyDescent="0.4">
      <c r="A38" s="4" t="s">
        <v>146</v>
      </c>
      <c r="B38" s="4" t="s">
        <v>55</v>
      </c>
      <c r="C38" s="4" t="s">
        <v>46</v>
      </c>
      <c r="D38" s="5">
        <v>45966</v>
      </c>
      <c r="E38" s="5">
        <v>45975</v>
      </c>
      <c r="F38" s="4" t="s">
        <v>57</v>
      </c>
      <c r="G38" s="4" t="s">
        <v>58</v>
      </c>
      <c r="H38" s="5">
        <v>29491</v>
      </c>
      <c r="I38" s="4" t="s">
        <v>147</v>
      </c>
      <c r="J38" s="4" t="s">
        <v>148</v>
      </c>
      <c r="K38" s="4" t="s">
        <v>39</v>
      </c>
      <c r="L38" s="4" t="s">
        <v>49</v>
      </c>
      <c r="M38" s="6">
        <v>10</v>
      </c>
      <c r="N38" s="6">
        <v>55000</v>
      </c>
      <c r="O38" s="6">
        <v>0</v>
      </c>
      <c r="P38" s="6">
        <v>550000</v>
      </c>
      <c r="Q38" s="6">
        <v>1</v>
      </c>
      <c r="R38" s="4" t="s">
        <v>65</v>
      </c>
      <c r="S38" s="4" t="s">
        <v>42</v>
      </c>
      <c r="T38" s="4" t="s">
        <v>61</v>
      </c>
      <c r="U38" s="4">
        <v>9869182901</v>
      </c>
      <c r="V38" s="4" t="s">
        <v>53</v>
      </c>
      <c r="W38" s="3"/>
      <c r="X38" s="3"/>
      <c r="Y38" s="3"/>
      <c r="Z38" s="3"/>
    </row>
    <row r="39" spans="1:26" ht="15" thickBot="1" x14ac:dyDescent="0.4">
      <c r="A39" s="9" t="s">
        <v>149</v>
      </c>
      <c r="B39" s="9" t="s">
        <v>134</v>
      </c>
      <c r="C39" s="9" t="s">
        <v>68</v>
      </c>
      <c r="D39" s="10">
        <v>46089</v>
      </c>
      <c r="E39" s="10">
        <v>46101</v>
      </c>
      <c r="F39" s="9" t="s">
        <v>135</v>
      </c>
      <c r="G39" s="9" t="s">
        <v>26</v>
      </c>
      <c r="H39" s="10">
        <v>29393</v>
      </c>
      <c r="I39" s="9" t="s">
        <v>37</v>
      </c>
      <c r="J39" s="9" t="s">
        <v>38</v>
      </c>
      <c r="K39" s="9" t="s">
        <v>29</v>
      </c>
      <c r="L39" s="9" t="s">
        <v>70</v>
      </c>
      <c r="M39" s="11">
        <v>20</v>
      </c>
      <c r="N39" s="11">
        <v>3500</v>
      </c>
      <c r="O39" s="11">
        <v>10</v>
      </c>
      <c r="P39" s="11">
        <v>63000</v>
      </c>
      <c r="Q39" s="11">
        <v>3</v>
      </c>
      <c r="R39" s="9" t="s">
        <v>60</v>
      </c>
      <c r="S39" s="9" t="s">
        <v>42</v>
      </c>
      <c r="T39" s="9" t="s">
        <v>136</v>
      </c>
      <c r="U39" s="9">
        <v>9283578533</v>
      </c>
      <c r="V39" s="9" t="s">
        <v>53</v>
      </c>
      <c r="W39" s="3"/>
      <c r="X39" s="3"/>
      <c r="Y39" s="3"/>
      <c r="Z39" s="3"/>
    </row>
    <row r="40" spans="1:26" ht="15" thickBot="1" x14ac:dyDescent="0.4">
      <c r="A40" s="4" t="s">
        <v>150</v>
      </c>
      <c r="B40" s="4" t="s">
        <v>23</v>
      </c>
      <c r="C40" s="4" t="s">
        <v>125</v>
      </c>
      <c r="D40" s="5">
        <v>45701</v>
      </c>
      <c r="E40" s="5">
        <v>45707</v>
      </c>
      <c r="F40" s="4" t="s">
        <v>25</v>
      </c>
      <c r="G40" s="4" t="s">
        <v>26</v>
      </c>
      <c r="H40" s="5">
        <v>29023</v>
      </c>
      <c r="I40" s="4" t="s">
        <v>79</v>
      </c>
      <c r="J40" s="4" t="s">
        <v>75</v>
      </c>
      <c r="K40" s="4" t="s">
        <v>83</v>
      </c>
      <c r="L40" s="4" t="s">
        <v>127</v>
      </c>
      <c r="M40" s="6">
        <v>5</v>
      </c>
      <c r="N40" s="4">
        <v>1200</v>
      </c>
      <c r="O40" s="6">
        <v>0</v>
      </c>
      <c r="P40" s="6">
        <v>100</v>
      </c>
      <c r="Q40" s="6">
        <v>1</v>
      </c>
      <c r="R40" s="4" t="s">
        <v>31</v>
      </c>
      <c r="S40" s="4" t="s">
        <v>42</v>
      </c>
      <c r="T40" s="4" t="s">
        <v>43</v>
      </c>
      <c r="U40" s="4">
        <v>9963005771</v>
      </c>
      <c r="V40" s="4" t="s">
        <v>53</v>
      </c>
      <c r="W40" s="3"/>
      <c r="X40" s="3"/>
      <c r="Y40" s="3"/>
      <c r="Z40" s="3"/>
    </row>
    <row r="41" spans="1:26" ht="15" thickBot="1" x14ac:dyDescent="0.4">
      <c r="A41" s="9" t="s">
        <v>151</v>
      </c>
      <c r="B41" s="9" t="s">
        <v>45</v>
      </c>
      <c r="C41" s="9" t="s">
        <v>105</v>
      </c>
      <c r="D41" s="10">
        <v>45935</v>
      </c>
      <c r="E41" s="10">
        <v>45945</v>
      </c>
      <c r="F41" s="9" t="s">
        <v>101</v>
      </c>
      <c r="G41" s="9" t="s">
        <v>26</v>
      </c>
      <c r="H41" s="10">
        <v>33773</v>
      </c>
      <c r="I41" s="9" t="s">
        <v>74</v>
      </c>
      <c r="J41" s="9" t="s">
        <v>75</v>
      </c>
      <c r="K41" s="9" t="s">
        <v>29</v>
      </c>
      <c r="L41" s="9" t="s">
        <v>107</v>
      </c>
      <c r="M41" s="11">
        <v>20</v>
      </c>
      <c r="N41" s="11">
        <v>8500</v>
      </c>
      <c r="O41" s="11">
        <v>0</v>
      </c>
      <c r="P41" s="11">
        <v>170000</v>
      </c>
      <c r="Q41" s="11">
        <v>1</v>
      </c>
      <c r="R41" s="9" t="s">
        <v>65</v>
      </c>
      <c r="S41" s="9" t="s">
        <v>80</v>
      </c>
      <c r="T41" s="9" t="s">
        <v>51</v>
      </c>
      <c r="U41" s="9">
        <v>9484632635</v>
      </c>
      <c r="V41" s="9" t="s">
        <v>53</v>
      </c>
      <c r="W41" s="3"/>
      <c r="X41" s="3"/>
      <c r="Y41" s="3"/>
      <c r="Z41" s="3"/>
    </row>
    <row r="42" spans="1:26" ht="15" thickBot="1" x14ac:dyDescent="0.4">
      <c r="A42" s="4" t="s">
        <v>152</v>
      </c>
      <c r="B42" s="4" t="s">
        <v>63</v>
      </c>
      <c r="C42" s="4" t="s">
        <v>82</v>
      </c>
      <c r="D42" s="5">
        <v>46063</v>
      </c>
      <c r="E42" s="5">
        <v>46065</v>
      </c>
      <c r="F42" s="4" t="s">
        <v>110</v>
      </c>
      <c r="G42" s="4" t="s">
        <v>58</v>
      </c>
      <c r="H42" s="5">
        <v>34491</v>
      </c>
      <c r="I42" s="4" t="s">
        <v>48</v>
      </c>
      <c r="J42" s="4" t="s">
        <v>28</v>
      </c>
      <c r="K42" s="4" t="s">
        <v>83</v>
      </c>
      <c r="L42" s="4" t="s">
        <v>84</v>
      </c>
      <c r="M42" s="6">
        <v>8</v>
      </c>
      <c r="N42" s="6">
        <v>60</v>
      </c>
      <c r="O42" s="6">
        <v>15</v>
      </c>
      <c r="P42" s="6">
        <v>408</v>
      </c>
      <c r="Q42" s="6">
        <v>5</v>
      </c>
      <c r="R42" s="4" t="s">
        <v>65</v>
      </c>
      <c r="S42" s="4" t="s">
        <v>42</v>
      </c>
      <c r="T42" s="4" t="s">
        <v>66</v>
      </c>
      <c r="U42" s="4">
        <v>9276319484</v>
      </c>
      <c r="V42" s="4" t="s">
        <v>52</v>
      </c>
      <c r="W42" s="3"/>
      <c r="X42" s="3"/>
      <c r="Y42" s="3"/>
      <c r="Z42" s="3"/>
    </row>
    <row r="43" spans="1:26" ht="15" thickBot="1" x14ac:dyDescent="0.4">
      <c r="A43" s="9" t="s">
        <v>153</v>
      </c>
      <c r="B43" s="9" t="s">
        <v>45</v>
      </c>
      <c r="C43" s="9" t="s">
        <v>68</v>
      </c>
      <c r="D43" s="10">
        <v>45812</v>
      </c>
      <c r="E43" s="10">
        <v>45824</v>
      </c>
      <c r="F43" s="9" t="s">
        <v>101</v>
      </c>
      <c r="G43" s="9" t="s">
        <v>26</v>
      </c>
      <c r="H43" s="10">
        <v>32408</v>
      </c>
      <c r="I43" s="9" t="s">
        <v>79</v>
      </c>
      <c r="J43" s="9" t="s">
        <v>75</v>
      </c>
      <c r="K43" s="9" t="s">
        <v>29</v>
      </c>
      <c r="L43" s="9" t="s">
        <v>70</v>
      </c>
      <c r="M43" s="11">
        <v>8</v>
      </c>
      <c r="N43" s="11">
        <v>3500</v>
      </c>
      <c r="O43" s="11">
        <v>5</v>
      </c>
      <c r="P43" s="11">
        <v>26600</v>
      </c>
      <c r="Q43" s="11">
        <v>1</v>
      </c>
      <c r="R43" s="9" t="s">
        <v>60</v>
      </c>
      <c r="S43" s="9" t="s">
        <v>80</v>
      </c>
      <c r="T43" s="9" t="s">
        <v>51</v>
      </c>
      <c r="U43" s="9">
        <v>9619034852</v>
      </c>
      <c r="V43" s="9" t="s">
        <v>52</v>
      </c>
      <c r="W43" s="3"/>
      <c r="X43" s="3"/>
      <c r="Y43" s="3"/>
      <c r="Z43" s="3"/>
    </row>
    <row r="44" spans="1:26" ht="15" thickBot="1" x14ac:dyDescent="0.4">
      <c r="A44" s="4" t="s">
        <v>154</v>
      </c>
      <c r="B44" s="4" t="s">
        <v>55</v>
      </c>
      <c r="C44" s="4" t="s">
        <v>105</v>
      </c>
      <c r="D44" s="5">
        <v>46061</v>
      </c>
      <c r="E44" s="5">
        <v>46067</v>
      </c>
      <c r="F44" s="4" t="s">
        <v>57</v>
      </c>
      <c r="G44" s="4" t="s">
        <v>58</v>
      </c>
      <c r="H44" s="5">
        <v>37086</v>
      </c>
      <c r="I44" s="4" t="s">
        <v>121</v>
      </c>
      <c r="J44" s="4" t="s">
        <v>38</v>
      </c>
      <c r="K44" s="4" t="s">
        <v>29</v>
      </c>
      <c r="L44" s="4" t="s">
        <v>107</v>
      </c>
      <c r="M44" s="6">
        <v>1</v>
      </c>
      <c r="N44" s="6">
        <v>8500</v>
      </c>
      <c r="O44" s="6">
        <v>0</v>
      </c>
      <c r="P44" s="6">
        <v>8500</v>
      </c>
      <c r="Q44" s="6">
        <v>2</v>
      </c>
      <c r="R44" s="4" t="s">
        <v>60</v>
      </c>
      <c r="S44" s="4" t="s">
        <v>80</v>
      </c>
      <c r="T44" s="4" t="s">
        <v>61</v>
      </c>
      <c r="U44" s="4">
        <v>9636416962</v>
      </c>
      <c r="V44" s="4" t="s">
        <v>52</v>
      </c>
      <c r="W44" s="3"/>
      <c r="X44" s="3"/>
      <c r="Y44" s="3"/>
      <c r="Z44" s="3"/>
    </row>
    <row r="45" spans="1:26" ht="15" thickBot="1" x14ac:dyDescent="0.4">
      <c r="A45" s="9" t="s">
        <v>155</v>
      </c>
      <c r="B45" s="9" t="s">
        <v>156</v>
      </c>
      <c r="C45" s="9" t="s">
        <v>138</v>
      </c>
      <c r="D45" s="10">
        <v>45746</v>
      </c>
      <c r="E45" s="10">
        <v>45747</v>
      </c>
      <c r="F45" s="9" t="s">
        <v>157</v>
      </c>
      <c r="G45" s="9" t="s">
        <v>58</v>
      </c>
      <c r="H45" s="10">
        <v>33459</v>
      </c>
      <c r="I45" s="9" t="s">
        <v>79</v>
      </c>
      <c r="J45" s="9" t="s">
        <v>75</v>
      </c>
      <c r="K45" s="9" t="s">
        <v>83</v>
      </c>
      <c r="L45" s="9" t="s">
        <v>139</v>
      </c>
      <c r="M45" s="11">
        <v>8</v>
      </c>
      <c r="N45" s="11">
        <v>45</v>
      </c>
      <c r="O45" s="11">
        <v>15</v>
      </c>
      <c r="P45" s="11">
        <v>306</v>
      </c>
      <c r="Q45" s="11">
        <v>2</v>
      </c>
      <c r="R45" s="9" t="s">
        <v>60</v>
      </c>
      <c r="S45" s="9" t="s">
        <v>50</v>
      </c>
      <c r="T45" s="9" t="s">
        <v>158</v>
      </c>
      <c r="U45" s="9">
        <v>9357133880</v>
      </c>
      <c r="V45" s="12" t="s">
        <v>34</v>
      </c>
      <c r="W45" s="3"/>
      <c r="X45" s="3"/>
      <c r="Y45" s="3"/>
      <c r="Z45" s="3"/>
    </row>
    <row r="46" spans="1:26" ht="15" thickBot="1" x14ac:dyDescent="0.4">
      <c r="A46" s="4" t="s">
        <v>159</v>
      </c>
      <c r="B46" s="4" t="s">
        <v>134</v>
      </c>
      <c r="C46" s="4" t="s">
        <v>24</v>
      </c>
      <c r="D46" s="5">
        <v>45772</v>
      </c>
      <c r="E46" s="5">
        <v>45775</v>
      </c>
      <c r="F46" s="4" t="s">
        <v>135</v>
      </c>
      <c r="G46" s="4" t="s">
        <v>26</v>
      </c>
      <c r="H46" s="5">
        <v>32437</v>
      </c>
      <c r="I46" s="4" t="s">
        <v>79</v>
      </c>
      <c r="J46" s="4" t="s">
        <v>75</v>
      </c>
      <c r="K46" s="4" t="s">
        <v>29</v>
      </c>
      <c r="L46" s="4" t="s">
        <v>30</v>
      </c>
      <c r="M46" s="6">
        <v>16</v>
      </c>
      <c r="N46" s="6">
        <v>2200</v>
      </c>
      <c r="O46" s="6">
        <v>5</v>
      </c>
      <c r="P46" s="6">
        <v>33440</v>
      </c>
      <c r="Q46" s="6">
        <v>5</v>
      </c>
      <c r="R46" s="4" t="s">
        <v>60</v>
      </c>
      <c r="S46" s="4" t="s">
        <v>50</v>
      </c>
      <c r="T46" s="4" t="s">
        <v>136</v>
      </c>
      <c r="U46" s="4">
        <v>9575210324</v>
      </c>
      <c r="V46" s="4" t="s">
        <v>53</v>
      </c>
      <c r="W46" s="3"/>
      <c r="X46" s="3"/>
      <c r="Y46" s="3"/>
      <c r="Z46" s="3"/>
    </row>
    <row r="47" spans="1:26" ht="15" thickBot="1" x14ac:dyDescent="0.4">
      <c r="A47" s="9" t="s">
        <v>160</v>
      </c>
      <c r="B47" s="9" t="s">
        <v>55</v>
      </c>
      <c r="C47" s="9" t="s">
        <v>68</v>
      </c>
      <c r="D47" s="10">
        <v>45943</v>
      </c>
      <c r="E47" s="10">
        <v>45953</v>
      </c>
      <c r="F47" s="9" t="s">
        <v>57</v>
      </c>
      <c r="G47" s="9" t="s">
        <v>58</v>
      </c>
      <c r="H47" s="10">
        <v>37579</v>
      </c>
      <c r="I47" s="9" t="s">
        <v>48</v>
      </c>
      <c r="J47" s="9" t="s">
        <v>28</v>
      </c>
      <c r="K47" s="9" t="s">
        <v>29</v>
      </c>
      <c r="L47" s="9" t="s">
        <v>70</v>
      </c>
      <c r="M47" s="11">
        <v>19</v>
      </c>
      <c r="N47" s="11">
        <v>3500</v>
      </c>
      <c r="O47" s="11">
        <v>20</v>
      </c>
      <c r="P47" s="11">
        <v>53200</v>
      </c>
      <c r="Q47" s="11">
        <v>3</v>
      </c>
      <c r="R47" s="9" t="s">
        <v>31</v>
      </c>
      <c r="S47" s="9" t="s">
        <v>96</v>
      </c>
      <c r="T47" s="9" t="s">
        <v>61</v>
      </c>
      <c r="U47" s="9">
        <v>9276080204</v>
      </c>
      <c r="V47" s="9" t="s">
        <v>53</v>
      </c>
      <c r="W47" s="3"/>
      <c r="X47" s="3"/>
      <c r="Y47" s="3"/>
      <c r="Z47" s="3"/>
    </row>
    <row r="48" spans="1:26" ht="15" thickBot="1" x14ac:dyDescent="0.4">
      <c r="A48" s="4" t="s">
        <v>161</v>
      </c>
      <c r="B48" s="4" t="s">
        <v>134</v>
      </c>
      <c r="C48" s="4" t="s">
        <v>112</v>
      </c>
      <c r="D48" s="5">
        <v>45941</v>
      </c>
      <c r="E48" s="5">
        <v>45944</v>
      </c>
      <c r="F48" s="4" t="s">
        <v>135</v>
      </c>
      <c r="G48" s="4" t="s">
        <v>26</v>
      </c>
      <c r="H48" s="5">
        <v>36713</v>
      </c>
      <c r="I48" s="4" t="s">
        <v>79</v>
      </c>
      <c r="J48" s="4" t="s">
        <v>75</v>
      </c>
      <c r="K48" s="4" t="s">
        <v>39</v>
      </c>
      <c r="L48" s="4" t="s">
        <v>114</v>
      </c>
      <c r="M48" s="6">
        <v>15</v>
      </c>
      <c r="N48" s="6">
        <v>700</v>
      </c>
      <c r="O48" s="6">
        <v>15</v>
      </c>
      <c r="P48" s="6">
        <v>8925</v>
      </c>
      <c r="Q48" s="6">
        <v>4</v>
      </c>
      <c r="R48" s="4" t="s">
        <v>65</v>
      </c>
      <c r="S48" s="4" t="s">
        <v>80</v>
      </c>
      <c r="T48" s="4" t="s">
        <v>162</v>
      </c>
      <c r="U48" s="4">
        <v>9856624471</v>
      </c>
      <c r="V48" s="8" t="s">
        <v>34</v>
      </c>
      <c r="W48" s="3"/>
      <c r="X48" s="3"/>
      <c r="Y48" s="3"/>
      <c r="Z48" s="3"/>
    </row>
    <row r="49" spans="1:26" ht="15" thickBot="1" x14ac:dyDescent="0.4">
      <c r="A49" s="9" t="s">
        <v>163</v>
      </c>
      <c r="B49" s="9" t="s">
        <v>134</v>
      </c>
      <c r="C49" s="9" t="s">
        <v>112</v>
      </c>
      <c r="D49" s="10">
        <v>45988</v>
      </c>
      <c r="E49" s="10">
        <v>45994</v>
      </c>
      <c r="F49" s="9" t="s">
        <v>135</v>
      </c>
      <c r="G49" s="9" t="s">
        <v>26</v>
      </c>
      <c r="H49" s="10">
        <v>36125</v>
      </c>
      <c r="I49" s="9" t="s">
        <v>121</v>
      </c>
      <c r="J49" s="9" t="s">
        <v>38</v>
      </c>
      <c r="K49" s="9" t="s">
        <v>39</v>
      </c>
      <c r="L49" s="9" t="s">
        <v>114</v>
      </c>
      <c r="M49" s="11">
        <v>19</v>
      </c>
      <c r="N49" s="11">
        <v>700</v>
      </c>
      <c r="O49" s="11">
        <v>20</v>
      </c>
      <c r="P49" s="11">
        <v>10640</v>
      </c>
      <c r="Q49" s="11">
        <v>1</v>
      </c>
      <c r="R49" s="9" t="s">
        <v>31</v>
      </c>
      <c r="S49" s="9" t="s">
        <v>80</v>
      </c>
      <c r="T49" s="9" t="s">
        <v>136</v>
      </c>
      <c r="U49" s="9">
        <v>9238141322</v>
      </c>
      <c r="V49" s="12" t="s">
        <v>34</v>
      </c>
      <c r="W49" s="3"/>
      <c r="X49" s="3"/>
      <c r="Y49" s="3"/>
      <c r="Z49" s="3"/>
    </row>
    <row r="50" spans="1:26" ht="15" thickBot="1" x14ac:dyDescent="0.4">
      <c r="A50" s="4" t="s">
        <v>164</v>
      </c>
      <c r="B50" s="4" t="s">
        <v>55</v>
      </c>
      <c r="C50" s="4" t="s">
        <v>36</v>
      </c>
      <c r="D50" s="14">
        <v>46131</v>
      </c>
      <c r="E50" s="4"/>
      <c r="F50" s="4" t="s">
        <v>57</v>
      </c>
      <c r="G50" s="4" t="s">
        <v>58</v>
      </c>
      <c r="H50" s="5">
        <v>35219</v>
      </c>
      <c r="I50" s="4" t="s">
        <v>37</v>
      </c>
      <c r="J50" s="4" t="s">
        <v>38</v>
      </c>
      <c r="K50" s="4" t="s">
        <v>39</v>
      </c>
      <c r="L50" s="4" t="s">
        <v>40</v>
      </c>
      <c r="M50" s="6">
        <v>19</v>
      </c>
      <c r="N50" s="6">
        <v>12000</v>
      </c>
      <c r="O50" s="6">
        <v>0</v>
      </c>
      <c r="P50" s="6">
        <v>228000</v>
      </c>
      <c r="Q50" s="6">
        <v>1</v>
      </c>
      <c r="R50" s="4" t="s">
        <v>41</v>
      </c>
      <c r="S50" s="4" t="s">
        <v>50</v>
      </c>
      <c r="T50" s="4" t="s">
        <v>61</v>
      </c>
      <c r="U50" s="4">
        <v>9890380030</v>
      </c>
      <c r="V50" s="8" t="s">
        <v>34</v>
      </c>
      <c r="W50" s="3"/>
      <c r="X50" s="3"/>
      <c r="Y50" s="3"/>
      <c r="Z50" s="3"/>
    </row>
    <row r="51" spans="1:26" ht="15" thickBot="1" x14ac:dyDescent="0.4">
      <c r="A51" s="9" t="s">
        <v>165</v>
      </c>
      <c r="B51" s="9" t="s">
        <v>104</v>
      </c>
      <c r="C51" s="9" t="s">
        <v>56</v>
      </c>
      <c r="D51" s="10">
        <v>46131</v>
      </c>
      <c r="E51" s="10">
        <v>46133</v>
      </c>
      <c r="F51" s="9" t="s">
        <v>166</v>
      </c>
      <c r="G51" s="9" t="s">
        <v>26</v>
      </c>
      <c r="H51" s="10">
        <v>31851</v>
      </c>
      <c r="I51" s="9" t="s">
        <v>79</v>
      </c>
      <c r="J51" s="9" t="s">
        <v>75</v>
      </c>
      <c r="K51" s="9" t="s">
        <v>39</v>
      </c>
      <c r="L51" s="9" t="s">
        <v>59</v>
      </c>
      <c r="M51" s="11">
        <v>6</v>
      </c>
      <c r="N51" s="11">
        <v>1200</v>
      </c>
      <c r="O51" s="11">
        <v>5</v>
      </c>
      <c r="P51" s="11">
        <v>6840</v>
      </c>
      <c r="Q51" s="11">
        <v>2</v>
      </c>
      <c r="R51" s="9" t="s">
        <v>31</v>
      </c>
      <c r="S51" s="9" t="s">
        <v>32</v>
      </c>
      <c r="T51" s="9" t="s">
        <v>108</v>
      </c>
      <c r="U51" s="9">
        <v>9495893170</v>
      </c>
      <c r="V51" s="9" t="s">
        <v>52</v>
      </c>
      <c r="W51" s="3"/>
      <c r="X51" s="3"/>
      <c r="Y51" s="3"/>
      <c r="Z51" s="3"/>
    </row>
    <row r="52" spans="1:26" ht="15" thickBot="1" x14ac:dyDescent="0.4">
      <c r="A52" s="4" t="s">
        <v>167</v>
      </c>
      <c r="B52" s="4" t="s">
        <v>45</v>
      </c>
      <c r="C52" s="4" t="s">
        <v>24</v>
      </c>
      <c r="D52" s="5">
        <v>45744</v>
      </c>
      <c r="E52" s="5">
        <v>45754</v>
      </c>
      <c r="F52" s="4" t="s">
        <v>168</v>
      </c>
      <c r="G52" s="4" t="s">
        <v>26</v>
      </c>
      <c r="H52" s="5">
        <v>28906</v>
      </c>
      <c r="I52" s="4" t="s">
        <v>48</v>
      </c>
      <c r="J52" s="4" t="s">
        <v>28</v>
      </c>
      <c r="K52" s="4" t="s">
        <v>29</v>
      </c>
      <c r="L52" s="4" t="s">
        <v>30</v>
      </c>
      <c r="M52" s="6">
        <v>7</v>
      </c>
      <c r="N52" s="6">
        <v>2200</v>
      </c>
      <c r="O52" s="6">
        <v>15</v>
      </c>
      <c r="P52" s="6">
        <v>13090</v>
      </c>
      <c r="Q52" s="6">
        <v>1</v>
      </c>
      <c r="R52" s="4" t="s">
        <v>65</v>
      </c>
      <c r="S52" s="4" t="s">
        <v>50</v>
      </c>
      <c r="T52" s="4" t="s">
        <v>51</v>
      </c>
      <c r="U52" s="4">
        <v>9485166307</v>
      </c>
      <c r="V52" s="8" t="s">
        <v>34</v>
      </c>
      <c r="W52" s="3"/>
      <c r="X52" s="3"/>
      <c r="Y52" s="3"/>
      <c r="Z52" s="3"/>
    </row>
    <row r="53" spans="1:26" ht="15" thickBot="1" x14ac:dyDescent="0.4">
      <c r="A53" s="9" t="s">
        <v>169</v>
      </c>
      <c r="B53" s="9" t="s">
        <v>72</v>
      </c>
      <c r="C53" s="9" t="s">
        <v>82</v>
      </c>
      <c r="D53" s="10">
        <v>45894</v>
      </c>
      <c r="E53" s="10">
        <v>45897</v>
      </c>
      <c r="F53" s="9" t="s">
        <v>73</v>
      </c>
      <c r="G53" s="9" t="s">
        <v>26</v>
      </c>
      <c r="H53" s="10">
        <v>36747</v>
      </c>
      <c r="I53" s="9" t="s">
        <v>121</v>
      </c>
      <c r="J53" s="9" t="s">
        <v>38</v>
      </c>
      <c r="K53" s="9" t="s">
        <v>83</v>
      </c>
      <c r="L53" s="9" t="s">
        <v>84</v>
      </c>
      <c r="M53" s="11">
        <v>8</v>
      </c>
      <c r="N53" s="11">
        <v>60</v>
      </c>
      <c r="O53" s="11">
        <v>10</v>
      </c>
      <c r="P53" s="11">
        <v>432</v>
      </c>
      <c r="Q53" s="11">
        <v>5</v>
      </c>
      <c r="R53" s="9" t="s">
        <v>60</v>
      </c>
      <c r="S53" s="9" t="s">
        <v>50</v>
      </c>
      <c r="T53" s="9" t="s">
        <v>93</v>
      </c>
      <c r="U53" s="9">
        <v>9924709648</v>
      </c>
      <c r="V53" s="9" t="s">
        <v>53</v>
      </c>
      <c r="W53" s="3"/>
      <c r="X53" s="3"/>
      <c r="Y53" s="3"/>
      <c r="Z53" s="3"/>
    </row>
    <row r="54" spans="1:26" ht="15" thickBot="1" x14ac:dyDescent="0.4">
      <c r="A54" s="4" t="s">
        <v>170</v>
      </c>
      <c r="B54" s="4" t="s">
        <v>124</v>
      </c>
      <c r="C54" s="4" t="s">
        <v>46</v>
      </c>
      <c r="D54" s="5">
        <v>45888</v>
      </c>
      <c r="E54" s="5">
        <v>45892</v>
      </c>
      <c r="F54" s="4" t="s">
        <v>126</v>
      </c>
      <c r="G54" s="4" t="s">
        <v>58</v>
      </c>
      <c r="H54" s="5">
        <v>27776</v>
      </c>
      <c r="I54" s="4" t="s">
        <v>147</v>
      </c>
      <c r="J54" s="4" t="s">
        <v>148</v>
      </c>
      <c r="K54" s="4" t="s">
        <v>39</v>
      </c>
      <c r="L54" s="4" t="s">
        <v>49</v>
      </c>
      <c r="M54" s="6">
        <v>12</v>
      </c>
      <c r="N54" s="6">
        <v>55000</v>
      </c>
      <c r="O54" s="6">
        <v>5</v>
      </c>
      <c r="P54" s="6">
        <v>627000</v>
      </c>
      <c r="Q54" s="6">
        <v>2</v>
      </c>
      <c r="R54" s="4" t="s">
        <v>65</v>
      </c>
      <c r="S54" s="4" t="s">
        <v>42</v>
      </c>
      <c r="T54" s="4" t="s">
        <v>128</v>
      </c>
      <c r="U54" s="4">
        <v>9350554626</v>
      </c>
      <c r="V54" s="4" t="s">
        <v>52</v>
      </c>
      <c r="W54" s="3"/>
      <c r="X54" s="3"/>
      <c r="Y54" s="3"/>
      <c r="Z54" s="3"/>
    </row>
    <row r="55" spans="1:26" ht="15" thickBot="1" x14ac:dyDescent="0.4">
      <c r="A55" s="9" t="s">
        <v>171</v>
      </c>
      <c r="B55" s="9" t="s">
        <v>23</v>
      </c>
      <c r="C55" s="9" t="s">
        <v>112</v>
      </c>
      <c r="D55" s="10">
        <v>45865</v>
      </c>
      <c r="E55" s="10">
        <v>45874</v>
      </c>
      <c r="F55" s="9" t="s">
        <v>25</v>
      </c>
      <c r="G55" s="9" t="s">
        <v>26</v>
      </c>
      <c r="H55" s="10">
        <v>27488</v>
      </c>
      <c r="I55" s="9" t="s">
        <v>121</v>
      </c>
      <c r="J55" s="9" t="s">
        <v>38</v>
      </c>
      <c r="K55" s="9" t="s">
        <v>39</v>
      </c>
      <c r="L55" s="9" t="s">
        <v>114</v>
      </c>
      <c r="M55" s="11">
        <v>3</v>
      </c>
      <c r="N55" s="11">
        <v>700</v>
      </c>
      <c r="O55" s="11">
        <v>0</v>
      </c>
      <c r="P55" s="11">
        <v>2100</v>
      </c>
      <c r="Q55" s="11">
        <v>3</v>
      </c>
      <c r="R55" s="9" t="s">
        <v>60</v>
      </c>
      <c r="S55" s="9" t="s">
        <v>96</v>
      </c>
      <c r="T55" s="9" t="s">
        <v>43</v>
      </c>
      <c r="U55" s="9">
        <v>9743295580</v>
      </c>
      <c r="V55" s="9" t="s">
        <v>53</v>
      </c>
      <c r="W55" s="3"/>
      <c r="X55" s="3"/>
      <c r="Y55" s="3"/>
      <c r="Z55" s="3"/>
    </row>
    <row r="56" spans="1:26" ht="15" thickBot="1" x14ac:dyDescent="0.4">
      <c r="A56" s="4" t="s">
        <v>172</v>
      </c>
      <c r="B56" s="4" t="s">
        <v>87</v>
      </c>
      <c r="C56" s="4" t="s">
        <v>82</v>
      </c>
      <c r="D56" s="5">
        <v>45709</v>
      </c>
      <c r="E56" s="5">
        <v>45714</v>
      </c>
      <c r="F56" s="4" t="s">
        <v>173</v>
      </c>
      <c r="G56" s="4" t="s">
        <v>58</v>
      </c>
      <c r="H56" s="5">
        <v>28105</v>
      </c>
      <c r="I56" s="4" t="s">
        <v>91</v>
      </c>
      <c r="J56" s="4" t="s">
        <v>75</v>
      </c>
      <c r="K56" s="4" t="s">
        <v>83</v>
      </c>
      <c r="L56" s="4" t="s">
        <v>84</v>
      </c>
      <c r="M56" s="6">
        <v>19</v>
      </c>
      <c r="N56" s="6">
        <v>60</v>
      </c>
      <c r="O56" s="6">
        <v>15</v>
      </c>
      <c r="P56" s="6">
        <v>969</v>
      </c>
      <c r="Q56" s="6">
        <v>4</v>
      </c>
      <c r="R56" s="4" t="s">
        <v>60</v>
      </c>
      <c r="S56" s="4" t="s">
        <v>42</v>
      </c>
      <c r="T56" s="4" t="s">
        <v>89</v>
      </c>
      <c r="U56" s="4">
        <v>9822926495</v>
      </c>
      <c r="V56" s="4" t="s">
        <v>53</v>
      </c>
      <c r="W56" s="3"/>
      <c r="X56" s="3"/>
      <c r="Y56" s="3"/>
      <c r="Z56" s="3"/>
    </row>
    <row r="57" spans="1:26" ht="15" thickBot="1" x14ac:dyDescent="0.4">
      <c r="A57" s="9" t="s">
        <v>174</v>
      </c>
      <c r="B57" s="9" t="s">
        <v>156</v>
      </c>
      <c r="C57" s="9" t="s">
        <v>82</v>
      </c>
      <c r="D57" s="10">
        <v>45879</v>
      </c>
      <c r="E57" s="10">
        <v>45880</v>
      </c>
      <c r="F57" s="9" t="s">
        <v>106</v>
      </c>
      <c r="G57" s="9" t="s">
        <v>58</v>
      </c>
      <c r="H57" s="10">
        <v>29192</v>
      </c>
      <c r="I57" s="9" t="s">
        <v>121</v>
      </c>
      <c r="J57" s="9" t="s">
        <v>38</v>
      </c>
      <c r="K57" s="9" t="s">
        <v>83</v>
      </c>
      <c r="L57" s="9" t="s">
        <v>84</v>
      </c>
      <c r="M57" s="11">
        <v>9</v>
      </c>
      <c r="N57" s="11">
        <v>60</v>
      </c>
      <c r="O57" s="11">
        <v>20</v>
      </c>
      <c r="P57" s="11">
        <v>432</v>
      </c>
      <c r="Q57" s="11">
        <v>1</v>
      </c>
      <c r="R57" s="9" t="s">
        <v>41</v>
      </c>
      <c r="S57" s="9" t="s">
        <v>80</v>
      </c>
      <c r="T57" s="9" t="s">
        <v>158</v>
      </c>
      <c r="U57" s="9">
        <v>9518298190</v>
      </c>
      <c r="V57" s="9" t="s">
        <v>52</v>
      </c>
      <c r="W57" s="3"/>
      <c r="X57" s="3"/>
      <c r="Y57" s="3"/>
      <c r="Z57" s="3"/>
    </row>
    <row r="58" spans="1:26" ht="15" thickBot="1" x14ac:dyDescent="0.4">
      <c r="A58" s="4" t="s">
        <v>175</v>
      </c>
      <c r="B58" s="4" t="s">
        <v>156</v>
      </c>
      <c r="C58" s="4" t="s">
        <v>112</v>
      </c>
      <c r="D58" s="5">
        <v>46105</v>
      </c>
      <c r="E58" s="5">
        <v>46111</v>
      </c>
      <c r="F58" s="4" t="s">
        <v>106</v>
      </c>
      <c r="G58" s="4" t="s">
        <v>58</v>
      </c>
      <c r="H58" s="5">
        <v>28851</v>
      </c>
      <c r="I58" s="4" t="s">
        <v>48</v>
      </c>
      <c r="J58" s="4" t="s">
        <v>28</v>
      </c>
      <c r="K58" s="4" t="s">
        <v>39</v>
      </c>
      <c r="L58" s="4" t="s">
        <v>114</v>
      </c>
      <c r="M58" s="6">
        <v>6</v>
      </c>
      <c r="N58" s="6">
        <v>700</v>
      </c>
      <c r="O58" s="6">
        <v>0</v>
      </c>
      <c r="P58" s="6">
        <v>4200</v>
      </c>
      <c r="Q58" s="6">
        <v>4</v>
      </c>
      <c r="R58" s="4" t="s">
        <v>65</v>
      </c>
      <c r="S58" s="4" t="s">
        <v>42</v>
      </c>
      <c r="T58" s="4" t="s">
        <v>176</v>
      </c>
      <c r="U58" s="4">
        <v>9366223547</v>
      </c>
      <c r="V58" s="4" t="s">
        <v>53</v>
      </c>
      <c r="W58" s="3"/>
      <c r="X58" s="3"/>
      <c r="Y58" s="3"/>
      <c r="Z58" s="3"/>
    </row>
    <row r="59" spans="1:26" ht="15" thickBot="1" x14ac:dyDescent="0.4">
      <c r="A59" s="9" t="s">
        <v>177</v>
      </c>
      <c r="B59" s="9" t="s">
        <v>87</v>
      </c>
      <c r="C59" s="9" t="s">
        <v>138</v>
      </c>
      <c r="D59" s="10">
        <v>46094</v>
      </c>
      <c r="E59" s="10">
        <v>46100</v>
      </c>
      <c r="F59" s="9" t="s">
        <v>88</v>
      </c>
      <c r="G59" s="9" t="s">
        <v>58</v>
      </c>
      <c r="H59" s="10">
        <v>27499</v>
      </c>
      <c r="I59" s="9" t="s">
        <v>37</v>
      </c>
      <c r="J59" s="9" t="s">
        <v>38</v>
      </c>
      <c r="K59" s="9" t="s">
        <v>83</v>
      </c>
      <c r="L59" s="9" t="s">
        <v>139</v>
      </c>
      <c r="M59" s="11">
        <v>18</v>
      </c>
      <c r="N59" s="11">
        <v>45</v>
      </c>
      <c r="O59" s="11">
        <v>5</v>
      </c>
      <c r="P59" s="11">
        <v>769.5</v>
      </c>
      <c r="Q59" s="11">
        <v>1</v>
      </c>
      <c r="R59" s="9" t="s">
        <v>60</v>
      </c>
      <c r="S59" s="9" t="s">
        <v>50</v>
      </c>
      <c r="T59" s="9" t="s">
        <v>89</v>
      </c>
      <c r="U59" s="9">
        <v>9701988524</v>
      </c>
      <c r="V59" s="9" t="s">
        <v>52</v>
      </c>
      <c r="W59" s="3"/>
      <c r="X59" s="3"/>
      <c r="Y59" s="3"/>
      <c r="Z59" s="3"/>
    </row>
    <row r="60" spans="1:26" ht="15" thickBot="1" x14ac:dyDescent="0.4">
      <c r="A60" s="4" t="s">
        <v>178</v>
      </c>
      <c r="B60" s="4" t="s">
        <v>63</v>
      </c>
      <c r="C60" s="4" t="s">
        <v>125</v>
      </c>
      <c r="D60" s="5">
        <v>45823</v>
      </c>
      <c r="E60" s="5">
        <v>45834</v>
      </c>
      <c r="F60" s="4" t="s">
        <v>110</v>
      </c>
      <c r="G60" s="4" t="s">
        <v>58</v>
      </c>
      <c r="H60" s="5">
        <v>32496</v>
      </c>
      <c r="I60" s="4" t="s">
        <v>121</v>
      </c>
      <c r="J60" s="4" t="s">
        <v>38</v>
      </c>
      <c r="K60" s="4" t="s">
        <v>83</v>
      </c>
      <c r="L60" s="4" t="s">
        <v>127</v>
      </c>
      <c r="M60" s="6">
        <v>8</v>
      </c>
      <c r="N60" s="6">
        <v>20</v>
      </c>
      <c r="O60" s="6">
        <v>5</v>
      </c>
      <c r="P60" s="6">
        <v>152</v>
      </c>
      <c r="Q60" s="6">
        <v>1</v>
      </c>
      <c r="R60" s="4" t="s">
        <v>60</v>
      </c>
      <c r="S60" s="4" t="s">
        <v>32</v>
      </c>
      <c r="T60" s="4" t="s">
        <v>66</v>
      </c>
      <c r="U60" s="4">
        <v>9836327649</v>
      </c>
      <c r="V60" s="8" t="s">
        <v>179</v>
      </c>
      <c r="W60" s="3"/>
      <c r="X60" s="3"/>
      <c r="Y60" s="3"/>
      <c r="Z60" s="3"/>
    </row>
    <row r="61" spans="1:26" ht="15" thickBot="1" x14ac:dyDescent="0.4">
      <c r="A61" s="9" t="s">
        <v>180</v>
      </c>
      <c r="B61" s="9" t="s">
        <v>124</v>
      </c>
      <c r="C61" s="9" t="s">
        <v>112</v>
      </c>
      <c r="D61" s="10">
        <v>45721</v>
      </c>
      <c r="E61" s="10">
        <v>45722</v>
      </c>
      <c r="F61" s="9" t="s">
        <v>126</v>
      </c>
      <c r="G61" s="9" t="s">
        <v>58</v>
      </c>
      <c r="H61" s="10">
        <v>28921</v>
      </c>
      <c r="I61" s="9" t="s">
        <v>121</v>
      </c>
      <c r="J61" s="9" t="s">
        <v>38</v>
      </c>
      <c r="K61" s="9" t="s">
        <v>39</v>
      </c>
      <c r="L61" s="9" t="s">
        <v>114</v>
      </c>
      <c r="M61" s="11">
        <v>8</v>
      </c>
      <c r="N61" s="11">
        <v>700</v>
      </c>
      <c r="O61" s="11">
        <v>10</v>
      </c>
      <c r="P61" s="11">
        <v>5040</v>
      </c>
      <c r="Q61" s="11">
        <v>1</v>
      </c>
      <c r="R61" s="9" t="s">
        <v>41</v>
      </c>
      <c r="S61" s="9" t="s">
        <v>50</v>
      </c>
      <c r="T61" s="13" t="s">
        <v>181</v>
      </c>
      <c r="U61" s="9">
        <v>9261800516</v>
      </c>
      <c r="V61" s="9" t="s">
        <v>53</v>
      </c>
      <c r="W61" s="3"/>
      <c r="X61" s="3"/>
      <c r="Y61" s="3"/>
      <c r="Z61" s="3"/>
    </row>
    <row r="62" spans="1:26" ht="15" thickBot="1" x14ac:dyDescent="0.4">
      <c r="A62" s="4" t="s">
        <v>182</v>
      </c>
      <c r="B62" s="4" t="s">
        <v>23</v>
      </c>
      <c r="C62" s="4" t="s">
        <v>125</v>
      </c>
      <c r="D62" s="5">
        <v>46121</v>
      </c>
      <c r="E62" s="5">
        <v>46131</v>
      </c>
      <c r="F62" s="4" t="s">
        <v>25</v>
      </c>
      <c r="G62" s="4" t="s">
        <v>26</v>
      </c>
      <c r="H62" s="5">
        <v>37972</v>
      </c>
      <c r="I62" s="4" t="s">
        <v>37</v>
      </c>
      <c r="J62" s="4" t="s">
        <v>38</v>
      </c>
      <c r="K62" s="4" t="s">
        <v>83</v>
      </c>
      <c r="L62" s="4" t="s">
        <v>127</v>
      </c>
      <c r="M62" s="6">
        <v>7</v>
      </c>
      <c r="N62" s="6">
        <v>20</v>
      </c>
      <c r="O62" s="6">
        <v>15</v>
      </c>
      <c r="P62" s="6">
        <v>119</v>
      </c>
      <c r="Q62" s="6">
        <v>5</v>
      </c>
      <c r="R62" s="4" t="s">
        <v>60</v>
      </c>
      <c r="S62" s="4" t="s">
        <v>42</v>
      </c>
      <c r="T62" s="4" t="s">
        <v>43</v>
      </c>
      <c r="U62" s="4">
        <v>9950802015</v>
      </c>
      <c r="V62" s="8" t="s">
        <v>34</v>
      </c>
      <c r="W62" s="3"/>
      <c r="X62" s="3"/>
      <c r="Y62" s="3"/>
      <c r="Z62" s="3"/>
    </row>
    <row r="63" spans="1:26" ht="15" thickBot="1" x14ac:dyDescent="0.4">
      <c r="A63" s="9" t="s">
        <v>183</v>
      </c>
      <c r="B63" s="9" t="s">
        <v>72</v>
      </c>
      <c r="C63" s="9" t="s">
        <v>125</v>
      </c>
      <c r="D63" s="10">
        <v>45885</v>
      </c>
      <c r="E63" s="10">
        <v>45894</v>
      </c>
      <c r="F63" s="9" t="s">
        <v>73</v>
      </c>
      <c r="G63" s="9" t="s">
        <v>26</v>
      </c>
      <c r="H63" s="10">
        <v>30777</v>
      </c>
      <c r="I63" s="9" t="s">
        <v>79</v>
      </c>
      <c r="J63" s="9" t="s">
        <v>75</v>
      </c>
      <c r="K63" s="9" t="s">
        <v>83</v>
      </c>
      <c r="L63" s="9" t="s">
        <v>127</v>
      </c>
      <c r="M63" s="11">
        <v>16</v>
      </c>
      <c r="N63" s="11">
        <v>20</v>
      </c>
      <c r="O63" s="11">
        <v>0</v>
      </c>
      <c r="P63" s="11">
        <v>320</v>
      </c>
      <c r="Q63" s="11">
        <v>5</v>
      </c>
      <c r="R63" s="9" t="s">
        <v>41</v>
      </c>
      <c r="S63" s="9" t="s">
        <v>50</v>
      </c>
      <c r="T63" s="9" t="s">
        <v>93</v>
      </c>
      <c r="U63" s="9">
        <v>9595183767</v>
      </c>
      <c r="V63" s="9" t="s">
        <v>52</v>
      </c>
      <c r="W63" s="3"/>
      <c r="X63" s="3"/>
      <c r="Y63" s="3"/>
      <c r="Z63" s="3"/>
    </row>
    <row r="64" spans="1:26" ht="15" thickBot="1" x14ac:dyDescent="0.4">
      <c r="A64" s="4" t="s">
        <v>184</v>
      </c>
      <c r="B64" s="4" t="s">
        <v>45</v>
      </c>
      <c r="C64" s="4" t="s">
        <v>138</v>
      </c>
      <c r="D64" s="5">
        <v>46155</v>
      </c>
      <c r="E64" s="5">
        <v>46162</v>
      </c>
      <c r="F64" s="4" t="s">
        <v>101</v>
      </c>
      <c r="G64" s="4" t="s">
        <v>26</v>
      </c>
      <c r="H64" s="5">
        <v>35168</v>
      </c>
      <c r="I64" s="4" t="s">
        <v>74</v>
      </c>
      <c r="J64" s="4" t="s">
        <v>75</v>
      </c>
      <c r="K64" s="4" t="s">
        <v>83</v>
      </c>
      <c r="L64" s="4" t="s">
        <v>139</v>
      </c>
      <c r="M64" s="6">
        <v>15</v>
      </c>
      <c r="N64" s="6">
        <v>45</v>
      </c>
      <c r="O64" s="6">
        <v>0</v>
      </c>
      <c r="P64" s="6">
        <v>675</v>
      </c>
      <c r="Q64" s="6">
        <v>4</v>
      </c>
      <c r="R64" s="4" t="s">
        <v>31</v>
      </c>
      <c r="S64" s="4" t="s">
        <v>50</v>
      </c>
      <c r="T64" s="4" t="s">
        <v>51</v>
      </c>
      <c r="U64" s="4">
        <v>9560201307</v>
      </c>
      <c r="V64" s="4" t="s">
        <v>53</v>
      </c>
      <c r="W64" s="3"/>
      <c r="X64" s="3"/>
      <c r="Y64" s="3"/>
      <c r="Z64" s="3"/>
    </row>
    <row r="65" spans="1:26" ht="15" thickBot="1" x14ac:dyDescent="0.4">
      <c r="A65" s="9" t="s">
        <v>185</v>
      </c>
      <c r="B65" s="9" t="s">
        <v>134</v>
      </c>
      <c r="C65" s="9" t="s">
        <v>112</v>
      </c>
      <c r="D65" s="10">
        <v>45717</v>
      </c>
      <c r="E65" s="10">
        <v>45721</v>
      </c>
      <c r="F65" s="9" t="s">
        <v>135</v>
      </c>
      <c r="G65" s="9" t="s">
        <v>26</v>
      </c>
      <c r="H65" s="10">
        <v>37872</v>
      </c>
      <c r="I65" s="9" t="s">
        <v>91</v>
      </c>
      <c r="J65" s="9" t="s">
        <v>75</v>
      </c>
      <c r="K65" s="9" t="s">
        <v>39</v>
      </c>
      <c r="L65" s="9" t="s">
        <v>114</v>
      </c>
      <c r="M65" s="11">
        <v>15</v>
      </c>
      <c r="N65" s="11">
        <v>700</v>
      </c>
      <c r="O65" s="11">
        <v>10</v>
      </c>
      <c r="P65" s="11">
        <v>9450</v>
      </c>
      <c r="Q65" s="11">
        <v>3</v>
      </c>
      <c r="R65" s="9" t="s">
        <v>41</v>
      </c>
      <c r="S65" s="9" t="s">
        <v>96</v>
      </c>
      <c r="T65" s="9" t="s">
        <v>136</v>
      </c>
      <c r="U65" s="9">
        <v>9826484650</v>
      </c>
      <c r="V65" s="12" t="s">
        <v>34</v>
      </c>
      <c r="W65" s="3"/>
      <c r="X65" s="3"/>
      <c r="Y65" s="3"/>
      <c r="Z65" s="3"/>
    </row>
    <row r="66" spans="1:26" ht="15" thickBot="1" x14ac:dyDescent="0.4">
      <c r="A66" s="4" t="s">
        <v>186</v>
      </c>
      <c r="B66" s="4" t="s">
        <v>45</v>
      </c>
      <c r="C66" s="4" t="s">
        <v>138</v>
      </c>
      <c r="D66" s="5">
        <v>45697</v>
      </c>
      <c r="E66" s="5">
        <v>45700</v>
      </c>
      <c r="F66" s="4" t="s">
        <v>101</v>
      </c>
      <c r="G66" s="4" t="s">
        <v>26</v>
      </c>
      <c r="H66" s="5">
        <v>33871</v>
      </c>
      <c r="I66" s="4" t="s">
        <v>147</v>
      </c>
      <c r="J66" s="4" t="s">
        <v>148</v>
      </c>
      <c r="K66" s="4" t="s">
        <v>83</v>
      </c>
      <c r="L66" s="4" t="s">
        <v>139</v>
      </c>
      <c r="M66" s="6">
        <v>3</v>
      </c>
      <c r="N66" s="6">
        <v>45</v>
      </c>
      <c r="O66" s="6">
        <v>15</v>
      </c>
      <c r="P66" s="6">
        <v>114.75</v>
      </c>
      <c r="Q66" s="6">
        <v>2</v>
      </c>
      <c r="R66" s="4" t="s">
        <v>65</v>
      </c>
      <c r="S66" s="4" t="s">
        <v>80</v>
      </c>
      <c r="T66" s="4" t="s">
        <v>51</v>
      </c>
      <c r="U66" s="4">
        <v>9219978007</v>
      </c>
      <c r="V66" s="4" t="s">
        <v>52</v>
      </c>
      <c r="W66" s="3"/>
      <c r="X66" s="3"/>
      <c r="Y66" s="3"/>
      <c r="Z66" s="3"/>
    </row>
    <row r="67" spans="1:26" ht="15" thickBot="1" x14ac:dyDescent="0.4">
      <c r="A67" s="9" t="s">
        <v>187</v>
      </c>
      <c r="B67" s="9" t="s">
        <v>72</v>
      </c>
      <c r="C67" s="9" t="s">
        <v>24</v>
      </c>
      <c r="D67" s="10">
        <v>46031</v>
      </c>
      <c r="E67" s="10">
        <v>46032</v>
      </c>
      <c r="F67" s="9" t="s">
        <v>73</v>
      </c>
      <c r="G67" s="9" t="s">
        <v>26</v>
      </c>
      <c r="H67" s="10">
        <v>31674</v>
      </c>
      <c r="I67" s="9" t="s">
        <v>147</v>
      </c>
      <c r="J67" s="9" t="s">
        <v>148</v>
      </c>
      <c r="K67" s="9" t="s">
        <v>29</v>
      </c>
      <c r="L67" s="9" t="s">
        <v>30</v>
      </c>
      <c r="M67" s="11">
        <v>7</v>
      </c>
      <c r="N67" s="11">
        <v>2200</v>
      </c>
      <c r="O67" s="11">
        <v>15</v>
      </c>
      <c r="P67" s="11">
        <v>13090</v>
      </c>
      <c r="Q67" s="11">
        <v>5</v>
      </c>
      <c r="R67" s="9" t="s">
        <v>65</v>
      </c>
      <c r="S67" s="9" t="s">
        <v>80</v>
      </c>
      <c r="T67" s="9" t="s">
        <v>93</v>
      </c>
      <c r="U67" s="9">
        <v>9662063276</v>
      </c>
      <c r="V67" s="12" t="s">
        <v>34</v>
      </c>
      <c r="W67" s="3"/>
      <c r="X67" s="3"/>
      <c r="Y67" s="3"/>
      <c r="Z67" s="3"/>
    </row>
    <row r="68" spans="1:26" ht="15" thickBot="1" x14ac:dyDescent="0.4">
      <c r="A68" s="4" t="s">
        <v>188</v>
      </c>
      <c r="B68" s="4" t="s">
        <v>23</v>
      </c>
      <c r="C68" s="4" t="s">
        <v>138</v>
      </c>
      <c r="D68" s="5">
        <v>45901</v>
      </c>
      <c r="E68" s="5">
        <v>45905</v>
      </c>
      <c r="F68" s="4" t="s">
        <v>25</v>
      </c>
      <c r="G68" s="4" t="s">
        <v>26</v>
      </c>
      <c r="H68" s="5">
        <v>31195</v>
      </c>
      <c r="I68" s="4" t="s">
        <v>37</v>
      </c>
      <c r="J68" s="4" t="s">
        <v>38</v>
      </c>
      <c r="K68" s="4" t="s">
        <v>83</v>
      </c>
      <c r="L68" s="4" t="s">
        <v>139</v>
      </c>
      <c r="M68" s="6">
        <v>19</v>
      </c>
      <c r="N68" s="6">
        <v>45</v>
      </c>
      <c r="O68" s="6">
        <v>10</v>
      </c>
      <c r="P68" s="6">
        <v>769.5</v>
      </c>
      <c r="Q68" s="6">
        <v>5</v>
      </c>
      <c r="R68" s="4" t="s">
        <v>60</v>
      </c>
      <c r="S68" s="4" t="s">
        <v>80</v>
      </c>
      <c r="T68" s="4" t="s">
        <v>43</v>
      </c>
      <c r="U68" s="4">
        <v>9190393639</v>
      </c>
      <c r="V68" s="4" t="s">
        <v>53</v>
      </c>
      <c r="W68" s="3"/>
      <c r="X68" s="3"/>
      <c r="Y68" s="3"/>
      <c r="Z68" s="3"/>
    </row>
    <row r="69" spans="1:26" ht="15" thickBot="1" x14ac:dyDescent="0.4">
      <c r="A69" s="9" t="s">
        <v>189</v>
      </c>
      <c r="B69" s="9" t="s">
        <v>134</v>
      </c>
      <c r="C69" s="9" t="s">
        <v>68</v>
      </c>
      <c r="D69" s="10">
        <v>46062</v>
      </c>
      <c r="E69" s="10">
        <v>46067</v>
      </c>
      <c r="F69" s="9" t="s">
        <v>135</v>
      </c>
      <c r="G69" s="9" t="s">
        <v>26</v>
      </c>
      <c r="H69" s="10">
        <v>29094</v>
      </c>
      <c r="I69" s="9" t="s">
        <v>27</v>
      </c>
      <c r="J69" s="9" t="s">
        <v>28</v>
      </c>
      <c r="K69" s="9" t="s">
        <v>29</v>
      </c>
      <c r="L69" s="9" t="s">
        <v>70</v>
      </c>
      <c r="M69" s="11">
        <v>7</v>
      </c>
      <c r="N69" s="11">
        <v>3500</v>
      </c>
      <c r="O69" s="11">
        <v>15</v>
      </c>
      <c r="P69" s="11">
        <v>20825</v>
      </c>
      <c r="Q69" s="11">
        <v>1</v>
      </c>
      <c r="R69" s="9" t="s">
        <v>31</v>
      </c>
      <c r="S69" s="9" t="s">
        <v>96</v>
      </c>
      <c r="T69" s="9" t="s">
        <v>136</v>
      </c>
      <c r="U69" s="9">
        <v>9106328582</v>
      </c>
      <c r="V69" s="9" t="s">
        <v>52</v>
      </c>
      <c r="W69" s="3"/>
      <c r="X69" s="3"/>
      <c r="Y69" s="3"/>
      <c r="Z69" s="3"/>
    </row>
    <row r="70" spans="1:26" ht="15" thickBot="1" x14ac:dyDescent="0.4">
      <c r="A70" s="4" t="s">
        <v>190</v>
      </c>
      <c r="B70" s="4" t="s">
        <v>45</v>
      </c>
      <c r="C70" s="4" t="s">
        <v>105</v>
      </c>
      <c r="D70" s="5">
        <v>46005</v>
      </c>
      <c r="E70" s="5">
        <v>46010</v>
      </c>
      <c r="F70" s="4" t="s">
        <v>101</v>
      </c>
      <c r="G70" s="4" t="s">
        <v>26</v>
      </c>
      <c r="H70" s="5">
        <v>28116</v>
      </c>
      <c r="I70" s="4" t="s">
        <v>121</v>
      </c>
      <c r="J70" s="4" t="s">
        <v>38</v>
      </c>
      <c r="K70" s="4" t="s">
        <v>29</v>
      </c>
      <c r="L70" s="4" t="s">
        <v>107</v>
      </c>
      <c r="M70" s="6">
        <v>7</v>
      </c>
      <c r="N70" s="6">
        <v>8500</v>
      </c>
      <c r="O70" s="6">
        <v>20</v>
      </c>
      <c r="P70" s="6">
        <v>47600</v>
      </c>
      <c r="Q70" s="6">
        <v>4</v>
      </c>
      <c r="R70" s="4" t="s">
        <v>41</v>
      </c>
      <c r="S70" s="4" t="s">
        <v>80</v>
      </c>
      <c r="T70" s="4" t="s">
        <v>51</v>
      </c>
      <c r="U70" s="4">
        <v>9264401015</v>
      </c>
      <c r="V70" s="8" t="s">
        <v>34</v>
      </c>
      <c r="W70" s="3"/>
      <c r="X70" s="3"/>
      <c r="Y70" s="3"/>
      <c r="Z70" s="3"/>
    </row>
    <row r="71" spans="1:26" ht="15" thickBot="1" x14ac:dyDescent="0.4">
      <c r="A71" s="9" t="s">
        <v>191</v>
      </c>
      <c r="B71" s="9" t="s">
        <v>23</v>
      </c>
      <c r="C71" s="9" t="s">
        <v>46</v>
      </c>
      <c r="D71" s="10">
        <v>45754</v>
      </c>
      <c r="E71" s="10">
        <v>45757</v>
      </c>
      <c r="F71" s="9" t="s">
        <v>25</v>
      </c>
      <c r="G71" s="9" t="s">
        <v>26</v>
      </c>
      <c r="H71" s="10">
        <v>36561</v>
      </c>
      <c r="I71" s="9" t="s">
        <v>48</v>
      </c>
      <c r="J71" s="9" t="s">
        <v>28</v>
      </c>
      <c r="K71" s="9" t="s">
        <v>39</v>
      </c>
      <c r="L71" s="9" t="s">
        <v>49</v>
      </c>
      <c r="M71" s="11">
        <v>16</v>
      </c>
      <c r="N71" s="11">
        <v>55000</v>
      </c>
      <c r="O71" s="11">
        <v>10</v>
      </c>
      <c r="P71" s="11">
        <v>792000</v>
      </c>
      <c r="Q71" s="11">
        <v>1</v>
      </c>
      <c r="R71" s="9" t="s">
        <v>60</v>
      </c>
      <c r="S71" s="9" t="s">
        <v>50</v>
      </c>
      <c r="T71" s="9" t="s">
        <v>43</v>
      </c>
      <c r="U71" s="9">
        <v>9959237375</v>
      </c>
      <c r="V71" s="12" t="s">
        <v>34</v>
      </c>
      <c r="W71" s="3"/>
      <c r="X71" s="3"/>
      <c r="Y71" s="3"/>
      <c r="Z71" s="3"/>
    </row>
    <row r="72" spans="1:26" ht="15" thickBot="1" x14ac:dyDescent="0.4">
      <c r="A72" s="4" t="s">
        <v>192</v>
      </c>
      <c r="B72" s="4" t="s">
        <v>104</v>
      </c>
      <c r="C72" s="4" t="s">
        <v>36</v>
      </c>
      <c r="D72" s="5">
        <v>46015</v>
      </c>
      <c r="E72" s="5">
        <v>46025</v>
      </c>
      <c r="F72" s="4" t="s">
        <v>166</v>
      </c>
      <c r="G72" s="4" t="s">
        <v>26</v>
      </c>
      <c r="H72" s="5">
        <v>31832</v>
      </c>
      <c r="I72" s="4" t="s">
        <v>74</v>
      </c>
      <c r="J72" s="4" t="s">
        <v>75</v>
      </c>
      <c r="K72" s="4" t="s">
        <v>39</v>
      </c>
      <c r="L72" s="4" t="s">
        <v>40</v>
      </c>
      <c r="M72" s="6">
        <v>2</v>
      </c>
      <c r="N72" s="6">
        <v>12000</v>
      </c>
      <c r="O72" s="6">
        <v>20</v>
      </c>
      <c r="P72" s="6">
        <v>19200</v>
      </c>
      <c r="Q72" s="6">
        <v>1</v>
      </c>
      <c r="R72" s="4" t="s">
        <v>31</v>
      </c>
      <c r="S72" s="4" t="s">
        <v>96</v>
      </c>
      <c r="T72" s="7" t="s">
        <v>193</v>
      </c>
      <c r="U72" s="4">
        <v>9561836580</v>
      </c>
      <c r="V72" s="4" t="s">
        <v>52</v>
      </c>
      <c r="W72" s="3"/>
      <c r="X72" s="3"/>
      <c r="Y72" s="3"/>
      <c r="Z72" s="3"/>
    </row>
    <row r="73" spans="1:26" ht="15" thickBot="1" x14ac:dyDescent="0.4">
      <c r="A73" s="9" t="s">
        <v>194</v>
      </c>
      <c r="B73" s="9" t="s">
        <v>87</v>
      </c>
      <c r="C73" s="9" t="s">
        <v>138</v>
      </c>
      <c r="D73" s="10">
        <v>45899</v>
      </c>
      <c r="E73" s="10">
        <v>45905</v>
      </c>
      <c r="F73" s="9" t="s">
        <v>88</v>
      </c>
      <c r="G73" s="9" t="s">
        <v>58</v>
      </c>
      <c r="H73" s="10">
        <v>30887</v>
      </c>
      <c r="I73" s="9" t="s">
        <v>48</v>
      </c>
      <c r="J73" s="9" t="s">
        <v>28</v>
      </c>
      <c r="K73" s="9" t="s">
        <v>83</v>
      </c>
      <c r="L73" s="9" t="s">
        <v>139</v>
      </c>
      <c r="M73" s="11">
        <v>4</v>
      </c>
      <c r="N73" s="11">
        <v>45</v>
      </c>
      <c r="O73" s="11">
        <v>5</v>
      </c>
      <c r="P73" s="11">
        <v>171</v>
      </c>
      <c r="Q73" s="11">
        <v>1</v>
      </c>
      <c r="R73" s="9" t="s">
        <v>60</v>
      </c>
      <c r="S73" s="9" t="s">
        <v>42</v>
      </c>
      <c r="T73" s="9" t="s">
        <v>89</v>
      </c>
      <c r="U73" s="9">
        <v>9512666401</v>
      </c>
      <c r="V73" s="9" t="s">
        <v>52</v>
      </c>
      <c r="W73" s="3"/>
      <c r="X73" s="3"/>
      <c r="Y73" s="3"/>
      <c r="Z73" s="3"/>
    </row>
    <row r="74" spans="1:26" ht="15" thickBot="1" x14ac:dyDescent="0.4">
      <c r="A74" s="4" t="s">
        <v>195</v>
      </c>
      <c r="B74" s="4" t="s">
        <v>23</v>
      </c>
      <c r="C74" s="4" t="s">
        <v>56</v>
      </c>
      <c r="D74" s="5">
        <v>46004</v>
      </c>
      <c r="E74" s="5">
        <v>46014</v>
      </c>
      <c r="F74" s="4" t="s">
        <v>25</v>
      </c>
      <c r="G74" s="4" t="s">
        <v>26</v>
      </c>
      <c r="H74" s="5">
        <v>29851</v>
      </c>
      <c r="I74" s="4" t="s">
        <v>121</v>
      </c>
      <c r="J74" s="4" t="s">
        <v>38</v>
      </c>
      <c r="K74" s="4" t="s">
        <v>39</v>
      </c>
      <c r="L74" s="4" t="s">
        <v>59</v>
      </c>
      <c r="M74" s="6">
        <v>1</v>
      </c>
      <c r="N74" s="6">
        <v>1200</v>
      </c>
      <c r="O74" s="6">
        <v>5</v>
      </c>
      <c r="P74" s="6">
        <v>1140</v>
      </c>
      <c r="Q74" s="6">
        <v>3</v>
      </c>
      <c r="R74" s="4" t="s">
        <v>65</v>
      </c>
      <c r="S74" s="4" t="s">
        <v>50</v>
      </c>
      <c r="T74" s="4" t="s">
        <v>43</v>
      </c>
      <c r="U74" s="4">
        <v>9808988530</v>
      </c>
      <c r="V74" s="4" t="s">
        <v>53</v>
      </c>
      <c r="W74" s="3"/>
      <c r="X74" s="3"/>
      <c r="Y74" s="3"/>
      <c r="Z74" s="3"/>
    </row>
    <row r="75" spans="1:26" ht="15" thickBot="1" x14ac:dyDescent="0.4">
      <c r="A75" s="9" t="s">
        <v>196</v>
      </c>
      <c r="B75" s="9" t="s">
        <v>45</v>
      </c>
      <c r="C75" s="9" t="s">
        <v>24</v>
      </c>
      <c r="D75" s="10">
        <v>46057</v>
      </c>
      <c r="E75" s="10">
        <v>46069</v>
      </c>
      <c r="F75" s="9" t="s">
        <v>101</v>
      </c>
      <c r="G75" s="9" t="s">
        <v>26</v>
      </c>
      <c r="H75" s="15">
        <v>29392</v>
      </c>
      <c r="I75" s="9"/>
      <c r="J75" s="9" t="s">
        <v>28</v>
      </c>
      <c r="K75" s="9" t="s">
        <v>29</v>
      </c>
      <c r="L75" s="9" t="s">
        <v>30</v>
      </c>
      <c r="M75" s="11">
        <v>1</v>
      </c>
      <c r="N75" s="11">
        <v>2200</v>
      </c>
      <c r="O75" s="11">
        <v>15</v>
      </c>
      <c r="P75" s="11">
        <v>1870</v>
      </c>
      <c r="Q75" s="11">
        <v>4</v>
      </c>
      <c r="R75" s="9" t="s">
        <v>60</v>
      </c>
      <c r="S75" s="9" t="s">
        <v>50</v>
      </c>
      <c r="T75" s="9" t="s">
        <v>51</v>
      </c>
      <c r="U75" s="9">
        <v>9286410494</v>
      </c>
      <c r="V75" s="12" t="s">
        <v>34</v>
      </c>
      <c r="W75" s="3"/>
      <c r="X75" s="3"/>
      <c r="Y75" s="3"/>
      <c r="Z75" s="3"/>
    </row>
    <row r="76" spans="1:26" ht="15" thickBot="1" x14ac:dyDescent="0.4">
      <c r="A76" s="4" t="s">
        <v>197</v>
      </c>
      <c r="B76" s="4" t="s">
        <v>87</v>
      </c>
      <c r="C76" s="4" t="s">
        <v>56</v>
      </c>
      <c r="D76" s="5">
        <v>46048</v>
      </c>
      <c r="E76" s="5">
        <v>46050</v>
      </c>
      <c r="F76" s="4" t="s">
        <v>88</v>
      </c>
      <c r="G76" s="4" t="s">
        <v>58</v>
      </c>
      <c r="H76" s="5">
        <v>30257</v>
      </c>
      <c r="I76" s="4" t="s">
        <v>79</v>
      </c>
      <c r="J76" s="4" t="s">
        <v>75</v>
      </c>
      <c r="K76" s="4" t="s">
        <v>39</v>
      </c>
      <c r="L76" s="4" t="s">
        <v>59</v>
      </c>
      <c r="M76" s="6">
        <v>3</v>
      </c>
      <c r="N76" s="6">
        <v>1200</v>
      </c>
      <c r="O76" s="6">
        <v>10</v>
      </c>
      <c r="P76" s="6">
        <v>3240</v>
      </c>
      <c r="Q76" s="6">
        <v>5</v>
      </c>
      <c r="R76" s="4" t="s">
        <v>31</v>
      </c>
      <c r="S76" s="4" t="s">
        <v>42</v>
      </c>
      <c r="T76" s="4" t="s">
        <v>89</v>
      </c>
      <c r="U76" s="4">
        <v>9311555196</v>
      </c>
      <c r="V76" s="8" t="s">
        <v>34</v>
      </c>
      <c r="W76" s="3"/>
      <c r="X76" s="3"/>
      <c r="Y76" s="3"/>
      <c r="Z76" s="3"/>
    </row>
    <row r="77" spans="1:26" ht="15" thickBot="1" x14ac:dyDescent="0.4">
      <c r="A77" s="9" t="s">
        <v>198</v>
      </c>
      <c r="B77" s="9" t="s">
        <v>23</v>
      </c>
      <c r="C77" s="9" t="s">
        <v>68</v>
      </c>
      <c r="D77" s="10">
        <v>45835</v>
      </c>
      <c r="E77" s="10">
        <v>45845</v>
      </c>
      <c r="F77" s="9" t="s">
        <v>25</v>
      </c>
      <c r="G77" s="9" t="s">
        <v>26</v>
      </c>
      <c r="H77" s="10">
        <v>29230</v>
      </c>
      <c r="I77" s="9" t="s">
        <v>48</v>
      </c>
      <c r="J77" s="9" t="s">
        <v>28</v>
      </c>
      <c r="K77" s="9" t="s">
        <v>29</v>
      </c>
      <c r="L77" s="9" t="s">
        <v>70</v>
      </c>
      <c r="M77" s="11">
        <v>10</v>
      </c>
      <c r="N77" s="11">
        <v>3500</v>
      </c>
      <c r="O77" s="11">
        <v>20</v>
      </c>
      <c r="P77" s="11">
        <v>28000</v>
      </c>
      <c r="Q77" s="11">
        <v>5</v>
      </c>
      <c r="R77" s="9" t="s">
        <v>60</v>
      </c>
      <c r="S77" s="9" t="s">
        <v>32</v>
      </c>
      <c r="T77" s="9" t="s">
        <v>43</v>
      </c>
      <c r="U77" s="9">
        <v>9101810266</v>
      </c>
      <c r="V77" s="12" t="s">
        <v>34</v>
      </c>
      <c r="W77" s="3"/>
      <c r="X77" s="3"/>
      <c r="Y77" s="3"/>
      <c r="Z77" s="3"/>
    </row>
    <row r="78" spans="1:26" ht="15" thickBot="1" x14ac:dyDescent="0.4">
      <c r="A78" s="4" t="s">
        <v>199</v>
      </c>
      <c r="B78" s="4" t="s">
        <v>63</v>
      </c>
      <c r="C78" s="4" t="s">
        <v>112</v>
      </c>
      <c r="D78" s="5">
        <v>46098</v>
      </c>
      <c r="E78" s="5">
        <v>46100</v>
      </c>
      <c r="F78" s="4" t="s">
        <v>110</v>
      </c>
      <c r="G78" s="4" t="s">
        <v>58</v>
      </c>
      <c r="H78" s="5">
        <v>29703</v>
      </c>
      <c r="I78" s="4" t="s">
        <v>37</v>
      </c>
      <c r="J78" s="4" t="s">
        <v>38</v>
      </c>
      <c r="K78" s="4" t="s">
        <v>39</v>
      </c>
      <c r="L78" s="4" t="s">
        <v>114</v>
      </c>
      <c r="M78" s="6">
        <v>18</v>
      </c>
      <c r="N78" s="6">
        <v>700</v>
      </c>
      <c r="O78" s="6">
        <v>5</v>
      </c>
      <c r="P78" s="6">
        <v>11970</v>
      </c>
      <c r="Q78" s="6">
        <v>3</v>
      </c>
      <c r="R78" s="4" t="s">
        <v>60</v>
      </c>
      <c r="S78" s="4" t="s">
        <v>80</v>
      </c>
      <c r="T78" s="4" t="s">
        <v>66</v>
      </c>
      <c r="U78" s="4">
        <v>9464556593</v>
      </c>
      <c r="V78" s="4" t="s">
        <v>53</v>
      </c>
      <c r="W78" s="3"/>
      <c r="X78" s="3"/>
      <c r="Y78" s="3"/>
      <c r="Z78" s="3"/>
    </row>
    <row r="79" spans="1:26" ht="15" thickBot="1" x14ac:dyDescent="0.4">
      <c r="A79" s="9" t="s">
        <v>200</v>
      </c>
      <c r="B79" s="9" t="s">
        <v>124</v>
      </c>
      <c r="C79" s="9" t="s">
        <v>112</v>
      </c>
      <c r="D79" s="10">
        <v>45817</v>
      </c>
      <c r="E79" s="10">
        <v>45826</v>
      </c>
      <c r="F79" s="9" t="s">
        <v>126</v>
      </c>
      <c r="G79" s="9" t="s">
        <v>58</v>
      </c>
      <c r="H79" s="10">
        <v>31118</v>
      </c>
      <c r="I79" s="9" t="s">
        <v>48</v>
      </c>
      <c r="J79" s="9" t="s">
        <v>28</v>
      </c>
      <c r="K79" s="9" t="s">
        <v>39</v>
      </c>
      <c r="L79" s="9" t="s">
        <v>114</v>
      </c>
      <c r="M79" s="11">
        <v>12</v>
      </c>
      <c r="N79" s="11">
        <v>700</v>
      </c>
      <c r="O79" s="11">
        <v>15</v>
      </c>
      <c r="P79" s="11">
        <v>7140</v>
      </c>
      <c r="Q79" s="11">
        <v>2</v>
      </c>
      <c r="R79" s="9" t="s">
        <v>65</v>
      </c>
      <c r="S79" s="9" t="s">
        <v>42</v>
      </c>
      <c r="T79" s="9" t="s">
        <v>128</v>
      </c>
      <c r="U79" s="9">
        <v>9338278358</v>
      </c>
      <c r="V79" s="12" t="s">
        <v>34</v>
      </c>
      <c r="W79" s="3"/>
      <c r="X79" s="3"/>
      <c r="Y79" s="3"/>
      <c r="Z79" s="3"/>
    </row>
    <row r="80" spans="1:26" ht="15" thickBot="1" x14ac:dyDescent="0.4">
      <c r="A80" s="4" t="s">
        <v>201</v>
      </c>
      <c r="B80" s="4" t="s">
        <v>55</v>
      </c>
      <c r="C80" s="4" t="s">
        <v>56</v>
      </c>
      <c r="D80" s="5">
        <v>45976</v>
      </c>
      <c r="E80" s="5">
        <v>45977</v>
      </c>
      <c r="F80" s="4" t="s">
        <v>57</v>
      </c>
      <c r="G80" s="4" t="s">
        <v>58</v>
      </c>
      <c r="H80" s="5">
        <v>36234</v>
      </c>
      <c r="I80" s="4" t="s">
        <v>74</v>
      </c>
      <c r="J80" s="4" t="s">
        <v>75</v>
      </c>
      <c r="K80" s="4" t="s">
        <v>39</v>
      </c>
      <c r="L80" s="4" t="s">
        <v>59</v>
      </c>
      <c r="M80" s="6">
        <v>8</v>
      </c>
      <c r="N80" s="6">
        <v>1200</v>
      </c>
      <c r="O80" s="6">
        <v>0</v>
      </c>
      <c r="P80" s="6">
        <v>9600</v>
      </c>
      <c r="Q80" s="6">
        <v>4</v>
      </c>
      <c r="R80" s="4" t="s">
        <v>60</v>
      </c>
      <c r="S80" s="4" t="s">
        <v>42</v>
      </c>
      <c r="T80" s="4" t="s">
        <v>61</v>
      </c>
      <c r="U80" s="4">
        <v>9621410770</v>
      </c>
      <c r="V80" s="4" t="s">
        <v>52</v>
      </c>
      <c r="W80" s="3"/>
      <c r="X80" s="3"/>
      <c r="Y80" s="3"/>
      <c r="Z80" s="3"/>
    </row>
    <row r="81" spans="1:26" ht="15" thickBot="1" x14ac:dyDescent="0.4">
      <c r="A81" s="9" t="s">
        <v>202</v>
      </c>
      <c r="B81" s="9" t="s">
        <v>87</v>
      </c>
      <c r="C81" s="9" t="s">
        <v>82</v>
      </c>
      <c r="D81" s="10">
        <v>45967</v>
      </c>
      <c r="E81" s="10">
        <v>45971</v>
      </c>
      <c r="F81" s="9" t="s">
        <v>88</v>
      </c>
      <c r="G81" s="9" t="s">
        <v>58</v>
      </c>
      <c r="H81" s="10">
        <v>30504</v>
      </c>
      <c r="I81" s="9" t="s">
        <v>79</v>
      </c>
      <c r="J81" s="9" t="s">
        <v>75</v>
      </c>
      <c r="K81" s="9" t="s">
        <v>83</v>
      </c>
      <c r="L81" s="9" t="s">
        <v>84</v>
      </c>
      <c r="M81" s="11">
        <v>2</v>
      </c>
      <c r="N81" s="11">
        <v>60</v>
      </c>
      <c r="O81" s="11">
        <v>0</v>
      </c>
      <c r="P81" s="11">
        <v>120</v>
      </c>
      <c r="Q81" s="11">
        <v>2</v>
      </c>
      <c r="R81" s="9" t="s">
        <v>65</v>
      </c>
      <c r="S81" s="9" t="s">
        <v>42</v>
      </c>
      <c r="T81" s="9" t="s">
        <v>89</v>
      </c>
      <c r="U81" s="9">
        <v>9981333189</v>
      </c>
      <c r="V81" s="12" t="s">
        <v>34</v>
      </c>
      <c r="W81" s="3"/>
      <c r="X81" s="3"/>
      <c r="Y81" s="3"/>
      <c r="Z81" s="3"/>
    </row>
    <row r="82" spans="1:26" ht="15" thickBot="1" x14ac:dyDescent="0.4">
      <c r="A82" s="4" t="s">
        <v>203</v>
      </c>
      <c r="B82" s="4" t="s">
        <v>156</v>
      </c>
      <c r="C82" s="4" t="s">
        <v>138</v>
      </c>
      <c r="D82" s="5">
        <v>45658</v>
      </c>
      <c r="E82" s="5">
        <v>45664</v>
      </c>
      <c r="F82" s="4" t="s">
        <v>106</v>
      </c>
      <c r="G82" s="4" t="s">
        <v>58</v>
      </c>
      <c r="H82" s="5">
        <v>32573</v>
      </c>
      <c r="I82" s="4" t="s">
        <v>79</v>
      </c>
      <c r="J82" s="4" t="s">
        <v>75</v>
      </c>
      <c r="K82" s="4" t="s">
        <v>83</v>
      </c>
      <c r="L82" s="4" t="s">
        <v>139</v>
      </c>
      <c r="M82" s="6">
        <v>10</v>
      </c>
      <c r="N82" s="6">
        <v>45</v>
      </c>
      <c r="O82" s="6">
        <v>15</v>
      </c>
      <c r="P82" s="6">
        <v>382.5</v>
      </c>
      <c r="Q82" s="6">
        <v>3</v>
      </c>
      <c r="R82" s="4" t="s">
        <v>41</v>
      </c>
      <c r="S82" s="4" t="s">
        <v>32</v>
      </c>
      <c r="T82" s="4" t="s">
        <v>158</v>
      </c>
      <c r="U82" s="4">
        <v>9723450355</v>
      </c>
      <c r="V82" s="4" t="s">
        <v>53</v>
      </c>
      <c r="W82" s="3"/>
      <c r="X82" s="3"/>
      <c r="Y82" s="3"/>
      <c r="Z82" s="3"/>
    </row>
    <row r="83" spans="1:26" ht="15" thickBot="1" x14ac:dyDescent="0.4">
      <c r="A83" s="9" t="s">
        <v>204</v>
      </c>
      <c r="B83" s="9" t="s">
        <v>124</v>
      </c>
      <c r="C83" s="9" t="s">
        <v>68</v>
      </c>
      <c r="D83" s="10">
        <v>46137</v>
      </c>
      <c r="E83" s="10">
        <v>46145</v>
      </c>
      <c r="F83" s="9" t="s">
        <v>126</v>
      </c>
      <c r="G83" s="9" t="s">
        <v>58</v>
      </c>
      <c r="H83" s="10">
        <v>30122</v>
      </c>
      <c r="I83" s="9" t="s">
        <v>147</v>
      </c>
      <c r="J83" s="9" t="s">
        <v>148</v>
      </c>
      <c r="K83" s="9" t="s">
        <v>29</v>
      </c>
      <c r="L83" s="9" t="s">
        <v>70</v>
      </c>
      <c r="M83" s="11">
        <v>12</v>
      </c>
      <c r="N83" s="11">
        <v>3500</v>
      </c>
      <c r="O83" s="11">
        <v>5</v>
      </c>
      <c r="P83" s="11">
        <v>39900</v>
      </c>
      <c r="Q83" s="11">
        <v>3</v>
      </c>
      <c r="R83" s="9" t="s">
        <v>41</v>
      </c>
      <c r="S83" s="9" t="s">
        <v>50</v>
      </c>
      <c r="T83" s="9" t="s">
        <v>128</v>
      </c>
      <c r="U83" s="9">
        <v>9886243907</v>
      </c>
      <c r="V83" s="9" t="s">
        <v>52</v>
      </c>
      <c r="W83" s="3"/>
      <c r="X83" s="3"/>
      <c r="Y83" s="3"/>
      <c r="Z83" s="3"/>
    </row>
    <row r="84" spans="1:26" ht="15" thickBot="1" x14ac:dyDescent="0.4">
      <c r="A84" s="4" t="s">
        <v>205</v>
      </c>
      <c r="B84" s="4" t="s">
        <v>87</v>
      </c>
      <c r="C84" s="4" t="s">
        <v>82</v>
      </c>
      <c r="D84" s="5">
        <v>45919</v>
      </c>
      <c r="E84" s="5">
        <v>45927</v>
      </c>
      <c r="F84" s="4" t="s">
        <v>88</v>
      </c>
      <c r="G84" s="4" t="s">
        <v>58</v>
      </c>
      <c r="H84" s="5">
        <v>37065</v>
      </c>
      <c r="I84" s="4" t="s">
        <v>74</v>
      </c>
      <c r="J84" s="4" t="s">
        <v>75</v>
      </c>
      <c r="K84" s="4" t="s">
        <v>83</v>
      </c>
      <c r="L84" s="4" t="s">
        <v>84</v>
      </c>
      <c r="M84" s="6">
        <v>2</v>
      </c>
      <c r="N84" s="6">
        <v>60</v>
      </c>
      <c r="O84" s="6">
        <v>15</v>
      </c>
      <c r="P84" s="6">
        <v>102</v>
      </c>
      <c r="Q84" s="6">
        <v>1</v>
      </c>
      <c r="R84" s="4" t="s">
        <v>65</v>
      </c>
      <c r="S84" s="4" t="s">
        <v>80</v>
      </c>
      <c r="T84" s="4" t="s">
        <v>89</v>
      </c>
      <c r="U84" s="4">
        <v>9473931904</v>
      </c>
      <c r="V84" s="8" t="s">
        <v>34</v>
      </c>
      <c r="W84" s="3"/>
      <c r="X84" s="3"/>
      <c r="Y84" s="3"/>
      <c r="Z84" s="3"/>
    </row>
    <row r="85" spans="1:26" ht="15" thickBot="1" x14ac:dyDescent="0.4">
      <c r="A85" s="9" t="s">
        <v>206</v>
      </c>
      <c r="B85" s="9" t="s">
        <v>87</v>
      </c>
      <c r="C85" s="9" t="s">
        <v>56</v>
      </c>
      <c r="D85" s="10">
        <v>45734</v>
      </c>
      <c r="E85" s="10">
        <v>45737</v>
      </c>
      <c r="F85" s="9" t="s">
        <v>88</v>
      </c>
      <c r="G85" s="9" t="s">
        <v>58</v>
      </c>
      <c r="H85" s="10">
        <v>30516</v>
      </c>
      <c r="I85" s="9" t="s">
        <v>27</v>
      </c>
      <c r="J85" s="9" t="s">
        <v>28</v>
      </c>
      <c r="K85" s="9" t="s">
        <v>39</v>
      </c>
      <c r="L85" s="9" t="s">
        <v>59</v>
      </c>
      <c r="M85" s="11">
        <v>18</v>
      </c>
      <c r="N85" s="11">
        <v>1200</v>
      </c>
      <c r="O85" s="11">
        <v>15</v>
      </c>
      <c r="P85" s="11">
        <v>18360</v>
      </c>
      <c r="Q85" s="11">
        <v>3</v>
      </c>
      <c r="R85" s="9" t="s">
        <v>60</v>
      </c>
      <c r="S85" s="9" t="s">
        <v>80</v>
      </c>
      <c r="T85" s="9" t="s">
        <v>89</v>
      </c>
      <c r="U85" s="9">
        <v>9287159610</v>
      </c>
      <c r="V85" s="9" t="s">
        <v>52</v>
      </c>
      <c r="W85" s="3"/>
      <c r="X85" s="3"/>
      <c r="Y85" s="3"/>
      <c r="Z85" s="3"/>
    </row>
    <row r="86" spans="1:26" ht="15" thickBot="1" x14ac:dyDescent="0.4">
      <c r="A86" s="4" t="s">
        <v>207</v>
      </c>
      <c r="B86" s="4" t="s">
        <v>23</v>
      </c>
      <c r="C86" s="4" t="s">
        <v>36</v>
      </c>
      <c r="D86" s="5">
        <v>45960</v>
      </c>
      <c r="E86" s="5">
        <v>45961</v>
      </c>
      <c r="F86" s="4" t="s">
        <v>25</v>
      </c>
      <c r="G86" s="4" t="s">
        <v>26</v>
      </c>
      <c r="H86" s="5">
        <v>34052</v>
      </c>
      <c r="I86" s="4" t="s">
        <v>74</v>
      </c>
      <c r="J86" s="4" t="s">
        <v>75</v>
      </c>
      <c r="K86" s="4" t="s">
        <v>39</v>
      </c>
      <c r="L86" s="4" t="s">
        <v>40</v>
      </c>
      <c r="M86" s="6">
        <v>18</v>
      </c>
      <c r="N86" s="6">
        <v>12000</v>
      </c>
      <c r="O86" s="6">
        <v>15</v>
      </c>
      <c r="P86" s="6">
        <v>183600</v>
      </c>
      <c r="Q86" s="6">
        <v>2</v>
      </c>
      <c r="R86" s="4" t="s">
        <v>31</v>
      </c>
      <c r="S86" s="4" t="s">
        <v>42</v>
      </c>
      <c r="T86" s="4" t="s">
        <v>43</v>
      </c>
      <c r="U86" s="4">
        <v>9876513858</v>
      </c>
      <c r="V86" s="8" t="s">
        <v>34</v>
      </c>
      <c r="W86" s="3"/>
      <c r="X86" s="3"/>
      <c r="Y86" s="3"/>
      <c r="Z86" s="3"/>
    </row>
    <row r="87" spans="1:26" ht="15" thickBot="1" x14ac:dyDescent="0.4">
      <c r="A87" s="9" t="s">
        <v>208</v>
      </c>
      <c r="B87" s="9" t="s">
        <v>63</v>
      </c>
      <c r="C87" s="9" t="s">
        <v>125</v>
      </c>
      <c r="D87" s="10">
        <v>45961</v>
      </c>
      <c r="E87" s="10">
        <v>45972</v>
      </c>
      <c r="F87" s="9" t="s">
        <v>110</v>
      </c>
      <c r="G87" s="9" t="s">
        <v>58</v>
      </c>
      <c r="H87" s="10">
        <v>34829</v>
      </c>
      <c r="I87" s="9" t="s">
        <v>91</v>
      </c>
      <c r="J87" s="9" t="s">
        <v>75</v>
      </c>
      <c r="K87" s="9" t="s">
        <v>83</v>
      </c>
      <c r="L87" s="9" t="s">
        <v>127</v>
      </c>
      <c r="M87" s="11">
        <v>7</v>
      </c>
      <c r="N87" s="11">
        <v>20</v>
      </c>
      <c r="O87" s="11">
        <v>0</v>
      </c>
      <c r="P87" s="11">
        <v>140</v>
      </c>
      <c r="Q87" s="11">
        <v>2</v>
      </c>
      <c r="R87" s="9" t="s">
        <v>60</v>
      </c>
      <c r="S87" s="9" t="s">
        <v>32</v>
      </c>
      <c r="T87" s="9" t="s">
        <v>66</v>
      </c>
      <c r="U87" s="9">
        <v>9237400853</v>
      </c>
      <c r="V87" s="9" t="s">
        <v>53</v>
      </c>
      <c r="W87" s="3"/>
      <c r="X87" s="3"/>
      <c r="Y87" s="3"/>
      <c r="Z87" s="3"/>
    </row>
    <row r="88" spans="1:26" ht="15" thickBot="1" x14ac:dyDescent="0.4">
      <c r="A88" s="4" t="s">
        <v>209</v>
      </c>
      <c r="B88" s="4" t="s">
        <v>134</v>
      </c>
      <c r="C88" s="4" t="s">
        <v>68</v>
      </c>
      <c r="D88" s="5">
        <v>45757</v>
      </c>
      <c r="E88" s="5">
        <v>45765</v>
      </c>
      <c r="F88" s="4" t="s">
        <v>135</v>
      </c>
      <c r="G88" s="4" t="s">
        <v>26</v>
      </c>
      <c r="H88" s="5">
        <v>36937</v>
      </c>
      <c r="I88" s="4" t="s">
        <v>79</v>
      </c>
      <c r="J88" s="4" t="s">
        <v>75</v>
      </c>
      <c r="K88" s="4" t="s">
        <v>29</v>
      </c>
      <c r="L88" s="4" t="s">
        <v>70</v>
      </c>
      <c r="M88" s="6">
        <v>20</v>
      </c>
      <c r="N88" s="6">
        <v>3500</v>
      </c>
      <c r="O88" s="6">
        <v>20</v>
      </c>
      <c r="P88" s="6">
        <v>56000</v>
      </c>
      <c r="Q88" s="6">
        <v>4</v>
      </c>
      <c r="R88" s="4" t="s">
        <v>60</v>
      </c>
      <c r="S88" s="4" t="s">
        <v>80</v>
      </c>
      <c r="T88" s="4" t="s">
        <v>136</v>
      </c>
      <c r="U88" s="4">
        <v>9599597595</v>
      </c>
      <c r="V88" s="4" t="s">
        <v>52</v>
      </c>
      <c r="W88" s="3"/>
      <c r="X88" s="3"/>
      <c r="Y88" s="3"/>
      <c r="Z88" s="3"/>
    </row>
    <row r="89" spans="1:26" ht="15" thickBot="1" x14ac:dyDescent="0.4">
      <c r="A89" s="9" t="s">
        <v>210</v>
      </c>
      <c r="B89" s="9" t="s">
        <v>72</v>
      </c>
      <c r="C89" s="9" t="s">
        <v>105</v>
      </c>
      <c r="D89" s="10">
        <v>46097</v>
      </c>
      <c r="E89" s="10">
        <v>46107</v>
      </c>
      <c r="F89" s="9" t="s">
        <v>73</v>
      </c>
      <c r="G89" s="9" t="s">
        <v>26</v>
      </c>
      <c r="H89" s="10">
        <v>36386</v>
      </c>
      <c r="I89" s="9" t="s">
        <v>91</v>
      </c>
      <c r="J89" s="9" t="s">
        <v>75</v>
      </c>
      <c r="K89" s="9" t="s">
        <v>29</v>
      </c>
      <c r="L89" s="9" t="s">
        <v>107</v>
      </c>
      <c r="M89" s="11">
        <v>8</v>
      </c>
      <c r="N89" s="11">
        <v>8500</v>
      </c>
      <c r="O89" s="11">
        <v>20</v>
      </c>
      <c r="P89" s="11">
        <v>54400</v>
      </c>
      <c r="Q89" s="11">
        <v>3</v>
      </c>
      <c r="R89" s="9" t="s">
        <v>60</v>
      </c>
      <c r="S89" s="9" t="s">
        <v>80</v>
      </c>
      <c r="T89" s="9" t="s">
        <v>93</v>
      </c>
      <c r="U89" s="9">
        <v>9230007509</v>
      </c>
      <c r="V89" s="9" t="s">
        <v>52</v>
      </c>
      <c r="W89" s="3"/>
      <c r="X89" s="3"/>
      <c r="Y89" s="3"/>
      <c r="Z89" s="3"/>
    </row>
    <row r="90" spans="1:26" ht="15" thickBot="1" x14ac:dyDescent="0.4">
      <c r="A90" s="4" t="s">
        <v>211</v>
      </c>
      <c r="B90" s="4" t="s">
        <v>156</v>
      </c>
      <c r="C90" s="4" t="s">
        <v>36</v>
      </c>
      <c r="D90" s="5">
        <v>45915</v>
      </c>
      <c r="E90" s="5">
        <v>45924</v>
      </c>
      <c r="F90" s="4" t="s">
        <v>106</v>
      </c>
      <c r="G90" s="4" t="s">
        <v>58</v>
      </c>
      <c r="H90" s="5">
        <v>37335</v>
      </c>
      <c r="I90" s="4" t="s">
        <v>91</v>
      </c>
      <c r="J90" s="4" t="s">
        <v>212</v>
      </c>
      <c r="K90" s="4" t="s">
        <v>39</v>
      </c>
      <c r="L90" s="4" t="s">
        <v>40</v>
      </c>
      <c r="M90" s="6">
        <v>6</v>
      </c>
      <c r="N90" s="6">
        <v>12000</v>
      </c>
      <c r="O90" s="6">
        <v>5</v>
      </c>
      <c r="P90" s="6">
        <v>68400</v>
      </c>
      <c r="Q90" s="6">
        <v>4</v>
      </c>
      <c r="R90" s="4" t="s">
        <v>41</v>
      </c>
      <c r="S90" s="4" t="s">
        <v>32</v>
      </c>
      <c r="T90" s="4" t="s">
        <v>158</v>
      </c>
      <c r="U90" s="4">
        <v>9823428025</v>
      </c>
      <c r="V90" s="8" t="s">
        <v>34</v>
      </c>
      <c r="W90" s="3"/>
      <c r="X90" s="3"/>
      <c r="Y90" s="3"/>
      <c r="Z90" s="3"/>
    </row>
    <row r="91" spans="1:26" ht="15" thickBot="1" x14ac:dyDescent="0.4">
      <c r="A91" s="9" t="s">
        <v>213</v>
      </c>
      <c r="B91" s="9" t="s">
        <v>23</v>
      </c>
      <c r="C91" s="9" t="s">
        <v>105</v>
      </c>
      <c r="D91" s="10">
        <v>46092</v>
      </c>
      <c r="E91" s="10">
        <v>46100</v>
      </c>
      <c r="F91" s="9" t="s">
        <v>25</v>
      </c>
      <c r="G91" s="9" t="s">
        <v>26</v>
      </c>
      <c r="H91" s="10">
        <v>33768</v>
      </c>
      <c r="I91" s="9" t="s">
        <v>79</v>
      </c>
      <c r="J91" s="9" t="s">
        <v>75</v>
      </c>
      <c r="K91" s="9" t="s">
        <v>29</v>
      </c>
      <c r="L91" s="9" t="s">
        <v>107</v>
      </c>
      <c r="M91" s="11">
        <v>15</v>
      </c>
      <c r="N91" s="11">
        <v>8500</v>
      </c>
      <c r="O91" s="11">
        <v>0</v>
      </c>
      <c r="P91" s="11">
        <v>127500</v>
      </c>
      <c r="Q91" s="11">
        <v>4</v>
      </c>
      <c r="R91" s="9" t="s">
        <v>41</v>
      </c>
      <c r="S91" s="9" t="s">
        <v>32</v>
      </c>
      <c r="T91" s="9" t="s">
        <v>43</v>
      </c>
      <c r="U91" s="9">
        <v>9505048912</v>
      </c>
      <c r="V91" s="9" t="s">
        <v>53</v>
      </c>
      <c r="W91" s="3"/>
      <c r="X91" s="3"/>
      <c r="Y91" s="3"/>
      <c r="Z91" s="3"/>
    </row>
    <row r="92" spans="1:26" ht="15" thickBot="1" x14ac:dyDescent="0.4">
      <c r="A92" s="4" t="s">
        <v>214</v>
      </c>
      <c r="B92" s="4" t="s">
        <v>45</v>
      </c>
      <c r="C92" s="4" t="s">
        <v>56</v>
      </c>
      <c r="D92" s="5">
        <v>45889</v>
      </c>
      <c r="E92" s="5">
        <v>45892</v>
      </c>
      <c r="F92" s="4" t="s">
        <v>101</v>
      </c>
      <c r="G92" s="4" t="s">
        <v>26</v>
      </c>
      <c r="H92" s="5">
        <v>35234</v>
      </c>
      <c r="I92" s="4" t="s">
        <v>121</v>
      </c>
      <c r="J92" s="4" t="s">
        <v>38</v>
      </c>
      <c r="K92" s="4" t="s">
        <v>39</v>
      </c>
      <c r="L92" s="4" t="s">
        <v>59</v>
      </c>
      <c r="M92" s="6">
        <v>5</v>
      </c>
      <c r="N92" s="6">
        <v>1200</v>
      </c>
      <c r="O92" s="6">
        <v>15</v>
      </c>
      <c r="P92" s="6">
        <v>5100</v>
      </c>
      <c r="Q92" s="6">
        <v>1</v>
      </c>
      <c r="R92" s="4" t="s">
        <v>41</v>
      </c>
      <c r="S92" s="4" t="s">
        <v>32</v>
      </c>
      <c r="T92" s="4" t="s">
        <v>51</v>
      </c>
      <c r="U92" s="4">
        <v>9508068393</v>
      </c>
      <c r="V92" s="4" t="s">
        <v>53</v>
      </c>
      <c r="W92" s="3"/>
      <c r="X92" s="3"/>
      <c r="Y92" s="3"/>
      <c r="Z92" s="3"/>
    </row>
    <row r="93" spans="1:26" ht="15" thickBot="1" x14ac:dyDescent="0.4">
      <c r="A93" s="9" t="s">
        <v>215</v>
      </c>
      <c r="B93" s="9" t="s">
        <v>45</v>
      </c>
      <c r="C93" s="9" t="s">
        <v>125</v>
      </c>
      <c r="D93" s="10">
        <v>45882</v>
      </c>
      <c r="E93" s="10">
        <v>45883</v>
      </c>
      <c r="F93" s="9" t="s">
        <v>101</v>
      </c>
      <c r="G93" s="9" t="s">
        <v>26</v>
      </c>
      <c r="H93" s="10">
        <v>30263</v>
      </c>
      <c r="I93" s="9" t="s">
        <v>27</v>
      </c>
      <c r="J93" s="9" t="s">
        <v>28</v>
      </c>
      <c r="K93" s="9" t="s">
        <v>83</v>
      </c>
      <c r="L93" s="9" t="s">
        <v>127</v>
      </c>
      <c r="M93" s="11">
        <v>4</v>
      </c>
      <c r="N93" s="11">
        <v>20</v>
      </c>
      <c r="O93" s="11">
        <v>0</v>
      </c>
      <c r="P93" s="11">
        <v>80</v>
      </c>
      <c r="Q93" s="11">
        <v>4</v>
      </c>
      <c r="R93" s="9" t="s">
        <v>41</v>
      </c>
      <c r="S93" s="9" t="s">
        <v>42</v>
      </c>
      <c r="T93" s="9" t="s">
        <v>51</v>
      </c>
      <c r="U93" s="9">
        <v>9785807771</v>
      </c>
      <c r="V93" s="12" t="s">
        <v>34</v>
      </c>
      <c r="W93" s="3"/>
      <c r="X93" s="3"/>
      <c r="Y93" s="3"/>
      <c r="Z93" s="3"/>
    </row>
    <row r="94" spans="1:26" ht="15" thickBot="1" x14ac:dyDescent="0.4">
      <c r="A94" s="4" t="s">
        <v>216</v>
      </c>
      <c r="B94" s="4" t="s">
        <v>23</v>
      </c>
      <c r="C94" s="4" t="s">
        <v>125</v>
      </c>
      <c r="D94" s="5">
        <v>45732</v>
      </c>
      <c r="E94" s="5">
        <v>45736</v>
      </c>
      <c r="F94" s="4" t="s">
        <v>25</v>
      </c>
      <c r="G94" s="4" t="s">
        <v>26</v>
      </c>
      <c r="H94" s="5">
        <v>30858</v>
      </c>
      <c r="I94" s="4" t="s">
        <v>48</v>
      </c>
      <c r="J94" s="4" t="s">
        <v>28</v>
      </c>
      <c r="K94" s="4" t="s">
        <v>83</v>
      </c>
      <c r="L94" s="4" t="s">
        <v>127</v>
      </c>
      <c r="M94" s="6">
        <v>10</v>
      </c>
      <c r="N94" s="6">
        <v>20</v>
      </c>
      <c r="O94" s="6">
        <v>0</v>
      </c>
      <c r="P94" s="6">
        <v>200</v>
      </c>
      <c r="Q94" s="6">
        <v>3</v>
      </c>
      <c r="R94" s="4" t="s">
        <v>31</v>
      </c>
      <c r="S94" s="4" t="s">
        <v>96</v>
      </c>
      <c r="T94" s="4" t="s">
        <v>43</v>
      </c>
      <c r="U94" s="4">
        <v>9215250979</v>
      </c>
      <c r="V94" s="4" t="s">
        <v>52</v>
      </c>
      <c r="W94" s="3"/>
      <c r="X94" s="3"/>
      <c r="Y94" s="3"/>
      <c r="Z94" s="3"/>
    </row>
    <row r="95" spans="1:26" ht="15" thickBot="1" x14ac:dyDescent="0.4">
      <c r="A95" s="9" t="s">
        <v>217</v>
      </c>
      <c r="B95" s="9" t="s">
        <v>104</v>
      </c>
      <c r="C95" s="9" t="s">
        <v>24</v>
      </c>
      <c r="D95" s="10">
        <v>45904</v>
      </c>
      <c r="E95" s="10">
        <v>45910</v>
      </c>
      <c r="F95" s="9" t="s">
        <v>166</v>
      </c>
      <c r="G95" s="9" t="s">
        <v>26</v>
      </c>
      <c r="H95" s="10">
        <v>34506</v>
      </c>
      <c r="I95" s="9" t="s">
        <v>37</v>
      </c>
      <c r="J95" s="9" t="s">
        <v>38</v>
      </c>
      <c r="K95" s="9" t="s">
        <v>29</v>
      </c>
      <c r="L95" s="9" t="s">
        <v>30</v>
      </c>
      <c r="M95" s="11">
        <v>18</v>
      </c>
      <c r="N95" s="11">
        <v>2200</v>
      </c>
      <c r="O95" s="11">
        <v>10</v>
      </c>
      <c r="P95" s="11">
        <v>35640</v>
      </c>
      <c r="Q95" s="11">
        <v>3</v>
      </c>
      <c r="R95" s="9" t="s">
        <v>31</v>
      </c>
      <c r="S95" s="9" t="s">
        <v>32</v>
      </c>
      <c r="T95" s="9" t="s">
        <v>108</v>
      </c>
      <c r="U95" s="9">
        <v>9845884906</v>
      </c>
      <c r="V95" s="9" t="s">
        <v>53</v>
      </c>
      <c r="W95" s="3"/>
      <c r="X95" s="3"/>
      <c r="Y95" s="3"/>
      <c r="Z95" s="3"/>
    </row>
    <row r="96" spans="1:26" ht="15" thickBot="1" x14ac:dyDescent="0.4">
      <c r="A96" s="4" t="s">
        <v>218</v>
      </c>
      <c r="B96" s="4" t="s">
        <v>156</v>
      </c>
      <c r="C96" s="4" t="s">
        <v>68</v>
      </c>
      <c r="D96" s="5">
        <v>45759</v>
      </c>
      <c r="E96" s="5">
        <v>45762</v>
      </c>
      <c r="F96" s="4" t="s">
        <v>106</v>
      </c>
      <c r="G96" s="4" t="s">
        <v>58</v>
      </c>
      <c r="H96" s="5">
        <v>33163</v>
      </c>
      <c r="I96" s="4" t="s">
        <v>37</v>
      </c>
      <c r="J96" s="4" t="s">
        <v>38</v>
      </c>
      <c r="K96" s="4" t="s">
        <v>29</v>
      </c>
      <c r="L96" s="4" t="s">
        <v>70</v>
      </c>
      <c r="M96" s="6">
        <v>7</v>
      </c>
      <c r="N96" s="6">
        <v>3500</v>
      </c>
      <c r="O96" s="6">
        <v>15</v>
      </c>
      <c r="P96" s="6">
        <v>20825</v>
      </c>
      <c r="Q96" s="6">
        <v>3</v>
      </c>
      <c r="R96" s="4" t="s">
        <v>41</v>
      </c>
      <c r="S96" s="4" t="s">
        <v>42</v>
      </c>
      <c r="T96" s="4" t="s">
        <v>158</v>
      </c>
      <c r="U96" s="4">
        <v>9393097397</v>
      </c>
      <c r="V96" s="8" t="s">
        <v>34</v>
      </c>
      <c r="W96" s="3"/>
      <c r="X96" s="3"/>
      <c r="Y96" s="3"/>
      <c r="Z96" s="3"/>
    </row>
    <row r="97" spans="1:26" ht="15" thickBot="1" x14ac:dyDescent="0.4">
      <c r="A97" s="9" t="s">
        <v>219</v>
      </c>
      <c r="B97" s="9" t="s">
        <v>72</v>
      </c>
      <c r="C97" s="9" t="s">
        <v>105</v>
      </c>
      <c r="D97" s="10">
        <v>46146</v>
      </c>
      <c r="E97" s="10">
        <v>46149</v>
      </c>
      <c r="F97" s="9" t="s">
        <v>73</v>
      </c>
      <c r="G97" s="9" t="s">
        <v>26</v>
      </c>
      <c r="H97" s="10">
        <v>31805</v>
      </c>
      <c r="I97" s="9" t="s">
        <v>147</v>
      </c>
      <c r="J97" s="9" t="s">
        <v>148</v>
      </c>
      <c r="K97" s="9" t="s">
        <v>29</v>
      </c>
      <c r="L97" s="9" t="s">
        <v>107</v>
      </c>
      <c r="M97" s="11">
        <v>19</v>
      </c>
      <c r="N97" s="11">
        <v>8500</v>
      </c>
      <c r="O97" s="11">
        <v>15</v>
      </c>
      <c r="P97" s="11">
        <v>137275</v>
      </c>
      <c r="Q97" s="11">
        <v>4</v>
      </c>
      <c r="R97" s="9" t="s">
        <v>60</v>
      </c>
      <c r="S97" s="9" t="s">
        <v>96</v>
      </c>
      <c r="T97" s="9" t="s">
        <v>93</v>
      </c>
      <c r="U97" s="9">
        <v>9958032109</v>
      </c>
      <c r="V97" s="9" t="s">
        <v>52</v>
      </c>
      <c r="W97" s="3"/>
      <c r="X97" s="3"/>
      <c r="Y97" s="3"/>
      <c r="Z97" s="3"/>
    </row>
    <row r="98" spans="1:26" ht="15" thickBot="1" x14ac:dyDescent="0.4">
      <c r="A98" s="4" t="s">
        <v>220</v>
      </c>
      <c r="B98" s="4" t="s">
        <v>134</v>
      </c>
      <c r="C98" s="4" t="s">
        <v>36</v>
      </c>
      <c r="D98" s="5">
        <v>46040</v>
      </c>
      <c r="E98" s="5">
        <v>46049</v>
      </c>
      <c r="F98" s="4" t="s">
        <v>135</v>
      </c>
      <c r="G98" s="4" t="s">
        <v>26</v>
      </c>
      <c r="H98" s="5">
        <v>30580</v>
      </c>
      <c r="I98" s="4" t="s">
        <v>91</v>
      </c>
      <c r="J98" s="4" t="s">
        <v>75</v>
      </c>
      <c r="K98" s="4" t="s">
        <v>39</v>
      </c>
      <c r="L98" s="4" t="s">
        <v>40</v>
      </c>
      <c r="M98" s="6">
        <v>13</v>
      </c>
      <c r="N98" s="6">
        <v>12000</v>
      </c>
      <c r="O98" s="6">
        <v>15</v>
      </c>
      <c r="P98" s="6">
        <v>132600</v>
      </c>
      <c r="Q98" s="6">
        <v>4</v>
      </c>
      <c r="R98" s="4" t="s">
        <v>31</v>
      </c>
      <c r="S98" s="4" t="s">
        <v>42</v>
      </c>
      <c r="T98" s="4" t="s">
        <v>136</v>
      </c>
      <c r="U98" s="4">
        <v>9755082957</v>
      </c>
      <c r="V98" s="8" t="s">
        <v>34</v>
      </c>
      <c r="W98" s="3"/>
      <c r="X98" s="3"/>
      <c r="Y98" s="3"/>
      <c r="Z98" s="3"/>
    </row>
    <row r="99" spans="1:26" ht="15" thickBot="1" x14ac:dyDescent="0.4">
      <c r="A99" s="9" t="s">
        <v>221</v>
      </c>
      <c r="B99" s="9" t="s">
        <v>156</v>
      </c>
      <c r="C99" s="9" t="s">
        <v>125</v>
      </c>
      <c r="D99" s="10">
        <v>46095</v>
      </c>
      <c r="E99" s="10">
        <v>46105</v>
      </c>
      <c r="F99" s="9" t="s">
        <v>106</v>
      </c>
      <c r="G99" s="9" t="s">
        <v>58</v>
      </c>
      <c r="H99" s="10">
        <v>32602</v>
      </c>
      <c r="I99" s="9" t="s">
        <v>79</v>
      </c>
      <c r="J99" s="9" t="s">
        <v>75</v>
      </c>
      <c r="K99" s="9" t="s">
        <v>83</v>
      </c>
      <c r="L99" s="9" t="s">
        <v>127</v>
      </c>
      <c r="M99" s="11">
        <v>7</v>
      </c>
      <c r="N99" s="11">
        <v>20</v>
      </c>
      <c r="O99" s="11">
        <v>0</v>
      </c>
      <c r="P99" s="11">
        <v>140</v>
      </c>
      <c r="Q99" s="11">
        <v>1</v>
      </c>
      <c r="R99" s="9" t="s">
        <v>60</v>
      </c>
      <c r="S99" s="9" t="s">
        <v>96</v>
      </c>
      <c r="T99" s="9" t="s">
        <v>158</v>
      </c>
      <c r="U99" s="9">
        <v>9872235856</v>
      </c>
      <c r="V99" s="9" t="s">
        <v>53</v>
      </c>
      <c r="W99" s="3"/>
      <c r="X99" s="3"/>
      <c r="Y99" s="3"/>
      <c r="Z99" s="3"/>
    </row>
    <row r="100" spans="1:26" ht="15" thickBot="1" x14ac:dyDescent="0.4">
      <c r="A100" s="4" t="s">
        <v>222</v>
      </c>
      <c r="B100" s="4" t="s">
        <v>104</v>
      </c>
      <c r="C100" s="4" t="s">
        <v>112</v>
      </c>
      <c r="D100" s="5">
        <v>45786</v>
      </c>
      <c r="E100" s="5">
        <v>45788</v>
      </c>
      <c r="F100" s="4" t="s">
        <v>166</v>
      </c>
      <c r="G100" s="4" t="s">
        <v>26</v>
      </c>
      <c r="H100" s="5">
        <v>32045</v>
      </c>
      <c r="I100" s="4" t="s">
        <v>37</v>
      </c>
      <c r="J100" s="4" t="s">
        <v>38</v>
      </c>
      <c r="K100" s="4" t="s">
        <v>39</v>
      </c>
      <c r="L100" s="4" t="s">
        <v>114</v>
      </c>
      <c r="M100" s="6">
        <v>5</v>
      </c>
      <c r="N100" s="6">
        <v>700</v>
      </c>
      <c r="O100" s="6">
        <v>15</v>
      </c>
      <c r="P100" s="6">
        <v>999999</v>
      </c>
      <c r="Q100" s="6">
        <v>4</v>
      </c>
      <c r="R100" s="4" t="s">
        <v>60</v>
      </c>
      <c r="S100" s="4" t="s">
        <v>32</v>
      </c>
      <c r="T100" s="4" t="s">
        <v>108</v>
      </c>
      <c r="U100" s="4">
        <v>9335138816</v>
      </c>
      <c r="V100" s="4" t="s">
        <v>52</v>
      </c>
      <c r="W100" s="3"/>
      <c r="X100" s="3"/>
      <c r="Y100" s="3"/>
      <c r="Z100" s="3"/>
    </row>
    <row r="101" spans="1:26" ht="15" thickBot="1" x14ac:dyDescent="0.4">
      <c r="A101" s="9" t="s">
        <v>223</v>
      </c>
      <c r="B101" s="9" t="s">
        <v>63</v>
      </c>
      <c r="C101" s="9" t="s">
        <v>138</v>
      </c>
      <c r="D101" s="10">
        <v>46149</v>
      </c>
      <c r="E101" s="10">
        <v>46152</v>
      </c>
      <c r="F101" s="9" t="s">
        <v>110</v>
      </c>
      <c r="G101" s="9" t="s">
        <v>58</v>
      </c>
      <c r="H101" s="10">
        <v>30170</v>
      </c>
      <c r="I101" s="9" t="s">
        <v>48</v>
      </c>
      <c r="J101" s="9" t="s">
        <v>28</v>
      </c>
      <c r="K101" s="9" t="s">
        <v>83</v>
      </c>
      <c r="L101" s="9" t="s">
        <v>139</v>
      </c>
      <c r="M101" s="11">
        <v>9</v>
      </c>
      <c r="N101" s="11">
        <v>45</v>
      </c>
      <c r="O101" s="11">
        <v>5</v>
      </c>
      <c r="P101" s="11">
        <v>384.75</v>
      </c>
      <c r="Q101" s="11">
        <v>3</v>
      </c>
      <c r="R101" s="9" t="s">
        <v>31</v>
      </c>
      <c r="S101" s="9" t="s">
        <v>32</v>
      </c>
      <c r="T101" s="9" t="s">
        <v>66</v>
      </c>
      <c r="U101" s="9">
        <v>9750365609</v>
      </c>
      <c r="V101" s="12" t="s">
        <v>34</v>
      </c>
      <c r="W101" s="3"/>
      <c r="X101" s="3"/>
      <c r="Y101" s="3"/>
      <c r="Z101" s="3"/>
    </row>
    <row r="102" spans="1:26" ht="15" thickBot="1" x14ac:dyDescent="0.4">
      <c r="A102" s="4" t="s">
        <v>224</v>
      </c>
      <c r="B102" s="4" t="s">
        <v>87</v>
      </c>
      <c r="C102" s="4" t="s">
        <v>82</v>
      </c>
      <c r="D102" s="5">
        <v>45768</v>
      </c>
      <c r="E102" s="5">
        <v>45776</v>
      </c>
      <c r="F102" s="4" t="s">
        <v>88</v>
      </c>
      <c r="G102" s="4" t="s">
        <v>58</v>
      </c>
      <c r="H102" s="5">
        <v>31610</v>
      </c>
      <c r="I102" s="4" t="s">
        <v>147</v>
      </c>
      <c r="J102" s="4" t="s">
        <v>148</v>
      </c>
      <c r="K102" s="4" t="s">
        <v>83</v>
      </c>
      <c r="L102" s="4" t="s">
        <v>84</v>
      </c>
      <c r="M102" s="6">
        <v>19</v>
      </c>
      <c r="N102" s="6">
        <v>60</v>
      </c>
      <c r="O102" s="6">
        <v>10</v>
      </c>
      <c r="P102" s="6">
        <v>1026</v>
      </c>
      <c r="Q102" s="6">
        <v>5</v>
      </c>
      <c r="R102" s="4" t="s">
        <v>41</v>
      </c>
      <c r="S102" s="4" t="s">
        <v>80</v>
      </c>
      <c r="T102" s="4" t="s">
        <v>89</v>
      </c>
      <c r="U102" s="4">
        <v>9736812737</v>
      </c>
      <c r="V102" s="8" t="s">
        <v>34</v>
      </c>
      <c r="W102" s="3"/>
      <c r="X102" s="3"/>
      <c r="Y102" s="3"/>
      <c r="Z102" s="3"/>
    </row>
    <row r="103" spans="1:26" ht="15" thickBot="1" x14ac:dyDescent="0.4">
      <c r="A103" s="9" t="s">
        <v>225</v>
      </c>
      <c r="B103" s="9" t="s">
        <v>156</v>
      </c>
      <c r="C103" s="9" t="s">
        <v>112</v>
      </c>
      <c r="D103" s="10">
        <v>46002</v>
      </c>
      <c r="E103" s="10">
        <v>46011</v>
      </c>
      <c r="F103" s="9" t="s">
        <v>106</v>
      </c>
      <c r="G103" s="9" t="s">
        <v>58</v>
      </c>
      <c r="H103" s="10">
        <v>31873</v>
      </c>
      <c r="I103" s="9" t="s">
        <v>91</v>
      </c>
      <c r="J103" s="9" t="s">
        <v>75</v>
      </c>
      <c r="K103" s="9" t="s">
        <v>39</v>
      </c>
      <c r="L103" s="9" t="s">
        <v>114</v>
      </c>
      <c r="M103" s="11">
        <v>4</v>
      </c>
      <c r="N103" s="11">
        <v>700</v>
      </c>
      <c r="O103" s="11">
        <v>5</v>
      </c>
      <c r="P103" s="11">
        <v>2660</v>
      </c>
      <c r="Q103" s="11">
        <v>3</v>
      </c>
      <c r="R103" s="9" t="s">
        <v>41</v>
      </c>
      <c r="S103" s="9" t="s">
        <v>50</v>
      </c>
      <c r="T103" s="9" t="s">
        <v>158</v>
      </c>
      <c r="U103" s="9">
        <v>9271420931</v>
      </c>
      <c r="V103" s="12" t="s">
        <v>34</v>
      </c>
      <c r="W103" s="3"/>
      <c r="X103" s="3"/>
      <c r="Y103" s="3"/>
      <c r="Z103" s="3"/>
    </row>
    <row r="104" spans="1:26" ht="15" thickBot="1" x14ac:dyDescent="0.4">
      <c r="A104" s="4" t="s">
        <v>226</v>
      </c>
      <c r="B104" s="4" t="s">
        <v>156</v>
      </c>
      <c r="C104" s="4" t="s">
        <v>68</v>
      </c>
      <c r="D104" s="5">
        <v>46149</v>
      </c>
      <c r="E104" s="5">
        <v>46157</v>
      </c>
      <c r="F104" s="4" t="s">
        <v>106</v>
      </c>
      <c r="G104" s="4" t="s">
        <v>58</v>
      </c>
      <c r="H104" s="5">
        <v>38042</v>
      </c>
      <c r="I104" s="4" t="s">
        <v>79</v>
      </c>
      <c r="J104" s="4" t="s">
        <v>75</v>
      </c>
      <c r="K104" s="4" t="s">
        <v>29</v>
      </c>
      <c r="L104" s="4" t="s">
        <v>70</v>
      </c>
      <c r="M104" s="6">
        <v>16</v>
      </c>
      <c r="N104" s="6">
        <v>3500</v>
      </c>
      <c r="O104" s="6">
        <v>0</v>
      </c>
      <c r="P104" s="6">
        <v>56000</v>
      </c>
      <c r="Q104" s="6">
        <v>2</v>
      </c>
      <c r="R104" s="4" t="s">
        <v>60</v>
      </c>
      <c r="S104" s="4" t="s">
        <v>42</v>
      </c>
      <c r="T104" s="4" t="s">
        <v>158</v>
      </c>
      <c r="U104" s="4">
        <v>9781411370</v>
      </c>
      <c r="V104" s="8" t="s">
        <v>34</v>
      </c>
      <c r="W104" s="3"/>
      <c r="X104" s="3"/>
      <c r="Y104" s="3"/>
      <c r="Z104" s="3"/>
    </row>
    <row r="105" spans="1:26" ht="15" thickBot="1" x14ac:dyDescent="0.4">
      <c r="A105" s="9" t="s">
        <v>227</v>
      </c>
      <c r="B105" s="9" t="s">
        <v>134</v>
      </c>
      <c r="C105" s="9" t="s">
        <v>138</v>
      </c>
      <c r="D105" s="10">
        <v>45670</v>
      </c>
      <c r="E105" s="10">
        <v>45677</v>
      </c>
      <c r="F105" s="9" t="s">
        <v>135</v>
      </c>
      <c r="G105" s="9" t="s">
        <v>26</v>
      </c>
      <c r="H105" s="10">
        <v>37005</v>
      </c>
      <c r="I105" s="9" t="s">
        <v>48</v>
      </c>
      <c r="J105" s="9" t="s">
        <v>28</v>
      </c>
      <c r="K105" s="9" t="s">
        <v>83</v>
      </c>
      <c r="L105" s="9" t="s">
        <v>139</v>
      </c>
      <c r="M105" s="11">
        <v>5</v>
      </c>
      <c r="N105" s="11">
        <v>45</v>
      </c>
      <c r="O105" s="11">
        <v>20</v>
      </c>
      <c r="P105" s="11">
        <v>180</v>
      </c>
      <c r="Q105" s="11">
        <v>3</v>
      </c>
      <c r="R105" s="9" t="s">
        <v>60</v>
      </c>
      <c r="S105" s="9" t="s">
        <v>32</v>
      </c>
      <c r="T105" s="9" t="s">
        <v>136</v>
      </c>
      <c r="U105" s="9">
        <v>9584152818</v>
      </c>
      <c r="V105" s="12" t="s">
        <v>34</v>
      </c>
      <c r="W105" s="3"/>
      <c r="X105" s="3"/>
      <c r="Y105" s="3"/>
      <c r="Z105" s="3"/>
    </row>
    <row r="106" spans="1:26" ht="15" thickBot="1" x14ac:dyDescent="0.4">
      <c r="A106" s="4" t="s">
        <v>228</v>
      </c>
      <c r="B106" s="4" t="s">
        <v>63</v>
      </c>
      <c r="C106" s="4" t="s">
        <v>125</v>
      </c>
      <c r="D106" s="5">
        <v>45733</v>
      </c>
      <c r="E106" s="5">
        <v>45734</v>
      </c>
      <c r="F106" s="4" t="s">
        <v>110</v>
      </c>
      <c r="G106" s="4" t="s">
        <v>58</v>
      </c>
      <c r="H106" s="5">
        <v>35247</v>
      </c>
      <c r="I106" s="4" t="s">
        <v>74</v>
      </c>
      <c r="J106" s="4" t="s">
        <v>75</v>
      </c>
      <c r="K106" s="4" t="s">
        <v>83</v>
      </c>
      <c r="L106" s="4" t="s">
        <v>127</v>
      </c>
      <c r="M106" s="6">
        <v>9</v>
      </c>
      <c r="N106" s="6">
        <v>20</v>
      </c>
      <c r="O106" s="6">
        <v>10</v>
      </c>
      <c r="P106" s="6">
        <v>162</v>
      </c>
      <c r="Q106" s="6">
        <v>4</v>
      </c>
      <c r="R106" s="4" t="s">
        <v>60</v>
      </c>
      <c r="S106" s="4" t="s">
        <v>32</v>
      </c>
      <c r="T106" s="4" t="s">
        <v>66</v>
      </c>
      <c r="U106" s="4">
        <v>9507986836</v>
      </c>
      <c r="V106" s="4" t="s">
        <v>52</v>
      </c>
      <c r="W106" s="3"/>
      <c r="X106" s="3"/>
      <c r="Y106" s="3"/>
      <c r="Z106" s="3"/>
    </row>
    <row r="107" spans="1:26" ht="15" thickBot="1" x14ac:dyDescent="0.4">
      <c r="A107" s="9" t="s">
        <v>229</v>
      </c>
      <c r="B107" s="9" t="s">
        <v>45</v>
      </c>
      <c r="C107" s="9" t="s">
        <v>56</v>
      </c>
      <c r="D107" s="10">
        <v>45713</v>
      </c>
      <c r="E107" s="10">
        <v>45717</v>
      </c>
      <c r="F107" s="9" t="s">
        <v>101</v>
      </c>
      <c r="G107" s="9" t="s">
        <v>26</v>
      </c>
      <c r="H107" s="10">
        <v>28892</v>
      </c>
      <c r="I107" s="9" t="s">
        <v>37</v>
      </c>
      <c r="J107" s="9" t="s">
        <v>38</v>
      </c>
      <c r="K107" s="9" t="s">
        <v>39</v>
      </c>
      <c r="L107" s="9" t="s">
        <v>59</v>
      </c>
      <c r="M107" s="11">
        <v>9</v>
      </c>
      <c r="N107" s="11">
        <v>1200</v>
      </c>
      <c r="O107" s="11">
        <v>5</v>
      </c>
      <c r="P107" s="11">
        <v>10260</v>
      </c>
      <c r="Q107" s="11">
        <v>3</v>
      </c>
      <c r="R107" s="9" t="s">
        <v>65</v>
      </c>
      <c r="S107" s="9" t="s">
        <v>32</v>
      </c>
      <c r="T107" s="9" t="s">
        <v>51</v>
      </c>
      <c r="U107" s="9">
        <v>9518249687</v>
      </c>
      <c r="V107" s="9" t="s">
        <v>52</v>
      </c>
      <c r="W107" s="3"/>
      <c r="X107" s="3"/>
      <c r="Y107" s="3"/>
      <c r="Z107" s="3"/>
    </row>
    <row r="108" spans="1:26" ht="15" thickBot="1" x14ac:dyDescent="0.4">
      <c r="A108" s="4" t="s">
        <v>230</v>
      </c>
      <c r="B108" s="4" t="s">
        <v>72</v>
      </c>
      <c r="C108" s="4" t="s">
        <v>68</v>
      </c>
      <c r="D108" s="5">
        <v>45714</v>
      </c>
      <c r="E108" s="5">
        <v>45715</v>
      </c>
      <c r="F108" s="4" t="s">
        <v>73</v>
      </c>
      <c r="G108" s="4" t="s">
        <v>26</v>
      </c>
      <c r="H108" s="5">
        <v>31393</v>
      </c>
      <c r="I108" s="4" t="s">
        <v>37</v>
      </c>
      <c r="J108" s="4" t="s">
        <v>38</v>
      </c>
      <c r="K108" s="4" t="s">
        <v>29</v>
      </c>
      <c r="L108" s="4" t="s">
        <v>70</v>
      </c>
      <c r="M108" s="6">
        <v>3</v>
      </c>
      <c r="N108" s="6">
        <v>3500</v>
      </c>
      <c r="O108" s="6">
        <v>10</v>
      </c>
      <c r="P108" s="6">
        <v>9450</v>
      </c>
      <c r="Q108" s="6">
        <v>2</v>
      </c>
      <c r="R108" s="4" t="s">
        <v>60</v>
      </c>
      <c r="S108" s="4" t="s">
        <v>96</v>
      </c>
      <c r="T108" s="4" t="s">
        <v>93</v>
      </c>
      <c r="U108" s="4">
        <v>9179328207</v>
      </c>
      <c r="V108" s="4" t="s">
        <v>53</v>
      </c>
      <c r="W108" s="3"/>
      <c r="X108" s="3"/>
      <c r="Y108" s="3"/>
      <c r="Z108" s="3"/>
    </row>
    <row r="109" spans="1:26" ht="15" thickBot="1" x14ac:dyDescent="0.4">
      <c r="A109" s="9" t="s">
        <v>231</v>
      </c>
      <c r="B109" s="9" t="s">
        <v>124</v>
      </c>
      <c r="C109" s="9" t="s">
        <v>56</v>
      </c>
      <c r="D109" s="10">
        <v>46094</v>
      </c>
      <c r="E109" s="10">
        <v>46099</v>
      </c>
      <c r="F109" s="9" t="s">
        <v>126</v>
      </c>
      <c r="G109" s="9" t="s">
        <v>58</v>
      </c>
      <c r="H109" s="10">
        <v>33631</v>
      </c>
      <c r="I109" s="9" t="s">
        <v>74</v>
      </c>
      <c r="J109" s="9" t="s">
        <v>75</v>
      </c>
      <c r="K109" s="9" t="s">
        <v>39</v>
      </c>
      <c r="L109" s="9" t="s">
        <v>59</v>
      </c>
      <c r="M109" s="11">
        <v>6</v>
      </c>
      <c r="N109" s="11">
        <v>1200</v>
      </c>
      <c r="O109" s="11">
        <v>15</v>
      </c>
      <c r="P109" s="11">
        <v>6120</v>
      </c>
      <c r="Q109" s="11">
        <v>4</v>
      </c>
      <c r="R109" s="9" t="s">
        <v>65</v>
      </c>
      <c r="S109" s="9" t="s">
        <v>32</v>
      </c>
      <c r="T109" s="9" t="s">
        <v>128</v>
      </c>
      <c r="U109" s="9">
        <v>9778490728</v>
      </c>
      <c r="V109" s="9" t="s">
        <v>53</v>
      </c>
      <c r="W109" s="3"/>
      <c r="X109" s="3"/>
      <c r="Y109" s="3"/>
      <c r="Z109" s="3"/>
    </row>
    <row r="110" spans="1:26" ht="15" thickBot="1" x14ac:dyDescent="0.4">
      <c r="A110" s="4" t="s">
        <v>232</v>
      </c>
      <c r="B110" s="4" t="s">
        <v>63</v>
      </c>
      <c r="C110" s="4" t="s">
        <v>56</v>
      </c>
      <c r="D110" s="5">
        <v>45848</v>
      </c>
      <c r="E110" s="5">
        <v>45850</v>
      </c>
      <c r="F110" s="4" t="s">
        <v>110</v>
      </c>
      <c r="G110" s="4" t="s">
        <v>58</v>
      </c>
      <c r="H110" s="5">
        <v>34155</v>
      </c>
      <c r="I110" s="4" t="s">
        <v>121</v>
      </c>
      <c r="J110" s="4" t="s">
        <v>38</v>
      </c>
      <c r="K110" s="4" t="s">
        <v>39</v>
      </c>
      <c r="L110" s="4" t="s">
        <v>59</v>
      </c>
      <c r="M110" s="6">
        <v>17</v>
      </c>
      <c r="N110" s="6">
        <v>1200</v>
      </c>
      <c r="O110" s="6">
        <v>15</v>
      </c>
      <c r="P110" s="6">
        <v>17340</v>
      </c>
      <c r="Q110" s="6">
        <v>1</v>
      </c>
      <c r="R110" s="4" t="s">
        <v>31</v>
      </c>
      <c r="S110" s="4" t="s">
        <v>50</v>
      </c>
      <c r="T110" s="4" t="s">
        <v>66</v>
      </c>
      <c r="U110" s="4">
        <v>9223058722</v>
      </c>
      <c r="V110" s="8" t="s">
        <v>34</v>
      </c>
      <c r="W110" s="3"/>
      <c r="X110" s="3"/>
      <c r="Y110" s="3"/>
      <c r="Z110" s="3"/>
    </row>
    <row r="111" spans="1:26" ht="15" thickBot="1" x14ac:dyDescent="0.4">
      <c r="A111" s="9" t="s">
        <v>233</v>
      </c>
      <c r="B111" s="9" t="s">
        <v>124</v>
      </c>
      <c r="C111" s="9" t="s">
        <v>105</v>
      </c>
      <c r="D111" s="10">
        <v>45979</v>
      </c>
      <c r="E111" s="10">
        <v>45987</v>
      </c>
      <c r="F111" s="9" t="s">
        <v>126</v>
      </c>
      <c r="G111" s="9" t="s">
        <v>58</v>
      </c>
      <c r="H111" s="10">
        <v>28381</v>
      </c>
      <c r="I111" s="9" t="s">
        <v>48</v>
      </c>
      <c r="J111" s="9" t="s">
        <v>28</v>
      </c>
      <c r="K111" s="9" t="s">
        <v>29</v>
      </c>
      <c r="L111" s="9" t="s">
        <v>107</v>
      </c>
      <c r="M111" s="11">
        <v>15</v>
      </c>
      <c r="N111" s="11">
        <v>8500</v>
      </c>
      <c r="O111" s="11">
        <v>0</v>
      </c>
      <c r="P111" s="11">
        <v>127500</v>
      </c>
      <c r="Q111" s="11">
        <v>3</v>
      </c>
      <c r="R111" s="9" t="s">
        <v>31</v>
      </c>
      <c r="S111" s="9" t="s">
        <v>80</v>
      </c>
      <c r="T111" s="9" t="s">
        <v>128</v>
      </c>
      <c r="U111" s="9">
        <v>9999889465</v>
      </c>
      <c r="V111" s="9" t="s">
        <v>52</v>
      </c>
      <c r="W111" s="3"/>
      <c r="X111" s="3"/>
      <c r="Y111" s="3"/>
      <c r="Z111" s="3"/>
    </row>
    <row r="112" spans="1:26" ht="15" thickBot="1" x14ac:dyDescent="0.4">
      <c r="A112" s="4" t="s">
        <v>234</v>
      </c>
      <c r="B112" s="4" t="s">
        <v>87</v>
      </c>
      <c r="C112" s="4" t="s">
        <v>56</v>
      </c>
      <c r="D112" s="5">
        <v>45760</v>
      </c>
      <c r="E112" s="5">
        <v>45766</v>
      </c>
      <c r="F112" s="4" t="s">
        <v>88</v>
      </c>
      <c r="G112" s="4" t="s">
        <v>58</v>
      </c>
      <c r="H112" s="5">
        <v>31331</v>
      </c>
      <c r="I112" s="4" t="s">
        <v>27</v>
      </c>
      <c r="J112" s="4" t="s">
        <v>28</v>
      </c>
      <c r="K112" s="4" t="s">
        <v>39</v>
      </c>
      <c r="L112" s="4" t="s">
        <v>59</v>
      </c>
      <c r="M112" s="6">
        <v>1</v>
      </c>
      <c r="N112" s="6">
        <v>1200</v>
      </c>
      <c r="O112" s="6">
        <v>20</v>
      </c>
      <c r="P112" s="6">
        <v>960</v>
      </c>
      <c r="Q112" s="6">
        <v>1</v>
      </c>
      <c r="R112" s="4" t="s">
        <v>65</v>
      </c>
      <c r="S112" s="4" t="s">
        <v>80</v>
      </c>
      <c r="T112" s="4" t="s">
        <v>89</v>
      </c>
      <c r="U112" s="4">
        <v>9489687402</v>
      </c>
      <c r="V112" s="4" t="s">
        <v>52</v>
      </c>
      <c r="W112" s="3"/>
      <c r="X112" s="3"/>
      <c r="Y112" s="3"/>
      <c r="Z112" s="3"/>
    </row>
    <row r="113" spans="1:26" ht="15" thickBot="1" x14ac:dyDescent="0.4">
      <c r="A113" s="9" t="s">
        <v>235</v>
      </c>
      <c r="B113" s="9" t="s">
        <v>87</v>
      </c>
      <c r="C113" s="9" t="s">
        <v>105</v>
      </c>
      <c r="D113" s="10">
        <v>45756</v>
      </c>
      <c r="E113" s="10">
        <v>45765</v>
      </c>
      <c r="F113" s="9" t="s">
        <v>88</v>
      </c>
      <c r="G113" s="9" t="s">
        <v>58</v>
      </c>
      <c r="H113" s="10">
        <v>37166</v>
      </c>
      <c r="I113" s="9" t="s">
        <v>147</v>
      </c>
      <c r="J113" s="9" t="s">
        <v>148</v>
      </c>
      <c r="K113" s="9" t="s">
        <v>29</v>
      </c>
      <c r="L113" s="9" t="s">
        <v>107</v>
      </c>
      <c r="M113" s="11">
        <v>5</v>
      </c>
      <c r="N113" s="11">
        <v>8500</v>
      </c>
      <c r="O113" s="11">
        <v>10</v>
      </c>
      <c r="P113" s="11">
        <v>38250</v>
      </c>
      <c r="Q113" s="11">
        <v>1</v>
      </c>
      <c r="R113" s="9" t="s">
        <v>60</v>
      </c>
      <c r="S113" s="9" t="s">
        <v>50</v>
      </c>
      <c r="T113" s="9" t="s">
        <v>89</v>
      </c>
      <c r="U113" s="9">
        <v>9236963301</v>
      </c>
      <c r="V113" s="12" t="s">
        <v>34</v>
      </c>
      <c r="W113" s="3"/>
      <c r="X113" s="3"/>
      <c r="Y113" s="3"/>
      <c r="Z113" s="3"/>
    </row>
    <row r="114" spans="1:26" ht="15" thickBot="1" x14ac:dyDescent="0.4">
      <c r="A114" s="4" t="s">
        <v>236</v>
      </c>
      <c r="B114" s="4" t="s">
        <v>45</v>
      </c>
      <c r="C114" s="4" t="s">
        <v>138</v>
      </c>
      <c r="D114" s="5">
        <v>46115</v>
      </c>
      <c r="E114" s="5">
        <v>46122</v>
      </c>
      <c r="F114" s="4" t="s">
        <v>101</v>
      </c>
      <c r="G114" s="4" t="s">
        <v>26</v>
      </c>
      <c r="H114" s="5">
        <v>31510</v>
      </c>
      <c r="I114" s="4" t="s">
        <v>27</v>
      </c>
      <c r="J114" s="4" t="s">
        <v>28</v>
      </c>
      <c r="K114" s="4" t="s">
        <v>83</v>
      </c>
      <c r="L114" s="4" t="s">
        <v>139</v>
      </c>
      <c r="M114" s="6">
        <v>12</v>
      </c>
      <c r="N114" s="6">
        <v>45</v>
      </c>
      <c r="O114" s="6">
        <v>5</v>
      </c>
      <c r="P114" s="6">
        <v>513</v>
      </c>
      <c r="Q114" s="6">
        <v>2</v>
      </c>
      <c r="R114" s="4" t="s">
        <v>41</v>
      </c>
      <c r="S114" s="4" t="s">
        <v>32</v>
      </c>
      <c r="T114" s="4" t="s">
        <v>51</v>
      </c>
      <c r="U114" s="4">
        <v>9653594592</v>
      </c>
      <c r="V114" s="4" t="s">
        <v>53</v>
      </c>
      <c r="W114" s="3"/>
      <c r="X114" s="3"/>
      <c r="Y114" s="3"/>
      <c r="Z114" s="3"/>
    </row>
    <row r="115" spans="1:26" ht="15" thickBot="1" x14ac:dyDescent="0.4">
      <c r="A115" s="9" t="s">
        <v>237</v>
      </c>
      <c r="B115" s="9" t="s">
        <v>124</v>
      </c>
      <c r="C115" s="9" t="s">
        <v>82</v>
      </c>
      <c r="D115" s="10">
        <v>45953</v>
      </c>
      <c r="E115" s="10">
        <v>45958</v>
      </c>
      <c r="F115" s="9" t="s">
        <v>126</v>
      </c>
      <c r="G115" s="9" t="s">
        <v>58</v>
      </c>
      <c r="H115" s="10">
        <v>33075</v>
      </c>
      <c r="I115" s="9" t="s">
        <v>79</v>
      </c>
      <c r="J115" s="9" t="s">
        <v>75</v>
      </c>
      <c r="K115" s="9" t="s">
        <v>83</v>
      </c>
      <c r="L115" s="9" t="s">
        <v>84</v>
      </c>
      <c r="M115" s="11">
        <v>5</v>
      </c>
      <c r="N115" s="11">
        <v>60</v>
      </c>
      <c r="O115" s="11">
        <v>5</v>
      </c>
      <c r="P115" s="11">
        <v>285</v>
      </c>
      <c r="Q115" s="11">
        <v>2</v>
      </c>
      <c r="R115" s="9" t="s">
        <v>31</v>
      </c>
      <c r="S115" s="9" t="s">
        <v>50</v>
      </c>
      <c r="T115" s="9" t="s">
        <v>128</v>
      </c>
      <c r="U115" s="9">
        <v>9781970426</v>
      </c>
      <c r="V115" s="12" t="s">
        <v>34</v>
      </c>
      <c r="W115" s="3"/>
      <c r="X115" s="3"/>
      <c r="Y115" s="3"/>
      <c r="Z115" s="3"/>
    </row>
    <row r="116" spans="1:26" ht="15" thickBot="1" x14ac:dyDescent="0.4">
      <c r="A116" s="4" t="s">
        <v>238</v>
      </c>
      <c r="B116" s="4" t="s">
        <v>45</v>
      </c>
      <c r="C116" s="4" t="s">
        <v>112</v>
      </c>
      <c r="D116" s="5">
        <v>45750</v>
      </c>
      <c r="E116" s="5">
        <v>45761</v>
      </c>
      <c r="F116" s="4" t="s">
        <v>101</v>
      </c>
      <c r="G116" s="4" t="s">
        <v>26</v>
      </c>
      <c r="H116" s="5">
        <v>34435</v>
      </c>
      <c r="I116" s="4" t="s">
        <v>147</v>
      </c>
      <c r="J116" s="4" t="s">
        <v>148</v>
      </c>
      <c r="K116" s="4" t="s">
        <v>39</v>
      </c>
      <c r="L116" s="4" t="s">
        <v>114</v>
      </c>
      <c r="M116" s="6">
        <v>3</v>
      </c>
      <c r="N116" s="6">
        <v>700</v>
      </c>
      <c r="O116" s="6">
        <v>0</v>
      </c>
      <c r="P116" s="6">
        <v>2100</v>
      </c>
      <c r="Q116" s="6">
        <v>4</v>
      </c>
      <c r="R116" s="4" t="s">
        <v>60</v>
      </c>
      <c r="S116" s="4" t="s">
        <v>50</v>
      </c>
      <c r="T116" s="4" t="s">
        <v>51</v>
      </c>
      <c r="U116" s="4">
        <v>9862165194</v>
      </c>
      <c r="V116" s="8" t="s">
        <v>34</v>
      </c>
      <c r="W116" s="3"/>
      <c r="X116" s="3"/>
      <c r="Y116" s="3"/>
      <c r="Z116" s="3"/>
    </row>
    <row r="117" spans="1:26" ht="15" thickBot="1" x14ac:dyDescent="0.4">
      <c r="A117" s="9" t="s">
        <v>239</v>
      </c>
      <c r="B117" s="9" t="s">
        <v>104</v>
      </c>
      <c r="C117" s="9" t="s">
        <v>125</v>
      </c>
      <c r="D117" s="10">
        <v>45772</v>
      </c>
      <c r="E117" s="10">
        <v>45776</v>
      </c>
      <c r="F117" s="9" t="s">
        <v>166</v>
      </c>
      <c r="G117" s="9" t="s">
        <v>26</v>
      </c>
      <c r="H117" s="10">
        <v>33728</v>
      </c>
      <c r="I117" s="9" t="s">
        <v>37</v>
      </c>
      <c r="J117" s="9" t="s">
        <v>38</v>
      </c>
      <c r="K117" s="9" t="s">
        <v>83</v>
      </c>
      <c r="L117" s="9" t="s">
        <v>127</v>
      </c>
      <c r="M117" s="11">
        <v>6</v>
      </c>
      <c r="N117" s="11">
        <v>20</v>
      </c>
      <c r="O117" s="11">
        <v>15</v>
      </c>
      <c r="P117" s="11">
        <v>102</v>
      </c>
      <c r="Q117" s="11">
        <v>5</v>
      </c>
      <c r="R117" s="9" t="s">
        <v>60</v>
      </c>
      <c r="S117" s="9" t="s">
        <v>96</v>
      </c>
      <c r="T117" s="9" t="s">
        <v>108</v>
      </c>
      <c r="U117" s="9">
        <v>9661280388</v>
      </c>
      <c r="V117" s="12" t="s">
        <v>34</v>
      </c>
      <c r="W117" s="3"/>
      <c r="X117" s="3"/>
      <c r="Y117" s="3"/>
      <c r="Z117" s="3"/>
    </row>
    <row r="118" spans="1:26" ht="15" thickBot="1" x14ac:dyDescent="0.4">
      <c r="A118" s="4" t="s">
        <v>240</v>
      </c>
      <c r="B118" s="4" t="s">
        <v>72</v>
      </c>
      <c r="C118" s="4" t="s">
        <v>112</v>
      </c>
      <c r="D118" s="5">
        <v>45893</v>
      </c>
      <c r="E118" s="5">
        <v>45900</v>
      </c>
      <c r="F118" s="4" t="s">
        <v>73</v>
      </c>
      <c r="G118" s="4" t="s">
        <v>26</v>
      </c>
      <c r="H118" s="5">
        <v>29354</v>
      </c>
      <c r="I118" s="4" t="s">
        <v>48</v>
      </c>
      <c r="J118" s="4" t="s">
        <v>28</v>
      </c>
      <c r="K118" s="4" t="s">
        <v>39</v>
      </c>
      <c r="L118" s="4" t="s">
        <v>114</v>
      </c>
      <c r="M118" s="6">
        <v>2</v>
      </c>
      <c r="N118" s="6">
        <v>700</v>
      </c>
      <c r="O118" s="6">
        <v>15</v>
      </c>
      <c r="P118" s="6">
        <v>1190</v>
      </c>
      <c r="Q118" s="6">
        <v>4</v>
      </c>
      <c r="R118" s="4" t="s">
        <v>31</v>
      </c>
      <c r="S118" s="4" t="s">
        <v>96</v>
      </c>
      <c r="T118" s="4" t="s">
        <v>93</v>
      </c>
      <c r="U118" s="4">
        <v>9896985355</v>
      </c>
      <c r="V118" s="4" t="s">
        <v>52</v>
      </c>
      <c r="W118" s="3"/>
      <c r="X118" s="3"/>
      <c r="Y118" s="3"/>
      <c r="Z118" s="3"/>
    </row>
    <row r="119" spans="1:26" ht="15" thickBot="1" x14ac:dyDescent="0.4">
      <c r="A119" s="9" t="s">
        <v>241</v>
      </c>
      <c r="B119" s="9" t="s">
        <v>156</v>
      </c>
      <c r="C119" s="9" t="s">
        <v>138</v>
      </c>
      <c r="D119" s="10">
        <v>45808</v>
      </c>
      <c r="E119" s="10">
        <v>45819</v>
      </c>
      <c r="F119" s="9" t="s">
        <v>106</v>
      </c>
      <c r="G119" s="9" t="s">
        <v>58</v>
      </c>
      <c r="H119" s="10">
        <v>34949</v>
      </c>
      <c r="I119" s="9" t="s">
        <v>79</v>
      </c>
      <c r="J119" s="9" t="s">
        <v>75</v>
      </c>
      <c r="K119" s="9" t="s">
        <v>83</v>
      </c>
      <c r="L119" s="9" t="s">
        <v>139</v>
      </c>
      <c r="M119" s="11">
        <v>16</v>
      </c>
      <c r="N119" s="11">
        <v>45</v>
      </c>
      <c r="O119" s="11">
        <v>0</v>
      </c>
      <c r="P119" s="11">
        <v>720</v>
      </c>
      <c r="Q119" s="11">
        <v>1</v>
      </c>
      <c r="R119" s="9" t="s">
        <v>41</v>
      </c>
      <c r="S119" s="9" t="s">
        <v>50</v>
      </c>
      <c r="T119" s="9" t="s">
        <v>158</v>
      </c>
      <c r="U119" s="9">
        <v>9807154421</v>
      </c>
      <c r="V119" s="12" t="s">
        <v>34</v>
      </c>
      <c r="W119" s="3"/>
      <c r="X119" s="3"/>
      <c r="Y119" s="3"/>
      <c r="Z119" s="3"/>
    </row>
    <row r="120" spans="1:26" ht="15" thickBot="1" x14ac:dyDescent="0.4">
      <c r="A120" s="4" t="s">
        <v>242</v>
      </c>
      <c r="B120" s="4" t="s">
        <v>55</v>
      </c>
      <c r="C120" s="4" t="s">
        <v>56</v>
      </c>
      <c r="D120" s="5">
        <v>45807</v>
      </c>
      <c r="E120" s="5">
        <v>45810</v>
      </c>
      <c r="F120" s="4" t="s">
        <v>57</v>
      </c>
      <c r="G120" s="4" t="s">
        <v>58</v>
      </c>
      <c r="H120" s="5">
        <v>32210</v>
      </c>
      <c r="I120" s="4" t="s">
        <v>91</v>
      </c>
      <c r="J120" s="4" t="s">
        <v>75</v>
      </c>
      <c r="K120" s="4" t="s">
        <v>39</v>
      </c>
      <c r="L120" s="4" t="s">
        <v>59</v>
      </c>
      <c r="M120" s="4" t="s">
        <v>243</v>
      </c>
      <c r="N120" s="6">
        <v>1200</v>
      </c>
      <c r="O120" s="6">
        <v>15</v>
      </c>
      <c r="P120" s="6">
        <v>7140</v>
      </c>
      <c r="Q120" s="6">
        <v>4</v>
      </c>
      <c r="R120" s="4" t="s">
        <v>65</v>
      </c>
      <c r="S120" s="4" t="s">
        <v>96</v>
      </c>
      <c r="T120" s="4" t="s">
        <v>61</v>
      </c>
      <c r="U120" s="4">
        <v>9919834000</v>
      </c>
      <c r="V120" s="4" t="s">
        <v>52</v>
      </c>
      <c r="W120" s="3"/>
      <c r="X120" s="3"/>
      <c r="Y120" s="3"/>
      <c r="Z120" s="3"/>
    </row>
    <row r="121" spans="1:26" ht="15" thickBot="1" x14ac:dyDescent="0.4">
      <c r="A121" s="9" t="s">
        <v>244</v>
      </c>
      <c r="B121" s="9" t="s">
        <v>72</v>
      </c>
      <c r="C121" s="9" t="s">
        <v>36</v>
      </c>
      <c r="D121" s="10">
        <v>45888</v>
      </c>
      <c r="E121" s="10">
        <v>45899</v>
      </c>
      <c r="F121" s="9" t="s">
        <v>73</v>
      </c>
      <c r="G121" s="9" t="s">
        <v>26</v>
      </c>
      <c r="H121" s="10">
        <v>32696</v>
      </c>
      <c r="I121" s="9" t="s">
        <v>121</v>
      </c>
      <c r="J121" s="9" t="s">
        <v>38</v>
      </c>
      <c r="K121" s="9" t="s">
        <v>39</v>
      </c>
      <c r="L121" s="9" t="s">
        <v>40</v>
      </c>
      <c r="M121" s="11">
        <v>14</v>
      </c>
      <c r="N121" s="11">
        <v>12000</v>
      </c>
      <c r="O121" s="11">
        <v>15</v>
      </c>
      <c r="P121" s="11">
        <v>142800</v>
      </c>
      <c r="Q121" s="11">
        <v>2</v>
      </c>
      <c r="R121" s="9" t="s">
        <v>41</v>
      </c>
      <c r="S121" s="9" t="s">
        <v>50</v>
      </c>
      <c r="T121" s="9" t="s">
        <v>93</v>
      </c>
      <c r="U121" s="9">
        <v>9739798818</v>
      </c>
      <c r="V121" s="9" t="s">
        <v>52</v>
      </c>
      <c r="W121" s="3"/>
      <c r="X121" s="3"/>
      <c r="Y121" s="3"/>
      <c r="Z121" s="3"/>
    </row>
    <row r="122" spans="1:26" ht="15" thickBot="1" x14ac:dyDescent="0.4">
      <c r="A122" s="4" t="s">
        <v>245</v>
      </c>
      <c r="B122" s="4" t="s">
        <v>87</v>
      </c>
      <c r="C122" s="4" t="s">
        <v>105</v>
      </c>
      <c r="D122" s="5">
        <v>46005</v>
      </c>
      <c r="E122" s="5">
        <v>46007</v>
      </c>
      <c r="F122" s="4" t="s">
        <v>88</v>
      </c>
      <c r="G122" s="4" t="s">
        <v>58</v>
      </c>
      <c r="H122" s="5">
        <v>34284</v>
      </c>
      <c r="I122" s="4" t="s">
        <v>79</v>
      </c>
      <c r="J122" s="4" t="s">
        <v>75</v>
      </c>
      <c r="K122" s="4" t="s">
        <v>29</v>
      </c>
      <c r="L122" s="4" t="s">
        <v>107</v>
      </c>
      <c r="M122" s="6">
        <v>8</v>
      </c>
      <c r="N122" s="6">
        <v>8500</v>
      </c>
      <c r="O122" s="6">
        <v>20</v>
      </c>
      <c r="P122" s="6">
        <v>54400</v>
      </c>
      <c r="Q122" s="6">
        <v>3</v>
      </c>
      <c r="R122" s="4" t="s">
        <v>60</v>
      </c>
      <c r="S122" s="4" t="s">
        <v>42</v>
      </c>
      <c r="T122" s="4" t="s">
        <v>89</v>
      </c>
      <c r="U122" s="4">
        <v>9208625306</v>
      </c>
      <c r="V122" s="8" t="s">
        <v>34</v>
      </c>
      <c r="W122" s="3"/>
      <c r="X122" s="3"/>
      <c r="Y122" s="3"/>
      <c r="Z122" s="3"/>
    </row>
    <row r="123" spans="1:26" ht="15" thickBot="1" x14ac:dyDescent="0.4">
      <c r="A123" s="9" t="s">
        <v>246</v>
      </c>
      <c r="B123" s="9" t="s">
        <v>63</v>
      </c>
      <c r="C123" s="9" t="s">
        <v>138</v>
      </c>
      <c r="D123" s="10">
        <v>46053</v>
      </c>
      <c r="E123" s="10">
        <v>46063</v>
      </c>
      <c r="F123" s="9" t="s">
        <v>110</v>
      </c>
      <c r="G123" s="9" t="s">
        <v>58</v>
      </c>
      <c r="H123" s="10">
        <v>36557</v>
      </c>
      <c r="I123" s="9" t="s">
        <v>48</v>
      </c>
      <c r="J123" s="9" t="s">
        <v>28</v>
      </c>
      <c r="K123" s="9" t="s">
        <v>83</v>
      </c>
      <c r="L123" s="9" t="s">
        <v>139</v>
      </c>
      <c r="M123" s="11">
        <v>3</v>
      </c>
      <c r="N123" s="11">
        <v>45</v>
      </c>
      <c r="O123" s="11">
        <v>0</v>
      </c>
      <c r="P123" s="11">
        <v>135</v>
      </c>
      <c r="Q123" s="11">
        <v>4</v>
      </c>
      <c r="R123" s="9" t="s">
        <v>65</v>
      </c>
      <c r="S123" s="9" t="s">
        <v>50</v>
      </c>
      <c r="T123" s="9" t="s">
        <v>66</v>
      </c>
      <c r="U123" s="9">
        <v>9970178536</v>
      </c>
      <c r="V123" s="9" t="s">
        <v>53</v>
      </c>
      <c r="W123" s="3"/>
      <c r="X123" s="3"/>
      <c r="Y123" s="3"/>
      <c r="Z123" s="3"/>
    </row>
    <row r="124" spans="1:26" ht="15" thickBot="1" x14ac:dyDescent="0.4">
      <c r="A124" s="4" t="s">
        <v>247</v>
      </c>
      <c r="B124" s="4" t="s">
        <v>156</v>
      </c>
      <c r="C124" s="4" t="s">
        <v>112</v>
      </c>
      <c r="D124" s="5">
        <v>46025</v>
      </c>
      <c r="E124" s="5">
        <v>46026</v>
      </c>
      <c r="F124" s="4" t="s">
        <v>106</v>
      </c>
      <c r="G124" s="4" t="s">
        <v>58</v>
      </c>
      <c r="H124" s="5">
        <v>31585</v>
      </c>
      <c r="I124" s="4" t="s">
        <v>121</v>
      </c>
      <c r="J124" s="4" t="s">
        <v>38</v>
      </c>
      <c r="K124" s="4" t="s">
        <v>39</v>
      </c>
      <c r="L124" s="4" t="s">
        <v>114</v>
      </c>
      <c r="M124" s="6">
        <v>13</v>
      </c>
      <c r="N124" s="6">
        <v>700</v>
      </c>
      <c r="O124" s="6">
        <v>5</v>
      </c>
      <c r="P124" s="6">
        <v>8645</v>
      </c>
      <c r="Q124" s="6">
        <v>3</v>
      </c>
      <c r="R124" s="4" t="s">
        <v>60</v>
      </c>
      <c r="S124" s="4" t="s">
        <v>80</v>
      </c>
      <c r="T124" s="4" t="s">
        <v>158</v>
      </c>
      <c r="U124" s="4">
        <v>9633745195</v>
      </c>
      <c r="V124" s="4" t="s">
        <v>52</v>
      </c>
      <c r="W124" s="3"/>
      <c r="X124" s="3"/>
      <c r="Y124" s="3"/>
      <c r="Z124" s="3"/>
    </row>
    <row r="125" spans="1:26" ht="15" thickBot="1" x14ac:dyDescent="0.4">
      <c r="A125" s="9" t="s">
        <v>248</v>
      </c>
      <c r="B125" s="9" t="s">
        <v>104</v>
      </c>
      <c r="C125" s="9" t="s">
        <v>56</v>
      </c>
      <c r="D125" s="10">
        <v>45950</v>
      </c>
      <c r="E125" s="10">
        <v>45956</v>
      </c>
      <c r="F125" s="9" t="s">
        <v>166</v>
      </c>
      <c r="G125" s="9" t="s">
        <v>26</v>
      </c>
      <c r="H125" s="10">
        <v>31459</v>
      </c>
      <c r="I125" s="9" t="s">
        <v>74</v>
      </c>
      <c r="J125" s="9" t="s">
        <v>75</v>
      </c>
      <c r="K125" s="9" t="s">
        <v>39</v>
      </c>
      <c r="L125" s="9" t="s">
        <v>59</v>
      </c>
      <c r="M125" s="11">
        <v>14</v>
      </c>
      <c r="N125" s="11">
        <v>1200</v>
      </c>
      <c r="O125" s="11">
        <v>20</v>
      </c>
      <c r="P125" s="11">
        <v>13440</v>
      </c>
      <c r="Q125" s="11">
        <v>5</v>
      </c>
      <c r="R125" s="9" t="s">
        <v>41</v>
      </c>
      <c r="S125" s="9" t="s">
        <v>50</v>
      </c>
      <c r="T125" s="9" t="s">
        <v>108</v>
      </c>
      <c r="U125" s="9">
        <v>9922102053</v>
      </c>
      <c r="V125" s="12" t="s">
        <v>34</v>
      </c>
      <c r="W125" s="3"/>
      <c r="X125" s="3"/>
      <c r="Y125" s="3"/>
      <c r="Z125" s="3"/>
    </row>
    <row r="126" spans="1:26" ht="15" thickBot="1" x14ac:dyDescent="0.4">
      <c r="A126" s="4" t="s">
        <v>249</v>
      </c>
      <c r="B126" s="4" t="s">
        <v>72</v>
      </c>
      <c r="C126" s="4" t="s">
        <v>138</v>
      </c>
      <c r="D126" s="5">
        <v>45788</v>
      </c>
      <c r="E126" s="5">
        <v>45798</v>
      </c>
      <c r="F126" s="4" t="s">
        <v>73</v>
      </c>
      <c r="G126" s="4" t="s">
        <v>26</v>
      </c>
      <c r="H126" s="5">
        <v>33499</v>
      </c>
      <c r="I126" s="4" t="s">
        <v>37</v>
      </c>
      <c r="J126" s="4" t="s">
        <v>38</v>
      </c>
      <c r="K126" s="4" t="s">
        <v>83</v>
      </c>
      <c r="L126" s="4" t="s">
        <v>139</v>
      </c>
      <c r="M126" s="6">
        <v>2</v>
      </c>
      <c r="N126" s="6">
        <v>45</v>
      </c>
      <c r="O126" s="6">
        <v>5</v>
      </c>
      <c r="P126" s="6">
        <v>85.5</v>
      </c>
      <c r="Q126" s="6">
        <v>3</v>
      </c>
      <c r="R126" s="4" t="s">
        <v>65</v>
      </c>
      <c r="S126" s="4" t="s">
        <v>32</v>
      </c>
      <c r="T126" s="4" t="s">
        <v>93</v>
      </c>
      <c r="U126" s="4">
        <v>9135963930</v>
      </c>
      <c r="V126" s="4" t="s">
        <v>53</v>
      </c>
      <c r="W126" s="3"/>
      <c r="X126" s="3"/>
      <c r="Y126" s="3"/>
      <c r="Z126" s="3"/>
    </row>
    <row r="127" spans="1:26" ht="15" thickBot="1" x14ac:dyDescent="0.4">
      <c r="A127" s="9" t="s">
        <v>250</v>
      </c>
      <c r="B127" s="9" t="s">
        <v>104</v>
      </c>
      <c r="C127" s="9" t="s">
        <v>56</v>
      </c>
      <c r="D127" s="10">
        <v>46024</v>
      </c>
      <c r="E127" s="10">
        <v>46028</v>
      </c>
      <c r="F127" s="9" t="s">
        <v>166</v>
      </c>
      <c r="G127" s="9" t="s">
        <v>26</v>
      </c>
      <c r="H127" s="10">
        <v>29590</v>
      </c>
      <c r="I127" s="9" t="s">
        <v>48</v>
      </c>
      <c r="J127" s="9" t="s">
        <v>28</v>
      </c>
      <c r="K127" s="9" t="s">
        <v>39</v>
      </c>
      <c r="L127" s="9" t="s">
        <v>59</v>
      </c>
      <c r="M127" s="11">
        <v>2</v>
      </c>
      <c r="N127" s="11">
        <v>1200</v>
      </c>
      <c r="O127" s="11">
        <v>20</v>
      </c>
      <c r="P127" s="11">
        <v>1920</v>
      </c>
      <c r="Q127" s="11">
        <v>3</v>
      </c>
      <c r="R127" s="9" t="s">
        <v>60</v>
      </c>
      <c r="S127" s="9" t="s">
        <v>80</v>
      </c>
      <c r="T127" s="9" t="s">
        <v>108</v>
      </c>
      <c r="U127" s="9">
        <v>9429405275</v>
      </c>
      <c r="V127" s="12" t="s">
        <v>34</v>
      </c>
      <c r="W127" s="3"/>
      <c r="X127" s="3"/>
      <c r="Y127" s="3"/>
      <c r="Z127" s="3"/>
    </row>
    <row r="128" spans="1:26" ht="15" thickBot="1" x14ac:dyDescent="0.4">
      <c r="A128" s="4" t="s">
        <v>251</v>
      </c>
      <c r="B128" s="4" t="s">
        <v>87</v>
      </c>
      <c r="C128" s="4" t="s">
        <v>46</v>
      </c>
      <c r="D128" s="5">
        <v>46132</v>
      </c>
      <c r="E128" s="5">
        <v>46138</v>
      </c>
      <c r="F128" s="4" t="s">
        <v>88</v>
      </c>
      <c r="G128" s="4" t="s">
        <v>58</v>
      </c>
      <c r="H128" s="5">
        <v>38272</v>
      </c>
      <c r="I128" s="4" t="s">
        <v>48</v>
      </c>
      <c r="J128" s="4" t="s">
        <v>28</v>
      </c>
      <c r="K128" s="4" t="s">
        <v>39</v>
      </c>
      <c r="L128" s="4" t="s">
        <v>49</v>
      </c>
      <c r="M128" s="6">
        <v>10</v>
      </c>
      <c r="N128" s="6">
        <v>55000</v>
      </c>
      <c r="O128" s="6">
        <v>5</v>
      </c>
      <c r="P128" s="6">
        <v>522500</v>
      </c>
      <c r="Q128" s="6">
        <v>5</v>
      </c>
      <c r="R128" s="4" t="s">
        <v>65</v>
      </c>
      <c r="S128" s="4" t="s">
        <v>50</v>
      </c>
      <c r="T128" s="4" t="s">
        <v>89</v>
      </c>
      <c r="U128" s="4">
        <v>9521757571</v>
      </c>
      <c r="V128" s="4" t="s">
        <v>52</v>
      </c>
      <c r="W128" s="3"/>
      <c r="X128" s="3"/>
      <c r="Y128" s="3"/>
      <c r="Z128" s="3"/>
    </row>
    <row r="129" spans="1:26" ht="15" thickBot="1" x14ac:dyDescent="0.4">
      <c r="A129" s="9" t="s">
        <v>252</v>
      </c>
      <c r="B129" s="9" t="s">
        <v>134</v>
      </c>
      <c r="C129" s="9" t="s">
        <v>68</v>
      </c>
      <c r="D129" s="10">
        <v>45873</v>
      </c>
      <c r="E129" s="10">
        <v>45874</v>
      </c>
      <c r="F129" s="9" t="s">
        <v>135</v>
      </c>
      <c r="G129" s="9" t="s">
        <v>26</v>
      </c>
      <c r="H129" s="10">
        <v>30766</v>
      </c>
      <c r="I129" s="9" t="s">
        <v>121</v>
      </c>
      <c r="J129" s="9" t="s">
        <v>38</v>
      </c>
      <c r="K129" s="9" t="s">
        <v>29</v>
      </c>
      <c r="L129" s="9" t="s">
        <v>70</v>
      </c>
      <c r="M129" s="11">
        <v>15</v>
      </c>
      <c r="N129" s="11">
        <v>3500</v>
      </c>
      <c r="O129" s="11">
        <v>10</v>
      </c>
      <c r="P129" s="11">
        <v>47250</v>
      </c>
      <c r="Q129" s="11">
        <v>3</v>
      </c>
      <c r="R129" s="9" t="s">
        <v>41</v>
      </c>
      <c r="S129" s="9" t="s">
        <v>80</v>
      </c>
      <c r="T129" s="9" t="s">
        <v>136</v>
      </c>
      <c r="U129" s="9">
        <v>9467375455</v>
      </c>
      <c r="V129" s="12" t="s">
        <v>34</v>
      </c>
      <c r="W129" s="3"/>
      <c r="X129" s="3"/>
      <c r="Y129" s="3"/>
      <c r="Z129" s="3"/>
    </row>
    <row r="130" spans="1:26" ht="15" thickBot="1" x14ac:dyDescent="0.4">
      <c r="A130" s="4" t="s">
        <v>253</v>
      </c>
      <c r="B130" s="4" t="s">
        <v>72</v>
      </c>
      <c r="C130" s="4" t="s">
        <v>24</v>
      </c>
      <c r="D130" s="5">
        <v>45882</v>
      </c>
      <c r="E130" s="5">
        <v>45887</v>
      </c>
      <c r="F130" s="4" t="s">
        <v>73</v>
      </c>
      <c r="G130" s="4" t="s">
        <v>26</v>
      </c>
      <c r="H130" s="5">
        <v>30203</v>
      </c>
      <c r="I130" s="4" t="s">
        <v>48</v>
      </c>
      <c r="J130" s="4" t="s">
        <v>28</v>
      </c>
      <c r="K130" s="4" t="s">
        <v>29</v>
      </c>
      <c r="L130" s="4" t="s">
        <v>30</v>
      </c>
      <c r="M130" s="6">
        <v>10</v>
      </c>
      <c r="N130" s="6">
        <v>2200</v>
      </c>
      <c r="O130" s="6">
        <v>15</v>
      </c>
      <c r="P130" s="6">
        <v>18700</v>
      </c>
      <c r="Q130" s="6">
        <v>4</v>
      </c>
      <c r="R130" s="4" t="s">
        <v>60</v>
      </c>
      <c r="S130" s="4" t="s">
        <v>42</v>
      </c>
      <c r="T130" s="4" t="s">
        <v>93</v>
      </c>
      <c r="U130" s="4">
        <v>9838809695</v>
      </c>
      <c r="V130" s="4" t="s">
        <v>52</v>
      </c>
      <c r="W130" s="3"/>
      <c r="X130" s="3"/>
      <c r="Y130" s="3"/>
      <c r="Z130" s="3"/>
    </row>
    <row r="131" spans="1:26" ht="15" thickBot="1" x14ac:dyDescent="0.4">
      <c r="A131" s="9" t="s">
        <v>254</v>
      </c>
      <c r="B131" s="9" t="s">
        <v>134</v>
      </c>
      <c r="C131" s="9" t="s">
        <v>68</v>
      </c>
      <c r="D131" s="10">
        <v>45824</v>
      </c>
      <c r="E131" s="10">
        <v>45832</v>
      </c>
      <c r="F131" s="9" t="s">
        <v>135</v>
      </c>
      <c r="G131" s="9" t="s">
        <v>26</v>
      </c>
      <c r="H131" s="10">
        <v>34015</v>
      </c>
      <c r="I131" s="9" t="s">
        <v>79</v>
      </c>
      <c r="J131" s="9" t="s">
        <v>75</v>
      </c>
      <c r="K131" s="9" t="s">
        <v>29</v>
      </c>
      <c r="L131" s="9" t="s">
        <v>70</v>
      </c>
      <c r="M131" s="11">
        <v>11</v>
      </c>
      <c r="N131" s="11">
        <v>3500</v>
      </c>
      <c r="O131" s="11">
        <v>5</v>
      </c>
      <c r="P131" s="11">
        <v>36575</v>
      </c>
      <c r="Q131" s="11">
        <v>5</v>
      </c>
      <c r="R131" s="9" t="s">
        <v>31</v>
      </c>
      <c r="S131" s="9" t="s">
        <v>32</v>
      </c>
      <c r="T131" s="9" t="s">
        <v>136</v>
      </c>
      <c r="U131" s="9">
        <v>9296609782</v>
      </c>
      <c r="V131" s="9" t="s">
        <v>53</v>
      </c>
      <c r="W131" s="3"/>
      <c r="X131" s="3"/>
      <c r="Y131" s="3"/>
      <c r="Z131" s="3"/>
    </row>
    <row r="132" spans="1:26" ht="15" thickBot="1" x14ac:dyDescent="0.4">
      <c r="A132" s="4" t="s">
        <v>255</v>
      </c>
      <c r="B132" s="4" t="s">
        <v>104</v>
      </c>
      <c r="C132" s="4" t="s">
        <v>56</v>
      </c>
      <c r="D132" s="5">
        <v>46139</v>
      </c>
      <c r="E132" s="5">
        <v>46142</v>
      </c>
      <c r="F132" s="4" t="s">
        <v>166</v>
      </c>
      <c r="G132" s="4" t="s">
        <v>26</v>
      </c>
      <c r="H132" s="5">
        <v>37719</v>
      </c>
      <c r="I132" s="4" t="s">
        <v>48</v>
      </c>
      <c r="J132" s="4" t="s">
        <v>28</v>
      </c>
      <c r="K132" s="4" t="s">
        <v>39</v>
      </c>
      <c r="L132" s="4" t="s">
        <v>59</v>
      </c>
      <c r="M132" s="6">
        <v>14</v>
      </c>
      <c r="N132" s="6">
        <v>1200</v>
      </c>
      <c r="O132" s="6">
        <v>0</v>
      </c>
      <c r="P132" s="6">
        <v>16800</v>
      </c>
      <c r="Q132" s="6">
        <v>5</v>
      </c>
      <c r="R132" s="4" t="s">
        <v>31</v>
      </c>
      <c r="S132" s="4" t="s">
        <v>42</v>
      </c>
      <c r="T132" s="4" t="s">
        <v>108</v>
      </c>
      <c r="U132" s="4">
        <v>9848259992</v>
      </c>
      <c r="V132" s="4" t="s">
        <v>53</v>
      </c>
      <c r="W132" s="3"/>
      <c r="X132" s="3"/>
      <c r="Y132" s="3"/>
      <c r="Z132" s="3"/>
    </row>
    <row r="133" spans="1:26" ht="15" thickBot="1" x14ac:dyDescent="0.4">
      <c r="A133" s="9" t="s">
        <v>256</v>
      </c>
      <c r="B133" s="9" t="s">
        <v>72</v>
      </c>
      <c r="C133" s="9" t="s">
        <v>125</v>
      </c>
      <c r="D133" s="10">
        <v>46070</v>
      </c>
      <c r="E133" s="10">
        <v>46075</v>
      </c>
      <c r="F133" s="9" t="s">
        <v>73</v>
      </c>
      <c r="G133" s="9" t="s">
        <v>26</v>
      </c>
      <c r="H133" s="10">
        <v>32801</v>
      </c>
      <c r="I133" s="9" t="s">
        <v>37</v>
      </c>
      <c r="J133" s="9" t="s">
        <v>38</v>
      </c>
      <c r="K133" s="9" t="s">
        <v>83</v>
      </c>
      <c r="L133" s="9" t="s">
        <v>127</v>
      </c>
      <c r="M133" s="11">
        <v>11</v>
      </c>
      <c r="N133" s="11">
        <v>20</v>
      </c>
      <c r="O133" s="11">
        <v>20</v>
      </c>
      <c r="P133" s="11">
        <v>176</v>
      </c>
      <c r="Q133" s="11">
        <v>4</v>
      </c>
      <c r="R133" s="9" t="s">
        <v>41</v>
      </c>
      <c r="S133" s="9" t="s">
        <v>32</v>
      </c>
      <c r="T133" s="9" t="s">
        <v>93</v>
      </c>
      <c r="U133" s="9">
        <v>9254082295</v>
      </c>
      <c r="V133" s="12" t="s">
        <v>34</v>
      </c>
      <c r="W133" s="3"/>
      <c r="X133" s="3"/>
      <c r="Y133" s="3"/>
      <c r="Z133" s="3"/>
    </row>
    <row r="134" spans="1:26" ht="15" thickBot="1" x14ac:dyDescent="0.4">
      <c r="A134" s="4" t="s">
        <v>257</v>
      </c>
      <c r="B134" s="4" t="s">
        <v>55</v>
      </c>
      <c r="C134" s="4" t="s">
        <v>36</v>
      </c>
      <c r="D134" s="5">
        <v>46116</v>
      </c>
      <c r="E134" s="5">
        <v>46122</v>
      </c>
      <c r="F134" s="4" t="s">
        <v>57</v>
      </c>
      <c r="G134" s="4" t="s">
        <v>58</v>
      </c>
      <c r="H134" s="5">
        <v>34957</v>
      </c>
      <c r="I134" s="4" t="s">
        <v>79</v>
      </c>
      <c r="J134" s="4" t="s">
        <v>75</v>
      </c>
      <c r="K134" s="4" t="s">
        <v>39</v>
      </c>
      <c r="L134" s="4" t="s">
        <v>40</v>
      </c>
      <c r="M134" s="6">
        <v>6</v>
      </c>
      <c r="N134" s="6">
        <v>12000</v>
      </c>
      <c r="O134" s="6">
        <v>10</v>
      </c>
      <c r="P134" s="6">
        <v>64800</v>
      </c>
      <c r="Q134" s="6">
        <v>5</v>
      </c>
      <c r="R134" s="4" t="s">
        <v>65</v>
      </c>
      <c r="S134" s="4" t="s">
        <v>96</v>
      </c>
      <c r="T134" s="4" t="s">
        <v>61</v>
      </c>
      <c r="U134" s="4">
        <v>9687923860</v>
      </c>
      <c r="V134" s="8" t="s">
        <v>34</v>
      </c>
      <c r="W134" s="3"/>
      <c r="X134" s="3"/>
      <c r="Y134" s="3"/>
      <c r="Z134" s="3"/>
    </row>
    <row r="135" spans="1:26" ht="15" thickBot="1" x14ac:dyDescent="0.4">
      <c r="A135" s="9" t="s">
        <v>258</v>
      </c>
      <c r="B135" s="9" t="s">
        <v>55</v>
      </c>
      <c r="C135" s="9" t="s">
        <v>24</v>
      </c>
      <c r="D135" s="10">
        <v>45756</v>
      </c>
      <c r="E135" s="10">
        <v>45765</v>
      </c>
      <c r="F135" s="9" t="s">
        <v>57</v>
      </c>
      <c r="G135" s="9" t="s">
        <v>58</v>
      </c>
      <c r="H135" s="10">
        <v>34431</v>
      </c>
      <c r="I135" s="9" t="s">
        <v>27</v>
      </c>
      <c r="J135" s="9" t="s">
        <v>28</v>
      </c>
      <c r="K135" s="9" t="s">
        <v>29</v>
      </c>
      <c r="L135" s="9" t="s">
        <v>30</v>
      </c>
      <c r="M135" s="11">
        <v>6</v>
      </c>
      <c r="N135" s="11">
        <v>2200</v>
      </c>
      <c r="O135" s="11">
        <v>5</v>
      </c>
      <c r="P135" s="11">
        <v>12540</v>
      </c>
      <c r="Q135" s="11">
        <v>4</v>
      </c>
      <c r="R135" s="9" t="s">
        <v>31</v>
      </c>
      <c r="S135" s="9" t="s">
        <v>42</v>
      </c>
      <c r="T135" s="9" t="s">
        <v>61</v>
      </c>
      <c r="U135" s="9">
        <v>9426459149</v>
      </c>
      <c r="V135" s="12" t="s">
        <v>34</v>
      </c>
      <c r="W135" s="3"/>
      <c r="X135" s="3"/>
      <c r="Y135" s="3"/>
      <c r="Z135" s="3"/>
    </row>
    <row r="136" spans="1:26" ht="15" thickBot="1" x14ac:dyDescent="0.4">
      <c r="A136" s="4" t="s">
        <v>259</v>
      </c>
      <c r="B136" s="4" t="s">
        <v>45</v>
      </c>
      <c r="C136" s="4" t="s">
        <v>68</v>
      </c>
      <c r="D136" s="5">
        <v>45823</v>
      </c>
      <c r="E136" s="5">
        <v>45835</v>
      </c>
      <c r="F136" s="4" t="s">
        <v>101</v>
      </c>
      <c r="G136" s="4" t="s">
        <v>26</v>
      </c>
      <c r="H136" s="5">
        <v>37896</v>
      </c>
      <c r="I136" s="4" t="s">
        <v>37</v>
      </c>
      <c r="J136" s="4" t="s">
        <v>38</v>
      </c>
      <c r="K136" s="4" t="s">
        <v>29</v>
      </c>
      <c r="L136" s="4" t="s">
        <v>70</v>
      </c>
      <c r="M136" s="6">
        <v>3</v>
      </c>
      <c r="N136" s="6">
        <v>3500</v>
      </c>
      <c r="O136" s="6">
        <v>5</v>
      </c>
      <c r="P136" s="6">
        <v>9975</v>
      </c>
      <c r="Q136" s="6">
        <v>4</v>
      </c>
      <c r="R136" s="4" t="s">
        <v>41</v>
      </c>
      <c r="S136" s="4" t="s">
        <v>42</v>
      </c>
      <c r="T136" s="4" t="s">
        <v>51</v>
      </c>
      <c r="U136" s="4">
        <v>9155925975</v>
      </c>
      <c r="V136" s="4" t="s">
        <v>52</v>
      </c>
      <c r="W136" s="3"/>
      <c r="X136" s="3"/>
      <c r="Y136" s="3"/>
      <c r="Z136" s="3"/>
    </row>
    <row r="137" spans="1:26" ht="15" thickBot="1" x14ac:dyDescent="0.4">
      <c r="A137" s="9" t="s">
        <v>260</v>
      </c>
      <c r="B137" s="9" t="s">
        <v>55</v>
      </c>
      <c r="C137" s="9" t="s">
        <v>105</v>
      </c>
      <c r="D137" s="10">
        <v>45816</v>
      </c>
      <c r="E137" s="10">
        <v>45818</v>
      </c>
      <c r="F137" s="9" t="s">
        <v>57</v>
      </c>
      <c r="G137" s="9" t="s">
        <v>58</v>
      </c>
      <c r="H137" s="10">
        <v>35625</v>
      </c>
      <c r="I137" s="9" t="s">
        <v>27</v>
      </c>
      <c r="J137" s="9" t="s">
        <v>28</v>
      </c>
      <c r="K137" s="9" t="s">
        <v>29</v>
      </c>
      <c r="L137" s="9" t="s">
        <v>107</v>
      </c>
      <c r="M137" s="11">
        <v>5</v>
      </c>
      <c r="N137" s="11">
        <v>8500</v>
      </c>
      <c r="O137" s="11">
        <v>20</v>
      </c>
      <c r="P137" s="11">
        <v>34000</v>
      </c>
      <c r="Q137" s="11">
        <v>5</v>
      </c>
      <c r="R137" s="9" t="s">
        <v>31</v>
      </c>
      <c r="S137" s="9" t="s">
        <v>50</v>
      </c>
      <c r="T137" s="9" t="s">
        <v>61</v>
      </c>
      <c r="U137" s="9">
        <v>9945247701</v>
      </c>
      <c r="V137" s="9" t="s">
        <v>52</v>
      </c>
      <c r="W137" s="3"/>
      <c r="X137" s="3"/>
      <c r="Y137" s="3"/>
      <c r="Z137" s="3"/>
    </row>
    <row r="138" spans="1:26" ht="15" thickBot="1" x14ac:dyDescent="0.4">
      <c r="A138" s="4" t="s">
        <v>261</v>
      </c>
      <c r="B138" s="4" t="s">
        <v>23</v>
      </c>
      <c r="C138" s="4" t="s">
        <v>68</v>
      </c>
      <c r="D138" s="5">
        <v>45863</v>
      </c>
      <c r="E138" s="5">
        <v>45870</v>
      </c>
      <c r="F138" s="4" t="s">
        <v>25</v>
      </c>
      <c r="G138" s="4" t="s">
        <v>26</v>
      </c>
      <c r="H138" s="5">
        <v>29076</v>
      </c>
      <c r="I138" s="4" t="s">
        <v>48</v>
      </c>
      <c r="J138" s="4" t="s">
        <v>28</v>
      </c>
      <c r="K138" s="4" t="s">
        <v>29</v>
      </c>
      <c r="L138" s="4" t="s">
        <v>70</v>
      </c>
      <c r="M138" s="6">
        <v>14</v>
      </c>
      <c r="N138" s="6">
        <v>3500</v>
      </c>
      <c r="O138" s="6">
        <v>10</v>
      </c>
      <c r="P138" s="6">
        <v>44100</v>
      </c>
      <c r="Q138" s="6">
        <v>4</v>
      </c>
      <c r="R138" s="4" t="s">
        <v>65</v>
      </c>
      <c r="S138" s="4" t="s">
        <v>32</v>
      </c>
      <c r="T138" s="4" t="s">
        <v>43</v>
      </c>
      <c r="U138" s="4">
        <v>9597378398</v>
      </c>
      <c r="V138" s="4" t="s">
        <v>53</v>
      </c>
      <c r="W138" s="3"/>
      <c r="X138" s="3"/>
      <c r="Y138" s="3"/>
      <c r="Z138" s="3"/>
    </row>
    <row r="139" spans="1:26" ht="15" thickBot="1" x14ac:dyDescent="0.4">
      <c r="A139" s="9" t="s">
        <v>262</v>
      </c>
      <c r="B139" s="9" t="s">
        <v>156</v>
      </c>
      <c r="C139" s="9" t="s">
        <v>138</v>
      </c>
      <c r="D139" s="10">
        <v>45673</v>
      </c>
      <c r="E139" s="10">
        <v>45678</v>
      </c>
      <c r="F139" s="9" t="s">
        <v>106</v>
      </c>
      <c r="G139" s="9" t="s">
        <v>58</v>
      </c>
      <c r="H139" s="10">
        <v>37549</v>
      </c>
      <c r="I139" s="9" t="s">
        <v>91</v>
      </c>
      <c r="J139" s="9" t="s">
        <v>75</v>
      </c>
      <c r="K139" s="9" t="s">
        <v>83</v>
      </c>
      <c r="L139" s="9" t="s">
        <v>139</v>
      </c>
      <c r="M139" s="11">
        <v>8</v>
      </c>
      <c r="N139" s="11">
        <v>45</v>
      </c>
      <c r="O139" s="11">
        <v>0</v>
      </c>
      <c r="P139" s="11">
        <v>360</v>
      </c>
      <c r="Q139" s="11">
        <v>1</v>
      </c>
      <c r="R139" s="9" t="s">
        <v>60</v>
      </c>
      <c r="S139" s="9" t="s">
        <v>96</v>
      </c>
      <c r="T139" s="9" t="s">
        <v>158</v>
      </c>
      <c r="U139" s="9">
        <v>9343963736</v>
      </c>
      <c r="V139" s="9" t="s">
        <v>53</v>
      </c>
      <c r="W139" s="3"/>
      <c r="X139" s="3"/>
      <c r="Y139" s="3"/>
      <c r="Z139" s="3"/>
    </row>
    <row r="140" spans="1:26" ht="15" thickBot="1" x14ac:dyDescent="0.4">
      <c r="A140" s="4" t="s">
        <v>263</v>
      </c>
      <c r="B140" s="4" t="s">
        <v>124</v>
      </c>
      <c r="C140" s="4" t="s">
        <v>138</v>
      </c>
      <c r="D140" s="5">
        <v>45692</v>
      </c>
      <c r="E140" s="5">
        <v>45693</v>
      </c>
      <c r="F140" s="4" t="s">
        <v>126</v>
      </c>
      <c r="G140" s="4" t="s">
        <v>58</v>
      </c>
      <c r="H140" s="5">
        <v>31252</v>
      </c>
      <c r="I140" s="4" t="s">
        <v>37</v>
      </c>
      <c r="J140" s="4" t="s">
        <v>38</v>
      </c>
      <c r="K140" s="4" t="s">
        <v>83</v>
      </c>
      <c r="L140" s="4" t="s">
        <v>139</v>
      </c>
      <c r="M140" s="6">
        <v>11</v>
      </c>
      <c r="N140" s="6">
        <v>45</v>
      </c>
      <c r="O140" s="6">
        <v>5</v>
      </c>
      <c r="P140" s="6">
        <v>470.25</v>
      </c>
      <c r="Q140" s="6">
        <v>3</v>
      </c>
      <c r="R140" s="4" t="s">
        <v>60</v>
      </c>
      <c r="S140" s="4" t="s">
        <v>42</v>
      </c>
      <c r="T140" s="4" t="s">
        <v>128</v>
      </c>
      <c r="U140" s="4">
        <v>9548742147</v>
      </c>
      <c r="V140" s="8" t="s">
        <v>34</v>
      </c>
      <c r="W140" s="3"/>
      <c r="X140" s="3"/>
      <c r="Y140" s="3"/>
      <c r="Z140" s="3"/>
    </row>
    <row r="141" spans="1:26" ht="15" thickBot="1" x14ac:dyDescent="0.4">
      <c r="A141" s="9" t="s">
        <v>264</v>
      </c>
      <c r="B141" s="9" t="s">
        <v>63</v>
      </c>
      <c r="C141" s="9" t="s">
        <v>46</v>
      </c>
      <c r="D141" s="10">
        <v>45679</v>
      </c>
      <c r="E141" s="10">
        <v>45687</v>
      </c>
      <c r="F141" s="9" t="s">
        <v>110</v>
      </c>
      <c r="G141" s="9" t="s">
        <v>58</v>
      </c>
      <c r="H141" s="10">
        <v>32378</v>
      </c>
      <c r="I141" s="9" t="s">
        <v>91</v>
      </c>
      <c r="J141" s="9" t="s">
        <v>75</v>
      </c>
      <c r="K141" s="9" t="s">
        <v>39</v>
      </c>
      <c r="L141" s="9" t="s">
        <v>49</v>
      </c>
      <c r="M141" s="11">
        <v>19</v>
      </c>
      <c r="N141" s="11">
        <v>55000</v>
      </c>
      <c r="O141" s="11">
        <v>0</v>
      </c>
      <c r="P141" s="11">
        <v>1045000</v>
      </c>
      <c r="Q141" s="11">
        <v>2</v>
      </c>
      <c r="R141" s="9" t="s">
        <v>60</v>
      </c>
      <c r="S141" s="9" t="s">
        <v>32</v>
      </c>
      <c r="T141" s="9" t="s">
        <v>66</v>
      </c>
      <c r="U141" s="9">
        <v>9912945471</v>
      </c>
      <c r="V141" s="9" t="s">
        <v>53</v>
      </c>
      <c r="W141" s="3"/>
      <c r="X141" s="3"/>
      <c r="Y141" s="3"/>
      <c r="Z141" s="3"/>
    </row>
    <row r="142" spans="1:26" ht="15" thickBot="1" x14ac:dyDescent="0.4">
      <c r="A142" s="4" t="s">
        <v>265</v>
      </c>
      <c r="B142" s="4" t="s">
        <v>45</v>
      </c>
      <c r="C142" s="4" t="s">
        <v>68</v>
      </c>
      <c r="D142" s="5">
        <v>45758</v>
      </c>
      <c r="E142" s="5">
        <v>45765</v>
      </c>
      <c r="F142" s="4" t="s">
        <v>101</v>
      </c>
      <c r="G142" s="4" t="s">
        <v>26</v>
      </c>
      <c r="H142" s="5">
        <v>28864</v>
      </c>
      <c r="I142" s="4" t="s">
        <v>79</v>
      </c>
      <c r="J142" s="4" t="s">
        <v>75</v>
      </c>
      <c r="K142" s="4" t="s">
        <v>29</v>
      </c>
      <c r="L142" s="4" t="s">
        <v>70</v>
      </c>
      <c r="M142" s="6">
        <v>20</v>
      </c>
      <c r="N142" s="6">
        <v>3500</v>
      </c>
      <c r="O142" s="6">
        <v>20</v>
      </c>
      <c r="P142" s="6">
        <v>56000</v>
      </c>
      <c r="Q142" s="6">
        <v>4</v>
      </c>
      <c r="R142" s="4" t="s">
        <v>41</v>
      </c>
      <c r="S142" s="4" t="s">
        <v>42</v>
      </c>
      <c r="T142" s="4" t="s">
        <v>51</v>
      </c>
      <c r="U142" s="4">
        <v>9912630684</v>
      </c>
      <c r="V142" s="8" t="s">
        <v>34</v>
      </c>
      <c r="W142" s="3"/>
      <c r="X142" s="3"/>
      <c r="Y142" s="3"/>
      <c r="Z142" s="3"/>
    </row>
    <row r="143" spans="1:26" ht="15" thickBot="1" x14ac:dyDescent="0.4">
      <c r="A143" s="9" t="s">
        <v>266</v>
      </c>
      <c r="B143" s="9" t="s">
        <v>63</v>
      </c>
      <c r="C143" s="9" t="s">
        <v>24</v>
      </c>
      <c r="D143" s="10">
        <v>45842</v>
      </c>
      <c r="E143" s="10">
        <v>45852</v>
      </c>
      <c r="F143" s="9" t="s">
        <v>110</v>
      </c>
      <c r="G143" s="9" t="s">
        <v>58</v>
      </c>
      <c r="H143" s="10">
        <v>31649</v>
      </c>
      <c r="I143" s="9" t="s">
        <v>79</v>
      </c>
      <c r="J143" s="9" t="s">
        <v>75</v>
      </c>
      <c r="K143" s="9" t="s">
        <v>29</v>
      </c>
      <c r="L143" s="9" t="s">
        <v>30</v>
      </c>
      <c r="M143" s="11">
        <v>17</v>
      </c>
      <c r="N143" s="11">
        <v>2200</v>
      </c>
      <c r="O143" s="11">
        <v>0</v>
      </c>
      <c r="P143" s="11">
        <v>37400</v>
      </c>
      <c r="Q143" s="11">
        <v>5</v>
      </c>
      <c r="R143" s="9" t="s">
        <v>41</v>
      </c>
      <c r="S143" s="9" t="s">
        <v>32</v>
      </c>
      <c r="T143" s="9" t="s">
        <v>66</v>
      </c>
      <c r="U143" s="9">
        <v>9114017237</v>
      </c>
      <c r="V143" s="9" t="s">
        <v>52</v>
      </c>
      <c r="W143" s="3"/>
      <c r="X143" s="3"/>
      <c r="Y143" s="3"/>
      <c r="Z143" s="3"/>
    </row>
    <row r="144" spans="1:26" ht="15" thickBot="1" x14ac:dyDescent="0.4">
      <c r="A144" s="4" t="s">
        <v>267</v>
      </c>
      <c r="B144" s="4" t="s">
        <v>63</v>
      </c>
      <c r="C144" s="4" t="s">
        <v>56</v>
      </c>
      <c r="D144" s="5">
        <v>45679</v>
      </c>
      <c r="E144" s="5">
        <v>45686</v>
      </c>
      <c r="F144" s="4" t="s">
        <v>110</v>
      </c>
      <c r="G144" s="4" t="s">
        <v>58</v>
      </c>
      <c r="H144" s="5">
        <v>28216</v>
      </c>
      <c r="I144" s="4" t="s">
        <v>79</v>
      </c>
      <c r="J144" s="4" t="s">
        <v>75</v>
      </c>
      <c r="K144" s="4" t="s">
        <v>39</v>
      </c>
      <c r="L144" s="4" t="s">
        <v>59</v>
      </c>
      <c r="M144" s="6">
        <v>10</v>
      </c>
      <c r="N144" s="6">
        <v>1200</v>
      </c>
      <c r="O144" s="6">
        <v>5</v>
      </c>
      <c r="P144" s="6">
        <v>11400</v>
      </c>
      <c r="Q144" s="6">
        <v>2</v>
      </c>
      <c r="R144" s="4" t="s">
        <v>31</v>
      </c>
      <c r="S144" s="4" t="s">
        <v>42</v>
      </c>
      <c r="T144" s="4" t="s">
        <v>66</v>
      </c>
      <c r="U144" s="4">
        <v>9872471236</v>
      </c>
      <c r="V144" s="4" t="s">
        <v>53</v>
      </c>
      <c r="W144" s="3"/>
      <c r="X144" s="3"/>
      <c r="Y144" s="3"/>
      <c r="Z144" s="3"/>
    </row>
    <row r="145" spans="1:26" ht="15" thickBot="1" x14ac:dyDescent="0.4">
      <c r="A145" s="9" t="s">
        <v>268</v>
      </c>
      <c r="B145" s="9" t="s">
        <v>124</v>
      </c>
      <c r="C145" s="9" t="s">
        <v>82</v>
      </c>
      <c r="D145" s="10">
        <v>46008</v>
      </c>
      <c r="E145" s="10">
        <v>46009</v>
      </c>
      <c r="F145" s="9" t="s">
        <v>126</v>
      </c>
      <c r="G145" s="9" t="s">
        <v>58</v>
      </c>
      <c r="H145" s="10">
        <v>30532</v>
      </c>
      <c r="I145" s="9" t="s">
        <v>27</v>
      </c>
      <c r="J145" s="9" t="s">
        <v>28</v>
      </c>
      <c r="K145" s="9" t="s">
        <v>83</v>
      </c>
      <c r="L145" s="9" t="s">
        <v>84</v>
      </c>
      <c r="M145" s="11">
        <v>3</v>
      </c>
      <c r="N145" s="11">
        <v>60</v>
      </c>
      <c r="O145" s="11">
        <v>0</v>
      </c>
      <c r="P145" s="11">
        <v>180</v>
      </c>
      <c r="Q145" s="11">
        <v>4</v>
      </c>
      <c r="R145" s="9" t="s">
        <v>41</v>
      </c>
      <c r="S145" s="9" t="s">
        <v>96</v>
      </c>
      <c r="T145" s="9" t="s">
        <v>128</v>
      </c>
      <c r="U145" s="9">
        <v>9461383824</v>
      </c>
      <c r="V145" s="12" t="s">
        <v>34</v>
      </c>
      <c r="W145" s="3"/>
      <c r="X145" s="3"/>
      <c r="Y145" s="3"/>
      <c r="Z145" s="3"/>
    </row>
    <row r="146" spans="1:26" ht="15" thickBot="1" x14ac:dyDescent="0.4">
      <c r="A146" s="4" t="s">
        <v>269</v>
      </c>
      <c r="B146" s="4" t="s">
        <v>45</v>
      </c>
      <c r="C146" s="4" t="s">
        <v>24</v>
      </c>
      <c r="D146" s="5">
        <v>45940</v>
      </c>
      <c r="E146" s="5">
        <v>45951</v>
      </c>
      <c r="F146" s="4" t="s">
        <v>101</v>
      </c>
      <c r="G146" s="4" t="s">
        <v>26</v>
      </c>
      <c r="H146" s="5">
        <v>28587</v>
      </c>
      <c r="I146" s="4" t="s">
        <v>74</v>
      </c>
      <c r="J146" s="4" t="s">
        <v>75</v>
      </c>
      <c r="K146" s="4" t="s">
        <v>29</v>
      </c>
      <c r="L146" s="4" t="s">
        <v>30</v>
      </c>
      <c r="M146" s="6">
        <v>18</v>
      </c>
      <c r="N146" s="6">
        <v>2200</v>
      </c>
      <c r="O146" s="6">
        <v>10</v>
      </c>
      <c r="P146" s="6">
        <v>35640</v>
      </c>
      <c r="Q146" s="6">
        <v>1</v>
      </c>
      <c r="R146" s="4" t="s">
        <v>60</v>
      </c>
      <c r="S146" s="4" t="s">
        <v>96</v>
      </c>
      <c r="T146" s="4" t="s">
        <v>51</v>
      </c>
      <c r="U146" s="4">
        <v>9243407457</v>
      </c>
      <c r="V146" s="4" t="s">
        <v>53</v>
      </c>
      <c r="W146" s="3"/>
      <c r="X146" s="3"/>
      <c r="Y146" s="3"/>
      <c r="Z146" s="3"/>
    </row>
    <row r="147" spans="1:26" ht="15" thickBot="1" x14ac:dyDescent="0.4">
      <c r="A147" s="9" t="s">
        <v>270</v>
      </c>
      <c r="B147" s="9" t="s">
        <v>55</v>
      </c>
      <c r="C147" s="9" t="s">
        <v>82</v>
      </c>
      <c r="D147" s="10">
        <v>46088</v>
      </c>
      <c r="E147" s="10">
        <v>46091</v>
      </c>
      <c r="F147" s="9" t="s">
        <v>57</v>
      </c>
      <c r="G147" s="9" t="s">
        <v>58</v>
      </c>
      <c r="H147" s="10">
        <v>30379</v>
      </c>
      <c r="I147" s="9" t="s">
        <v>37</v>
      </c>
      <c r="J147" s="9" t="s">
        <v>38</v>
      </c>
      <c r="K147" s="9" t="s">
        <v>83</v>
      </c>
      <c r="L147" s="9" t="s">
        <v>84</v>
      </c>
      <c r="M147" s="11">
        <v>18</v>
      </c>
      <c r="N147" s="11">
        <v>60</v>
      </c>
      <c r="O147" s="11">
        <v>5</v>
      </c>
      <c r="P147" s="11">
        <v>1026</v>
      </c>
      <c r="Q147" s="11">
        <v>3</v>
      </c>
      <c r="R147" s="9" t="s">
        <v>60</v>
      </c>
      <c r="S147" s="9" t="s">
        <v>42</v>
      </c>
      <c r="T147" s="9" t="s">
        <v>61</v>
      </c>
      <c r="U147" s="9">
        <v>9418672379</v>
      </c>
      <c r="V147" s="9" t="s">
        <v>52</v>
      </c>
      <c r="W147" s="3"/>
      <c r="X147" s="3"/>
      <c r="Y147" s="3"/>
      <c r="Z147" s="3"/>
    </row>
    <row r="148" spans="1:26" ht="15" thickBot="1" x14ac:dyDescent="0.4">
      <c r="A148" s="4" t="s">
        <v>271</v>
      </c>
      <c r="B148" s="4" t="s">
        <v>87</v>
      </c>
      <c r="C148" s="4" t="s">
        <v>46</v>
      </c>
      <c r="D148" s="5">
        <v>45885</v>
      </c>
      <c r="E148" s="5">
        <v>45892</v>
      </c>
      <c r="F148" s="4" t="s">
        <v>88</v>
      </c>
      <c r="G148" s="4" t="s">
        <v>58</v>
      </c>
      <c r="H148" s="5">
        <v>32077</v>
      </c>
      <c r="I148" s="4" t="s">
        <v>79</v>
      </c>
      <c r="J148" s="4" t="s">
        <v>75</v>
      </c>
      <c r="K148" s="4" t="s">
        <v>39</v>
      </c>
      <c r="L148" s="4" t="s">
        <v>49</v>
      </c>
      <c r="M148" s="6">
        <v>11</v>
      </c>
      <c r="N148" s="6">
        <v>55000</v>
      </c>
      <c r="O148" s="6">
        <v>15</v>
      </c>
      <c r="P148" s="6">
        <v>514250</v>
      </c>
      <c r="Q148" s="6">
        <v>4</v>
      </c>
      <c r="R148" s="4" t="s">
        <v>65</v>
      </c>
      <c r="S148" s="4" t="s">
        <v>80</v>
      </c>
      <c r="T148" s="4" t="s">
        <v>89</v>
      </c>
      <c r="U148" s="4">
        <v>9222733065</v>
      </c>
      <c r="V148" s="4" t="s">
        <v>53</v>
      </c>
      <c r="W148" s="3"/>
      <c r="X148" s="3"/>
      <c r="Y148" s="3"/>
      <c r="Z148" s="3"/>
    </row>
    <row r="149" spans="1:26" ht="15" thickBot="1" x14ac:dyDescent="0.4">
      <c r="A149" s="9" t="s">
        <v>272</v>
      </c>
      <c r="B149" s="9" t="s">
        <v>134</v>
      </c>
      <c r="C149" s="9" t="s">
        <v>105</v>
      </c>
      <c r="D149" s="10">
        <v>46014</v>
      </c>
      <c r="E149" s="10">
        <v>46025</v>
      </c>
      <c r="F149" s="9" t="s">
        <v>135</v>
      </c>
      <c r="G149" s="9" t="s">
        <v>26</v>
      </c>
      <c r="H149" s="10">
        <v>37730</v>
      </c>
      <c r="I149" s="9" t="s">
        <v>147</v>
      </c>
      <c r="J149" s="9" t="s">
        <v>148</v>
      </c>
      <c r="K149" s="9" t="s">
        <v>29</v>
      </c>
      <c r="L149" s="9" t="s">
        <v>107</v>
      </c>
      <c r="M149" s="11">
        <v>5</v>
      </c>
      <c r="N149" s="11">
        <v>8500</v>
      </c>
      <c r="O149" s="11">
        <v>5</v>
      </c>
      <c r="P149" s="11">
        <v>40375</v>
      </c>
      <c r="Q149" s="11">
        <v>4</v>
      </c>
      <c r="R149" s="9" t="s">
        <v>31</v>
      </c>
      <c r="S149" s="9" t="s">
        <v>96</v>
      </c>
      <c r="T149" s="9" t="s">
        <v>136</v>
      </c>
      <c r="U149" s="9">
        <v>9684246902</v>
      </c>
      <c r="V149" s="12" t="s">
        <v>34</v>
      </c>
      <c r="W149" s="3"/>
      <c r="X149" s="3"/>
      <c r="Y149" s="3"/>
      <c r="Z149" s="3"/>
    </row>
    <row r="150" spans="1:26" ht="15" thickBot="1" x14ac:dyDescent="0.4">
      <c r="A150" s="4" t="s">
        <v>116</v>
      </c>
      <c r="B150" s="4" t="s">
        <v>72</v>
      </c>
      <c r="C150" s="4" t="s">
        <v>112</v>
      </c>
      <c r="D150" s="5">
        <v>45908</v>
      </c>
      <c r="E150" s="5">
        <v>45919</v>
      </c>
      <c r="F150" s="4" t="s">
        <v>73</v>
      </c>
      <c r="G150" s="4" t="s">
        <v>26</v>
      </c>
      <c r="H150" s="5">
        <v>37301</v>
      </c>
      <c r="I150" s="4" t="s">
        <v>121</v>
      </c>
      <c r="J150" s="4" t="s">
        <v>38</v>
      </c>
      <c r="K150" s="4" t="s">
        <v>39</v>
      </c>
      <c r="L150" s="4" t="s">
        <v>114</v>
      </c>
      <c r="M150" s="6">
        <v>16</v>
      </c>
      <c r="N150" s="6">
        <v>700</v>
      </c>
      <c r="O150" s="6">
        <v>15</v>
      </c>
      <c r="P150" s="6">
        <v>9520</v>
      </c>
      <c r="Q150" s="6">
        <v>4</v>
      </c>
      <c r="R150" s="4" t="s">
        <v>60</v>
      </c>
      <c r="S150" s="4" t="s">
        <v>50</v>
      </c>
      <c r="T150" s="4" t="s">
        <v>93</v>
      </c>
      <c r="U150" s="4">
        <v>9989580228</v>
      </c>
      <c r="V150" s="8" t="s">
        <v>34</v>
      </c>
      <c r="W150" s="3"/>
      <c r="X150" s="3"/>
      <c r="Y150" s="3"/>
      <c r="Z150" s="3"/>
    </row>
    <row r="151" spans="1:26" ht="15" thickBot="1" x14ac:dyDescent="0.4">
      <c r="A151" s="9" t="s">
        <v>273</v>
      </c>
      <c r="B151" s="9" t="s">
        <v>87</v>
      </c>
      <c r="C151" s="9" t="s">
        <v>112</v>
      </c>
      <c r="D151" s="10">
        <v>45845</v>
      </c>
      <c r="E151" s="10">
        <v>45851</v>
      </c>
      <c r="F151" s="9" t="s">
        <v>88</v>
      </c>
      <c r="G151" s="9" t="s">
        <v>58</v>
      </c>
      <c r="H151" s="10">
        <v>27580</v>
      </c>
      <c r="I151" s="9" t="s">
        <v>79</v>
      </c>
      <c r="J151" s="9" t="s">
        <v>75</v>
      </c>
      <c r="K151" s="9" t="s">
        <v>39</v>
      </c>
      <c r="L151" s="9" t="s">
        <v>114</v>
      </c>
      <c r="M151" s="11">
        <v>6</v>
      </c>
      <c r="N151" s="11">
        <v>700</v>
      </c>
      <c r="O151" s="11">
        <v>10</v>
      </c>
      <c r="P151" s="11">
        <v>3780</v>
      </c>
      <c r="Q151" s="11">
        <v>4</v>
      </c>
      <c r="R151" s="9" t="s">
        <v>31</v>
      </c>
      <c r="S151" s="9" t="s">
        <v>42</v>
      </c>
      <c r="T151" s="9" t="s">
        <v>89</v>
      </c>
      <c r="U151" s="9">
        <v>9110269572</v>
      </c>
      <c r="V151" s="9" t="s">
        <v>53</v>
      </c>
      <c r="W151" s="3"/>
      <c r="X151" s="3"/>
      <c r="Y151" s="3"/>
      <c r="Z151" s="3"/>
    </row>
    <row r="152" spans="1:26" ht="15" thickBot="1" x14ac:dyDescent="0.4">
      <c r="A152" s="4" t="s">
        <v>274</v>
      </c>
      <c r="B152" s="4" t="s">
        <v>45</v>
      </c>
      <c r="C152" s="4" t="s">
        <v>68</v>
      </c>
      <c r="D152" s="5">
        <v>46145</v>
      </c>
      <c r="E152" s="5">
        <v>46157</v>
      </c>
      <c r="F152" s="4" t="s">
        <v>101</v>
      </c>
      <c r="G152" s="4" t="s">
        <v>26</v>
      </c>
      <c r="H152" s="5">
        <v>33668</v>
      </c>
      <c r="I152" s="4" t="s">
        <v>37</v>
      </c>
      <c r="J152" s="4" t="s">
        <v>38</v>
      </c>
      <c r="K152" s="4" t="s">
        <v>29</v>
      </c>
      <c r="L152" s="4" t="s">
        <v>70</v>
      </c>
      <c r="M152" s="6">
        <v>20</v>
      </c>
      <c r="N152" s="6">
        <v>3500</v>
      </c>
      <c r="O152" s="6">
        <v>10</v>
      </c>
      <c r="P152" s="6">
        <v>63000</v>
      </c>
      <c r="Q152" s="6">
        <v>4</v>
      </c>
      <c r="R152" s="4" t="s">
        <v>65</v>
      </c>
      <c r="S152" s="4" t="s">
        <v>42</v>
      </c>
      <c r="T152" s="4" t="s">
        <v>51</v>
      </c>
      <c r="U152" s="4">
        <v>9745972422</v>
      </c>
      <c r="V152" s="4" t="s">
        <v>52</v>
      </c>
      <c r="W152" s="3"/>
      <c r="X152" s="3"/>
      <c r="Y152" s="3"/>
      <c r="Z152" s="3"/>
    </row>
    <row r="153" spans="1:26" ht="15" thickBot="1" x14ac:dyDescent="0.4">
      <c r="A153" s="9" t="s">
        <v>275</v>
      </c>
      <c r="B153" s="9" t="s">
        <v>23</v>
      </c>
      <c r="C153" s="9" t="s">
        <v>125</v>
      </c>
      <c r="D153" s="10">
        <v>45990</v>
      </c>
      <c r="E153" s="10">
        <v>45998</v>
      </c>
      <c r="F153" s="9" t="s">
        <v>25</v>
      </c>
      <c r="G153" s="9" t="s">
        <v>26</v>
      </c>
      <c r="H153" s="10">
        <v>35949</v>
      </c>
      <c r="I153" s="9" t="s">
        <v>48</v>
      </c>
      <c r="J153" s="9" t="s">
        <v>28</v>
      </c>
      <c r="K153" s="9" t="s">
        <v>83</v>
      </c>
      <c r="L153" s="9" t="s">
        <v>127</v>
      </c>
      <c r="M153" s="11">
        <v>2</v>
      </c>
      <c r="N153" s="11">
        <v>20</v>
      </c>
      <c r="O153" s="11">
        <v>10</v>
      </c>
      <c r="P153" s="11">
        <v>36</v>
      </c>
      <c r="Q153" s="11">
        <v>1</v>
      </c>
      <c r="R153" s="9" t="s">
        <v>41</v>
      </c>
      <c r="S153" s="9" t="s">
        <v>80</v>
      </c>
      <c r="T153" s="9" t="s">
        <v>43</v>
      </c>
      <c r="U153" s="9">
        <v>9123712257</v>
      </c>
      <c r="V153" s="9" t="s">
        <v>52</v>
      </c>
      <c r="W153" s="3"/>
      <c r="X153" s="3"/>
      <c r="Y153" s="3"/>
      <c r="Z153" s="3"/>
    </row>
    <row r="154" spans="1:26" ht="15" thickBot="1" x14ac:dyDescent="0.4">
      <c r="A154" s="4" t="s">
        <v>276</v>
      </c>
      <c r="B154" s="4" t="s">
        <v>72</v>
      </c>
      <c r="C154" s="4" t="s">
        <v>24</v>
      </c>
      <c r="D154" s="5">
        <v>45852</v>
      </c>
      <c r="E154" s="5">
        <v>45857</v>
      </c>
      <c r="F154" s="4" t="s">
        <v>73</v>
      </c>
      <c r="G154" s="4" t="s">
        <v>26</v>
      </c>
      <c r="H154" s="5">
        <v>35336</v>
      </c>
      <c r="I154" s="4" t="s">
        <v>79</v>
      </c>
      <c r="J154" s="4" t="s">
        <v>75</v>
      </c>
      <c r="K154" s="4" t="s">
        <v>29</v>
      </c>
      <c r="L154" s="4" t="s">
        <v>30</v>
      </c>
      <c r="M154" s="6">
        <v>16</v>
      </c>
      <c r="N154" s="6">
        <v>2200</v>
      </c>
      <c r="O154" s="6">
        <v>20</v>
      </c>
      <c r="P154" s="6">
        <v>28160</v>
      </c>
      <c r="Q154" s="6">
        <v>2</v>
      </c>
      <c r="R154" s="4" t="s">
        <v>65</v>
      </c>
      <c r="S154" s="4" t="s">
        <v>96</v>
      </c>
      <c r="T154" s="4" t="s">
        <v>93</v>
      </c>
      <c r="U154" s="4">
        <v>9665525431</v>
      </c>
      <c r="V154" s="4" t="s">
        <v>52</v>
      </c>
      <c r="W154" s="3"/>
      <c r="X154" s="3"/>
      <c r="Y154" s="3"/>
      <c r="Z154" s="3"/>
    </row>
    <row r="155" spans="1:26" ht="15" thickBot="1" x14ac:dyDescent="0.4">
      <c r="A155" s="9" t="s">
        <v>277</v>
      </c>
      <c r="B155" s="9" t="s">
        <v>124</v>
      </c>
      <c r="C155" s="9" t="s">
        <v>36</v>
      </c>
      <c r="D155" s="10">
        <v>45729</v>
      </c>
      <c r="E155" s="10">
        <v>45739</v>
      </c>
      <c r="F155" s="9" t="s">
        <v>126</v>
      </c>
      <c r="G155" s="9" t="s">
        <v>58</v>
      </c>
      <c r="H155" s="10">
        <v>35048</v>
      </c>
      <c r="I155" s="9" t="s">
        <v>79</v>
      </c>
      <c r="J155" s="9" t="s">
        <v>75</v>
      </c>
      <c r="K155" s="9" t="s">
        <v>39</v>
      </c>
      <c r="L155" s="9" t="s">
        <v>40</v>
      </c>
      <c r="M155" s="11">
        <v>15</v>
      </c>
      <c r="N155" s="11">
        <v>12000</v>
      </c>
      <c r="O155" s="11">
        <v>0</v>
      </c>
      <c r="P155" s="11">
        <v>180000</v>
      </c>
      <c r="Q155" s="11">
        <v>1</v>
      </c>
      <c r="R155" s="9" t="s">
        <v>60</v>
      </c>
      <c r="S155" s="9" t="s">
        <v>50</v>
      </c>
      <c r="T155" s="9" t="s">
        <v>128</v>
      </c>
      <c r="U155" s="9">
        <v>9682415134</v>
      </c>
      <c r="V155" s="9" t="s">
        <v>52</v>
      </c>
      <c r="W155" s="3"/>
      <c r="X155" s="3"/>
      <c r="Y155" s="3"/>
      <c r="Z155" s="3"/>
    </row>
    <row r="156" spans="1:26" ht="15" thickBot="1" x14ac:dyDescent="0.4">
      <c r="A156" s="4" t="s">
        <v>278</v>
      </c>
      <c r="B156" s="4" t="s">
        <v>23</v>
      </c>
      <c r="C156" s="4" t="s">
        <v>82</v>
      </c>
      <c r="D156" s="5">
        <v>45860</v>
      </c>
      <c r="E156" s="5">
        <v>45861</v>
      </c>
      <c r="F156" s="4" t="s">
        <v>25</v>
      </c>
      <c r="G156" s="4" t="s">
        <v>26</v>
      </c>
      <c r="H156" s="5">
        <v>27965</v>
      </c>
      <c r="I156" s="4" t="s">
        <v>37</v>
      </c>
      <c r="J156" s="4" t="s">
        <v>38</v>
      </c>
      <c r="K156" s="4" t="s">
        <v>83</v>
      </c>
      <c r="L156" s="4" t="s">
        <v>84</v>
      </c>
      <c r="M156" s="6">
        <v>14</v>
      </c>
      <c r="N156" s="6">
        <v>60</v>
      </c>
      <c r="O156" s="6">
        <v>15</v>
      </c>
      <c r="P156" s="6">
        <v>714</v>
      </c>
      <c r="Q156" s="6">
        <v>4</v>
      </c>
      <c r="R156" s="4" t="s">
        <v>65</v>
      </c>
      <c r="S156" s="4" t="s">
        <v>42</v>
      </c>
      <c r="T156" s="4" t="s">
        <v>43</v>
      </c>
      <c r="U156" s="4">
        <v>9808223872</v>
      </c>
      <c r="V156" s="8" t="s">
        <v>34</v>
      </c>
      <c r="W156" s="3"/>
      <c r="X156" s="3"/>
      <c r="Y156" s="3"/>
      <c r="Z156" s="3"/>
    </row>
    <row r="157" spans="1:26" ht="15" thickBot="1" x14ac:dyDescent="0.4">
      <c r="A157" s="9" t="s">
        <v>279</v>
      </c>
      <c r="B157" s="9" t="s">
        <v>45</v>
      </c>
      <c r="C157" s="9" t="s">
        <v>56</v>
      </c>
      <c r="D157" s="10">
        <v>45859</v>
      </c>
      <c r="E157" s="10">
        <v>45862</v>
      </c>
      <c r="F157" s="9" t="s">
        <v>101</v>
      </c>
      <c r="G157" s="9" t="s">
        <v>26</v>
      </c>
      <c r="H157" s="10">
        <v>30855</v>
      </c>
      <c r="I157" s="9" t="s">
        <v>27</v>
      </c>
      <c r="J157" s="9" t="s">
        <v>28</v>
      </c>
      <c r="K157" s="9" t="s">
        <v>39</v>
      </c>
      <c r="L157" s="9" t="s">
        <v>59</v>
      </c>
      <c r="M157" s="11">
        <v>9</v>
      </c>
      <c r="N157" s="11">
        <v>1200</v>
      </c>
      <c r="O157" s="11">
        <v>5</v>
      </c>
      <c r="P157" s="11">
        <v>10260</v>
      </c>
      <c r="Q157" s="11">
        <v>5</v>
      </c>
      <c r="R157" s="9" t="s">
        <v>41</v>
      </c>
      <c r="S157" s="9" t="s">
        <v>50</v>
      </c>
      <c r="T157" s="9" t="s">
        <v>51</v>
      </c>
      <c r="U157" s="9">
        <v>9193549730</v>
      </c>
      <c r="V157" s="9" t="s">
        <v>52</v>
      </c>
      <c r="W157" s="3"/>
      <c r="X157" s="3"/>
      <c r="Y157" s="3"/>
      <c r="Z157" s="3"/>
    </row>
    <row r="158" spans="1:26" ht="15" thickBot="1" x14ac:dyDescent="0.4">
      <c r="A158" s="4" t="s">
        <v>280</v>
      </c>
      <c r="B158" s="4" t="s">
        <v>124</v>
      </c>
      <c r="C158" s="4" t="s">
        <v>56</v>
      </c>
      <c r="D158" s="5">
        <v>45857</v>
      </c>
      <c r="E158" s="5">
        <v>45867</v>
      </c>
      <c r="F158" s="4" t="s">
        <v>126</v>
      </c>
      <c r="G158" s="4" t="s">
        <v>58</v>
      </c>
      <c r="H158" s="5">
        <v>36013</v>
      </c>
      <c r="I158" s="4" t="s">
        <v>147</v>
      </c>
      <c r="J158" s="4" t="s">
        <v>148</v>
      </c>
      <c r="K158" s="4" t="s">
        <v>39</v>
      </c>
      <c r="L158" s="4" t="s">
        <v>59</v>
      </c>
      <c r="M158" s="6">
        <v>3</v>
      </c>
      <c r="N158" s="6">
        <v>1200</v>
      </c>
      <c r="O158" s="6">
        <v>10</v>
      </c>
      <c r="P158" s="6">
        <v>3240</v>
      </c>
      <c r="Q158" s="6">
        <v>2</v>
      </c>
      <c r="R158" s="4" t="s">
        <v>60</v>
      </c>
      <c r="S158" s="4" t="s">
        <v>96</v>
      </c>
      <c r="T158" s="4" t="s">
        <v>128</v>
      </c>
      <c r="U158" s="4">
        <v>9520617130</v>
      </c>
      <c r="V158" s="4" t="s">
        <v>53</v>
      </c>
      <c r="W158" s="3"/>
      <c r="X158" s="3"/>
      <c r="Y158" s="3"/>
      <c r="Z158" s="3"/>
    </row>
    <row r="159" spans="1:26" ht="15" thickBot="1" x14ac:dyDescent="0.4">
      <c r="A159" s="9" t="s">
        <v>281</v>
      </c>
      <c r="B159" s="9" t="s">
        <v>156</v>
      </c>
      <c r="C159" s="9" t="s">
        <v>82</v>
      </c>
      <c r="D159" s="10">
        <v>45757</v>
      </c>
      <c r="E159" s="10">
        <v>45759</v>
      </c>
      <c r="F159" s="9" t="s">
        <v>106</v>
      </c>
      <c r="G159" s="9" t="s">
        <v>58</v>
      </c>
      <c r="H159" s="10">
        <v>37060</v>
      </c>
      <c r="I159" s="9" t="s">
        <v>27</v>
      </c>
      <c r="J159" s="9" t="s">
        <v>28</v>
      </c>
      <c r="K159" s="9" t="s">
        <v>83</v>
      </c>
      <c r="L159" s="9" t="s">
        <v>84</v>
      </c>
      <c r="M159" s="11">
        <v>2</v>
      </c>
      <c r="N159" s="11">
        <v>60</v>
      </c>
      <c r="O159" s="11">
        <v>10</v>
      </c>
      <c r="P159" s="11">
        <v>108</v>
      </c>
      <c r="Q159" s="11">
        <v>2</v>
      </c>
      <c r="R159" s="9" t="s">
        <v>65</v>
      </c>
      <c r="S159" s="9" t="s">
        <v>50</v>
      </c>
      <c r="T159" s="9" t="s">
        <v>158</v>
      </c>
      <c r="U159" s="9">
        <v>9264578122</v>
      </c>
      <c r="V159" s="12" t="s">
        <v>34</v>
      </c>
      <c r="W159" s="3"/>
      <c r="X159" s="3"/>
      <c r="Y159" s="3"/>
      <c r="Z159" s="3"/>
    </row>
    <row r="160" spans="1:26" ht="15" thickBot="1" x14ac:dyDescent="0.4">
      <c r="A160" s="4" t="s">
        <v>282</v>
      </c>
      <c r="B160" s="4" t="s">
        <v>55</v>
      </c>
      <c r="C160" s="4" t="s">
        <v>68</v>
      </c>
      <c r="D160" s="5">
        <v>46155</v>
      </c>
      <c r="E160" s="5">
        <v>46165</v>
      </c>
      <c r="F160" s="4" t="s">
        <v>57</v>
      </c>
      <c r="G160" s="4" t="s">
        <v>58</v>
      </c>
      <c r="H160" s="5">
        <v>36414</v>
      </c>
      <c r="I160" s="4" t="s">
        <v>37</v>
      </c>
      <c r="J160" s="4" t="s">
        <v>38</v>
      </c>
      <c r="K160" s="4" t="s">
        <v>29</v>
      </c>
      <c r="L160" s="4" t="s">
        <v>70</v>
      </c>
      <c r="M160" s="6">
        <v>9</v>
      </c>
      <c r="N160" s="6">
        <v>3500</v>
      </c>
      <c r="O160" s="6">
        <v>20</v>
      </c>
      <c r="P160" s="6">
        <v>25200</v>
      </c>
      <c r="Q160" s="6">
        <v>1</v>
      </c>
      <c r="R160" s="4" t="s">
        <v>41</v>
      </c>
      <c r="S160" s="4" t="s">
        <v>32</v>
      </c>
      <c r="T160" s="4" t="s">
        <v>61</v>
      </c>
      <c r="U160" s="4">
        <v>9275071213</v>
      </c>
      <c r="V160" s="8" t="s">
        <v>34</v>
      </c>
      <c r="W160" s="3"/>
      <c r="X160" s="3"/>
      <c r="Y160" s="3"/>
      <c r="Z160" s="3"/>
    </row>
    <row r="161" spans="1:26" ht="15" thickBot="1" x14ac:dyDescent="0.4">
      <c r="A161" s="9" t="s">
        <v>283</v>
      </c>
      <c r="B161" s="9" t="s">
        <v>124</v>
      </c>
      <c r="C161" s="9" t="s">
        <v>46</v>
      </c>
      <c r="D161" s="10">
        <v>46094</v>
      </c>
      <c r="E161" s="10">
        <v>46097</v>
      </c>
      <c r="F161" s="9" t="s">
        <v>126</v>
      </c>
      <c r="G161" s="9" t="s">
        <v>58</v>
      </c>
      <c r="H161" s="10">
        <v>35040</v>
      </c>
      <c r="I161" s="9" t="s">
        <v>121</v>
      </c>
      <c r="J161" s="9" t="s">
        <v>38</v>
      </c>
      <c r="K161" s="9" t="s">
        <v>39</v>
      </c>
      <c r="L161" s="9" t="s">
        <v>49</v>
      </c>
      <c r="M161" s="11">
        <v>4</v>
      </c>
      <c r="N161" s="11">
        <v>55000</v>
      </c>
      <c r="O161" s="11">
        <v>5</v>
      </c>
      <c r="P161" s="11">
        <v>209000</v>
      </c>
      <c r="Q161" s="11">
        <v>2</v>
      </c>
      <c r="R161" s="9" t="s">
        <v>31</v>
      </c>
      <c r="S161" s="9" t="s">
        <v>96</v>
      </c>
      <c r="T161" s="9" t="s">
        <v>128</v>
      </c>
      <c r="U161" s="9">
        <v>9715222543</v>
      </c>
      <c r="V161" s="9" t="s">
        <v>52</v>
      </c>
      <c r="W161" s="3"/>
      <c r="X161" s="3"/>
      <c r="Y161" s="3"/>
      <c r="Z161" s="3"/>
    </row>
    <row r="162" spans="1:26" ht="15" thickBot="1" x14ac:dyDescent="0.4">
      <c r="A162" s="4" t="s">
        <v>284</v>
      </c>
      <c r="B162" s="4" t="s">
        <v>156</v>
      </c>
      <c r="C162" s="4" t="s">
        <v>112</v>
      </c>
      <c r="D162" s="5">
        <v>45835</v>
      </c>
      <c r="E162" s="5">
        <v>45839</v>
      </c>
      <c r="F162" s="4" t="s">
        <v>106</v>
      </c>
      <c r="G162" s="4" t="s">
        <v>58</v>
      </c>
      <c r="H162" s="5">
        <v>36363</v>
      </c>
      <c r="I162" s="4" t="s">
        <v>37</v>
      </c>
      <c r="J162" s="4" t="s">
        <v>38</v>
      </c>
      <c r="K162" s="4" t="s">
        <v>39</v>
      </c>
      <c r="L162" s="4" t="s">
        <v>114</v>
      </c>
      <c r="M162" s="6">
        <v>11</v>
      </c>
      <c r="N162" s="6">
        <v>700</v>
      </c>
      <c r="O162" s="6">
        <v>20</v>
      </c>
      <c r="P162" s="6">
        <v>6160</v>
      </c>
      <c r="Q162" s="6">
        <v>4</v>
      </c>
      <c r="R162" s="4" t="s">
        <v>31</v>
      </c>
      <c r="S162" s="4" t="s">
        <v>96</v>
      </c>
      <c r="T162" s="4" t="s">
        <v>158</v>
      </c>
      <c r="U162" s="4">
        <v>9942010833</v>
      </c>
      <c r="V162" s="4" t="s">
        <v>53</v>
      </c>
      <c r="W162" s="3"/>
      <c r="X162" s="3"/>
      <c r="Y162" s="3"/>
      <c r="Z162" s="3"/>
    </row>
    <row r="163" spans="1:26" ht="15" thickBot="1" x14ac:dyDescent="0.4">
      <c r="A163" s="9" t="s">
        <v>285</v>
      </c>
      <c r="B163" s="9" t="s">
        <v>104</v>
      </c>
      <c r="C163" s="9" t="s">
        <v>56</v>
      </c>
      <c r="D163" s="10">
        <v>45980</v>
      </c>
      <c r="E163" s="10">
        <v>45990</v>
      </c>
      <c r="F163" s="9" t="s">
        <v>166</v>
      </c>
      <c r="G163" s="9" t="s">
        <v>26</v>
      </c>
      <c r="H163" s="10">
        <v>36844</v>
      </c>
      <c r="I163" s="9" t="s">
        <v>147</v>
      </c>
      <c r="J163" s="9" t="s">
        <v>148</v>
      </c>
      <c r="K163" s="9" t="s">
        <v>39</v>
      </c>
      <c r="L163" s="9" t="s">
        <v>59</v>
      </c>
      <c r="M163" s="11">
        <v>16</v>
      </c>
      <c r="N163" s="11">
        <v>1200</v>
      </c>
      <c r="O163" s="11">
        <v>5</v>
      </c>
      <c r="P163" s="11">
        <v>18240</v>
      </c>
      <c r="Q163" s="11">
        <v>1</v>
      </c>
      <c r="R163" s="9" t="s">
        <v>60</v>
      </c>
      <c r="S163" s="9" t="s">
        <v>32</v>
      </c>
      <c r="T163" s="9" t="s">
        <v>108</v>
      </c>
      <c r="U163" s="9">
        <v>9347718932</v>
      </c>
      <c r="V163" s="9" t="s">
        <v>52</v>
      </c>
      <c r="W163" s="3"/>
      <c r="X163" s="3"/>
      <c r="Y163" s="3"/>
      <c r="Z163" s="3"/>
    </row>
    <row r="164" spans="1:26" ht="15" thickBot="1" x14ac:dyDescent="0.4">
      <c r="A164" s="4" t="s">
        <v>286</v>
      </c>
      <c r="B164" s="4" t="s">
        <v>104</v>
      </c>
      <c r="C164" s="4" t="s">
        <v>56</v>
      </c>
      <c r="D164" s="5">
        <v>45915</v>
      </c>
      <c r="E164" s="5">
        <v>45917</v>
      </c>
      <c r="F164" s="4" t="s">
        <v>166</v>
      </c>
      <c r="G164" s="4" t="s">
        <v>26</v>
      </c>
      <c r="H164" s="5">
        <v>37461</v>
      </c>
      <c r="I164" s="4" t="s">
        <v>79</v>
      </c>
      <c r="J164" s="4" t="s">
        <v>75</v>
      </c>
      <c r="K164" s="4" t="s">
        <v>39</v>
      </c>
      <c r="L164" s="4" t="s">
        <v>59</v>
      </c>
      <c r="M164" s="6">
        <v>1</v>
      </c>
      <c r="N164" s="6">
        <v>1200</v>
      </c>
      <c r="O164" s="6">
        <v>5</v>
      </c>
      <c r="P164" s="6">
        <v>1140</v>
      </c>
      <c r="Q164" s="6">
        <v>4</v>
      </c>
      <c r="R164" s="4" t="s">
        <v>60</v>
      </c>
      <c r="S164" s="4" t="s">
        <v>32</v>
      </c>
      <c r="T164" s="4" t="s">
        <v>108</v>
      </c>
      <c r="U164" s="4">
        <v>9274808844</v>
      </c>
      <c r="V164" s="8" t="s">
        <v>34</v>
      </c>
      <c r="W164" s="3"/>
      <c r="X164" s="3"/>
      <c r="Y164" s="3"/>
      <c r="Z164" s="3"/>
    </row>
    <row r="165" spans="1:26" ht="15" thickBot="1" x14ac:dyDescent="0.4">
      <c r="A165" s="9" t="s">
        <v>287</v>
      </c>
      <c r="B165" s="9" t="s">
        <v>156</v>
      </c>
      <c r="C165" s="9" t="s">
        <v>82</v>
      </c>
      <c r="D165" s="10">
        <v>45965</v>
      </c>
      <c r="E165" s="10">
        <v>45974</v>
      </c>
      <c r="F165" s="9" t="s">
        <v>106</v>
      </c>
      <c r="G165" s="9" t="s">
        <v>58</v>
      </c>
      <c r="H165" s="10">
        <v>37312</v>
      </c>
      <c r="I165" s="9" t="s">
        <v>121</v>
      </c>
      <c r="J165" s="9" t="s">
        <v>38</v>
      </c>
      <c r="K165" s="9" t="s">
        <v>83</v>
      </c>
      <c r="L165" s="9" t="s">
        <v>84</v>
      </c>
      <c r="M165" s="11">
        <v>7</v>
      </c>
      <c r="N165" s="11">
        <v>60</v>
      </c>
      <c r="O165" s="11">
        <v>0</v>
      </c>
      <c r="P165" s="11">
        <v>420</v>
      </c>
      <c r="Q165" s="11">
        <v>2</v>
      </c>
      <c r="R165" s="9" t="s">
        <v>65</v>
      </c>
      <c r="S165" s="9" t="s">
        <v>96</v>
      </c>
      <c r="T165" s="9" t="s">
        <v>158</v>
      </c>
      <c r="U165" s="9">
        <v>9798996063</v>
      </c>
      <c r="V165" s="12" t="s">
        <v>34</v>
      </c>
      <c r="W165" s="3"/>
      <c r="X165" s="3"/>
      <c r="Y165" s="3"/>
      <c r="Z165" s="3"/>
    </row>
    <row r="166" spans="1:26" ht="15" thickBot="1" x14ac:dyDescent="0.4">
      <c r="A166" s="4" t="s">
        <v>288</v>
      </c>
      <c r="B166" s="4" t="s">
        <v>104</v>
      </c>
      <c r="C166" s="4" t="s">
        <v>24</v>
      </c>
      <c r="D166" s="5">
        <v>45660</v>
      </c>
      <c r="E166" s="5">
        <v>45664</v>
      </c>
      <c r="F166" s="4" t="s">
        <v>166</v>
      </c>
      <c r="G166" s="4" t="s">
        <v>26</v>
      </c>
      <c r="H166" s="5">
        <v>29418</v>
      </c>
      <c r="I166" s="4" t="s">
        <v>79</v>
      </c>
      <c r="J166" s="4" t="s">
        <v>75</v>
      </c>
      <c r="K166" s="4" t="s">
        <v>29</v>
      </c>
      <c r="L166" s="4" t="s">
        <v>30</v>
      </c>
      <c r="M166" s="6">
        <v>14</v>
      </c>
      <c r="N166" s="6">
        <v>2200</v>
      </c>
      <c r="O166" s="6">
        <v>0</v>
      </c>
      <c r="P166" s="6">
        <v>30800</v>
      </c>
      <c r="Q166" s="6">
        <v>2</v>
      </c>
      <c r="R166" s="4" t="s">
        <v>65</v>
      </c>
      <c r="S166" s="4" t="s">
        <v>32</v>
      </c>
      <c r="T166" s="4" t="s">
        <v>108</v>
      </c>
      <c r="U166" s="4">
        <v>9145200936</v>
      </c>
      <c r="V166" s="4" t="s">
        <v>53</v>
      </c>
      <c r="W166" s="3"/>
      <c r="X166" s="3"/>
      <c r="Y166" s="3"/>
      <c r="Z166" s="3"/>
    </row>
    <row r="167" spans="1:26" ht="15" thickBot="1" x14ac:dyDescent="0.4">
      <c r="A167" s="9" t="s">
        <v>289</v>
      </c>
      <c r="B167" s="9" t="s">
        <v>104</v>
      </c>
      <c r="C167" s="9" t="s">
        <v>68</v>
      </c>
      <c r="D167" s="10">
        <v>45827</v>
      </c>
      <c r="E167" s="10">
        <v>45835</v>
      </c>
      <c r="F167" s="9" t="s">
        <v>166</v>
      </c>
      <c r="G167" s="9" t="s">
        <v>26</v>
      </c>
      <c r="H167" s="10">
        <v>35210</v>
      </c>
      <c r="I167" s="9" t="s">
        <v>91</v>
      </c>
      <c r="J167" s="9" t="s">
        <v>75</v>
      </c>
      <c r="K167" s="9" t="s">
        <v>29</v>
      </c>
      <c r="L167" s="9" t="s">
        <v>70</v>
      </c>
      <c r="M167" s="11">
        <v>15</v>
      </c>
      <c r="N167" s="11">
        <v>3500</v>
      </c>
      <c r="O167" s="11">
        <v>15</v>
      </c>
      <c r="P167" s="11">
        <v>44625</v>
      </c>
      <c r="Q167" s="11">
        <v>2</v>
      </c>
      <c r="R167" s="9" t="s">
        <v>65</v>
      </c>
      <c r="S167" s="9" t="s">
        <v>50</v>
      </c>
      <c r="T167" s="9" t="s">
        <v>108</v>
      </c>
      <c r="U167" s="9">
        <v>9697654418</v>
      </c>
      <c r="V167" s="9" t="s">
        <v>52</v>
      </c>
      <c r="W167" s="3"/>
      <c r="X167" s="3"/>
      <c r="Y167" s="3"/>
      <c r="Z167" s="3"/>
    </row>
    <row r="168" spans="1:26" ht="15" thickBot="1" x14ac:dyDescent="0.4">
      <c r="A168" s="4" t="s">
        <v>290</v>
      </c>
      <c r="B168" s="4" t="s">
        <v>87</v>
      </c>
      <c r="C168" s="4" t="s">
        <v>68</v>
      </c>
      <c r="D168" s="5">
        <v>45742</v>
      </c>
      <c r="E168" s="5">
        <v>45753</v>
      </c>
      <c r="F168" s="4" t="s">
        <v>88</v>
      </c>
      <c r="G168" s="4" t="s">
        <v>58</v>
      </c>
      <c r="H168" s="5">
        <v>31543</v>
      </c>
      <c r="I168" s="4" t="s">
        <v>147</v>
      </c>
      <c r="J168" s="4" t="s">
        <v>148</v>
      </c>
      <c r="K168" s="4" t="s">
        <v>29</v>
      </c>
      <c r="L168" s="4" t="s">
        <v>70</v>
      </c>
      <c r="M168" s="6">
        <v>19</v>
      </c>
      <c r="N168" s="6">
        <v>3500</v>
      </c>
      <c r="O168" s="6">
        <v>5</v>
      </c>
      <c r="P168" s="6">
        <v>63175</v>
      </c>
      <c r="Q168" s="6">
        <v>2</v>
      </c>
      <c r="R168" s="4" t="s">
        <v>31</v>
      </c>
      <c r="S168" s="4" t="s">
        <v>80</v>
      </c>
      <c r="T168" s="4" t="s">
        <v>89</v>
      </c>
      <c r="U168" s="4">
        <v>9457923119</v>
      </c>
      <c r="V168" s="4" t="s">
        <v>53</v>
      </c>
      <c r="W168" s="3"/>
      <c r="X168" s="3"/>
      <c r="Y168" s="3"/>
      <c r="Z168" s="3"/>
    </row>
    <row r="169" spans="1:26" ht="15" thickBot="1" x14ac:dyDescent="0.4">
      <c r="A169" s="9" t="s">
        <v>291</v>
      </c>
      <c r="B169" s="9" t="s">
        <v>156</v>
      </c>
      <c r="C169" s="9" t="s">
        <v>46</v>
      </c>
      <c r="D169" s="10">
        <v>45844</v>
      </c>
      <c r="E169" s="10">
        <v>45848</v>
      </c>
      <c r="F169" s="9" t="s">
        <v>106</v>
      </c>
      <c r="G169" s="9" t="s">
        <v>58</v>
      </c>
      <c r="H169" s="10">
        <v>32653</v>
      </c>
      <c r="I169" s="9" t="s">
        <v>48</v>
      </c>
      <c r="J169" s="9" t="s">
        <v>28</v>
      </c>
      <c r="K169" s="9" t="s">
        <v>39</v>
      </c>
      <c r="L169" s="9" t="s">
        <v>49</v>
      </c>
      <c r="M169" s="11">
        <v>12</v>
      </c>
      <c r="N169" s="11">
        <v>55000</v>
      </c>
      <c r="O169" s="11">
        <v>5</v>
      </c>
      <c r="P169" s="11">
        <v>627000</v>
      </c>
      <c r="Q169" s="11">
        <v>4</v>
      </c>
      <c r="R169" s="9" t="s">
        <v>60</v>
      </c>
      <c r="S169" s="9" t="s">
        <v>50</v>
      </c>
      <c r="T169" s="9" t="s">
        <v>158</v>
      </c>
      <c r="U169" s="9">
        <v>9236111271</v>
      </c>
      <c r="V169" s="9" t="s">
        <v>53</v>
      </c>
      <c r="W169" s="3"/>
      <c r="X169" s="3"/>
      <c r="Y169" s="3"/>
      <c r="Z169" s="3"/>
    </row>
    <row r="170" spans="1:26" ht="15" thickBot="1" x14ac:dyDescent="0.4">
      <c r="A170" s="4" t="s">
        <v>292</v>
      </c>
      <c r="B170" s="4" t="s">
        <v>45</v>
      </c>
      <c r="C170" s="4" t="s">
        <v>56</v>
      </c>
      <c r="D170" s="5">
        <v>46040</v>
      </c>
      <c r="E170" s="5">
        <v>46048</v>
      </c>
      <c r="F170" s="4" t="s">
        <v>101</v>
      </c>
      <c r="G170" s="4" t="s">
        <v>26</v>
      </c>
      <c r="H170" s="5">
        <v>32745</v>
      </c>
      <c r="I170" s="4" t="s">
        <v>74</v>
      </c>
      <c r="J170" s="4" t="s">
        <v>75</v>
      </c>
      <c r="K170" s="4" t="s">
        <v>39</v>
      </c>
      <c r="L170" s="4" t="s">
        <v>59</v>
      </c>
      <c r="M170" s="6">
        <v>6</v>
      </c>
      <c r="N170" s="6">
        <v>1200</v>
      </c>
      <c r="O170" s="6">
        <v>10</v>
      </c>
      <c r="P170" s="6">
        <v>6480</v>
      </c>
      <c r="Q170" s="6">
        <v>5</v>
      </c>
      <c r="R170" s="4" t="s">
        <v>41</v>
      </c>
      <c r="S170" s="4" t="s">
        <v>80</v>
      </c>
      <c r="T170" s="4" t="s">
        <v>51</v>
      </c>
      <c r="U170" s="4">
        <v>9402569141</v>
      </c>
      <c r="V170" s="4" t="s">
        <v>53</v>
      </c>
      <c r="W170" s="3"/>
      <c r="X170" s="3"/>
      <c r="Y170" s="3"/>
      <c r="Z170" s="3"/>
    </row>
    <row r="171" spans="1:26" ht="15" thickBot="1" x14ac:dyDescent="0.4">
      <c r="A171" s="9" t="s">
        <v>293</v>
      </c>
      <c r="B171" s="9" t="s">
        <v>134</v>
      </c>
      <c r="C171" s="9" t="s">
        <v>105</v>
      </c>
      <c r="D171" s="10">
        <v>45919</v>
      </c>
      <c r="E171" s="10">
        <v>45920</v>
      </c>
      <c r="F171" s="9" t="s">
        <v>135</v>
      </c>
      <c r="G171" s="9" t="s">
        <v>26</v>
      </c>
      <c r="H171" s="10">
        <v>35570</v>
      </c>
      <c r="I171" s="9" t="s">
        <v>27</v>
      </c>
      <c r="J171" s="9" t="s">
        <v>28</v>
      </c>
      <c r="K171" s="9" t="s">
        <v>29</v>
      </c>
      <c r="L171" s="9" t="s">
        <v>107</v>
      </c>
      <c r="M171" s="11">
        <v>1</v>
      </c>
      <c r="N171" s="11">
        <v>8500</v>
      </c>
      <c r="O171" s="11">
        <v>0</v>
      </c>
      <c r="P171" s="11">
        <v>8500</v>
      </c>
      <c r="Q171" s="11">
        <v>1</v>
      </c>
      <c r="R171" s="9" t="s">
        <v>65</v>
      </c>
      <c r="S171" s="9" t="s">
        <v>96</v>
      </c>
      <c r="T171" s="9" t="s">
        <v>136</v>
      </c>
      <c r="U171" s="9">
        <v>9138184056</v>
      </c>
      <c r="V171" s="9" t="s">
        <v>53</v>
      </c>
      <c r="W171" s="3"/>
      <c r="X171" s="3"/>
      <c r="Y171" s="3"/>
      <c r="Z171" s="3"/>
    </row>
    <row r="172" spans="1:26" ht="15" thickBot="1" x14ac:dyDescent="0.4">
      <c r="A172" s="4" t="s">
        <v>294</v>
      </c>
      <c r="B172" s="4" t="s">
        <v>87</v>
      </c>
      <c r="C172" s="4" t="s">
        <v>46</v>
      </c>
      <c r="D172" s="5">
        <v>46113</v>
      </c>
      <c r="E172" s="5">
        <v>46119</v>
      </c>
      <c r="F172" s="4" t="s">
        <v>88</v>
      </c>
      <c r="G172" s="4" t="s">
        <v>58</v>
      </c>
      <c r="H172" s="5">
        <v>31900</v>
      </c>
      <c r="I172" s="4" t="s">
        <v>91</v>
      </c>
      <c r="J172" s="4" t="s">
        <v>75</v>
      </c>
      <c r="K172" s="4" t="s">
        <v>39</v>
      </c>
      <c r="L172" s="4" t="s">
        <v>49</v>
      </c>
      <c r="M172" s="6">
        <v>20</v>
      </c>
      <c r="N172" s="6">
        <v>55000</v>
      </c>
      <c r="O172" s="6">
        <v>10</v>
      </c>
      <c r="P172" s="6">
        <v>990000</v>
      </c>
      <c r="Q172" s="6">
        <v>5</v>
      </c>
      <c r="R172" s="4" t="s">
        <v>41</v>
      </c>
      <c r="S172" s="4" t="s">
        <v>96</v>
      </c>
      <c r="T172" s="4" t="s">
        <v>89</v>
      </c>
      <c r="U172" s="4">
        <v>9609598700</v>
      </c>
      <c r="V172" s="8" t="s">
        <v>34</v>
      </c>
      <c r="W172" s="3"/>
      <c r="X172" s="3"/>
      <c r="Y172" s="3"/>
      <c r="Z172" s="3"/>
    </row>
    <row r="173" spans="1:26" ht="15" thickBot="1" x14ac:dyDescent="0.4">
      <c r="A173" s="9" t="s">
        <v>295</v>
      </c>
      <c r="B173" s="9" t="s">
        <v>124</v>
      </c>
      <c r="C173" s="9" t="s">
        <v>56</v>
      </c>
      <c r="D173" s="10">
        <v>45958</v>
      </c>
      <c r="E173" s="10">
        <v>45959</v>
      </c>
      <c r="F173" s="9" t="s">
        <v>126</v>
      </c>
      <c r="G173" s="9" t="s">
        <v>58</v>
      </c>
      <c r="H173" s="10">
        <v>37592</v>
      </c>
      <c r="I173" s="9" t="s">
        <v>91</v>
      </c>
      <c r="J173" s="9" t="s">
        <v>75</v>
      </c>
      <c r="K173" s="9" t="s">
        <v>39</v>
      </c>
      <c r="L173" s="9" t="s">
        <v>59</v>
      </c>
      <c r="M173" s="11">
        <v>8</v>
      </c>
      <c r="N173" s="11">
        <v>1200</v>
      </c>
      <c r="O173" s="11">
        <v>15</v>
      </c>
      <c r="P173" s="11">
        <v>8160</v>
      </c>
      <c r="Q173" s="11">
        <v>2</v>
      </c>
      <c r="R173" s="9" t="s">
        <v>65</v>
      </c>
      <c r="S173" s="9" t="s">
        <v>80</v>
      </c>
      <c r="T173" s="9" t="s">
        <v>128</v>
      </c>
      <c r="U173" s="9">
        <v>9385894399</v>
      </c>
      <c r="V173" s="9" t="s">
        <v>53</v>
      </c>
      <c r="W173" s="3"/>
      <c r="X173" s="3"/>
      <c r="Y173" s="3"/>
      <c r="Z173" s="3"/>
    </row>
    <row r="174" spans="1:26" ht="15" thickBot="1" x14ac:dyDescent="0.4">
      <c r="A174" s="4" t="s">
        <v>296</v>
      </c>
      <c r="B174" s="4" t="s">
        <v>23</v>
      </c>
      <c r="C174" s="4" t="s">
        <v>68</v>
      </c>
      <c r="D174" s="5">
        <v>45694</v>
      </c>
      <c r="E174" s="5">
        <v>45705</v>
      </c>
      <c r="F174" s="4" t="s">
        <v>25</v>
      </c>
      <c r="G174" s="4" t="s">
        <v>26</v>
      </c>
      <c r="H174" s="5">
        <v>31557</v>
      </c>
      <c r="I174" s="4" t="s">
        <v>121</v>
      </c>
      <c r="J174" s="4" t="s">
        <v>38</v>
      </c>
      <c r="K174" s="4" t="s">
        <v>29</v>
      </c>
      <c r="L174" s="4" t="s">
        <v>70</v>
      </c>
      <c r="M174" s="6">
        <v>19</v>
      </c>
      <c r="N174" s="6">
        <v>3500</v>
      </c>
      <c r="O174" s="6">
        <v>5</v>
      </c>
      <c r="P174" s="6">
        <v>63175</v>
      </c>
      <c r="Q174" s="6">
        <v>4</v>
      </c>
      <c r="R174" s="4" t="s">
        <v>65</v>
      </c>
      <c r="S174" s="4" t="s">
        <v>42</v>
      </c>
      <c r="T174" s="4" t="s">
        <v>43</v>
      </c>
      <c r="U174" s="4">
        <v>9329448011</v>
      </c>
      <c r="V174" s="4" t="s">
        <v>52</v>
      </c>
      <c r="W174" s="3"/>
      <c r="X174" s="3"/>
      <c r="Y174" s="3"/>
      <c r="Z174" s="3"/>
    </row>
    <row r="175" spans="1:26" ht="15" thickBot="1" x14ac:dyDescent="0.4">
      <c r="A175" s="9" t="s">
        <v>297</v>
      </c>
      <c r="B175" s="9" t="s">
        <v>124</v>
      </c>
      <c r="C175" s="9" t="s">
        <v>138</v>
      </c>
      <c r="D175" s="10">
        <v>45774</v>
      </c>
      <c r="E175" s="10">
        <v>45776</v>
      </c>
      <c r="F175" s="9" t="s">
        <v>126</v>
      </c>
      <c r="G175" s="9" t="s">
        <v>58</v>
      </c>
      <c r="H175" s="10">
        <v>31465</v>
      </c>
      <c r="I175" s="9" t="s">
        <v>121</v>
      </c>
      <c r="J175" s="9" t="s">
        <v>38</v>
      </c>
      <c r="K175" s="9" t="s">
        <v>83</v>
      </c>
      <c r="L175" s="9" t="s">
        <v>139</v>
      </c>
      <c r="M175" s="11">
        <v>6</v>
      </c>
      <c r="N175" s="11">
        <v>45</v>
      </c>
      <c r="O175" s="11">
        <v>20</v>
      </c>
      <c r="P175" s="11">
        <v>216</v>
      </c>
      <c r="Q175" s="11">
        <v>1</v>
      </c>
      <c r="R175" s="9" t="s">
        <v>60</v>
      </c>
      <c r="S175" s="9" t="s">
        <v>42</v>
      </c>
      <c r="T175" s="9" t="s">
        <v>298</v>
      </c>
      <c r="U175" s="9">
        <v>9889544104</v>
      </c>
      <c r="V175" s="9" t="s">
        <v>52</v>
      </c>
      <c r="W175" s="3"/>
      <c r="X175" s="3"/>
      <c r="Y175" s="3"/>
      <c r="Z175" s="3"/>
    </row>
    <row r="176" spans="1:26" ht="15" thickBot="1" x14ac:dyDescent="0.4">
      <c r="A176" s="4" t="s">
        <v>299</v>
      </c>
      <c r="B176" s="4" t="s">
        <v>134</v>
      </c>
      <c r="C176" s="4" t="s">
        <v>138</v>
      </c>
      <c r="D176" s="5">
        <v>45730</v>
      </c>
      <c r="E176" s="5">
        <v>45741</v>
      </c>
      <c r="F176" s="4" t="s">
        <v>135</v>
      </c>
      <c r="G176" s="4" t="s">
        <v>26</v>
      </c>
      <c r="H176" s="5">
        <v>32240</v>
      </c>
      <c r="I176" s="4" t="s">
        <v>79</v>
      </c>
      <c r="J176" s="4" t="s">
        <v>75</v>
      </c>
      <c r="K176" s="4" t="s">
        <v>83</v>
      </c>
      <c r="L176" s="4" t="s">
        <v>139</v>
      </c>
      <c r="M176" s="6">
        <v>17</v>
      </c>
      <c r="N176" s="6">
        <v>45</v>
      </c>
      <c r="O176" s="6">
        <v>15</v>
      </c>
      <c r="P176" s="6">
        <v>650.25</v>
      </c>
      <c r="Q176" s="6">
        <v>5</v>
      </c>
      <c r="R176" s="4" t="s">
        <v>31</v>
      </c>
      <c r="S176" s="4" t="s">
        <v>80</v>
      </c>
      <c r="T176" s="4" t="s">
        <v>136</v>
      </c>
      <c r="U176" s="4">
        <v>9101861045</v>
      </c>
      <c r="V176" s="4" t="s">
        <v>52</v>
      </c>
      <c r="W176" s="3"/>
      <c r="X176" s="3"/>
      <c r="Y176" s="3"/>
      <c r="Z176" s="3"/>
    </row>
    <row r="177" spans="1:26" ht="15" thickBot="1" x14ac:dyDescent="0.4">
      <c r="A177" s="9" t="s">
        <v>300</v>
      </c>
      <c r="B177" s="9" t="s">
        <v>23</v>
      </c>
      <c r="C177" s="9" t="s">
        <v>125</v>
      </c>
      <c r="D177" s="10">
        <v>45842</v>
      </c>
      <c r="E177" s="10">
        <v>45854</v>
      </c>
      <c r="F177" s="9" t="s">
        <v>25</v>
      </c>
      <c r="G177" s="9" t="s">
        <v>26</v>
      </c>
      <c r="H177" s="10">
        <v>34147</v>
      </c>
      <c r="I177" s="9" t="s">
        <v>79</v>
      </c>
      <c r="J177" s="9" t="s">
        <v>75</v>
      </c>
      <c r="K177" s="9" t="s">
        <v>83</v>
      </c>
      <c r="L177" s="9" t="s">
        <v>127</v>
      </c>
      <c r="M177" s="11">
        <v>19</v>
      </c>
      <c r="N177" s="11">
        <v>20</v>
      </c>
      <c r="O177" s="11">
        <v>5</v>
      </c>
      <c r="P177" s="11">
        <v>361</v>
      </c>
      <c r="Q177" s="11">
        <v>4</v>
      </c>
      <c r="R177" s="9" t="s">
        <v>31</v>
      </c>
      <c r="S177" s="9" t="s">
        <v>32</v>
      </c>
      <c r="T177" s="9" t="s">
        <v>43</v>
      </c>
      <c r="U177" s="9">
        <v>9364712105</v>
      </c>
      <c r="V177" s="9" t="s">
        <v>52</v>
      </c>
      <c r="W177" s="3"/>
      <c r="X177" s="3"/>
      <c r="Y177" s="3"/>
      <c r="Z177" s="3"/>
    </row>
    <row r="178" spans="1:26" ht="15" thickBot="1" x14ac:dyDescent="0.4">
      <c r="A178" s="4" t="s">
        <v>301</v>
      </c>
      <c r="B178" s="4" t="s">
        <v>134</v>
      </c>
      <c r="C178" s="4" t="s">
        <v>125</v>
      </c>
      <c r="D178" s="5">
        <v>45993</v>
      </c>
      <c r="E178" s="5">
        <v>45994</v>
      </c>
      <c r="F178" s="4" t="s">
        <v>135</v>
      </c>
      <c r="G178" s="4" t="s">
        <v>26</v>
      </c>
      <c r="H178" s="5">
        <v>38156</v>
      </c>
      <c r="I178" s="4" t="s">
        <v>91</v>
      </c>
      <c r="J178" s="4" t="s">
        <v>75</v>
      </c>
      <c r="K178" s="4" t="s">
        <v>83</v>
      </c>
      <c r="L178" s="4" t="s">
        <v>127</v>
      </c>
      <c r="M178" s="6">
        <v>11</v>
      </c>
      <c r="N178" s="6">
        <v>20</v>
      </c>
      <c r="O178" s="6">
        <v>0</v>
      </c>
      <c r="P178" s="6">
        <v>220</v>
      </c>
      <c r="Q178" s="6">
        <v>3</v>
      </c>
      <c r="R178" s="4" t="s">
        <v>41</v>
      </c>
      <c r="S178" s="4" t="s">
        <v>42</v>
      </c>
      <c r="T178" s="4" t="s">
        <v>136</v>
      </c>
      <c r="U178" s="4">
        <v>9950206376</v>
      </c>
      <c r="V178" s="8" t="s">
        <v>34</v>
      </c>
      <c r="W178" s="3"/>
      <c r="X178" s="3"/>
      <c r="Y178" s="3"/>
      <c r="Z178" s="3"/>
    </row>
    <row r="179" spans="1:26" ht="15" thickBot="1" x14ac:dyDescent="0.4">
      <c r="A179" s="9" t="s">
        <v>302</v>
      </c>
      <c r="B179" s="9" t="s">
        <v>104</v>
      </c>
      <c r="C179" s="9" t="s">
        <v>82</v>
      </c>
      <c r="D179" s="10">
        <v>46067</v>
      </c>
      <c r="E179" s="10">
        <v>46074</v>
      </c>
      <c r="F179" s="9" t="s">
        <v>166</v>
      </c>
      <c r="G179" s="9" t="s">
        <v>26</v>
      </c>
      <c r="H179" s="10">
        <v>34221</v>
      </c>
      <c r="I179" s="9" t="s">
        <v>37</v>
      </c>
      <c r="J179" s="9" t="s">
        <v>38</v>
      </c>
      <c r="K179" s="9" t="s">
        <v>83</v>
      </c>
      <c r="L179" s="9" t="s">
        <v>84</v>
      </c>
      <c r="M179" s="11">
        <v>12</v>
      </c>
      <c r="N179" s="11">
        <v>60</v>
      </c>
      <c r="O179" s="11">
        <v>0</v>
      </c>
      <c r="P179" s="11">
        <v>720</v>
      </c>
      <c r="Q179" s="11">
        <v>2</v>
      </c>
      <c r="R179" s="9" t="s">
        <v>41</v>
      </c>
      <c r="S179" s="9" t="s">
        <v>42</v>
      </c>
      <c r="T179" s="9" t="s">
        <v>108</v>
      </c>
      <c r="U179" s="9">
        <v>9235822094</v>
      </c>
      <c r="V179" s="12" t="s">
        <v>34</v>
      </c>
      <c r="W179" s="3"/>
      <c r="X179" s="3"/>
      <c r="Y179" s="3"/>
      <c r="Z179" s="3"/>
    </row>
    <row r="180" spans="1:26" ht="15" thickBot="1" x14ac:dyDescent="0.4">
      <c r="A180" s="4" t="s">
        <v>303</v>
      </c>
      <c r="B180" s="4" t="s">
        <v>124</v>
      </c>
      <c r="C180" s="4" t="s">
        <v>138</v>
      </c>
      <c r="D180" s="5">
        <v>45970</v>
      </c>
      <c r="E180" s="5">
        <v>45974</v>
      </c>
      <c r="F180" s="4" t="s">
        <v>73</v>
      </c>
      <c r="G180" s="4" t="s">
        <v>58</v>
      </c>
      <c r="H180" s="5">
        <v>37147</v>
      </c>
      <c r="I180" s="4" t="s">
        <v>147</v>
      </c>
      <c r="J180" s="4" t="s">
        <v>148</v>
      </c>
      <c r="K180" s="4" t="s">
        <v>83</v>
      </c>
      <c r="L180" s="4" t="s">
        <v>139</v>
      </c>
      <c r="M180" s="6">
        <v>14</v>
      </c>
      <c r="N180" s="6">
        <v>45</v>
      </c>
      <c r="O180" s="6">
        <v>15</v>
      </c>
      <c r="P180" s="6">
        <v>535.5</v>
      </c>
      <c r="Q180" s="6">
        <v>5</v>
      </c>
      <c r="R180" s="4" t="s">
        <v>65</v>
      </c>
      <c r="S180" s="4" t="s">
        <v>80</v>
      </c>
      <c r="T180" s="4" t="s">
        <v>128</v>
      </c>
      <c r="U180" s="4">
        <v>9311021344</v>
      </c>
      <c r="V180" s="4" t="s">
        <v>52</v>
      </c>
      <c r="W180" s="3"/>
      <c r="X180" s="3"/>
      <c r="Y180" s="3"/>
      <c r="Z180" s="3"/>
    </row>
    <row r="181" spans="1:26" ht="15" thickBot="1" x14ac:dyDescent="0.4">
      <c r="A181" s="9" t="s">
        <v>304</v>
      </c>
      <c r="B181" s="9" t="s">
        <v>23</v>
      </c>
      <c r="C181" s="9" t="s">
        <v>112</v>
      </c>
      <c r="D181" s="10">
        <v>45695</v>
      </c>
      <c r="E181" s="10">
        <v>45707</v>
      </c>
      <c r="F181" s="9" t="s">
        <v>25</v>
      </c>
      <c r="G181" s="9" t="s">
        <v>26</v>
      </c>
      <c r="H181" s="10">
        <v>29905</v>
      </c>
      <c r="I181" s="9" t="s">
        <v>27</v>
      </c>
      <c r="J181" s="9" t="s">
        <v>28</v>
      </c>
      <c r="K181" s="9" t="s">
        <v>39</v>
      </c>
      <c r="L181" s="9" t="s">
        <v>114</v>
      </c>
      <c r="M181" s="11">
        <v>15</v>
      </c>
      <c r="N181" s="11">
        <v>700</v>
      </c>
      <c r="O181" s="11">
        <v>10</v>
      </c>
      <c r="P181" s="11">
        <v>9450</v>
      </c>
      <c r="Q181" s="11">
        <v>3</v>
      </c>
      <c r="R181" s="9" t="s">
        <v>41</v>
      </c>
      <c r="S181" s="9" t="s">
        <v>42</v>
      </c>
      <c r="T181" s="9" t="s">
        <v>43</v>
      </c>
      <c r="U181" s="9">
        <v>9891358505</v>
      </c>
      <c r="V181" s="9" t="s">
        <v>52</v>
      </c>
      <c r="W181" s="3"/>
      <c r="X181" s="3"/>
      <c r="Y181" s="3"/>
      <c r="Z181" s="3"/>
    </row>
    <row r="182" spans="1:26" ht="15" thickBot="1" x14ac:dyDescent="0.4">
      <c r="A182" s="4" t="s">
        <v>305</v>
      </c>
      <c r="B182" s="4" t="s">
        <v>72</v>
      </c>
      <c r="C182" s="4" t="s">
        <v>105</v>
      </c>
      <c r="D182" s="5">
        <v>45803</v>
      </c>
      <c r="E182" s="5">
        <v>45807</v>
      </c>
      <c r="F182" s="4" t="s">
        <v>73</v>
      </c>
      <c r="G182" s="4" t="s">
        <v>26</v>
      </c>
      <c r="H182" s="5">
        <v>29476</v>
      </c>
      <c r="I182" s="4" t="s">
        <v>91</v>
      </c>
      <c r="J182" s="4" t="s">
        <v>75</v>
      </c>
      <c r="K182" s="4" t="s">
        <v>29</v>
      </c>
      <c r="L182" s="4" t="s">
        <v>107</v>
      </c>
      <c r="M182" s="6">
        <v>19</v>
      </c>
      <c r="N182" s="6">
        <v>8500</v>
      </c>
      <c r="O182" s="6">
        <v>15</v>
      </c>
      <c r="P182" s="6">
        <v>137275</v>
      </c>
      <c r="Q182" s="6">
        <v>2</v>
      </c>
      <c r="R182" s="4" t="s">
        <v>31</v>
      </c>
      <c r="S182" s="4" t="s">
        <v>32</v>
      </c>
      <c r="T182" s="4" t="s">
        <v>93</v>
      </c>
      <c r="U182" s="4">
        <v>9910085332</v>
      </c>
      <c r="V182" s="4" t="s">
        <v>53</v>
      </c>
      <c r="W182" s="3"/>
      <c r="X182" s="3"/>
      <c r="Y182" s="3"/>
      <c r="Z182" s="3"/>
    </row>
    <row r="183" spans="1:26" ht="15" thickBot="1" x14ac:dyDescent="0.4">
      <c r="A183" s="9" t="s">
        <v>306</v>
      </c>
      <c r="B183" s="9" t="s">
        <v>134</v>
      </c>
      <c r="C183" s="9" t="s">
        <v>82</v>
      </c>
      <c r="D183" s="10">
        <v>45934</v>
      </c>
      <c r="E183" s="10">
        <v>45936</v>
      </c>
      <c r="F183" s="9" t="s">
        <v>135</v>
      </c>
      <c r="G183" s="9" t="s">
        <v>26</v>
      </c>
      <c r="H183" s="10">
        <v>32240</v>
      </c>
      <c r="I183" s="9" t="s">
        <v>121</v>
      </c>
      <c r="J183" s="9" t="s">
        <v>38</v>
      </c>
      <c r="K183" s="9" t="s">
        <v>83</v>
      </c>
      <c r="L183" s="9" t="s">
        <v>84</v>
      </c>
      <c r="M183" s="11">
        <v>19</v>
      </c>
      <c r="N183" s="11">
        <v>60</v>
      </c>
      <c r="O183" s="11">
        <v>20</v>
      </c>
      <c r="P183" s="11">
        <v>912</v>
      </c>
      <c r="Q183" s="11">
        <v>4</v>
      </c>
      <c r="R183" s="9" t="s">
        <v>60</v>
      </c>
      <c r="S183" s="9" t="s">
        <v>42</v>
      </c>
      <c r="T183" s="9" t="s">
        <v>136</v>
      </c>
      <c r="U183" s="9">
        <v>9756908023</v>
      </c>
      <c r="V183" s="9" t="s">
        <v>52</v>
      </c>
      <c r="W183" s="3"/>
      <c r="X183" s="3"/>
      <c r="Y183" s="3"/>
      <c r="Z183" s="3"/>
    </row>
    <row r="184" spans="1:26" ht="15" thickBot="1" x14ac:dyDescent="0.4">
      <c r="A184" s="4" t="s">
        <v>307</v>
      </c>
      <c r="B184" s="4" t="s">
        <v>72</v>
      </c>
      <c r="C184" s="4" t="s">
        <v>138</v>
      </c>
      <c r="D184" s="5">
        <v>45792</v>
      </c>
      <c r="E184" s="5">
        <v>45803</v>
      </c>
      <c r="F184" s="4" t="s">
        <v>73</v>
      </c>
      <c r="G184" s="4" t="s">
        <v>26</v>
      </c>
      <c r="H184" s="5">
        <v>32192</v>
      </c>
      <c r="I184" s="4" t="s">
        <v>48</v>
      </c>
      <c r="J184" s="4" t="s">
        <v>28</v>
      </c>
      <c r="K184" s="4" t="s">
        <v>83</v>
      </c>
      <c r="L184" s="4" t="s">
        <v>139</v>
      </c>
      <c r="M184" s="6">
        <v>10</v>
      </c>
      <c r="N184" s="6">
        <v>45</v>
      </c>
      <c r="O184" s="6">
        <v>15</v>
      </c>
      <c r="P184" s="6">
        <v>382.5</v>
      </c>
      <c r="Q184" s="6">
        <v>4</v>
      </c>
      <c r="R184" s="4" t="s">
        <v>31</v>
      </c>
      <c r="S184" s="4" t="s">
        <v>96</v>
      </c>
      <c r="T184" s="4" t="s">
        <v>93</v>
      </c>
      <c r="U184" s="4">
        <v>9645913247</v>
      </c>
      <c r="V184" s="8" t="s">
        <v>34</v>
      </c>
      <c r="W184" s="3"/>
      <c r="X184" s="3"/>
      <c r="Y184" s="3"/>
      <c r="Z184" s="3"/>
    </row>
    <row r="185" spans="1:26" ht="15" thickBot="1" x14ac:dyDescent="0.4">
      <c r="A185" s="9" t="s">
        <v>308</v>
      </c>
      <c r="B185" s="9" t="s">
        <v>55</v>
      </c>
      <c r="C185" s="9" t="s">
        <v>24</v>
      </c>
      <c r="D185" s="10">
        <v>45822</v>
      </c>
      <c r="E185" s="10">
        <v>45831</v>
      </c>
      <c r="F185" s="9" t="s">
        <v>57</v>
      </c>
      <c r="G185" s="9" t="s">
        <v>58</v>
      </c>
      <c r="H185" s="10">
        <v>29923</v>
      </c>
      <c r="I185" s="9" t="s">
        <v>37</v>
      </c>
      <c r="J185" s="9" t="s">
        <v>38</v>
      </c>
      <c r="K185" s="9" t="s">
        <v>29</v>
      </c>
      <c r="L185" s="9" t="s">
        <v>30</v>
      </c>
      <c r="M185" s="11">
        <v>7</v>
      </c>
      <c r="N185" s="11">
        <v>2200</v>
      </c>
      <c r="O185" s="11">
        <v>20</v>
      </c>
      <c r="P185" s="11">
        <v>12320</v>
      </c>
      <c r="Q185" s="11">
        <v>5</v>
      </c>
      <c r="R185" s="9" t="s">
        <v>65</v>
      </c>
      <c r="S185" s="9" t="s">
        <v>42</v>
      </c>
      <c r="T185" s="9" t="s">
        <v>61</v>
      </c>
      <c r="U185" s="9">
        <v>9806914795</v>
      </c>
      <c r="V185" s="9" t="s">
        <v>52</v>
      </c>
      <c r="W185" s="3"/>
      <c r="X185" s="3"/>
      <c r="Y185" s="3"/>
      <c r="Z185" s="3"/>
    </row>
    <row r="186" spans="1:26" ht="15" thickBot="1" x14ac:dyDescent="0.4">
      <c r="A186" s="4" t="s">
        <v>309</v>
      </c>
      <c r="B186" s="4" t="s">
        <v>72</v>
      </c>
      <c r="C186" s="4" t="s">
        <v>105</v>
      </c>
      <c r="D186" s="5">
        <v>45769</v>
      </c>
      <c r="E186" s="5">
        <v>45781</v>
      </c>
      <c r="F186" s="4" t="s">
        <v>73</v>
      </c>
      <c r="G186" s="4" t="s">
        <v>26</v>
      </c>
      <c r="H186" s="5">
        <v>30723</v>
      </c>
      <c r="I186" s="4" t="s">
        <v>147</v>
      </c>
      <c r="J186" s="4" t="s">
        <v>148</v>
      </c>
      <c r="K186" s="4" t="s">
        <v>29</v>
      </c>
      <c r="L186" s="4" t="s">
        <v>107</v>
      </c>
      <c r="M186" s="6">
        <v>20</v>
      </c>
      <c r="N186" s="6">
        <v>8500</v>
      </c>
      <c r="O186" s="6">
        <v>20</v>
      </c>
      <c r="P186" s="6">
        <v>136000</v>
      </c>
      <c r="Q186" s="6">
        <v>4</v>
      </c>
      <c r="R186" s="4" t="s">
        <v>41</v>
      </c>
      <c r="S186" s="4" t="s">
        <v>32</v>
      </c>
      <c r="T186" s="4" t="s">
        <v>93</v>
      </c>
      <c r="U186" s="4">
        <v>9276222829</v>
      </c>
      <c r="V186" s="8" t="s">
        <v>34</v>
      </c>
      <c r="W186" s="3"/>
      <c r="X186" s="3"/>
      <c r="Y186" s="3"/>
      <c r="Z186" s="3"/>
    </row>
    <row r="187" spans="1:26" ht="15" thickBot="1" x14ac:dyDescent="0.4">
      <c r="A187" s="9" t="s">
        <v>310</v>
      </c>
      <c r="B187" s="9" t="s">
        <v>134</v>
      </c>
      <c r="C187" s="9" t="s">
        <v>24</v>
      </c>
      <c r="D187" s="10">
        <v>45679</v>
      </c>
      <c r="E187" s="10">
        <v>45681</v>
      </c>
      <c r="F187" s="9" t="s">
        <v>135</v>
      </c>
      <c r="G187" s="9" t="s">
        <v>26</v>
      </c>
      <c r="H187" s="10">
        <v>33579</v>
      </c>
      <c r="I187" s="9" t="s">
        <v>27</v>
      </c>
      <c r="J187" s="9" t="s">
        <v>28</v>
      </c>
      <c r="K187" s="9" t="s">
        <v>29</v>
      </c>
      <c r="L187" s="9" t="s">
        <v>30</v>
      </c>
      <c r="M187" s="11">
        <v>10</v>
      </c>
      <c r="N187" s="11">
        <v>2200</v>
      </c>
      <c r="O187" s="11">
        <v>5</v>
      </c>
      <c r="P187" s="11">
        <v>20900</v>
      </c>
      <c r="Q187" s="11">
        <v>2</v>
      </c>
      <c r="R187" s="9" t="s">
        <v>41</v>
      </c>
      <c r="S187" s="9" t="s">
        <v>42</v>
      </c>
      <c r="T187" s="9" t="s">
        <v>136</v>
      </c>
      <c r="U187" s="9">
        <v>9533835528</v>
      </c>
      <c r="V187" s="12" t="s">
        <v>34</v>
      </c>
      <c r="W187" s="3"/>
      <c r="X187" s="3"/>
      <c r="Y187" s="3"/>
      <c r="Z187" s="3"/>
    </row>
    <row r="188" spans="1:26" ht="15" thickBot="1" x14ac:dyDescent="0.4">
      <c r="A188" s="4" t="s">
        <v>311</v>
      </c>
      <c r="B188" s="4" t="s">
        <v>87</v>
      </c>
      <c r="C188" s="4" t="s">
        <v>82</v>
      </c>
      <c r="D188" s="5">
        <v>46007</v>
      </c>
      <c r="E188" s="5">
        <v>46017</v>
      </c>
      <c r="F188" s="4" t="s">
        <v>88</v>
      </c>
      <c r="G188" s="4" t="s">
        <v>58</v>
      </c>
      <c r="H188" s="5">
        <v>27811</v>
      </c>
      <c r="I188" s="4" t="s">
        <v>79</v>
      </c>
      <c r="J188" s="4" t="s">
        <v>75</v>
      </c>
      <c r="K188" s="4" t="s">
        <v>83</v>
      </c>
      <c r="L188" s="4" t="s">
        <v>84</v>
      </c>
      <c r="M188" s="6">
        <v>15</v>
      </c>
      <c r="N188" s="6">
        <v>60</v>
      </c>
      <c r="O188" s="6">
        <v>20</v>
      </c>
      <c r="P188" s="6">
        <v>720</v>
      </c>
      <c r="Q188" s="6">
        <v>1</v>
      </c>
      <c r="R188" s="4" t="s">
        <v>60</v>
      </c>
      <c r="S188" s="4" t="s">
        <v>32</v>
      </c>
      <c r="T188" s="4" t="s">
        <v>89</v>
      </c>
      <c r="U188" s="4">
        <v>9654885820</v>
      </c>
      <c r="V188" s="8" t="s">
        <v>34</v>
      </c>
      <c r="W188" s="3"/>
      <c r="X188" s="3"/>
      <c r="Y188" s="3"/>
      <c r="Z188" s="3"/>
    </row>
    <row r="189" spans="1:26" ht="15" thickBot="1" x14ac:dyDescent="0.4">
      <c r="A189" s="9" t="s">
        <v>312</v>
      </c>
      <c r="B189" s="9" t="s">
        <v>124</v>
      </c>
      <c r="C189" s="9" t="s">
        <v>68</v>
      </c>
      <c r="D189" s="10">
        <v>45832</v>
      </c>
      <c r="E189" s="10">
        <v>45836</v>
      </c>
      <c r="F189" s="9" t="s">
        <v>126</v>
      </c>
      <c r="G189" s="9" t="s">
        <v>58</v>
      </c>
      <c r="H189" s="10">
        <v>27634</v>
      </c>
      <c r="I189" s="9" t="s">
        <v>27</v>
      </c>
      <c r="J189" s="9" t="s">
        <v>28</v>
      </c>
      <c r="K189" s="9" t="s">
        <v>29</v>
      </c>
      <c r="L189" s="9" t="s">
        <v>70</v>
      </c>
      <c r="M189" s="11">
        <v>18</v>
      </c>
      <c r="N189" s="11">
        <v>3500</v>
      </c>
      <c r="O189" s="11">
        <v>5</v>
      </c>
      <c r="P189" s="11">
        <v>59850</v>
      </c>
      <c r="Q189" s="11">
        <v>1</v>
      </c>
      <c r="R189" s="9" t="s">
        <v>60</v>
      </c>
      <c r="S189" s="9" t="s">
        <v>42</v>
      </c>
      <c r="T189" s="9" t="s">
        <v>128</v>
      </c>
      <c r="U189" s="9">
        <v>9456029544</v>
      </c>
      <c r="V189" s="9" t="s">
        <v>53</v>
      </c>
      <c r="W189" s="3"/>
      <c r="X189" s="3"/>
      <c r="Y189" s="3"/>
      <c r="Z189" s="3"/>
    </row>
    <row r="190" spans="1:26" ht="15" thickBot="1" x14ac:dyDescent="0.4">
      <c r="A190" s="4" t="s">
        <v>313</v>
      </c>
      <c r="B190" s="4" t="s">
        <v>156</v>
      </c>
      <c r="C190" s="4" t="s">
        <v>36</v>
      </c>
      <c r="D190" s="5">
        <v>46154</v>
      </c>
      <c r="E190" s="5">
        <v>46164</v>
      </c>
      <c r="F190" s="4" t="s">
        <v>106</v>
      </c>
      <c r="G190" s="4" t="s">
        <v>58</v>
      </c>
      <c r="H190" s="5">
        <v>32116</v>
      </c>
      <c r="I190" s="4" t="s">
        <v>79</v>
      </c>
      <c r="J190" s="4" t="s">
        <v>75</v>
      </c>
      <c r="K190" s="4" t="s">
        <v>39</v>
      </c>
      <c r="L190" s="4" t="s">
        <v>40</v>
      </c>
      <c r="M190" s="6">
        <v>6</v>
      </c>
      <c r="N190" s="6">
        <v>12000</v>
      </c>
      <c r="O190" s="6">
        <v>5</v>
      </c>
      <c r="P190" s="6">
        <v>68400</v>
      </c>
      <c r="Q190" s="6">
        <v>1</v>
      </c>
      <c r="R190" s="4" t="s">
        <v>41</v>
      </c>
      <c r="S190" s="4" t="s">
        <v>42</v>
      </c>
      <c r="T190" s="4" t="s">
        <v>158</v>
      </c>
      <c r="U190" s="4">
        <v>9914571493</v>
      </c>
      <c r="V190" s="4" t="s">
        <v>53</v>
      </c>
      <c r="W190" s="3"/>
      <c r="X190" s="3"/>
      <c r="Y190" s="3"/>
      <c r="Z190" s="3"/>
    </row>
    <row r="191" spans="1:26" ht="15" thickBot="1" x14ac:dyDescent="0.4">
      <c r="A191" s="9" t="s">
        <v>314</v>
      </c>
      <c r="B191" s="9" t="s">
        <v>156</v>
      </c>
      <c r="C191" s="9" t="s">
        <v>125</v>
      </c>
      <c r="D191" s="10">
        <v>46067</v>
      </c>
      <c r="E191" s="10">
        <v>46069</v>
      </c>
      <c r="F191" s="9" t="s">
        <v>106</v>
      </c>
      <c r="G191" s="9" t="s">
        <v>58</v>
      </c>
      <c r="H191" s="10">
        <v>38225</v>
      </c>
      <c r="I191" s="9" t="s">
        <v>48</v>
      </c>
      <c r="J191" s="9" t="s">
        <v>28</v>
      </c>
      <c r="K191" s="9" t="s">
        <v>83</v>
      </c>
      <c r="L191" s="9" t="s">
        <v>127</v>
      </c>
      <c r="M191" s="11">
        <v>19</v>
      </c>
      <c r="N191" s="11">
        <v>20</v>
      </c>
      <c r="O191" s="11">
        <v>10</v>
      </c>
      <c r="P191" s="11">
        <v>342</v>
      </c>
      <c r="Q191" s="11">
        <v>2</v>
      </c>
      <c r="R191" s="9" t="s">
        <v>41</v>
      </c>
      <c r="S191" s="9" t="s">
        <v>32</v>
      </c>
      <c r="T191" s="9" t="s">
        <v>158</v>
      </c>
      <c r="U191" s="9">
        <v>9270726986</v>
      </c>
      <c r="V191" s="9" t="s">
        <v>52</v>
      </c>
      <c r="W191" s="3"/>
      <c r="X191" s="3"/>
      <c r="Y191" s="3"/>
      <c r="Z191" s="3"/>
    </row>
    <row r="192" spans="1:26" ht="15" thickBot="1" x14ac:dyDescent="0.4">
      <c r="A192" s="4" t="s">
        <v>315</v>
      </c>
      <c r="B192" s="4" t="s">
        <v>124</v>
      </c>
      <c r="C192" s="4" t="s">
        <v>24</v>
      </c>
      <c r="D192" s="5">
        <v>46155</v>
      </c>
      <c r="E192" s="5">
        <v>46162</v>
      </c>
      <c r="F192" s="4" t="s">
        <v>126</v>
      </c>
      <c r="G192" s="4" t="s">
        <v>58</v>
      </c>
      <c r="H192" s="5">
        <v>34350</v>
      </c>
      <c r="I192" s="4" t="s">
        <v>79</v>
      </c>
      <c r="J192" s="4" t="s">
        <v>75</v>
      </c>
      <c r="K192" s="4" t="s">
        <v>29</v>
      </c>
      <c r="L192" s="4" t="s">
        <v>30</v>
      </c>
      <c r="M192" s="6">
        <v>7</v>
      </c>
      <c r="N192" s="6">
        <v>2200</v>
      </c>
      <c r="O192" s="6">
        <v>0</v>
      </c>
      <c r="P192" s="6">
        <v>15400</v>
      </c>
      <c r="Q192" s="6">
        <v>1</v>
      </c>
      <c r="R192" s="4" t="s">
        <v>60</v>
      </c>
      <c r="S192" s="4" t="s">
        <v>80</v>
      </c>
      <c r="T192" s="4" t="s">
        <v>128</v>
      </c>
      <c r="U192" s="4">
        <v>9570080664</v>
      </c>
      <c r="V192" s="4" t="s">
        <v>53</v>
      </c>
      <c r="W192" s="3"/>
      <c r="X192" s="3"/>
      <c r="Y192" s="3"/>
      <c r="Z192" s="3"/>
    </row>
    <row r="193" spans="1:26" ht="15" thickBot="1" x14ac:dyDescent="0.4">
      <c r="A193" s="9" t="s">
        <v>316</v>
      </c>
      <c r="B193" s="9" t="s">
        <v>156</v>
      </c>
      <c r="C193" s="9" t="s">
        <v>36</v>
      </c>
      <c r="D193" s="10">
        <v>45977</v>
      </c>
      <c r="E193" s="10">
        <v>45981</v>
      </c>
      <c r="F193" s="9" t="s">
        <v>106</v>
      </c>
      <c r="G193" s="9" t="s">
        <v>58</v>
      </c>
      <c r="H193" s="10">
        <v>37922</v>
      </c>
      <c r="I193" s="9" t="s">
        <v>121</v>
      </c>
      <c r="J193" s="9" t="s">
        <v>38</v>
      </c>
      <c r="K193" s="9" t="s">
        <v>39</v>
      </c>
      <c r="L193" s="9" t="s">
        <v>40</v>
      </c>
      <c r="M193" s="11">
        <v>3</v>
      </c>
      <c r="N193" s="11">
        <v>12000</v>
      </c>
      <c r="O193" s="11">
        <v>5</v>
      </c>
      <c r="P193" s="11">
        <v>34200</v>
      </c>
      <c r="Q193" s="11">
        <v>3</v>
      </c>
      <c r="R193" s="9" t="s">
        <v>60</v>
      </c>
      <c r="S193" s="9" t="s">
        <v>50</v>
      </c>
      <c r="T193" s="9" t="s">
        <v>158</v>
      </c>
      <c r="U193" s="9">
        <v>9109009524</v>
      </c>
      <c r="V193" s="9" t="s">
        <v>53</v>
      </c>
      <c r="W193" s="3"/>
      <c r="X193" s="3"/>
      <c r="Y193" s="3"/>
      <c r="Z193" s="3"/>
    </row>
    <row r="194" spans="1:26" ht="15" thickBot="1" x14ac:dyDescent="0.4">
      <c r="A194" s="4" t="s">
        <v>317</v>
      </c>
      <c r="B194" s="4" t="s">
        <v>104</v>
      </c>
      <c r="C194" s="4" t="s">
        <v>24</v>
      </c>
      <c r="D194" s="5">
        <v>45953</v>
      </c>
      <c r="E194" s="5">
        <v>45965</v>
      </c>
      <c r="F194" s="4" t="s">
        <v>166</v>
      </c>
      <c r="G194" s="4" t="s">
        <v>26</v>
      </c>
      <c r="H194" s="5">
        <v>36662</v>
      </c>
      <c r="I194" s="4" t="s">
        <v>121</v>
      </c>
      <c r="J194" s="4" t="s">
        <v>38</v>
      </c>
      <c r="K194" s="4" t="s">
        <v>29</v>
      </c>
      <c r="L194" s="4" t="s">
        <v>30</v>
      </c>
      <c r="M194" s="6">
        <v>16</v>
      </c>
      <c r="N194" s="6">
        <v>2200</v>
      </c>
      <c r="O194" s="6">
        <v>0</v>
      </c>
      <c r="P194" s="6">
        <v>35200</v>
      </c>
      <c r="Q194" s="6">
        <v>5</v>
      </c>
      <c r="R194" s="4" t="s">
        <v>60</v>
      </c>
      <c r="S194" s="4" t="s">
        <v>32</v>
      </c>
      <c r="T194" s="4" t="s">
        <v>108</v>
      </c>
      <c r="U194" s="4">
        <v>9701276770</v>
      </c>
      <c r="V194" s="4" t="s">
        <v>52</v>
      </c>
      <c r="W194" s="3"/>
      <c r="X194" s="3"/>
      <c r="Y194" s="3"/>
      <c r="Z194" s="3"/>
    </row>
    <row r="195" spans="1:26" ht="15" thickBot="1" x14ac:dyDescent="0.4">
      <c r="A195" s="9" t="s">
        <v>318</v>
      </c>
      <c r="B195" s="9" t="s">
        <v>134</v>
      </c>
      <c r="C195" s="9" t="s">
        <v>24</v>
      </c>
      <c r="D195" s="10">
        <v>45704</v>
      </c>
      <c r="E195" s="10">
        <v>45706</v>
      </c>
      <c r="F195" s="9" t="s">
        <v>135</v>
      </c>
      <c r="G195" s="9" t="s">
        <v>26</v>
      </c>
      <c r="H195" s="10">
        <v>32693</v>
      </c>
      <c r="I195" s="9" t="s">
        <v>37</v>
      </c>
      <c r="J195" s="9" t="s">
        <v>38</v>
      </c>
      <c r="K195" s="9" t="s">
        <v>29</v>
      </c>
      <c r="L195" s="9" t="s">
        <v>30</v>
      </c>
      <c r="M195" s="11">
        <v>8</v>
      </c>
      <c r="N195" s="11">
        <v>2200</v>
      </c>
      <c r="O195" s="11">
        <v>5</v>
      </c>
      <c r="P195" s="11">
        <v>16720</v>
      </c>
      <c r="Q195" s="11">
        <v>2</v>
      </c>
      <c r="R195" s="9" t="s">
        <v>65</v>
      </c>
      <c r="S195" s="9" t="s">
        <v>96</v>
      </c>
      <c r="T195" s="9" t="s">
        <v>136</v>
      </c>
      <c r="U195" s="9">
        <v>9298278507</v>
      </c>
      <c r="V195" s="12" t="s">
        <v>34</v>
      </c>
      <c r="W195" s="3"/>
      <c r="X195" s="3"/>
      <c r="Y195" s="3"/>
      <c r="Z195" s="3"/>
    </row>
    <row r="196" spans="1:26" ht="15" thickBot="1" x14ac:dyDescent="0.4">
      <c r="A196" s="4" t="s">
        <v>319</v>
      </c>
      <c r="B196" s="4" t="s">
        <v>134</v>
      </c>
      <c r="C196" s="4" t="s">
        <v>24</v>
      </c>
      <c r="D196" s="5">
        <v>46002</v>
      </c>
      <c r="E196" s="5">
        <v>46005</v>
      </c>
      <c r="F196" s="4" t="s">
        <v>135</v>
      </c>
      <c r="G196" s="4" t="s">
        <v>26</v>
      </c>
      <c r="H196" s="5">
        <v>35863</v>
      </c>
      <c r="I196" s="4" t="s">
        <v>91</v>
      </c>
      <c r="J196" s="4" t="s">
        <v>75</v>
      </c>
      <c r="K196" s="4" t="s">
        <v>29</v>
      </c>
      <c r="L196" s="4" t="s">
        <v>30</v>
      </c>
      <c r="M196" s="6">
        <v>10</v>
      </c>
      <c r="N196" s="6">
        <v>2200</v>
      </c>
      <c r="O196" s="6">
        <v>10</v>
      </c>
      <c r="P196" s="6">
        <v>19800</v>
      </c>
      <c r="Q196" s="6">
        <v>5</v>
      </c>
      <c r="R196" s="4" t="s">
        <v>41</v>
      </c>
      <c r="S196" s="4" t="s">
        <v>80</v>
      </c>
      <c r="T196" s="4" t="s">
        <v>136</v>
      </c>
      <c r="U196" s="4">
        <v>9895908093</v>
      </c>
      <c r="V196" s="4" t="s">
        <v>52</v>
      </c>
      <c r="W196" s="3"/>
      <c r="X196" s="3"/>
      <c r="Y196" s="3"/>
      <c r="Z196" s="3"/>
    </row>
    <row r="197" spans="1:26" ht="15" thickBot="1" x14ac:dyDescent="0.4">
      <c r="A197" s="9" t="s">
        <v>320</v>
      </c>
      <c r="B197" s="9" t="s">
        <v>63</v>
      </c>
      <c r="C197" s="9" t="s">
        <v>125</v>
      </c>
      <c r="D197" s="10">
        <v>45775</v>
      </c>
      <c r="E197" s="10">
        <v>45786</v>
      </c>
      <c r="F197" s="9" t="s">
        <v>110</v>
      </c>
      <c r="G197" s="9" t="s">
        <v>58</v>
      </c>
      <c r="H197" s="10">
        <v>32284</v>
      </c>
      <c r="I197" s="9" t="s">
        <v>37</v>
      </c>
      <c r="J197" s="9" t="s">
        <v>38</v>
      </c>
      <c r="K197" s="9" t="s">
        <v>83</v>
      </c>
      <c r="L197" s="9" t="s">
        <v>127</v>
      </c>
      <c r="M197" s="11">
        <v>7</v>
      </c>
      <c r="N197" s="11">
        <v>20</v>
      </c>
      <c r="O197" s="11">
        <v>10</v>
      </c>
      <c r="P197" s="11">
        <v>126</v>
      </c>
      <c r="Q197" s="11">
        <v>4</v>
      </c>
      <c r="R197" s="9" t="s">
        <v>60</v>
      </c>
      <c r="S197" s="9" t="s">
        <v>50</v>
      </c>
      <c r="T197" s="9" t="s">
        <v>66</v>
      </c>
      <c r="U197" s="9">
        <v>9734108795</v>
      </c>
      <c r="V197" s="12" t="s">
        <v>34</v>
      </c>
      <c r="W197" s="3"/>
      <c r="X197" s="3"/>
      <c r="Y197" s="3"/>
      <c r="Z197" s="3"/>
    </row>
    <row r="198" spans="1:26" ht="15" thickBot="1" x14ac:dyDescent="0.4">
      <c r="A198" s="4" t="s">
        <v>321</v>
      </c>
      <c r="B198" s="4" t="s">
        <v>124</v>
      </c>
      <c r="C198" s="4" t="s">
        <v>105</v>
      </c>
      <c r="D198" s="5">
        <v>46033</v>
      </c>
      <c r="E198" s="5">
        <v>46036</v>
      </c>
      <c r="F198" s="4" t="s">
        <v>126</v>
      </c>
      <c r="G198" s="4" t="s">
        <v>58</v>
      </c>
      <c r="H198" s="5">
        <v>34533</v>
      </c>
      <c r="I198" s="4" t="s">
        <v>27</v>
      </c>
      <c r="J198" s="4" t="s">
        <v>28</v>
      </c>
      <c r="K198" s="4" t="s">
        <v>29</v>
      </c>
      <c r="L198" s="4" t="s">
        <v>107</v>
      </c>
      <c r="M198" s="6">
        <v>19</v>
      </c>
      <c r="N198" s="6">
        <v>8500</v>
      </c>
      <c r="O198" s="6">
        <v>20</v>
      </c>
      <c r="P198" s="6">
        <v>129200</v>
      </c>
      <c r="Q198" s="6">
        <v>3</v>
      </c>
      <c r="R198" s="4" t="s">
        <v>41</v>
      </c>
      <c r="S198" s="4" t="s">
        <v>50</v>
      </c>
      <c r="T198" s="4" t="s">
        <v>128</v>
      </c>
      <c r="U198" s="4">
        <v>9799597413</v>
      </c>
      <c r="V198" s="4" t="s">
        <v>52</v>
      </c>
      <c r="W198" s="3"/>
      <c r="X198" s="3"/>
      <c r="Y198" s="3"/>
      <c r="Z198" s="3"/>
    </row>
    <row r="199" spans="1:26" ht="15" thickBot="1" x14ac:dyDescent="0.4">
      <c r="A199" s="9" t="s">
        <v>322</v>
      </c>
      <c r="B199" s="9" t="s">
        <v>72</v>
      </c>
      <c r="C199" s="9" t="s">
        <v>82</v>
      </c>
      <c r="D199" s="10">
        <v>45717</v>
      </c>
      <c r="E199" s="10">
        <v>45722</v>
      </c>
      <c r="F199" s="9" t="s">
        <v>73</v>
      </c>
      <c r="G199" s="9" t="s">
        <v>26</v>
      </c>
      <c r="H199" s="10">
        <v>28444</v>
      </c>
      <c r="I199" s="9" t="s">
        <v>79</v>
      </c>
      <c r="J199" s="9" t="s">
        <v>75</v>
      </c>
      <c r="K199" s="9" t="s">
        <v>83</v>
      </c>
      <c r="L199" s="9" t="s">
        <v>84</v>
      </c>
      <c r="M199" s="11">
        <v>16</v>
      </c>
      <c r="N199" s="11">
        <v>60</v>
      </c>
      <c r="O199" s="11">
        <v>0</v>
      </c>
      <c r="P199" s="11">
        <v>960</v>
      </c>
      <c r="Q199" s="11">
        <v>2</v>
      </c>
      <c r="R199" s="9" t="s">
        <v>41</v>
      </c>
      <c r="S199" s="9" t="s">
        <v>80</v>
      </c>
      <c r="T199" s="9" t="s">
        <v>93</v>
      </c>
      <c r="U199" s="9">
        <v>9688987266</v>
      </c>
      <c r="V199" s="12" t="s">
        <v>34</v>
      </c>
      <c r="W199" s="3"/>
      <c r="X199" s="3"/>
      <c r="Y199" s="3"/>
      <c r="Z199" s="3"/>
    </row>
    <row r="200" spans="1:26" ht="15" thickBot="1" x14ac:dyDescent="0.4">
      <c r="A200" s="4" t="s">
        <v>323</v>
      </c>
      <c r="B200" s="4" t="s">
        <v>124</v>
      </c>
      <c r="C200" s="4" t="s">
        <v>68</v>
      </c>
      <c r="D200" s="5">
        <v>46127</v>
      </c>
      <c r="E200" s="5">
        <v>46139</v>
      </c>
      <c r="F200" s="4" t="s">
        <v>126</v>
      </c>
      <c r="G200" s="4" t="s">
        <v>58</v>
      </c>
      <c r="H200" s="5">
        <v>30216</v>
      </c>
      <c r="I200" s="4" t="s">
        <v>48</v>
      </c>
      <c r="J200" s="4" t="s">
        <v>28</v>
      </c>
      <c r="K200" s="4" t="s">
        <v>324</v>
      </c>
      <c r="L200" s="4" t="s">
        <v>70</v>
      </c>
      <c r="M200" s="6">
        <v>18</v>
      </c>
      <c r="N200" s="6">
        <v>3500</v>
      </c>
      <c r="O200" s="6">
        <v>5</v>
      </c>
      <c r="P200" s="6">
        <v>59850</v>
      </c>
      <c r="Q200" s="6">
        <v>1</v>
      </c>
      <c r="R200" s="4" t="s">
        <v>65</v>
      </c>
      <c r="S200" s="4" t="s">
        <v>80</v>
      </c>
      <c r="T200" s="4" t="s">
        <v>128</v>
      </c>
      <c r="U200" s="4">
        <v>9867169037</v>
      </c>
      <c r="V200" s="4" t="s">
        <v>52</v>
      </c>
      <c r="W200" s="3"/>
      <c r="X200" s="3"/>
      <c r="Y200" s="3"/>
      <c r="Z200" s="3"/>
    </row>
    <row r="201" spans="1:26" ht="15" thickBot="1" x14ac:dyDescent="0.4">
      <c r="A201" s="9" t="s">
        <v>325</v>
      </c>
      <c r="B201" s="9" t="s">
        <v>72</v>
      </c>
      <c r="C201" s="9" t="s">
        <v>46</v>
      </c>
      <c r="D201" s="10">
        <v>45708</v>
      </c>
      <c r="E201" s="10">
        <v>45717</v>
      </c>
      <c r="F201" s="9" t="s">
        <v>73</v>
      </c>
      <c r="G201" s="9" t="s">
        <v>26</v>
      </c>
      <c r="H201" s="10">
        <v>34591</v>
      </c>
      <c r="I201" s="9" t="s">
        <v>121</v>
      </c>
      <c r="J201" s="9" t="s">
        <v>38</v>
      </c>
      <c r="K201" s="9" t="s">
        <v>39</v>
      </c>
      <c r="L201" s="9" t="s">
        <v>49</v>
      </c>
      <c r="M201" s="11">
        <v>16</v>
      </c>
      <c r="N201" s="11">
        <v>55000</v>
      </c>
      <c r="O201" s="11">
        <v>0</v>
      </c>
      <c r="P201" s="11">
        <v>880000</v>
      </c>
      <c r="Q201" s="11">
        <v>1</v>
      </c>
      <c r="R201" s="9" t="s">
        <v>60</v>
      </c>
      <c r="S201" s="9" t="s">
        <v>50</v>
      </c>
      <c r="T201" s="9" t="s">
        <v>93</v>
      </c>
      <c r="U201" s="9">
        <v>9485547425</v>
      </c>
      <c r="V201" s="9" t="s">
        <v>53</v>
      </c>
      <c r="W201" s="3"/>
      <c r="X201" s="3"/>
      <c r="Y201" s="3"/>
      <c r="Z201" s="3"/>
    </row>
    <row r="202" spans="1:26" ht="15" thickBot="1" x14ac:dyDescent="0.4">
      <c r="A202" s="4" t="s">
        <v>326</v>
      </c>
      <c r="B202" s="4" t="s">
        <v>124</v>
      </c>
      <c r="C202" s="4" t="s">
        <v>56</v>
      </c>
      <c r="D202" s="5">
        <v>45694</v>
      </c>
      <c r="E202" s="5">
        <v>45697</v>
      </c>
      <c r="F202" s="4" t="s">
        <v>126</v>
      </c>
      <c r="G202" s="4" t="s">
        <v>58</v>
      </c>
      <c r="H202" s="5">
        <v>35035</v>
      </c>
      <c r="I202" s="4" t="s">
        <v>91</v>
      </c>
      <c r="J202" s="4" t="s">
        <v>75</v>
      </c>
      <c r="K202" s="4" t="s">
        <v>39</v>
      </c>
      <c r="L202" s="4" t="s">
        <v>59</v>
      </c>
      <c r="M202" s="6">
        <v>18</v>
      </c>
      <c r="N202" s="6">
        <v>1200</v>
      </c>
      <c r="O202" s="6">
        <v>15</v>
      </c>
      <c r="P202" s="6">
        <v>18360</v>
      </c>
      <c r="Q202" s="6">
        <v>2</v>
      </c>
      <c r="R202" s="4" t="s">
        <v>41</v>
      </c>
      <c r="S202" s="4" t="s">
        <v>32</v>
      </c>
      <c r="T202" s="4" t="s">
        <v>128</v>
      </c>
      <c r="U202" s="4">
        <v>9889733076</v>
      </c>
      <c r="V202" s="4" t="s">
        <v>53</v>
      </c>
      <c r="W202" s="3"/>
      <c r="X202" s="3"/>
      <c r="Y202" s="3"/>
      <c r="Z202" s="3"/>
    </row>
    <row r="203" spans="1:26" ht="15" thickBot="1" x14ac:dyDescent="0.4">
      <c r="A203" s="9" t="s">
        <v>327</v>
      </c>
      <c r="B203" s="9" t="s">
        <v>55</v>
      </c>
      <c r="C203" s="9" t="s">
        <v>138</v>
      </c>
      <c r="D203" s="10">
        <v>45801</v>
      </c>
      <c r="E203" s="10">
        <v>45804</v>
      </c>
      <c r="F203" s="9" t="s">
        <v>57</v>
      </c>
      <c r="G203" s="9" t="s">
        <v>58</v>
      </c>
      <c r="H203" s="10">
        <v>31238</v>
      </c>
      <c r="I203" s="9" t="s">
        <v>27</v>
      </c>
      <c r="J203" s="9" t="s">
        <v>28</v>
      </c>
      <c r="K203" s="9" t="s">
        <v>83</v>
      </c>
      <c r="L203" s="9" t="s">
        <v>139</v>
      </c>
      <c r="M203" s="11">
        <v>2</v>
      </c>
      <c r="N203" s="11">
        <v>45</v>
      </c>
      <c r="O203" s="11">
        <v>15</v>
      </c>
      <c r="P203" s="11">
        <v>76.5</v>
      </c>
      <c r="Q203" s="11">
        <v>5</v>
      </c>
      <c r="R203" s="9" t="s">
        <v>31</v>
      </c>
      <c r="S203" s="9" t="s">
        <v>50</v>
      </c>
      <c r="T203" s="9" t="s">
        <v>61</v>
      </c>
      <c r="U203" s="9">
        <v>9145434449</v>
      </c>
      <c r="V203" s="9" t="s">
        <v>53</v>
      </c>
      <c r="W203" s="3"/>
      <c r="X203" s="3"/>
      <c r="Y203" s="3"/>
      <c r="Z203" s="3"/>
    </row>
    <row r="204" spans="1:26" ht="15" thickBot="1" x14ac:dyDescent="0.4">
      <c r="A204" s="4" t="s">
        <v>328</v>
      </c>
      <c r="B204" s="4" t="s">
        <v>45</v>
      </c>
      <c r="C204" s="4" t="s">
        <v>105</v>
      </c>
      <c r="D204" s="5">
        <v>46028</v>
      </c>
      <c r="E204" s="5">
        <v>46034</v>
      </c>
      <c r="F204" s="4" t="s">
        <v>101</v>
      </c>
      <c r="G204" s="4" t="s">
        <v>26</v>
      </c>
      <c r="H204" s="5">
        <v>36975</v>
      </c>
      <c r="I204" s="4" t="s">
        <v>48</v>
      </c>
      <c r="J204" s="4" t="s">
        <v>28</v>
      </c>
      <c r="K204" s="4" t="s">
        <v>29</v>
      </c>
      <c r="L204" s="4" t="s">
        <v>107</v>
      </c>
      <c r="M204" s="6">
        <v>20</v>
      </c>
      <c r="N204" s="6">
        <v>8500</v>
      </c>
      <c r="O204" s="6">
        <v>0</v>
      </c>
      <c r="P204" s="6">
        <v>170000</v>
      </c>
      <c r="Q204" s="6">
        <v>4</v>
      </c>
      <c r="R204" s="4" t="s">
        <v>41</v>
      </c>
      <c r="S204" s="4" t="s">
        <v>50</v>
      </c>
      <c r="T204" s="4" t="s">
        <v>51</v>
      </c>
      <c r="U204" s="4">
        <v>9598942148</v>
      </c>
      <c r="V204" s="4" t="s">
        <v>53</v>
      </c>
      <c r="W204" s="3"/>
      <c r="X204" s="3"/>
      <c r="Y204" s="3"/>
      <c r="Z204" s="3"/>
    </row>
    <row r="205" spans="1:26" ht="15" thickBot="1" x14ac:dyDescent="0.4">
      <c r="A205" s="9" t="s">
        <v>329</v>
      </c>
      <c r="B205" s="9" t="s">
        <v>87</v>
      </c>
      <c r="C205" s="9" t="s">
        <v>68</v>
      </c>
      <c r="D205" s="10">
        <v>46089</v>
      </c>
      <c r="E205" s="10">
        <v>46090</v>
      </c>
      <c r="F205" s="9" t="s">
        <v>88</v>
      </c>
      <c r="G205" s="9" t="s">
        <v>58</v>
      </c>
      <c r="H205" s="10">
        <v>29703</v>
      </c>
      <c r="I205" s="9" t="s">
        <v>121</v>
      </c>
      <c r="J205" s="9" t="s">
        <v>38</v>
      </c>
      <c r="K205" s="9" t="s">
        <v>29</v>
      </c>
      <c r="L205" s="9" t="s">
        <v>70</v>
      </c>
      <c r="M205" s="11">
        <v>6</v>
      </c>
      <c r="N205" s="11">
        <v>3500</v>
      </c>
      <c r="O205" s="11">
        <v>5</v>
      </c>
      <c r="P205" s="11">
        <v>19950</v>
      </c>
      <c r="Q205" s="11">
        <v>1</v>
      </c>
      <c r="R205" s="9" t="s">
        <v>31</v>
      </c>
      <c r="S205" s="9" t="s">
        <v>96</v>
      </c>
      <c r="T205" s="9" t="s">
        <v>89</v>
      </c>
      <c r="U205" s="9">
        <v>9599252705</v>
      </c>
      <c r="V205" s="12" t="s">
        <v>34</v>
      </c>
      <c r="W205" s="3"/>
      <c r="X205" s="3"/>
      <c r="Y205" s="3"/>
      <c r="Z205" s="3"/>
    </row>
    <row r="206" spans="1:26" ht="15" thickBot="1" x14ac:dyDescent="0.4">
      <c r="A206" s="4" t="s">
        <v>330</v>
      </c>
      <c r="B206" s="4" t="s">
        <v>104</v>
      </c>
      <c r="C206" s="4" t="s">
        <v>138</v>
      </c>
      <c r="D206" s="5">
        <v>45935</v>
      </c>
      <c r="E206" s="5">
        <v>45939</v>
      </c>
      <c r="F206" s="4" t="s">
        <v>166</v>
      </c>
      <c r="G206" s="4" t="s">
        <v>26</v>
      </c>
      <c r="H206" s="5">
        <v>37635</v>
      </c>
      <c r="I206" s="4" t="s">
        <v>79</v>
      </c>
      <c r="J206" s="4" t="s">
        <v>75</v>
      </c>
      <c r="K206" s="4" t="s">
        <v>83</v>
      </c>
      <c r="L206" s="4" t="s">
        <v>139</v>
      </c>
      <c r="M206" s="6">
        <v>8</v>
      </c>
      <c r="N206" s="6">
        <v>45</v>
      </c>
      <c r="O206" s="6">
        <v>5</v>
      </c>
      <c r="P206" s="6">
        <v>342</v>
      </c>
      <c r="Q206" s="6">
        <v>2</v>
      </c>
      <c r="R206" s="4" t="s">
        <v>31</v>
      </c>
      <c r="S206" s="4" t="s">
        <v>42</v>
      </c>
      <c r="T206" s="4" t="s">
        <v>108</v>
      </c>
      <c r="U206" s="4">
        <v>9626843681</v>
      </c>
      <c r="V206" s="4" t="s">
        <v>52</v>
      </c>
      <c r="W206" s="3"/>
      <c r="X206" s="3"/>
      <c r="Y206" s="3"/>
      <c r="Z206" s="3"/>
    </row>
    <row r="207" spans="1:26" ht="15" thickBot="1" x14ac:dyDescent="0.4">
      <c r="A207" s="9" t="s">
        <v>331</v>
      </c>
      <c r="B207" s="9" t="s">
        <v>156</v>
      </c>
      <c r="C207" s="9" t="s">
        <v>24</v>
      </c>
      <c r="D207" s="10">
        <v>45722</v>
      </c>
      <c r="E207" s="10">
        <v>45728</v>
      </c>
      <c r="F207" s="9" t="s">
        <v>106</v>
      </c>
      <c r="G207" s="9" t="s">
        <v>58</v>
      </c>
      <c r="H207" s="10">
        <v>29496</v>
      </c>
      <c r="I207" s="9" t="s">
        <v>74</v>
      </c>
      <c r="J207" s="9" t="s">
        <v>75</v>
      </c>
      <c r="K207" s="9" t="s">
        <v>29</v>
      </c>
      <c r="L207" s="9" t="s">
        <v>30</v>
      </c>
      <c r="M207" s="11">
        <v>18</v>
      </c>
      <c r="N207" s="11">
        <v>2200</v>
      </c>
      <c r="O207" s="11">
        <v>15</v>
      </c>
      <c r="P207" s="11">
        <v>33660</v>
      </c>
      <c r="Q207" s="11">
        <v>4</v>
      </c>
      <c r="R207" s="9" t="s">
        <v>60</v>
      </c>
      <c r="S207" s="9" t="s">
        <v>50</v>
      </c>
      <c r="T207" s="9" t="s">
        <v>158</v>
      </c>
      <c r="U207" s="9">
        <v>9934933215</v>
      </c>
      <c r="V207" s="9" t="s">
        <v>52</v>
      </c>
      <c r="W207" s="3"/>
      <c r="X207" s="3"/>
      <c r="Y207" s="3"/>
      <c r="Z207" s="3"/>
    </row>
    <row r="208" spans="1:26" ht="15" thickBot="1" x14ac:dyDescent="0.4">
      <c r="A208" s="4" t="s">
        <v>332</v>
      </c>
      <c r="B208" s="4" t="s">
        <v>124</v>
      </c>
      <c r="C208" s="4" t="s">
        <v>112</v>
      </c>
      <c r="D208" s="5">
        <v>46118</v>
      </c>
      <c r="E208" s="5">
        <v>46127</v>
      </c>
      <c r="F208" s="4" t="s">
        <v>126</v>
      </c>
      <c r="G208" s="4" t="s">
        <v>58</v>
      </c>
      <c r="H208" s="5">
        <v>33170</v>
      </c>
      <c r="I208" s="4" t="s">
        <v>27</v>
      </c>
      <c r="J208" s="4" t="s">
        <v>28</v>
      </c>
      <c r="K208" s="4" t="s">
        <v>39</v>
      </c>
      <c r="L208" s="4" t="s">
        <v>114</v>
      </c>
      <c r="M208" s="6">
        <v>18</v>
      </c>
      <c r="N208" s="6">
        <v>700</v>
      </c>
      <c r="O208" s="6">
        <v>15</v>
      </c>
      <c r="P208" s="6">
        <v>10710</v>
      </c>
      <c r="Q208" s="6">
        <v>3</v>
      </c>
      <c r="R208" s="4" t="s">
        <v>60</v>
      </c>
      <c r="S208" s="4" t="s">
        <v>96</v>
      </c>
      <c r="T208" s="4" t="s">
        <v>128</v>
      </c>
      <c r="U208" s="4">
        <v>9508025585</v>
      </c>
      <c r="V208" s="4" t="s">
        <v>53</v>
      </c>
      <c r="W208" s="3"/>
      <c r="X208" s="3"/>
      <c r="Y208" s="3"/>
      <c r="Z208" s="3"/>
    </row>
    <row r="209" spans="1:26" ht="15" thickBot="1" x14ac:dyDescent="0.4">
      <c r="A209" s="9" t="s">
        <v>333</v>
      </c>
      <c r="B209" s="9" t="s">
        <v>156</v>
      </c>
      <c r="C209" s="9" t="s">
        <v>46</v>
      </c>
      <c r="D209" s="10">
        <v>46039</v>
      </c>
      <c r="E209" s="10">
        <v>46042</v>
      </c>
      <c r="F209" s="9" t="s">
        <v>106</v>
      </c>
      <c r="G209" s="9" t="s">
        <v>58</v>
      </c>
      <c r="H209" s="10">
        <v>28392</v>
      </c>
      <c r="I209" s="9" t="s">
        <v>79</v>
      </c>
      <c r="J209" s="9" t="s">
        <v>75</v>
      </c>
      <c r="K209" s="9" t="s">
        <v>39</v>
      </c>
      <c r="L209" s="9" t="s">
        <v>49</v>
      </c>
      <c r="M209" s="11">
        <v>12</v>
      </c>
      <c r="N209" s="11">
        <v>55000</v>
      </c>
      <c r="O209" s="11">
        <v>0</v>
      </c>
      <c r="P209" s="11">
        <v>660000</v>
      </c>
      <c r="Q209" s="11">
        <v>2</v>
      </c>
      <c r="R209" s="9" t="s">
        <v>65</v>
      </c>
      <c r="S209" s="9" t="s">
        <v>42</v>
      </c>
      <c r="T209" s="9" t="s">
        <v>158</v>
      </c>
      <c r="U209" s="9">
        <v>9364681052</v>
      </c>
      <c r="V209" s="9" t="s">
        <v>53</v>
      </c>
      <c r="W209" s="3"/>
      <c r="X209" s="3"/>
      <c r="Y209" s="3"/>
      <c r="Z209" s="3"/>
    </row>
    <row r="210" spans="1:26" ht="15" thickBot="1" x14ac:dyDescent="0.4">
      <c r="A210" s="4" t="s">
        <v>334</v>
      </c>
      <c r="B210" s="4" t="s">
        <v>23</v>
      </c>
      <c r="C210" s="4" t="s">
        <v>36</v>
      </c>
      <c r="D210" s="5">
        <v>45976</v>
      </c>
      <c r="E210" s="5">
        <v>45985</v>
      </c>
      <c r="F210" s="4" t="s">
        <v>25</v>
      </c>
      <c r="G210" s="4" t="s">
        <v>26</v>
      </c>
      <c r="H210" s="5">
        <v>35340</v>
      </c>
      <c r="I210" s="4" t="s">
        <v>74</v>
      </c>
      <c r="J210" s="4" t="s">
        <v>75</v>
      </c>
      <c r="K210" s="4" t="s">
        <v>39</v>
      </c>
      <c r="L210" s="4" t="s">
        <v>40</v>
      </c>
      <c r="M210" s="6">
        <v>7</v>
      </c>
      <c r="N210" s="6">
        <v>12000</v>
      </c>
      <c r="O210" s="6">
        <v>5</v>
      </c>
      <c r="P210" s="6">
        <v>79800</v>
      </c>
      <c r="Q210" s="6">
        <v>3</v>
      </c>
      <c r="R210" s="4" t="s">
        <v>60</v>
      </c>
      <c r="S210" s="4" t="s">
        <v>96</v>
      </c>
      <c r="T210" s="4" t="s">
        <v>43</v>
      </c>
      <c r="U210" s="4">
        <v>9117102884</v>
      </c>
      <c r="V210" s="4" t="s">
        <v>52</v>
      </c>
      <c r="W210" s="3"/>
      <c r="X210" s="3"/>
      <c r="Y210" s="3"/>
      <c r="Z210" s="3"/>
    </row>
    <row r="211" spans="1:26" ht="15" thickBot="1" x14ac:dyDescent="0.4">
      <c r="A211" s="9" t="s">
        <v>335</v>
      </c>
      <c r="B211" s="9" t="s">
        <v>134</v>
      </c>
      <c r="C211" s="9" t="s">
        <v>36</v>
      </c>
      <c r="D211" s="10">
        <v>45921</v>
      </c>
      <c r="E211" s="10">
        <v>45923</v>
      </c>
      <c r="F211" s="9" t="s">
        <v>135</v>
      </c>
      <c r="G211" s="9" t="s">
        <v>26</v>
      </c>
      <c r="H211" s="10">
        <v>27897</v>
      </c>
      <c r="I211" s="9" t="s">
        <v>74</v>
      </c>
      <c r="J211" s="9" t="s">
        <v>75</v>
      </c>
      <c r="K211" s="9" t="s">
        <v>39</v>
      </c>
      <c r="L211" s="9" t="s">
        <v>40</v>
      </c>
      <c r="M211" s="11">
        <v>8</v>
      </c>
      <c r="N211" s="11">
        <v>12000</v>
      </c>
      <c r="O211" s="11">
        <v>15</v>
      </c>
      <c r="P211" s="11">
        <v>81600</v>
      </c>
      <c r="Q211" s="11">
        <v>4</v>
      </c>
      <c r="R211" s="9" t="s">
        <v>60</v>
      </c>
      <c r="S211" s="9" t="s">
        <v>42</v>
      </c>
      <c r="T211" s="9" t="s">
        <v>136</v>
      </c>
      <c r="U211" s="9">
        <v>9819453185</v>
      </c>
      <c r="V211" s="12" t="s">
        <v>34</v>
      </c>
      <c r="W211" s="3"/>
      <c r="X211" s="3"/>
      <c r="Y211" s="3"/>
      <c r="Z211" s="3"/>
    </row>
    <row r="212" spans="1:26" ht="15" thickBot="1" x14ac:dyDescent="0.4">
      <c r="A212" s="4" t="s">
        <v>336</v>
      </c>
      <c r="B212" s="4" t="s">
        <v>156</v>
      </c>
      <c r="C212" s="4" t="s">
        <v>68</v>
      </c>
      <c r="D212" s="5">
        <v>46009</v>
      </c>
      <c r="E212" s="5">
        <v>46018</v>
      </c>
      <c r="F212" s="4" t="s">
        <v>106</v>
      </c>
      <c r="G212" s="4" t="s">
        <v>58</v>
      </c>
      <c r="H212" s="5">
        <v>32120</v>
      </c>
      <c r="I212" s="4" t="s">
        <v>74</v>
      </c>
      <c r="J212" s="4" t="s">
        <v>75</v>
      </c>
      <c r="K212" s="4" t="s">
        <v>29</v>
      </c>
      <c r="L212" s="4" t="s">
        <v>70</v>
      </c>
      <c r="M212" s="6">
        <v>19</v>
      </c>
      <c r="N212" s="6">
        <v>3500</v>
      </c>
      <c r="O212" s="6">
        <v>5</v>
      </c>
      <c r="P212" s="6">
        <v>63175</v>
      </c>
      <c r="Q212" s="6">
        <v>3</v>
      </c>
      <c r="R212" s="4" t="s">
        <v>60</v>
      </c>
      <c r="S212" s="4" t="s">
        <v>50</v>
      </c>
      <c r="T212" s="4" t="s">
        <v>158</v>
      </c>
      <c r="U212" s="4">
        <v>9511806701</v>
      </c>
      <c r="V212" s="4" t="s">
        <v>52</v>
      </c>
      <c r="W212" s="3"/>
      <c r="X212" s="3"/>
      <c r="Y212" s="3"/>
      <c r="Z212" s="3"/>
    </row>
    <row r="213" spans="1:26" ht="15" thickBot="1" x14ac:dyDescent="0.4">
      <c r="A213" s="9" t="s">
        <v>337</v>
      </c>
      <c r="B213" s="9" t="s">
        <v>134</v>
      </c>
      <c r="C213" s="9" t="s">
        <v>138</v>
      </c>
      <c r="D213" s="10">
        <v>45694</v>
      </c>
      <c r="E213" s="10">
        <v>45704</v>
      </c>
      <c r="F213" s="9" t="s">
        <v>135</v>
      </c>
      <c r="G213" s="9" t="s">
        <v>26</v>
      </c>
      <c r="H213" s="10">
        <v>33070</v>
      </c>
      <c r="I213" s="9" t="s">
        <v>91</v>
      </c>
      <c r="J213" s="9" t="s">
        <v>75</v>
      </c>
      <c r="K213" s="9" t="s">
        <v>83</v>
      </c>
      <c r="L213" s="9" t="s">
        <v>139</v>
      </c>
      <c r="M213" s="11">
        <v>7</v>
      </c>
      <c r="N213" s="11">
        <v>45</v>
      </c>
      <c r="O213" s="11">
        <v>5</v>
      </c>
      <c r="P213" s="11">
        <v>299.25</v>
      </c>
      <c r="Q213" s="11">
        <v>3</v>
      </c>
      <c r="R213" s="9" t="s">
        <v>60</v>
      </c>
      <c r="S213" s="9" t="s">
        <v>32</v>
      </c>
      <c r="T213" s="9" t="s">
        <v>136</v>
      </c>
      <c r="U213" s="9">
        <v>9875249891</v>
      </c>
      <c r="V213" s="9" t="s">
        <v>53</v>
      </c>
      <c r="W213" s="3"/>
      <c r="X213" s="3"/>
      <c r="Y213" s="3"/>
      <c r="Z213" s="3"/>
    </row>
    <row r="214" spans="1:26" ht="15" thickBot="1" x14ac:dyDescent="0.4">
      <c r="A214" s="4" t="s">
        <v>338</v>
      </c>
      <c r="B214" s="4" t="s">
        <v>23</v>
      </c>
      <c r="C214" s="4" t="s">
        <v>82</v>
      </c>
      <c r="D214" s="5">
        <v>45810</v>
      </c>
      <c r="E214" s="5">
        <v>45816</v>
      </c>
      <c r="F214" s="4" t="s">
        <v>25</v>
      </c>
      <c r="G214" s="4" t="s">
        <v>26</v>
      </c>
      <c r="H214" s="5">
        <v>33459</v>
      </c>
      <c r="I214" s="4" t="s">
        <v>27</v>
      </c>
      <c r="J214" s="4" t="s">
        <v>28</v>
      </c>
      <c r="K214" s="4" t="s">
        <v>83</v>
      </c>
      <c r="L214" s="4" t="s">
        <v>84</v>
      </c>
      <c r="M214" s="6">
        <v>3</v>
      </c>
      <c r="N214" s="6">
        <v>60</v>
      </c>
      <c r="O214" s="6">
        <v>15</v>
      </c>
      <c r="P214" s="6">
        <v>153</v>
      </c>
      <c r="Q214" s="6">
        <v>3</v>
      </c>
      <c r="R214" s="4" t="s">
        <v>41</v>
      </c>
      <c r="S214" s="4" t="s">
        <v>42</v>
      </c>
      <c r="T214" s="4" t="s">
        <v>43</v>
      </c>
      <c r="U214" s="4">
        <v>9438232503</v>
      </c>
      <c r="V214" s="4" t="s">
        <v>53</v>
      </c>
      <c r="W214" s="3"/>
      <c r="X214" s="3"/>
      <c r="Y214" s="3"/>
      <c r="Z214" s="3"/>
    </row>
    <row r="215" spans="1:26" ht="15" thickBot="1" x14ac:dyDescent="0.4">
      <c r="A215" s="9" t="s">
        <v>339</v>
      </c>
      <c r="B215" s="9" t="s">
        <v>45</v>
      </c>
      <c r="C215" s="9" t="s">
        <v>138</v>
      </c>
      <c r="D215" s="10">
        <v>46134</v>
      </c>
      <c r="E215" s="10">
        <v>46146</v>
      </c>
      <c r="F215" s="9" t="s">
        <v>101</v>
      </c>
      <c r="G215" s="9" t="s">
        <v>26</v>
      </c>
      <c r="H215" s="10">
        <v>28485</v>
      </c>
      <c r="I215" s="9" t="s">
        <v>79</v>
      </c>
      <c r="J215" s="9" t="s">
        <v>75</v>
      </c>
      <c r="K215" s="9" t="s">
        <v>83</v>
      </c>
      <c r="L215" s="9" t="s">
        <v>139</v>
      </c>
      <c r="M215" s="11">
        <v>19</v>
      </c>
      <c r="N215" s="11">
        <v>45</v>
      </c>
      <c r="O215" s="11">
        <v>0</v>
      </c>
      <c r="P215" s="11">
        <v>855</v>
      </c>
      <c r="Q215" s="11">
        <v>2</v>
      </c>
      <c r="R215" s="9" t="s">
        <v>31</v>
      </c>
      <c r="S215" s="9" t="s">
        <v>50</v>
      </c>
      <c r="T215" s="9" t="s">
        <v>51</v>
      </c>
      <c r="U215" s="9">
        <v>9449953754</v>
      </c>
      <c r="V215" s="12" t="s">
        <v>34</v>
      </c>
      <c r="W215" s="3"/>
      <c r="X215" s="3"/>
      <c r="Y215" s="3"/>
      <c r="Z215" s="3"/>
    </row>
    <row r="216" spans="1:26" ht="15" thickBot="1" x14ac:dyDescent="0.4">
      <c r="A216" s="4" t="s">
        <v>340</v>
      </c>
      <c r="B216" s="4" t="s">
        <v>72</v>
      </c>
      <c r="C216" s="4" t="s">
        <v>36</v>
      </c>
      <c r="D216" s="5">
        <v>46087</v>
      </c>
      <c r="E216" s="5">
        <v>46097</v>
      </c>
      <c r="F216" s="4" t="s">
        <v>73</v>
      </c>
      <c r="G216" s="4" t="s">
        <v>26</v>
      </c>
      <c r="H216" s="5">
        <v>34854</v>
      </c>
      <c r="I216" s="4" t="s">
        <v>48</v>
      </c>
      <c r="J216" s="4" t="s">
        <v>28</v>
      </c>
      <c r="K216" s="4" t="s">
        <v>39</v>
      </c>
      <c r="L216" s="4" t="s">
        <v>40</v>
      </c>
      <c r="M216" s="6">
        <v>10</v>
      </c>
      <c r="N216" s="6">
        <v>12000</v>
      </c>
      <c r="O216" s="6">
        <v>5</v>
      </c>
      <c r="P216" s="6">
        <v>114000</v>
      </c>
      <c r="Q216" s="6">
        <v>1</v>
      </c>
      <c r="R216" s="4" t="s">
        <v>60</v>
      </c>
      <c r="S216" s="4" t="s">
        <v>80</v>
      </c>
      <c r="T216" s="4" t="s">
        <v>93</v>
      </c>
      <c r="U216" s="4">
        <v>9833801891</v>
      </c>
      <c r="V216" s="4" t="s">
        <v>53</v>
      </c>
      <c r="W216" s="3"/>
      <c r="X216" s="3"/>
      <c r="Y216" s="3"/>
      <c r="Z216" s="3"/>
    </row>
    <row r="217" spans="1:26" ht="15" thickBot="1" x14ac:dyDescent="0.4">
      <c r="A217" s="9" t="s">
        <v>341</v>
      </c>
      <c r="B217" s="9" t="s">
        <v>23</v>
      </c>
      <c r="C217" s="9" t="s">
        <v>56</v>
      </c>
      <c r="D217" s="10">
        <v>45716</v>
      </c>
      <c r="E217" s="10">
        <v>45728</v>
      </c>
      <c r="F217" s="9" t="s">
        <v>25</v>
      </c>
      <c r="G217" s="9" t="s">
        <v>26</v>
      </c>
      <c r="H217" s="10">
        <v>30636</v>
      </c>
      <c r="I217" s="9" t="s">
        <v>147</v>
      </c>
      <c r="J217" s="9" t="s">
        <v>148</v>
      </c>
      <c r="K217" s="9" t="s">
        <v>39</v>
      </c>
      <c r="L217" s="9" t="s">
        <v>59</v>
      </c>
      <c r="M217" s="11">
        <v>4</v>
      </c>
      <c r="N217" s="11">
        <v>1200</v>
      </c>
      <c r="O217" s="11">
        <v>0</v>
      </c>
      <c r="P217" s="11">
        <v>4800</v>
      </c>
      <c r="Q217" s="11">
        <v>4</v>
      </c>
      <c r="R217" s="9" t="s">
        <v>31</v>
      </c>
      <c r="S217" s="9" t="s">
        <v>50</v>
      </c>
      <c r="T217" s="9" t="s">
        <v>43</v>
      </c>
      <c r="U217" s="9">
        <v>9183949273</v>
      </c>
      <c r="V217" s="12" t="s">
        <v>34</v>
      </c>
      <c r="W217" s="3"/>
      <c r="X217" s="3"/>
      <c r="Y217" s="3"/>
      <c r="Z217" s="3"/>
    </row>
    <row r="218" spans="1:26" ht="15" thickBot="1" x14ac:dyDescent="0.4">
      <c r="A218" s="4" t="s">
        <v>342</v>
      </c>
      <c r="B218" s="4" t="s">
        <v>124</v>
      </c>
      <c r="C218" s="4" t="s">
        <v>105</v>
      </c>
      <c r="D218" s="5">
        <v>45961</v>
      </c>
      <c r="E218" s="5">
        <v>45968</v>
      </c>
      <c r="F218" s="4" t="s">
        <v>126</v>
      </c>
      <c r="G218" s="4" t="s">
        <v>58</v>
      </c>
      <c r="H218" s="5">
        <v>31330</v>
      </c>
      <c r="I218" s="4" t="s">
        <v>48</v>
      </c>
      <c r="J218" s="4" t="s">
        <v>28</v>
      </c>
      <c r="K218" s="4" t="s">
        <v>29</v>
      </c>
      <c r="L218" s="4" t="s">
        <v>107</v>
      </c>
      <c r="M218" s="6">
        <v>2</v>
      </c>
      <c r="N218" s="6">
        <v>8500</v>
      </c>
      <c r="O218" s="6">
        <v>20</v>
      </c>
      <c r="P218" s="6">
        <v>13600</v>
      </c>
      <c r="Q218" s="6">
        <v>3</v>
      </c>
      <c r="R218" s="4" t="s">
        <v>60</v>
      </c>
      <c r="S218" s="4" t="s">
        <v>96</v>
      </c>
      <c r="T218" s="4" t="s">
        <v>128</v>
      </c>
      <c r="U218" s="4">
        <v>9168257367</v>
      </c>
      <c r="V218" s="8" t="s">
        <v>34</v>
      </c>
      <c r="W218" s="3"/>
      <c r="X218" s="3"/>
      <c r="Y218" s="3"/>
      <c r="Z218" s="3"/>
    </row>
    <row r="219" spans="1:26" ht="15" thickBot="1" x14ac:dyDescent="0.4">
      <c r="A219" s="9" t="s">
        <v>343</v>
      </c>
      <c r="B219" s="9" t="s">
        <v>63</v>
      </c>
      <c r="C219" s="9" t="s">
        <v>112</v>
      </c>
      <c r="D219" s="10">
        <v>46052</v>
      </c>
      <c r="E219" s="10">
        <v>46061</v>
      </c>
      <c r="F219" s="9" t="s">
        <v>110</v>
      </c>
      <c r="G219" s="9" t="s">
        <v>58</v>
      </c>
      <c r="H219" s="10">
        <v>37263</v>
      </c>
      <c r="I219" s="9" t="s">
        <v>147</v>
      </c>
      <c r="J219" s="9" t="s">
        <v>148</v>
      </c>
      <c r="K219" s="9" t="s">
        <v>39</v>
      </c>
      <c r="L219" s="9" t="s">
        <v>114</v>
      </c>
      <c r="M219" s="11">
        <v>7</v>
      </c>
      <c r="N219" s="11">
        <v>700</v>
      </c>
      <c r="O219" s="11">
        <v>20</v>
      </c>
      <c r="P219" s="11">
        <v>3920</v>
      </c>
      <c r="Q219" s="11">
        <v>2</v>
      </c>
      <c r="R219" s="9" t="s">
        <v>60</v>
      </c>
      <c r="S219" s="9" t="s">
        <v>96</v>
      </c>
      <c r="T219" s="9" t="s">
        <v>66</v>
      </c>
      <c r="U219" s="9">
        <v>9580903210</v>
      </c>
      <c r="V219" s="9" t="s">
        <v>52</v>
      </c>
      <c r="W219" s="3"/>
      <c r="X219" s="3"/>
      <c r="Y219" s="3"/>
      <c r="Z219" s="3"/>
    </row>
    <row r="220" spans="1:26" ht="15" thickBot="1" x14ac:dyDescent="0.4">
      <c r="A220" s="4" t="s">
        <v>344</v>
      </c>
      <c r="B220" s="4" t="s">
        <v>45</v>
      </c>
      <c r="C220" s="4" t="s">
        <v>125</v>
      </c>
      <c r="D220" s="5">
        <v>46141</v>
      </c>
      <c r="E220" s="5">
        <v>46145</v>
      </c>
      <c r="F220" s="4" t="s">
        <v>101</v>
      </c>
      <c r="G220" s="4" t="s">
        <v>26</v>
      </c>
      <c r="H220" s="5">
        <v>36359</v>
      </c>
      <c r="I220" s="4" t="s">
        <v>79</v>
      </c>
      <c r="J220" s="4" t="s">
        <v>75</v>
      </c>
      <c r="K220" s="4" t="s">
        <v>83</v>
      </c>
      <c r="L220" s="4" t="s">
        <v>127</v>
      </c>
      <c r="M220" s="6">
        <v>9</v>
      </c>
      <c r="N220" s="6">
        <v>20</v>
      </c>
      <c r="O220" s="6">
        <v>15</v>
      </c>
      <c r="P220" s="6">
        <v>153</v>
      </c>
      <c r="Q220" s="6">
        <v>3</v>
      </c>
      <c r="R220" s="4" t="s">
        <v>41</v>
      </c>
      <c r="S220" s="4" t="s">
        <v>80</v>
      </c>
      <c r="T220" s="4" t="s">
        <v>51</v>
      </c>
      <c r="U220" s="4">
        <v>9602152945</v>
      </c>
      <c r="V220" s="8" t="s">
        <v>34</v>
      </c>
      <c r="W220" s="3"/>
      <c r="X220" s="3"/>
      <c r="Y220" s="3"/>
      <c r="Z220" s="3"/>
    </row>
    <row r="221" spans="1:26" ht="15" thickBot="1" x14ac:dyDescent="0.4">
      <c r="A221" s="9" t="s">
        <v>345</v>
      </c>
      <c r="B221" s="9" t="s">
        <v>72</v>
      </c>
      <c r="C221" s="9" t="s">
        <v>105</v>
      </c>
      <c r="D221" s="10">
        <v>45795</v>
      </c>
      <c r="E221" s="10">
        <v>45797</v>
      </c>
      <c r="F221" s="9" t="s">
        <v>73</v>
      </c>
      <c r="G221" s="9" t="s">
        <v>26</v>
      </c>
      <c r="H221" s="10">
        <v>33118</v>
      </c>
      <c r="I221" s="9" t="s">
        <v>147</v>
      </c>
      <c r="J221" s="9" t="s">
        <v>148</v>
      </c>
      <c r="K221" s="9" t="s">
        <v>29</v>
      </c>
      <c r="L221" s="9" t="s">
        <v>107</v>
      </c>
      <c r="M221" s="11">
        <v>16</v>
      </c>
      <c r="N221" s="11">
        <v>8500</v>
      </c>
      <c r="O221" s="11">
        <v>0</v>
      </c>
      <c r="P221" s="11">
        <v>136000</v>
      </c>
      <c r="Q221" s="11">
        <v>4</v>
      </c>
      <c r="R221" s="9" t="s">
        <v>41</v>
      </c>
      <c r="S221" s="9" t="s">
        <v>32</v>
      </c>
      <c r="T221" s="9" t="s">
        <v>93</v>
      </c>
      <c r="U221" s="9">
        <v>9646917552</v>
      </c>
      <c r="V221" s="12" t="s">
        <v>34</v>
      </c>
      <c r="W221" s="3"/>
      <c r="X221" s="3"/>
      <c r="Y221" s="3"/>
      <c r="Z221" s="3"/>
    </row>
    <row r="222" spans="1:26" ht="15" thickBot="1" x14ac:dyDescent="0.4">
      <c r="A222" s="4" t="s">
        <v>346</v>
      </c>
      <c r="B222" s="4" t="s">
        <v>134</v>
      </c>
      <c r="C222" s="4" t="s">
        <v>68</v>
      </c>
      <c r="D222" s="5">
        <v>46107</v>
      </c>
      <c r="E222" s="5">
        <v>46109</v>
      </c>
      <c r="F222" s="4" t="s">
        <v>135</v>
      </c>
      <c r="G222" s="4" t="s">
        <v>26</v>
      </c>
      <c r="H222" s="5">
        <v>33818</v>
      </c>
      <c r="I222" s="4" t="s">
        <v>37</v>
      </c>
      <c r="J222" s="4" t="s">
        <v>38</v>
      </c>
      <c r="K222" s="4" t="s">
        <v>29</v>
      </c>
      <c r="L222" s="4" t="s">
        <v>70</v>
      </c>
      <c r="M222" s="6">
        <v>10</v>
      </c>
      <c r="N222" s="6">
        <v>3500</v>
      </c>
      <c r="O222" s="6">
        <v>5</v>
      </c>
      <c r="P222" s="6">
        <v>33250</v>
      </c>
      <c r="Q222" s="6">
        <v>3</v>
      </c>
      <c r="R222" s="4" t="s">
        <v>41</v>
      </c>
      <c r="S222" s="4" t="s">
        <v>80</v>
      </c>
      <c r="T222" s="4" t="s">
        <v>136</v>
      </c>
      <c r="U222" s="4">
        <v>9127548552</v>
      </c>
      <c r="V222" s="8" t="s">
        <v>34</v>
      </c>
      <c r="W222" s="3"/>
      <c r="X222" s="3"/>
      <c r="Y222" s="3"/>
      <c r="Z222" s="3"/>
    </row>
    <row r="223" spans="1:26" ht="15" thickBot="1" x14ac:dyDescent="0.4">
      <c r="A223" s="9" t="s">
        <v>347</v>
      </c>
      <c r="B223" s="9" t="s">
        <v>45</v>
      </c>
      <c r="C223" s="9" t="s">
        <v>36</v>
      </c>
      <c r="D223" s="10">
        <v>46041</v>
      </c>
      <c r="E223" s="10">
        <v>46049</v>
      </c>
      <c r="F223" s="9" t="s">
        <v>101</v>
      </c>
      <c r="G223" s="9" t="s">
        <v>26</v>
      </c>
      <c r="H223" s="10">
        <v>29260</v>
      </c>
      <c r="I223" s="9" t="s">
        <v>147</v>
      </c>
      <c r="J223" s="9" t="s">
        <v>148</v>
      </c>
      <c r="K223" s="9" t="s">
        <v>39</v>
      </c>
      <c r="L223" s="9" t="s">
        <v>40</v>
      </c>
      <c r="M223" s="11">
        <v>1</v>
      </c>
      <c r="N223" s="11">
        <v>12000</v>
      </c>
      <c r="O223" s="11">
        <v>0</v>
      </c>
      <c r="P223" s="11">
        <v>12000</v>
      </c>
      <c r="Q223" s="11">
        <v>5</v>
      </c>
      <c r="R223" s="9" t="s">
        <v>65</v>
      </c>
      <c r="S223" s="9" t="s">
        <v>80</v>
      </c>
      <c r="T223" s="9" t="s">
        <v>51</v>
      </c>
      <c r="U223" s="9">
        <v>9712805603</v>
      </c>
      <c r="V223" s="9" t="s">
        <v>52</v>
      </c>
      <c r="W223" s="3"/>
      <c r="X223" s="3"/>
      <c r="Y223" s="3"/>
      <c r="Z223" s="3"/>
    </row>
    <row r="224" spans="1:26" ht="15" thickBot="1" x14ac:dyDescent="0.4">
      <c r="A224" s="4" t="s">
        <v>348</v>
      </c>
      <c r="B224" s="4" t="s">
        <v>156</v>
      </c>
      <c r="C224" s="4" t="s">
        <v>138</v>
      </c>
      <c r="D224" s="5">
        <v>46144</v>
      </c>
      <c r="E224" s="5">
        <v>46152</v>
      </c>
      <c r="F224" s="4" t="s">
        <v>106</v>
      </c>
      <c r="G224" s="4" t="s">
        <v>58</v>
      </c>
      <c r="H224" s="5">
        <v>32557</v>
      </c>
      <c r="I224" s="4" t="s">
        <v>147</v>
      </c>
      <c r="J224" s="4" t="s">
        <v>148</v>
      </c>
      <c r="K224" s="4" t="s">
        <v>83</v>
      </c>
      <c r="L224" s="4" t="s">
        <v>139</v>
      </c>
      <c r="M224" s="6">
        <v>19</v>
      </c>
      <c r="N224" s="6">
        <v>45</v>
      </c>
      <c r="O224" s="6">
        <v>15</v>
      </c>
      <c r="P224" s="6">
        <v>726.75</v>
      </c>
      <c r="Q224" s="6">
        <v>2</v>
      </c>
      <c r="R224" s="4" t="s">
        <v>65</v>
      </c>
      <c r="S224" s="4" t="s">
        <v>96</v>
      </c>
      <c r="T224" s="4" t="s">
        <v>158</v>
      </c>
      <c r="U224" s="4">
        <v>9798313682</v>
      </c>
      <c r="V224" s="4" t="s">
        <v>52</v>
      </c>
      <c r="W224" s="3"/>
      <c r="X224" s="3"/>
      <c r="Y224" s="3"/>
      <c r="Z224" s="3"/>
    </row>
    <row r="225" spans="1:26" ht="15" thickBot="1" x14ac:dyDescent="0.4">
      <c r="A225" s="9" t="s">
        <v>349</v>
      </c>
      <c r="B225" s="9" t="s">
        <v>23</v>
      </c>
      <c r="C225" s="9" t="s">
        <v>46</v>
      </c>
      <c r="D225" s="10">
        <v>45961</v>
      </c>
      <c r="E225" s="10">
        <v>45963</v>
      </c>
      <c r="F225" s="9" t="s">
        <v>25</v>
      </c>
      <c r="G225" s="9" t="s">
        <v>26</v>
      </c>
      <c r="H225" s="10">
        <v>34222</v>
      </c>
      <c r="I225" s="9" t="s">
        <v>37</v>
      </c>
      <c r="J225" s="9" t="s">
        <v>38</v>
      </c>
      <c r="K225" s="9" t="s">
        <v>39</v>
      </c>
      <c r="L225" s="9" t="s">
        <v>49</v>
      </c>
      <c r="M225" s="11">
        <v>13</v>
      </c>
      <c r="N225" s="11">
        <v>55000</v>
      </c>
      <c r="O225" s="11">
        <v>5</v>
      </c>
      <c r="P225" s="11">
        <v>679250</v>
      </c>
      <c r="Q225" s="11">
        <v>4</v>
      </c>
      <c r="R225" s="9" t="s">
        <v>60</v>
      </c>
      <c r="S225" s="9" t="s">
        <v>42</v>
      </c>
      <c r="T225" s="9" t="s">
        <v>43</v>
      </c>
      <c r="U225" s="9">
        <v>9642822397</v>
      </c>
      <c r="V225" s="9" t="s">
        <v>53</v>
      </c>
      <c r="W225" s="3"/>
      <c r="X225" s="3"/>
      <c r="Y225" s="3"/>
      <c r="Z225" s="3"/>
    </row>
    <row r="226" spans="1:26" ht="15" thickBot="1" x14ac:dyDescent="0.4">
      <c r="A226" s="4" t="s">
        <v>350</v>
      </c>
      <c r="B226" s="4" t="s">
        <v>63</v>
      </c>
      <c r="C226" s="4" t="s">
        <v>138</v>
      </c>
      <c r="D226" s="5">
        <v>45858</v>
      </c>
      <c r="E226" s="5">
        <v>45864</v>
      </c>
      <c r="F226" s="4" t="s">
        <v>110</v>
      </c>
      <c r="G226" s="4" t="s">
        <v>58</v>
      </c>
      <c r="H226" s="5">
        <v>29907</v>
      </c>
      <c r="I226" s="4" t="s">
        <v>74</v>
      </c>
      <c r="J226" s="4" t="s">
        <v>75</v>
      </c>
      <c r="K226" s="4" t="s">
        <v>83</v>
      </c>
      <c r="L226" s="4" t="s">
        <v>139</v>
      </c>
      <c r="M226" s="6">
        <v>2</v>
      </c>
      <c r="N226" s="6">
        <v>45</v>
      </c>
      <c r="O226" s="6">
        <v>15</v>
      </c>
      <c r="P226" s="6">
        <v>76.5</v>
      </c>
      <c r="Q226" s="6">
        <v>1</v>
      </c>
      <c r="R226" s="4" t="s">
        <v>41</v>
      </c>
      <c r="S226" s="4" t="s">
        <v>80</v>
      </c>
      <c r="T226" s="4" t="s">
        <v>66</v>
      </c>
      <c r="U226" s="4">
        <v>9490067655</v>
      </c>
      <c r="V226" s="8" t="s">
        <v>34</v>
      </c>
      <c r="W226" s="3"/>
      <c r="X226" s="3"/>
      <c r="Y226" s="3"/>
      <c r="Z226" s="3"/>
    </row>
    <row r="227" spans="1:26" ht="15" thickBot="1" x14ac:dyDescent="0.4">
      <c r="A227" s="9" t="s">
        <v>351</v>
      </c>
      <c r="B227" s="9" t="s">
        <v>72</v>
      </c>
      <c r="C227" s="9" t="s">
        <v>125</v>
      </c>
      <c r="D227" s="10">
        <v>45707</v>
      </c>
      <c r="E227" s="10">
        <v>45712</v>
      </c>
      <c r="F227" s="9" t="s">
        <v>73</v>
      </c>
      <c r="G227" s="9" t="s">
        <v>26</v>
      </c>
      <c r="H227" s="10">
        <v>37857</v>
      </c>
      <c r="I227" s="9" t="s">
        <v>27</v>
      </c>
      <c r="J227" s="9" t="s">
        <v>28</v>
      </c>
      <c r="K227" s="9" t="s">
        <v>83</v>
      </c>
      <c r="L227" s="9" t="s">
        <v>127</v>
      </c>
      <c r="M227" s="11">
        <v>8</v>
      </c>
      <c r="N227" s="11">
        <v>20</v>
      </c>
      <c r="O227" s="11">
        <v>15</v>
      </c>
      <c r="P227" s="11">
        <v>136</v>
      </c>
      <c r="Q227" s="11">
        <v>1</v>
      </c>
      <c r="R227" s="9" t="s">
        <v>60</v>
      </c>
      <c r="S227" s="9" t="s">
        <v>32</v>
      </c>
      <c r="T227" s="9" t="s">
        <v>93</v>
      </c>
      <c r="U227" s="9">
        <v>9389792144</v>
      </c>
      <c r="V227" s="9" t="s">
        <v>52</v>
      </c>
      <c r="W227" s="3"/>
      <c r="X227" s="3"/>
      <c r="Y227" s="3"/>
      <c r="Z227" s="3"/>
    </row>
    <row r="228" spans="1:26" ht="15" thickBot="1" x14ac:dyDescent="0.4">
      <c r="A228" s="4" t="s">
        <v>352</v>
      </c>
      <c r="B228" s="4" t="s">
        <v>104</v>
      </c>
      <c r="C228" s="4" t="s">
        <v>36</v>
      </c>
      <c r="D228" s="5">
        <v>45767</v>
      </c>
      <c r="E228" s="5">
        <v>45778</v>
      </c>
      <c r="F228" s="4" t="s">
        <v>166</v>
      </c>
      <c r="G228" s="4" t="s">
        <v>26</v>
      </c>
      <c r="H228" s="5">
        <v>31247</v>
      </c>
      <c r="I228" s="4" t="s">
        <v>27</v>
      </c>
      <c r="J228" s="4" t="s">
        <v>28</v>
      </c>
      <c r="K228" s="4" t="s">
        <v>39</v>
      </c>
      <c r="L228" s="4" t="s">
        <v>40</v>
      </c>
      <c r="M228" s="6">
        <v>9</v>
      </c>
      <c r="N228" s="6">
        <v>12000</v>
      </c>
      <c r="O228" s="6">
        <v>5</v>
      </c>
      <c r="P228" s="6">
        <v>102600</v>
      </c>
      <c r="Q228" s="6">
        <v>2</v>
      </c>
      <c r="R228" s="4" t="s">
        <v>60</v>
      </c>
      <c r="S228" s="4" t="s">
        <v>32</v>
      </c>
      <c r="T228" s="4" t="s">
        <v>108</v>
      </c>
      <c r="U228" s="4">
        <v>9736113863</v>
      </c>
      <c r="V228" s="4" t="s">
        <v>53</v>
      </c>
      <c r="W228" s="3"/>
      <c r="X228" s="3"/>
      <c r="Y228" s="3"/>
      <c r="Z228" s="3"/>
    </row>
    <row r="229" spans="1:26" ht="15" thickBot="1" x14ac:dyDescent="0.4">
      <c r="A229" s="9" t="s">
        <v>353</v>
      </c>
      <c r="B229" s="9" t="s">
        <v>55</v>
      </c>
      <c r="C229" s="9" t="s">
        <v>68</v>
      </c>
      <c r="D229" s="10">
        <v>45813</v>
      </c>
      <c r="E229" s="10">
        <v>45821</v>
      </c>
      <c r="F229" s="9" t="s">
        <v>57</v>
      </c>
      <c r="G229" s="9" t="s">
        <v>58</v>
      </c>
      <c r="H229" s="10">
        <v>34464</v>
      </c>
      <c r="I229" s="9" t="s">
        <v>147</v>
      </c>
      <c r="J229" s="9" t="s">
        <v>148</v>
      </c>
      <c r="K229" s="9" t="s">
        <v>29</v>
      </c>
      <c r="L229" s="9" t="s">
        <v>70</v>
      </c>
      <c r="M229" s="11">
        <v>3</v>
      </c>
      <c r="N229" s="11">
        <v>3500</v>
      </c>
      <c r="O229" s="11">
        <v>15</v>
      </c>
      <c r="P229" s="11">
        <v>8925</v>
      </c>
      <c r="Q229" s="11">
        <v>1</v>
      </c>
      <c r="R229" s="9" t="s">
        <v>31</v>
      </c>
      <c r="S229" s="9" t="s">
        <v>42</v>
      </c>
      <c r="T229" s="9" t="s">
        <v>61</v>
      </c>
      <c r="U229" s="9">
        <v>9324634732</v>
      </c>
      <c r="V229" s="9" t="s">
        <v>53</v>
      </c>
      <c r="W229" s="3"/>
      <c r="X229" s="3"/>
      <c r="Y229" s="3"/>
      <c r="Z229" s="3"/>
    </row>
    <row r="230" spans="1:26" ht="15" thickBot="1" x14ac:dyDescent="0.4">
      <c r="A230" s="4" t="s">
        <v>354</v>
      </c>
      <c r="B230" s="4" t="s">
        <v>72</v>
      </c>
      <c r="C230" s="4" t="s">
        <v>112</v>
      </c>
      <c r="D230" s="5">
        <v>45797</v>
      </c>
      <c r="E230" s="5">
        <v>45800</v>
      </c>
      <c r="F230" s="4" t="s">
        <v>73</v>
      </c>
      <c r="G230" s="4" t="s">
        <v>26</v>
      </c>
      <c r="H230" s="5">
        <v>34051</v>
      </c>
      <c r="I230" s="4" t="s">
        <v>27</v>
      </c>
      <c r="J230" s="4" t="s">
        <v>28</v>
      </c>
      <c r="K230" s="4" t="s">
        <v>39</v>
      </c>
      <c r="L230" s="4" t="s">
        <v>114</v>
      </c>
      <c r="M230" s="6">
        <v>18</v>
      </c>
      <c r="N230" s="6">
        <v>700</v>
      </c>
      <c r="O230" s="6">
        <v>20</v>
      </c>
      <c r="P230" s="6">
        <v>10080</v>
      </c>
      <c r="Q230" s="6">
        <v>1</v>
      </c>
      <c r="R230" s="4" t="s">
        <v>60</v>
      </c>
      <c r="S230" s="4" t="s">
        <v>96</v>
      </c>
      <c r="T230" s="4" t="s">
        <v>93</v>
      </c>
      <c r="U230" s="4">
        <v>9529968110</v>
      </c>
      <c r="V230" s="8" t="s">
        <v>34</v>
      </c>
      <c r="W230" s="3"/>
      <c r="X230" s="3"/>
      <c r="Y230" s="3"/>
      <c r="Z230" s="3"/>
    </row>
    <row r="231" spans="1:26" ht="15" thickBot="1" x14ac:dyDescent="0.4">
      <c r="A231" s="9" t="s">
        <v>355</v>
      </c>
      <c r="B231" s="9" t="s">
        <v>55</v>
      </c>
      <c r="C231" s="9" t="s">
        <v>68</v>
      </c>
      <c r="D231" s="10">
        <v>46046</v>
      </c>
      <c r="E231" s="10">
        <v>46053</v>
      </c>
      <c r="F231" s="9" t="s">
        <v>57</v>
      </c>
      <c r="G231" s="9" t="s">
        <v>58</v>
      </c>
      <c r="H231" s="10">
        <v>29019</v>
      </c>
      <c r="I231" s="9" t="s">
        <v>79</v>
      </c>
      <c r="J231" s="9" t="s">
        <v>75</v>
      </c>
      <c r="K231" s="9" t="s">
        <v>29</v>
      </c>
      <c r="L231" s="9" t="s">
        <v>70</v>
      </c>
      <c r="M231" s="11">
        <v>14</v>
      </c>
      <c r="N231" s="11">
        <v>3500</v>
      </c>
      <c r="O231" s="11">
        <v>5</v>
      </c>
      <c r="P231" s="11">
        <v>46550</v>
      </c>
      <c r="Q231" s="11">
        <v>1</v>
      </c>
      <c r="R231" s="9" t="s">
        <v>31</v>
      </c>
      <c r="S231" s="9" t="s">
        <v>50</v>
      </c>
      <c r="T231" s="9" t="s">
        <v>61</v>
      </c>
      <c r="U231" s="9">
        <v>9102417647</v>
      </c>
      <c r="V231" s="12" t="s">
        <v>34</v>
      </c>
      <c r="W231" s="3"/>
      <c r="X231" s="3"/>
      <c r="Y231" s="3"/>
      <c r="Z231" s="3"/>
    </row>
    <row r="232" spans="1:26" ht="15" thickBot="1" x14ac:dyDescent="0.4">
      <c r="A232" s="4" t="s">
        <v>356</v>
      </c>
      <c r="B232" s="4" t="s">
        <v>72</v>
      </c>
      <c r="C232" s="4" t="s">
        <v>112</v>
      </c>
      <c r="D232" s="5">
        <v>45810</v>
      </c>
      <c r="E232" s="5">
        <v>45812</v>
      </c>
      <c r="F232" s="4" t="s">
        <v>73</v>
      </c>
      <c r="G232" s="4" t="s">
        <v>26</v>
      </c>
      <c r="H232" s="5">
        <v>33262</v>
      </c>
      <c r="I232" s="4" t="s">
        <v>147</v>
      </c>
      <c r="J232" s="4" t="s">
        <v>148</v>
      </c>
      <c r="K232" s="4" t="s">
        <v>39</v>
      </c>
      <c r="L232" s="4" t="s">
        <v>114</v>
      </c>
      <c r="M232" s="6">
        <v>6</v>
      </c>
      <c r="N232" s="6">
        <v>700</v>
      </c>
      <c r="O232" s="6">
        <v>5</v>
      </c>
      <c r="P232" s="6">
        <v>3990</v>
      </c>
      <c r="Q232" s="6">
        <v>5</v>
      </c>
      <c r="R232" s="4" t="s">
        <v>31</v>
      </c>
      <c r="S232" s="4" t="s">
        <v>32</v>
      </c>
      <c r="T232" s="4" t="s">
        <v>93</v>
      </c>
      <c r="U232" s="4">
        <v>9630302865</v>
      </c>
      <c r="V232" s="8" t="s">
        <v>34</v>
      </c>
      <c r="W232" s="3"/>
      <c r="X232" s="3"/>
      <c r="Y232" s="3"/>
      <c r="Z232" s="3"/>
    </row>
    <row r="233" spans="1:26" ht="15" thickBot="1" x14ac:dyDescent="0.4">
      <c r="A233" s="9" t="s">
        <v>357</v>
      </c>
      <c r="B233" s="9" t="s">
        <v>72</v>
      </c>
      <c r="C233" s="9" t="s">
        <v>68</v>
      </c>
      <c r="D233" s="10">
        <v>45819</v>
      </c>
      <c r="E233" s="10">
        <v>45827</v>
      </c>
      <c r="F233" s="9" t="s">
        <v>73</v>
      </c>
      <c r="G233" s="9" t="s">
        <v>26</v>
      </c>
      <c r="H233" s="10">
        <v>38039</v>
      </c>
      <c r="I233" s="9" t="s">
        <v>74</v>
      </c>
      <c r="J233" s="9" t="s">
        <v>75</v>
      </c>
      <c r="K233" s="9" t="s">
        <v>29</v>
      </c>
      <c r="L233" s="9" t="s">
        <v>70</v>
      </c>
      <c r="M233" s="11">
        <v>17</v>
      </c>
      <c r="N233" s="11">
        <v>3500</v>
      </c>
      <c r="O233" s="11">
        <v>15</v>
      </c>
      <c r="P233" s="11">
        <v>50575</v>
      </c>
      <c r="Q233" s="11">
        <v>3</v>
      </c>
      <c r="R233" s="9" t="s">
        <v>41</v>
      </c>
      <c r="S233" s="9" t="s">
        <v>42</v>
      </c>
      <c r="T233" s="9" t="s">
        <v>93</v>
      </c>
      <c r="U233" s="9">
        <v>9465353780</v>
      </c>
      <c r="V233" s="9" t="s">
        <v>52</v>
      </c>
      <c r="W233" s="3"/>
      <c r="X233" s="3"/>
      <c r="Y233" s="3"/>
      <c r="Z233" s="3"/>
    </row>
    <row r="234" spans="1:26" ht="15" thickBot="1" x14ac:dyDescent="0.4">
      <c r="A234" s="4" t="s">
        <v>358</v>
      </c>
      <c r="B234" s="4" t="s">
        <v>134</v>
      </c>
      <c r="C234" s="4" t="s">
        <v>125</v>
      </c>
      <c r="D234" s="5">
        <v>46038</v>
      </c>
      <c r="E234" s="5">
        <v>46046</v>
      </c>
      <c r="F234" s="4" t="s">
        <v>135</v>
      </c>
      <c r="G234" s="4" t="s">
        <v>26</v>
      </c>
      <c r="H234" s="5">
        <v>28240</v>
      </c>
      <c r="I234" s="4" t="s">
        <v>147</v>
      </c>
      <c r="J234" s="4" t="s">
        <v>148</v>
      </c>
      <c r="K234" s="4" t="s">
        <v>83</v>
      </c>
      <c r="L234" s="4" t="s">
        <v>127</v>
      </c>
      <c r="M234" s="6">
        <v>7</v>
      </c>
      <c r="N234" s="6">
        <v>20</v>
      </c>
      <c r="O234" s="6">
        <v>5</v>
      </c>
      <c r="P234" s="6">
        <v>133</v>
      </c>
      <c r="Q234" s="6">
        <v>2</v>
      </c>
      <c r="R234" s="4" t="s">
        <v>65</v>
      </c>
      <c r="S234" s="4" t="s">
        <v>96</v>
      </c>
      <c r="T234" s="4" t="s">
        <v>136</v>
      </c>
      <c r="U234" s="4">
        <v>9837426414</v>
      </c>
      <c r="V234" s="8" t="s">
        <v>34</v>
      </c>
      <c r="W234" s="3"/>
      <c r="X234" s="3"/>
      <c r="Y234" s="3"/>
      <c r="Z234" s="3"/>
    </row>
    <row r="235" spans="1:26" ht="15" thickBot="1" x14ac:dyDescent="0.4">
      <c r="A235" s="9" t="s">
        <v>359</v>
      </c>
      <c r="B235" s="9" t="s">
        <v>23</v>
      </c>
      <c r="C235" s="9" t="s">
        <v>24</v>
      </c>
      <c r="D235" s="10">
        <v>46073</v>
      </c>
      <c r="E235" s="10">
        <v>46085</v>
      </c>
      <c r="F235" s="9" t="s">
        <v>25</v>
      </c>
      <c r="G235" s="9" t="s">
        <v>26</v>
      </c>
      <c r="H235" s="10">
        <v>34537</v>
      </c>
      <c r="I235" s="9" t="s">
        <v>48</v>
      </c>
      <c r="J235" s="9" t="s">
        <v>28</v>
      </c>
      <c r="K235" s="9" t="s">
        <v>29</v>
      </c>
      <c r="L235" s="9" t="s">
        <v>30</v>
      </c>
      <c r="M235" s="11">
        <v>15</v>
      </c>
      <c r="N235" s="11">
        <v>2200</v>
      </c>
      <c r="O235" s="11">
        <v>20</v>
      </c>
      <c r="P235" s="11">
        <v>26400</v>
      </c>
      <c r="Q235" s="11">
        <v>2</v>
      </c>
      <c r="R235" s="9" t="s">
        <v>31</v>
      </c>
      <c r="S235" s="9" t="s">
        <v>50</v>
      </c>
      <c r="T235" s="9" t="s">
        <v>43</v>
      </c>
      <c r="U235" s="9">
        <v>9249918272</v>
      </c>
      <c r="V235" s="12" t="s">
        <v>34</v>
      </c>
      <c r="W235" s="3"/>
      <c r="X235" s="3"/>
      <c r="Y235" s="3"/>
      <c r="Z235" s="3"/>
    </row>
    <row r="236" spans="1:26" ht="15" thickBot="1" x14ac:dyDescent="0.4">
      <c r="A236" s="4" t="s">
        <v>360</v>
      </c>
      <c r="B236" s="4" t="s">
        <v>55</v>
      </c>
      <c r="C236" s="4" t="s">
        <v>125</v>
      </c>
      <c r="D236" s="5">
        <v>46070</v>
      </c>
      <c r="E236" s="5">
        <v>46078</v>
      </c>
      <c r="F236" s="4" t="s">
        <v>57</v>
      </c>
      <c r="G236" s="4" t="s">
        <v>58</v>
      </c>
      <c r="H236" s="5">
        <v>29170</v>
      </c>
      <c r="I236" s="4" t="s">
        <v>74</v>
      </c>
      <c r="J236" s="4" t="s">
        <v>75</v>
      </c>
      <c r="K236" s="4" t="s">
        <v>83</v>
      </c>
      <c r="L236" s="4" t="s">
        <v>127</v>
      </c>
      <c r="M236" s="6">
        <v>5</v>
      </c>
      <c r="N236" s="6">
        <v>20</v>
      </c>
      <c r="O236" s="6">
        <v>0</v>
      </c>
      <c r="P236" s="6">
        <v>100</v>
      </c>
      <c r="Q236" s="6">
        <v>3</v>
      </c>
      <c r="R236" s="4" t="s">
        <v>31</v>
      </c>
      <c r="S236" s="4" t="s">
        <v>96</v>
      </c>
      <c r="T236" s="4" t="s">
        <v>61</v>
      </c>
      <c r="U236" s="4">
        <v>9265580582</v>
      </c>
      <c r="V236" s="8" t="s">
        <v>34</v>
      </c>
      <c r="W236" s="3"/>
      <c r="X236" s="3"/>
      <c r="Y236" s="3"/>
      <c r="Z236" s="3"/>
    </row>
    <row r="237" spans="1:26" ht="15" thickBot="1" x14ac:dyDescent="0.4">
      <c r="A237" s="9" t="s">
        <v>361</v>
      </c>
      <c r="B237" s="9" t="s">
        <v>87</v>
      </c>
      <c r="C237" s="9" t="s">
        <v>36</v>
      </c>
      <c r="D237" s="10">
        <v>45847</v>
      </c>
      <c r="E237" s="10">
        <v>45852</v>
      </c>
      <c r="F237" s="9" t="s">
        <v>88</v>
      </c>
      <c r="G237" s="9" t="s">
        <v>58</v>
      </c>
      <c r="H237" s="10">
        <v>34846</v>
      </c>
      <c r="I237" s="9" t="s">
        <v>37</v>
      </c>
      <c r="J237" s="9" t="s">
        <v>38</v>
      </c>
      <c r="K237" s="9" t="s">
        <v>39</v>
      </c>
      <c r="L237" s="9" t="s">
        <v>40</v>
      </c>
      <c r="M237" s="11">
        <v>8</v>
      </c>
      <c r="N237" s="11">
        <v>12000</v>
      </c>
      <c r="O237" s="11">
        <v>20</v>
      </c>
      <c r="P237" s="11">
        <v>76800</v>
      </c>
      <c r="Q237" s="11">
        <v>3</v>
      </c>
      <c r="R237" s="9" t="s">
        <v>60</v>
      </c>
      <c r="S237" s="9" t="s">
        <v>50</v>
      </c>
      <c r="T237" s="9" t="s">
        <v>89</v>
      </c>
      <c r="U237" s="9">
        <v>9751049833</v>
      </c>
      <c r="V237" s="9" t="s">
        <v>52</v>
      </c>
      <c r="W237" s="3"/>
      <c r="X237" s="3"/>
      <c r="Y237" s="3"/>
      <c r="Z237" s="3"/>
    </row>
    <row r="238" spans="1:26" ht="15" thickBot="1" x14ac:dyDescent="0.4">
      <c r="A238" s="4" t="s">
        <v>362</v>
      </c>
      <c r="B238" s="4" t="s">
        <v>87</v>
      </c>
      <c r="C238" s="4" t="s">
        <v>68</v>
      </c>
      <c r="D238" s="5">
        <v>45696</v>
      </c>
      <c r="E238" s="5">
        <v>45704</v>
      </c>
      <c r="F238" s="4" t="s">
        <v>88</v>
      </c>
      <c r="G238" s="4" t="s">
        <v>58</v>
      </c>
      <c r="H238" s="5">
        <v>35964</v>
      </c>
      <c r="I238" s="4" t="s">
        <v>74</v>
      </c>
      <c r="J238" s="4" t="s">
        <v>75</v>
      </c>
      <c r="K238" s="4" t="s">
        <v>29</v>
      </c>
      <c r="L238" s="4" t="s">
        <v>70</v>
      </c>
      <c r="M238" s="6">
        <v>4</v>
      </c>
      <c r="N238" s="6">
        <v>3500</v>
      </c>
      <c r="O238" s="6">
        <v>20</v>
      </c>
      <c r="P238" s="6">
        <v>11200</v>
      </c>
      <c r="Q238" s="6">
        <v>1</v>
      </c>
      <c r="R238" s="4" t="s">
        <v>60</v>
      </c>
      <c r="S238" s="4" t="s">
        <v>80</v>
      </c>
      <c r="T238" s="4" t="s">
        <v>89</v>
      </c>
      <c r="U238" s="4">
        <v>9741671507</v>
      </c>
      <c r="V238" s="8" t="s">
        <v>34</v>
      </c>
      <c r="W238" s="3"/>
      <c r="X238" s="3"/>
      <c r="Y238" s="3"/>
      <c r="Z238" s="3"/>
    </row>
    <row r="239" spans="1:26" ht="15" thickBot="1" x14ac:dyDescent="0.4">
      <c r="A239" s="9" t="s">
        <v>363</v>
      </c>
      <c r="B239" s="9" t="s">
        <v>124</v>
      </c>
      <c r="C239" s="9" t="s">
        <v>138</v>
      </c>
      <c r="D239" s="10">
        <v>45713</v>
      </c>
      <c r="E239" s="10">
        <v>45720</v>
      </c>
      <c r="F239" s="9" t="s">
        <v>126</v>
      </c>
      <c r="G239" s="9" t="s">
        <v>58</v>
      </c>
      <c r="H239" s="10">
        <v>30337</v>
      </c>
      <c r="I239" s="9" t="s">
        <v>27</v>
      </c>
      <c r="J239" s="9" t="s">
        <v>28</v>
      </c>
      <c r="K239" s="9" t="s">
        <v>83</v>
      </c>
      <c r="L239" s="9" t="s">
        <v>139</v>
      </c>
      <c r="M239" s="11">
        <v>19</v>
      </c>
      <c r="N239" s="11">
        <v>45</v>
      </c>
      <c r="O239" s="11">
        <v>10</v>
      </c>
      <c r="P239" s="11">
        <v>769.5</v>
      </c>
      <c r="Q239" s="11">
        <v>1</v>
      </c>
      <c r="R239" s="9" t="s">
        <v>31</v>
      </c>
      <c r="S239" s="9" t="s">
        <v>80</v>
      </c>
      <c r="T239" s="9" t="s">
        <v>128</v>
      </c>
      <c r="U239" s="9">
        <v>9367541035</v>
      </c>
      <c r="V239" s="12" t="s">
        <v>34</v>
      </c>
      <c r="W239" s="3"/>
      <c r="X239" s="3"/>
      <c r="Y239" s="3"/>
      <c r="Z239" s="3"/>
    </row>
    <row r="240" spans="1:26" ht="15" thickBot="1" x14ac:dyDescent="0.4">
      <c r="A240" s="4" t="s">
        <v>364</v>
      </c>
      <c r="B240" s="4" t="s">
        <v>45</v>
      </c>
      <c r="C240" s="4" t="s">
        <v>138</v>
      </c>
      <c r="D240" s="5">
        <v>46049</v>
      </c>
      <c r="E240" s="5">
        <v>46059</v>
      </c>
      <c r="F240" s="4" t="s">
        <v>101</v>
      </c>
      <c r="G240" s="4" t="s">
        <v>26</v>
      </c>
      <c r="H240" s="5">
        <v>28552</v>
      </c>
      <c r="I240" s="4" t="s">
        <v>79</v>
      </c>
      <c r="J240" s="4" t="s">
        <v>75</v>
      </c>
      <c r="K240" s="4" t="s">
        <v>83</v>
      </c>
      <c r="L240" s="4" t="s">
        <v>139</v>
      </c>
      <c r="M240" s="6">
        <v>10</v>
      </c>
      <c r="N240" s="6">
        <v>45</v>
      </c>
      <c r="O240" s="6">
        <v>0</v>
      </c>
      <c r="P240" s="6">
        <v>450</v>
      </c>
      <c r="Q240" s="6">
        <v>4</v>
      </c>
      <c r="R240" s="4" t="s">
        <v>65</v>
      </c>
      <c r="S240" s="4" t="s">
        <v>50</v>
      </c>
      <c r="T240" s="4" t="s">
        <v>51</v>
      </c>
      <c r="U240" s="4">
        <v>9323696971</v>
      </c>
      <c r="V240" s="8" t="s">
        <v>34</v>
      </c>
      <c r="W240" s="3"/>
      <c r="X240" s="3"/>
      <c r="Y240" s="3"/>
      <c r="Z240" s="3"/>
    </row>
    <row r="241" spans="1:26" ht="15" thickBot="1" x14ac:dyDescent="0.4">
      <c r="A241" s="9" t="s">
        <v>365</v>
      </c>
      <c r="B241" s="9" t="s">
        <v>45</v>
      </c>
      <c r="C241" s="9" t="s">
        <v>138</v>
      </c>
      <c r="D241" s="10">
        <v>46030</v>
      </c>
      <c r="E241" s="10">
        <v>46039</v>
      </c>
      <c r="F241" s="9" t="s">
        <v>101</v>
      </c>
      <c r="G241" s="9" t="s">
        <v>26</v>
      </c>
      <c r="H241" s="10">
        <v>35605</v>
      </c>
      <c r="I241" s="9" t="s">
        <v>27</v>
      </c>
      <c r="J241" s="9" t="s">
        <v>28</v>
      </c>
      <c r="K241" s="9" t="s">
        <v>83</v>
      </c>
      <c r="L241" s="9" t="s">
        <v>139</v>
      </c>
      <c r="M241" s="11">
        <v>16</v>
      </c>
      <c r="N241" s="11">
        <v>45</v>
      </c>
      <c r="O241" s="11">
        <v>15</v>
      </c>
      <c r="P241" s="11">
        <v>612</v>
      </c>
      <c r="Q241" s="11">
        <v>3</v>
      </c>
      <c r="R241" s="9" t="s">
        <v>31</v>
      </c>
      <c r="S241" s="9" t="s">
        <v>80</v>
      </c>
      <c r="T241" s="9" t="s">
        <v>51</v>
      </c>
      <c r="U241" s="9">
        <v>9786384529</v>
      </c>
      <c r="V241" s="9" t="s">
        <v>53</v>
      </c>
      <c r="W241" s="3"/>
      <c r="X241" s="3"/>
      <c r="Y241" s="3"/>
      <c r="Z241" s="3"/>
    </row>
    <row r="242" spans="1:26" ht="15" thickBot="1" x14ac:dyDescent="0.4">
      <c r="A242" s="4" t="s">
        <v>366</v>
      </c>
      <c r="B242" s="4" t="s">
        <v>104</v>
      </c>
      <c r="C242" s="4" t="s">
        <v>105</v>
      </c>
      <c r="D242" s="5">
        <v>45741</v>
      </c>
      <c r="E242" s="5">
        <v>45743</v>
      </c>
      <c r="F242" s="4" t="s">
        <v>166</v>
      </c>
      <c r="G242" s="4" t="s">
        <v>26</v>
      </c>
      <c r="H242" s="5">
        <v>27997</v>
      </c>
      <c r="I242" s="4" t="s">
        <v>79</v>
      </c>
      <c r="J242" s="4" t="s">
        <v>75</v>
      </c>
      <c r="K242" s="4" t="s">
        <v>29</v>
      </c>
      <c r="L242" s="4" t="s">
        <v>107</v>
      </c>
      <c r="M242" s="6">
        <v>16</v>
      </c>
      <c r="N242" s="6">
        <v>8500</v>
      </c>
      <c r="O242" s="6">
        <v>15</v>
      </c>
      <c r="P242" s="6">
        <v>115600</v>
      </c>
      <c r="Q242" s="6">
        <v>4</v>
      </c>
      <c r="R242" s="4" t="s">
        <v>41</v>
      </c>
      <c r="S242" s="4" t="s">
        <v>32</v>
      </c>
      <c r="T242" s="4" t="s">
        <v>108</v>
      </c>
      <c r="U242" s="4">
        <v>9444900541</v>
      </c>
      <c r="V242" s="4" t="s">
        <v>53</v>
      </c>
      <c r="W242" s="3"/>
      <c r="X242" s="3"/>
      <c r="Y242" s="3"/>
      <c r="Z242" s="3"/>
    </row>
    <row r="243" spans="1:26" ht="15" thickBot="1" x14ac:dyDescent="0.4">
      <c r="A243" s="9" t="s">
        <v>367</v>
      </c>
      <c r="B243" s="9" t="s">
        <v>104</v>
      </c>
      <c r="C243" s="9" t="s">
        <v>125</v>
      </c>
      <c r="D243" s="10">
        <v>45901</v>
      </c>
      <c r="E243" s="10">
        <v>45912</v>
      </c>
      <c r="F243" s="9" t="s">
        <v>166</v>
      </c>
      <c r="G243" s="9" t="s">
        <v>26</v>
      </c>
      <c r="H243" s="10">
        <v>35159</v>
      </c>
      <c r="I243" s="9" t="s">
        <v>147</v>
      </c>
      <c r="J243" s="9" t="s">
        <v>148</v>
      </c>
      <c r="K243" s="9" t="s">
        <v>83</v>
      </c>
      <c r="L243" s="9" t="s">
        <v>127</v>
      </c>
      <c r="M243" s="11">
        <v>15</v>
      </c>
      <c r="N243" s="11">
        <v>20</v>
      </c>
      <c r="O243" s="11">
        <v>20</v>
      </c>
      <c r="P243" s="11">
        <v>240</v>
      </c>
      <c r="Q243" s="11">
        <v>3</v>
      </c>
      <c r="R243" s="9" t="s">
        <v>41</v>
      </c>
      <c r="S243" s="9" t="s">
        <v>42</v>
      </c>
      <c r="T243" s="9" t="s">
        <v>108</v>
      </c>
      <c r="U243" s="9">
        <v>9108024911</v>
      </c>
      <c r="V243" s="9" t="s">
        <v>53</v>
      </c>
      <c r="W243" s="3"/>
      <c r="X243" s="3"/>
      <c r="Y243" s="3"/>
      <c r="Z243" s="3"/>
    </row>
    <row r="244" spans="1:26" ht="15" thickBot="1" x14ac:dyDescent="0.4">
      <c r="A244" s="4" t="s">
        <v>368</v>
      </c>
      <c r="B244" s="4" t="s">
        <v>63</v>
      </c>
      <c r="C244" s="4" t="s">
        <v>82</v>
      </c>
      <c r="D244" s="5">
        <v>46031</v>
      </c>
      <c r="E244" s="5">
        <v>46035</v>
      </c>
      <c r="F244" s="4" t="s">
        <v>110</v>
      </c>
      <c r="G244" s="4" t="s">
        <v>58</v>
      </c>
      <c r="H244" s="5">
        <v>37173</v>
      </c>
      <c r="I244" s="4" t="s">
        <v>48</v>
      </c>
      <c r="J244" s="4" t="s">
        <v>28</v>
      </c>
      <c r="K244" s="4" t="s">
        <v>83</v>
      </c>
      <c r="L244" s="4" t="s">
        <v>84</v>
      </c>
      <c r="M244" s="6">
        <v>14</v>
      </c>
      <c r="N244" s="6">
        <v>60</v>
      </c>
      <c r="O244" s="6">
        <v>5</v>
      </c>
      <c r="P244" s="6">
        <v>798</v>
      </c>
      <c r="Q244" s="6">
        <v>4</v>
      </c>
      <c r="R244" s="4" t="s">
        <v>31</v>
      </c>
      <c r="S244" s="4" t="s">
        <v>42</v>
      </c>
      <c r="T244" s="4" t="s">
        <v>66</v>
      </c>
      <c r="U244" s="4">
        <v>9897181325</v>
      </c>
      <c r="V244" s="8" t="s">
        <v>34</v>
      </c>
      <c r="W244" s="3"/>
      <c r="X244" s="3"/>
      <c r="Y244" s="3"/>
      <c r="Z244" s="3"/>
    </row>
    <row r="245" spans="1:26" ht="15" thickBot="1" x14ac:dyDescent="0.4">
      <c r="A245" s="9" t="s">
        <v>369</v>
      </c>
      <c r="B245" s="9" t="s">
        <v>45</v>
      </c>
      <c r="C245" s="9" t="s">
        <v>56</v>
      </c>
      <c r="D245" s="10">
        <v>46158</v>
      </c>
      <c r="E245" s="10">
        <v>46161</v>
      </c>
      <c r="F245" s="9" t="s">
        <v>101</v>
      </c>
      <c r="G245" s="9" t="s">
        <v>26</v>
      </c>
      <c r="H245" s="10">
        <v>34800</v>
      </c>
      <c r="I245" s="9" t="s">
        <v>74</v>
      </c>
      <c r="J245" s="9" t="s">
        <v>75</v>
      </c>
      <c r="K245" s="9" t="s">
        <v>39</v>
      </c>
      <c r="L245" s="9" t="s">
        <v>59</v>
      </c>
      <c r="M245" s="11">
        <v>19</v>
      </c>
      <c r="N245" s="11">
        <v>1200</v>
      </c>
      <c r="O245" s="11">
        <v>20</v>
      </c>
      <c r="P245" s="11">
        <v>18240</v>
      </c>
      <c r="Q245" s="11">
        <v>2</v>
      </c>
      <c r="R245" s="9" t="s">
        <v>31</v>
      </c>
      <c r="S245" s="9" t="s">
        <v>80</v>
      </c>
      <c r="T245" s="9" t="s">
        <v>51</v>
      </c>
      <c r="U245" s="9">
        <v>9554719621</v>
      </c>
      <c r="V245" s="9" t="s">
        <v>53</v>
      </c>
      <c r="W245" s="3"/>
      <c r="X245" s="3"/>
      <c r="Y245" s="3"/>
      <c r="Z245" s="3"/>
    </row>
    <row r="246" spans="1:26" ht="15" thickBot="1" x14ac:dyDescent="0.4">
      <c r="A246" s="4" t="s">
        <v>370</v>
      </c>
      <c r="B246" s="4" t="s">
        <v>23</v>
      </c>
      <c r="C246" s="4" t="s">
        <v>138</v>
      </c>
      <c r="D246" s="5">
        <v>45943</v>
      </c>
      <c r="E246" s="5">
        <v>45944</v>
      </c>
      <c r="F246" s="4" t="s">
        <v>25</v>
      </c>
      <c r="G246" s="4" t="s">
        <v>26</v>
      </c>
      <c r="H246" s="5">
        <v>36650</v>
      </c>
      <c r="I246" s="4" t="s">
        <v>48</v>
      </c>
      <c r="J246" s="4" t="s">
        <v>28</v>
      </c>
      <c r="K246" s="4" t="s">
        <v>83</v>
      </c>
      <c r="L246" s="4" t="s">
        <v>139</v>
      </c>
      <c r="M246" s="6">
        <v>5</v>
      </c>
      <c r="N246" s="6">
        <v>45</v>
      </c>
      <c r="O246" s="6">
        <v>15</v>
      </c>
      <c r="P246" s="6">
        <v>191.25</v>
      </c>
      <c r="Q246" s="6">
        <v>2</v>
      </c>
      <c r="R246" s="4" t="s">
        <v>31</v>
      </c>
      <c r="S246" s="4" t="s">
        <v>50</v>
      </c>
      <c r="T246" s="4" t="s">
        <v>43</v>
      </c>
      <c r="U246" s="4">
        <v>9815899217</v>
      </c>
      <c r="V246" s="4" t="s">
        <v>53</v>
      </c>
      <c r="W246" s="3"/>
      <c r="X246" s="3"/>
      <c r="Y246" s="3"/>
      <c r="Z246" s="3"/>
    </row>
    <row r="247" spans="1:26" ht="15" thickBot="1" x14ac:dyDescent="0.4">
      <c r="A247" s="9" t="s">
        <v>371</v>
      </c>
      <c r="B247" s="9" t="s">
        <v>156</v>
      </c>
      <c r="C247" s="9" t="s">
        <v>112</v>
      </c>
      <c r="D247" s="10">
        <v>45802</v>
      </c>
      <c r="E247" s="10">
        <v>45809</v>
      </c>
      <c r="F247" s="9" t="s">
        <v>106</v>
      </c>
      <c r="G247" s="9" t="s">
        <v>58</v>
      </c>
      <c r="H247" s="10">
        <v>37316</v>
      </c>
      <c r="I247" s="9" t="s">
        <v>27</v>
      </c>
      <c r="J247" s="9" t="s">
        <v>28</v>
      </c>
      <c r="K247" s="9" t="s">
        <v>39</v>
      </c>
      <c r="L247" s="9" t="s">
        <v>114</v>
      </c>
      <c r="M247" s="11">
        <v>19</v>
      </c>
      <c r="N247" s="11">
        <v>700</v>
      </c>
      <c r="O247" s="11">
        <v>5</v>
      </c>
      <c r="P247" s="11">
        <v>12635</v>
      </c>
      <c r="Q247" s="11">
        <v>5</v>
      </c>
      <c r="R247" s="9" t="s">
        <v>65</v>
      </c>
      <c r="S247" s="9" t="s">
        <v>96</v>
      </c>
      <c r="T247" s="9" t="s">
        <v>158</v>
      </c>
      <c r="U247" s="9">
        <v>9308497039</v>
      </c>
      <c r="V247" s="12" t="s">
        <v>34</v>
      </c>
      <c r="W247" s="3"/>
      <c r="X247" s="3"/>
      <c r="Y247" s="3"/>
      <c r="Z247" s="3"/>
    </row>
    <row r="248" spans="1:26" ht="15" thickBot="1" x14ac:dyDescent="0.4">
      <c r="A248" s="4" t="s">
        <v>372</v>
      </c>
      <c r="B248" s="4" t="s">
        <v>87</v>
      </c>
      <c r="C248" s="4" t="s">
        <v>82</v>
      </c>
      <c r="D248" s="5">
        <v>46025</v>
      </c>
      <c r="E248" s="5">
        <v>46026</v>
      </c>
      <c r="F248" s="4" t="s">
        <v>88</v>
      </c>
      <c r="G248" s="4" t="s">
        <v>58</v>
      </c>
      <c r="H248" s="5">
        <v>27541</v>
      </c>
      <c r="I248" s="4" t="s">
        <v>147</v>
      </c>
      <c r="J248" s="4" t="s">
        <v>148</v>
      </c>
      <c r="K248" s="4" t="s">
        <v>83</v>
      </c>
      <c r="L248" s="4" t="s">
        <v>84</v>
      </c>
      <c r="M248" s="6">
        <v>7</v>
      </c>
      <c r="N248" s="6">
        <v>60</v>
      </c>
      <c r="O248" s="6">
        <v>0</v>
      </c>
      <c r="P248" s="6">
        <v>420</v>
      </c>
      <c r="Q248" s="6">
        <v>4</v>
      </c>
      <c r="R248" s="4" t="s">
        <v>31</v>
      </c>
      <c r="S248" s="4" t="s">
        <v>80</v>
      </c>
      <c r="T248" s="4" t="s">
        <v>89</v>
      </c>
      <c r="U248" s="4">
        <v>9882054354</v>
      </c>
      <c r="V248" s="4" t="s">
        <v>52</v>
      </c>
      <c r="W248" s="3"/>
      <c r="X248" s="3"/>
      <c r="Y248" s="3"/>
      <c r="Z248" s="3"/>
    </row>
    <row r="249" spans="1:26" ht="15" thickBot="1" x14ac:dyDescent="0.4">
      <c r="A249" s="9" t="s">
        <v>373</v>
      </c>
      <c r="B249" s="9" t="s">
        <v>55</v>
      </c>
      <c r="C249" s="9" t="s">
        <v>24</v>
      </c>
      <c r="D249" s="10">
        <v>46013</v>
      </c>
      <c r="E249" s="10">
        <v>46024</v>
      </c>
      <c r="F249" s="9" t="s">
        <v>57</v>
      </c>
      <c r="G249" s="9" t="s">
        <v>58</v>
      </c>
      <c r="H249" s="10">
        <v>32479</v>
      </c>
      <c r="I249" s="9" t="s">
        <v>74</v>
      </c>
      <c r="J249" s="9" t="s">
        <v>75</v>
      </c>
      <c r="K249" s="9" t="s">
        <v>29</v>
      </c>
      <c r="L249" s="9" t="s">
        <v>30</v>
      </c>
      <c r="M249" s="11">
        <v>13</v>
      </c>
      <c r="N249" s="11">
        <v>2200</v>
      </c>
      <c r="O249" s="11">
        <v>10</v>
      </c>
      <c r="P249" s="11">
        <v>25740</v>
      </c>
      <c r="Q249" s="11">
        <v>1</v>
      </c>
      <c r="R249" s="9" t="s">
        <v>60</v>
      </c>
      <c r="S249" s="9" t="s">
        <v>96</v>
      </c>
      <c r="T249" s="9" t="s">
        <v>61</v>
      </c>
      <c r="U249" s="9">
        <v>9193016830</v>
      </c>
      <c r="V249" s="12" t="s">
        <v>34</v>
      </c>
      <c r="W249" s="3"/>
      <c r="X249" s="3"/>
      <c r="Y249" s="3"/>
      <c r="Z249" s="3"/>
    </row>
    <row r="250" spans="1:26" ht="15" thickBot="1" x14ac:dyDescent="0.4">
      <c r="A250" s="4" t="s">
        <v>374</v>
      </c>
      <c r="B250" s="4" t="s">
        <v>55</v>
      </c>
      <c r="C250" s="4" t="s">
        <v>24</v>
      </c>
      <c r="D250" s="5">
        <v>46019</v>
      </c>
      <c r="E250" s="5">
        <v>46027</v>
      </c>
      <c r="F250" s="4" t="s">
        <v>57</v>
      </c>
      <c r="G250" s="4" t="s">
        <v>58</v>
      </c>
      <c r="H250" s="5">
        <v>31022</v>
      </c>
      <c r="I250" s="4" t="s">
        <v>48</v>
      </c>
      <c r="J250" s="4" t="s">
        <v>28</v>
      </c>
      <c r="K250" s="4" t="s">
        <v>29</v>
      </c>
      <c r="L250" s="4" t="s">
        <v>30</v>
      </c>
      <c r="M250" s="6">
        <v>9</v>
      </c>
      <c r="N250" s="6">
        <v>2200</v>
      </c>
      <c r="O250" s="6">
        <v>10</v>
      </c>
      <c r="P250" s="6">
        <v>17820</v>
      </c>
      <c r="Q250" s="6">
        <v>2</v>
      </c>
      <c r="R250" s="4" t="s">
        <v>375</v>
      </c>
      <c r="S250" s="4" t="s">
        <v>50</v>
      </c>
      <c r="T250" s="4" t="s">
        <v>61</v>
      </c>
      <c r="U250" s="4">
        <v>9921470418</v>
      </c>
      <c r="V250" s="4" t="s">
        <v>53</v>
      </c>
      <c r="W250" s="3"/>
      <c r="X250" s="3"/>
      <c r="Y250" s="3"/>
      <c r="Z250" s="3"/>
    </row>
    <row r="251" spans="1:26" ht="15" thickBot="1" x14ac:dyDescent="0.4">
      <c r="A251" s="9" t="s">
        <v>376</v>
      </c>
      <c r="B251" s="9" t="s">
        <v>156</v>
      </c>
      <c r="C251" s="9" t="s">
        <v>105</v>
      </c>
      <c r="D251" s="10">
        <v>45792</v>
      </c>
      <c r="E251" s="10">
        <v>45794</v>
      </c>
      <c r="F251" s="9" t="s">
        <v>106</v>
      </c>
      <c r="G251" s="9" t="s">
        <v>58</v>
      </c>
      <c r="H251" s="10">
        <v>32994</v>
      </c>
      <c r="I251" s="9" t="s">
        <v>48</v>
      </c>
      <c r="J251" s="9" t="s">
        <v>28</v>
      </c>
      <c r="K251" s="9" t="s">
        <v>29</v>
      </c>
      <c r="L251" s="9" t="s">
        <v>107</v>
      </c>
      <c r="M251" s="11">
        <v>6</v>
      </c>
      <c r="N251" s="11">
        <v>8500</v>
      </c>
      <c r="O251" s="11">
        <v>15</v>
      </c>
      <c r="P251" s="11">
        <v>43350</v>
      </c>
      <c r="Q251" s="11">
        <v>2</v>
      </c>
      <c r="R251" s="9" t="s">
        <v>31</v>
      </c>
      <c r="S251" s="9" t="s">
        <v>96</v>
      </c>
      <c r="T251" s="9" t="s">
        <v>158</v>
      </c>
      <c r="U251" s="9">
        <v>9686979026</v>
      </c>
      <c r="V251" s="9" t="s">
        <v>53</v>
      </c>
      <c r="W251" s="3"/>
      <c r="X251" s="3"/>
      <c r="Y251" s="3"/>
      <c r="Z251" s="3"/>
    </row>
    <row r="252" spans="1:26" ht="15" thickBot="1" x14ac:dyDescent="0.4">
      <c r="A252" s="4" t="s">
        <v>377</v>
      </c>
      <c r="B252" s="4" t="s">
        <v>124</v>
      </c>
      <c r="C252" s="4" t="s">
        <v>24</v>
      </c>
      <c r="D252" s="5">
        <v>46070</v>
      </c>
      <c r="E252" s="5">
        <v>46078</v>
      </c>
      <c r="F252" s="4" t="s">
        <v>126</v>
      </c>
      <c r="G252" s="4" t="s">
        <v>58</v>
      </c>
      <c r="H252" s="5">
        <v>32182</v>
      </c>
      <c r="I252" s="4" t="s">
        <v>37</v>
      </c>
      <c r="J252" s="4" t="s">
        <v>38</v>
      </c>
      <c r="K252" s="4" t="s">
        <v>29</v>
      </c>
      <c r="L252" s="4" t="s">
        <v>30</v>
      </c>
      <c r="M252" s="6">
        <v>9</v>
      </c>
      <c r="N252" s="6">
        <v>2200</v>
      </c>
      <c r="O252" s="6">
        <v>10</v>
      </c>
      <c r="P252" s="6">
        <v>17820</v>
      </c>
      <c r="Q252" s="6">
        <v>3</v>
      </c>
      <c r="R252" s="4" t="s">
        <v>60</v>
      </c>
      <c r="S252" s="4" t="s">
        <v>32</v>
      </c>
      <c r="T252" s="4" t="s">
        <v>128</v>
      </c>
      <c r="U252" s="4">
        <v>9569007422</v>
      </c>
      <c r="V252" s="4" t="s">
        <v>52</v>
      </c>
      <c r="W252" s="3"/>
      <c r="X252" s="3"/>
      <c r="Y252" s="3"/>
      <c r="Z252" s="3"/>
    </row>
    <row r="253" spans="1:26" ht="15" thickBot="1" x14ac:dyDescent="0.4">
      <c r="A253" s="9" t="s">
        <v>378</v>
      </c>
      <c r="B253" s="9" t="s">
        <v>23</v>
      </c>
      <c r="C253" s="9" t="s">
        <v>105</v>
      </c>
      <c r="D253" s="10">
        <v>45739</v>
      </c>
      <c r="E253" s="10">
        <v>45742</v>
      </c>
      <c r="F253" s="9" t="s">
        <v>25</v>
      </c>
      <c r="G253" s="9" t="s">
        <v>26</v>
      </c>
      <c r="H253" s="10">
        <v>30038</v>
      </c>
      <c r="I253" s="9" t="s">
        <v>147</v>
      </c>
      <c r="J253" s="9" t="s">
        <v>148</v>
      </c>
      <c r="K253" s="9" t="s">
        <v>29</v>
      </c>
      <c r="L253" s="9" t="s">
        <v>107</v>
      </c>
      <c r="M253" s="11">
        <v>16</v>
      </c>
      <c r="N253" s="11">
        <v>8500</v>
      </c>
      <c r="O253" s="11">
        <v>0</v>
      </c>
      <c r="P253" s="11">
        <v>136000</v>
      </c>
      <c r="Q253" s="11">
        <v>5</v>
      </c>
      <c r="R253" s="9" t="s">
        <v>65</v>
      </c>
      <c r="S253" s="9" t="s">
        <v>80</v>
      </c>
      <c r="T253" s="9" t="s">
        <v>43</v>
      </c>
      <c r="U253" s="9">
        <v>9180820441</v>
      </c>
      <c r="V253" s="9" t="s">
        <v>53</v>
      </c>
      <c r="W253" s="3"/>
      <c r="X253" s="3"/>
      <c r="Y253" s="3"/>
      <c r="Z253" s="3"/>
    </row>
    <row r="254" spans="1:26" ht="15" thickBot="1" x14ac:dyDescent="0.4">
      <c r="A254" s="4" t="s">
        <v>379</v>
      </c>
      <c r="B254" s="4" t="s">
        <v>156</v>
      </c>
      <c r="C254" s="4" t="s">
        <v>56</v>
      </c>
      <c r="D254" s="5">
        <v>46006</v>
      </c>
      <c r="E254" s="5">
        <v>46007</v>
      </c>
      <c r="F254" s="4" t="s">
        <v>106</v>
      </c>
      <c r="G254" s="4" t="s">
        <v>58</v>
      </c>
      <c r="H254" s="5">
        <v>28122</v>
      </c>
      <c r="I254" s="4" t="s">
        <v>37</v>
      </c>
      <c r="J254" s="4" t="s">
        <v>38</v>
      </c>
      <c r="K254" s="4" t="s">
        <v>39</v>
      </c>
      <c r="L254" s="4" t="s">
        <v>59</v>
      </c>
      <c r="M254" s="6">
        <v>10</v>
      </c>
      <c r="N254" s="6">
        <v>1200</v>
      </c>
      <c r="O254" s="6">
        <v>15</v>
      </c>
      <c r="P254" s="6">
        <v>10200</v>
      </c>
      <c r="Q254" s="6">
        <v>5</v>
      </c>
      <c r="R254" s="4" t="s">
        <v>31</v>
      </c>
      <c r="S254" s="4" t="s">
        <v>42</v>
      </c>
      <c r="T254" s="4" t="s">
        <v>158</v>
      </c>
      <c r="U254" s="4">
        <v>9769075826</v>
      </c>
      <c r="V254" s="8" t="s">
        <v>34</v>
      </c>
      <c r="W254" s="3"/>
      <c r="X254" s="3"/>
      <c r="Y254" s="3"/>
      <c r="Z254" s="3"/>
    </row>
    <row r="255" spans="1:26" ht="15" thickBot="1" x14ac:dyDescent="0.4">
      <c r="A255" s="9" t="s">
        <v>380</v>
      </c>
      <c r="B255" s="9" t="s">
        <v>87</v>
      </c>
      <c r="C255" s="9" t="s">
        <v>36</v>
      </c>
      <c r="D255" s="10">
        <v>45721</v>
      </c>
      <c r="E255" s="10">
        <v>45731</v>
      </c>
      <c r="F255" s="9" t="s">
        <v>88</v>
      </c>
      <c r="G255" s="9" t="s">
        <v>58</v>
      </c>
      <c r="H255" s="10">
        <v>37836</v>
      </c>
      <c r="I255" s="9" t="s">
        <v>147</v>
      </c>
      <c r="J255" s="9" t="s">
        <v>148</v>
      </c>
      <c r="K255" s="9" t="s">
        <v>39</v>
      </c>
      <c r="L255" s="9" t="s">
        <v>40</v>
      </c>
      <c r="M255" s="11">
        <v>7</v>
      </c>
      <c r="N255" s="11">
        <v>12000</v>
      </c>
      <c r="O255" s="11">
        <v>0</v>
      </c>
      <c r="P255" s="11">
        <v>84000</v>
      </c>
      <c r="Q255" s="11">
        <v>1</v>
      </c>
      <c r="R255" s="9" t="s">
        <v>65</v>
      </c>
      <c r="S255" s="9" t="s">
        <v>96</v>
      </c>
      <c r="T255" s="9" t="s">
        <v>89</v>
      </c>
      <c r="U255" s="9">
        <v>9467916296</v>
      </c>
      <c r="V255" s="9" t="s">
        <v>52</v>
      </c>
      <c r="W255" s="3"/>
      <c r="X255" s="3"/>
      <c r="Y255" s="3"/>
      <c r="Z255" s="3"/>
    </row>
    <row r="256" spans="1:26" ht="15" thickBot="1" x14ac:dyDescent="0.4">
      <c r="A256" s="4" t="s">
        <v>381</v>
      </c>
      <c r="B256" s="4" t="s">
        <v>124</v>
      </c>
      <c r="C256" s="4" t="s">
        <v>36</v>
      </c>
      <c r="D256" s="5">
        <v>45919</v>
      </c>
      <c r="E256" s="5">
        <v>45931</v>
      </c>
      <c r="F256" s="4" t="s">
        <v>126</v>
      </c>
      <c r="G256" s="4" t="s">
        <v>58</v>
      </c>
      <c r="H256" s="5">
        <v>31538</v>
      </c>
      <c r="I256" s="4" t="s">
        <v>79</v>
      </c>
      <c r="J256" s="4" t="s">
        <v>75</v>
      </c>
      <c r="K256" s="4" t="s">
        <v>39</v>
      </c>
      <c r="L256" s="4" t="s">
        <v>40</v>
      </c>
      <c r="M256" s="6">
        <v>3</v>
      </c>
      <c r="N256" s="6">
        <v>12000</v>
      </c>
      <c r="O256" s="6">
        <v>10</v>
      </c>
      <c r="P256" s="6">
        <v>32400</v>
      </c>
      <c r="Q256" s="6">
        <v>4</v>
      </c>
      <c r="R256" s="4" t="s">
        <v>60</v>
      </c>
      <c r="S256" s="4" t="s">
        <v>96</v>
      </c>
      <c r="T256" s="4" t="s">
        <v>128</v>
      </c>
      <c r="U256" s="4">
        <v>9477052923</v>
      </c>
      <c r="V256" s="8" t="s">
        <v>34</v>
      </c>
      <c r="W256" s="3"/>
      <c r="X256" s="3"/>
      <c r="Y256" s="3"/>
      <c r="Z256" s="3"/>
    </row>
    <row r="257" spans="1:26" ht="15" thickBot="1" x14ac:dyDescent="0.4">
      <c r="A257" s="9" t="s">
        <v>382</v>
      </c>
      <c r="B257" s="9" t="s">
        <v>124</v>
      </c>
      <c r="C257" s="9" t="s">
        <v>36</v>
      </c>
      <c r="D257" s="10">
        <v>45964</v>
      </c>
      <c r="E257" s="10">
        <v>45970</v>
      </c>
      <c r="F257" s="9" t="s">
        <v>126</v>
      </c>
      <c r="G257" s="9" t="s">
        <v>58</v>
      </c>
      <c r="H257" s="10">
        <v>32543</v>
      </c>
      <c r="I257" s="9" t="s">
        <v>27</v>
      </c>
      <c r="J257" s="9" t="s">
        <v>28</v>
      </c>
      <c r="K257" s="9" t="s">
        <v>39</v>
      </c>
      <c r="L257" s="9" t="s">
        <v>40</v>
      </c>
      <c r="M257" s="11">
        <v>4</v>
      </c>
      <c r="N257" s="11">
        <v>12000</v>
      </c>
      <c r="O257" s="11">
        <v>15</v>
      </c>
      <c r="P257" s="11">
        <v>40800</v>
      </c>
      <c r="Q257" s="11">
        <v>3</v>
      </c>
      <c r="R257" s="9" t="s">
        <v>60</v>
      </c>
      <c r="S257" s="9" t="s">
        <v>32</v>
      </c>
      <c r="T257" s="9" t="s">
        <v>128</v>
      </c>
      <c r="U257" s="9">
        <v>9184311420</v>
      </c>
      <c r="V257" s="9" t="s">
        <v>52</v>
      </c>
      <c r="W257" s="3"/>
      <c r="X257" s="3"/>
      <c r="Y257" s="3"/>
      <c r="Z257" s="3"/>
    </row>
    <row r="258" spans="1:26" ht="15" thickBot="1" x14ac:dyDescent="0.4">
      <c r="A258" s="4" t="s">
        <v>383</v>
      </c>
      <c r="B258" s="4" t="s">
        <v>87</v>
      </c>
      <c r="C258" s="4" t="s">
        <v>36</v>
      </c>
      <c r="D258" s="5">
        <v>45824</v>
      </c>
      <c r="E258" s="5">
        <v>45826</v>
      </c>
      <c r="F258" s="4" t="s">
        <v>88</v>
      </c>
      <c r="G258" s="4" t="s">
        <v>58</v>
      </c>
      <c r="H258" s="5">
        <v>29259</v>
      </c>
      <c r="I258" s="4" t="s">
        <v>27</v>
      </c>
      <c r="J258" s="4" t="s">
        <v>28</v>
      </c>
      <c r="K258" s="4" t="s">
        <v>39</v>
      </c>
      <c r="L258" s="4" t="s">
        <v>40</v>
      </c>
      <c r="M258" s="6">
        <v>13</v>
      </c>
      <c r="N258" s="6">
        <v>12000</v>
      </c>
      <c r="O258" s="6">
        <v>10</v>
      </c>
      <c r="P258" s="6">
        <v>140400</v>
      </c>
      <c r="Q258" s="6">
        <v>2</v>
      </c>
      <c r="R258" s="4" t="s">
        <v>31</v>
      </c>
      <c r="S258" s="4" t="s">
        <v>96</v>
      </c>
      <c r="T258" s="4" t="s">
        <v>89</v>
      </c>
      <c r="U258" s="4">
        <v>9630913127</v>
      </c>
      <c r="V258" s="4" t="s">
        <v>53</v>
      </c>
      <c r="W258" s="3"/>
      <c r="X258" s="3"/>
      <c r="Y258" s="3"/>
      <c r="Z258" s="3"/>
    </row>
    <row r="259" spans="1:26" ht="15" thickBot="1" x14ac:dyDescent="0.4">
      <c r="A259" s="9" t="s">
        <v>384</v>
      </c>
      <c r="B259" s="9" t="s">
        <v>23</v>
      </c>
      <c r="C259" s="9" t="s">
        <v>68</v>
      </c>
      <c r="D259" s="10">
        <v>45812</v>
      </c>
      <c r="E259" s="10">
        <v>45819</v>
      </c>
      <c r="F259" s="9" t="s">
        <v>25</v>
      </c>
      <c r="G259" s="9" t="s">
        <v>26</v>
      </c>
      <c r="H259" s="10">
        <v>31060</v>
      </c>
      <c r="I259" s="9" t="s">
        <v>48</v>
      </c>
      <c r="J259" s="9" t="s">
        <v>28</v>
      </c>
      <c r="K259" s="9" t="s">
        <v>29</v>
      </c>
      <c r="L259" s="9" t="s">
        <v>70</v>
      </c>
      <c r="M259" s="11">
        <v>19</v>
      </c>
      <c r="N259" s="11">
        <v>3500</v>
      </c>
      <c r="O259" s="11">
        <v>20</v>
      </c>
      <c r="P259" s="11">
        <v>53200</v>
      </c>
      <c r="Q259" s="11">
        <v>1</v>
      </c>
      <c r="R259" s="9" t="s">
        <v>31</v>
      </c>
      <c r="S259" s="9" t="s">
        <v>50</v>
      </c>
      <c r="T259" s="9" t="s">
        <v>43</v>
      </c>
      <c r="U259" s="9">
        <v>9997515828</v>
      </c>
      <c r="V259" s="9" t="s">
        <v>53</v>
      </c>
      <c r="W259" s="3"/>
      <c r="X259" s="3"/>
      <c r="Y259" s="3"/>
      <c r="Z259" s="3"/>
    </row>
    <row r="260" spans="1:26" ht="15" thickBot="1" x14ac:dyDescent="0.4">
      <c r="A260" s="4" t="s">
        <v>385</v>
      </c>
      <c r="B260" s="4" t="s">
        <v>23</v>
      </c>
      <c r="C260" s="4" t="s">
        <v>24</v>
      </c>
      <c r="D260" s="5">
        <v>45695</v>
      </c>
      <c r="E260" s="5">
        <v>45700</v>
      </c>
      <c r="F260" s="4" t="s">
        <v>25</v>
      </c>
      <c r="G260" s="4" t="s">
        <v>26</v>
      </c>
      <c r="H260" s="5">
        <v>29060</v>
      </c>
      <c r="I260" s="4" t="s">
        <v>74</v>
      </c>
      <c r="J260" s="4" t="s">
        <v>75</v>
      </c>
      <c r="K260" s="4" t="s">
        <v>29</v>
      </c>
      <c r="L260" s="4" t="s">
        <v>30</v>
      </c>
      <c r="M260" s="6">
        <v>7</v>
      </c>
      <c r="N260" s="6">
        <v>2200</v>
      </c>
      <c r="O260" s="6">
        <v>5</v>
      </c>
      <c r="P260" s="6">
        <v>14630</v>
      </c>
      <c r="Q260" s="6">
        <v>3</v>
      </c>
      <c r="R260" s="4" t="s">
        <v>65</v>
      </c>
      <c r="S260" s="4" t="s">
        <v>50</v>
      </c>
      <c r="T260" s="4" t="s">
        <v>43</v>
      </c>
      <c r="U260" s="4">
        <v>9394291182</v>
      </c>
      <c r="V260" s="4" t="s">
        <v>53</v>
      </c>
      <c r="W260" s="3"/>
      <c r="X260" s="3"/>
      <c r="Y260" s="3"/>
      <c r="Z260" s="3"/>
    </row>
    <row r="261" spans="1:26" ht="15" thickBot="1" x14ac:dyDescent="0.4">
      <c r="A261" s="9" t="s">
        <v>386</v>
      </c>
      <c r="B261" s="9" t="s">
        <v>63</v>
      </c>
      <c r="C261" s="9" t="s">
        <v>112</v>
      </c>
      <c r="D261" s="10">
        <v>46151</v>
      </c>
      <c r="E261" s="10">
        <v>46155</v>
      </c>
      <c r="F261" s="9" t="s">
        <v>110</v>
      </c>
      <c r="G261" s="9" t="s">
        <v>58</v>
      </c>
      <c r="H261" s="10">
        <v>34184</v>
      </c>
      <c r="I261" s="9" t="s">
        <v>121</v>
      </c>
      <c r="J261" s="9" t="s">
        <v>38</v>
      </c>
      <c r="K261" s="9" t="s">
        <v>39</v>
      </c>
      <c r="L261" s="9" t="s">
        <v>114</v>
      </c>
      <c r="M261" s="11">
        <v>18</v>
      </c>
      <c r="N261" s="11">
        <v>700</v>
      </c>
      <c r="O261" s="11">
        <v>5</v>
      </c>
      <c r="P261" s="11">
        <v>11970</v>
      </c>
      <c r="Q261" s="11">
        <v>2</v>
      </c>
      <c r="R261" s="9" t="s">
        <v>65</v>
      </c>
      <c r="S261" s="9" t="s">
        <v>50</v>
      </c>
      <c r="T261" s="9" t="s">
        <v>66</v>
      </c>
      <c r="U261" s="9">
        <v>9616853220</v>
      </c>
      <c r="V261" s="9" t="s">
        <v>53</v>
      </c>
      <c r="W261" s="3"/>
      <c r="X261" s="3"/>
      <c r="Y261" s="3"/>
      <c r="Z261" s="3"/>
    </row>
    <row r="262" spans="1:26" ht="15" thickBot="1" x14ac:dyDescent="0.4">
      <c r="A262" s="4" t="s">
        <v>387</v>
      </c>
      <c r="B262" s="4" t="s">
        <v>23</v>
      </c>
      <c r="C262" s="4" t="s">
        <v>125</v>
      </c>
      <c r="D262" s="5">
        <v>45858</v>
      </c>
      <c r="E262" s="5">
        <v>45868</v>
      </c>
      <c r="F262" s="4" t="s">
        <v>25</v>
      </c>
      <c r="G262" s="4" t="s">
        <v>26</v>
      </c>
      <c r="H262" s="5">
        <v>27629</v>
      </c>
      <c r="I262" s="4" t="s">
        <v>147</v>
      </c>
      <c r="J262" s="4" t="s">
        <v>148</v>
      </c>
      <c r="K262" s="4" t="s">
        <v>83</v>
      </c>
      <c r="L262" s="4" t="s">
        <v>127</v>
      </c>
      <c r="M262" s="6">
        <v>11</v>
      </c>
      <c r="N262" s="6">
        <v>20</v>
      </c>
      <c r="O262" s="6">
        <v>0</v>
      </c>
      <c r="P262" s="6">
        <v>220</v>
      </c>
      <c r="Q262" s="6">
        <v>2</v>
      </c>
      <c r="R262" s="4" t="s">
        <v>41</v>
      </c>
      <c r="S262" s="4" t="s">
        <v>80</v>
      </c>
      <c r="T262" s="4" t="s">
        <v>43</v>
      </c>
      <c r="U262" s="4">
        <v>9147552626</v>
      </c>
      <c r="V262" s="4" t="s">
        <v>53</v>
      </c>
      <c r="W262" s="3"/>
      <c r="X262" s="3"/>
      <c r="Y262" s="3"/>
      <c r="Z262" s="3"/>
    </row>
    <row r="263" spans="1:26" ht="15" thickBot="1" x14ac:dyDescent="0.4">
      <c r="A263" s="9" t="s">
        <v>388</v>
      </c>
      <c r="B263" s="9" t="s">
        <v>156</v>
      </c>
      <c r="C263" s="9" t="s">
        <v>36</v>
      </c>
      <c r="D263" s="10">
        <v>45716</v>
      </c>
      <c r="E263" s="10">
        <v>45723</v>
      </c>
      <c r="F263" s="9" t="s">
        <v>106</v>
      </c>
      <c r="G263" s="9" t="s">
        <v>58</v>
      </c>
      <c r="H263" s="10">
        <v>28603</v>
      </c>
      <c r="I263" s="9" t="s">
        <v>79</v>
      </c>
      <c r="J263" s="9" t="s">
        <v>75</v>
      </c>
      <c r="K263" s="9" t="s">
        <v>39</v>
      </c>
      <c r="L263" s="9" t="s">
        <v>40</v>
      </c>
      <c r="M263" s="11">
        <v>17</v>
      </c>
      <c r="N263" s="11">
        <v>12000</v>
      </c>
      <c r="O263" s="11">
        <v>20</v>
      </c>
      <c r="P263" s="11">
        <v>163200</v>
      </c>
      <c r="Q263" s="11">
        <v>4</v>
      </c>
      <c r="R263" s="9" t="s">
        <v>65</v>
      </c>
      <c r="S263" s="9" t="s">
        <v>96</v>
      </c>
      <c r="T263" s="9" t="s">
        <v>158</v>
      </c>
      <c r="U263" s="9">
        <v>9724197033</v>
      </c>
      <c r="V263" s="12" t="s">
        <v>34</v>
      </c>
      <c r="W263" s="3"/>
      <c r="X263" s="3"/>
      <c r="Y263" s="3"/>
      <c r="Z263" s="3"/>
    </row>
    <row r="264" spans="1:26" ht="15" thickBot="1" x14ac:dyDescent="0.4">
      <c r="A264" s="4" t="s">
        <v>389</v>
      </c>
      <c r="B264" s="4" t="s">
        <v>134</v>
      </c>
      <c r="C264" s="4" t="s">
        <v>24</v>
      </c>
      <c r="D264" s="5">
        <v>45846</v>
      </c>
      <c r="E264" s="5">
        <v>45851</v>
      </c>
      <c r="F264" s="4" t="s">
        <v>135</v>
      </c>
      <c r="G264" s="4" t="s">
        <v>26</v>
      </c>
      <c r="H264" s="5">
        <v>37889</v>
      </c>
      <c r="I264" s="4" t="s">
        <v>147</v>
      </c>
      <c r="J264" s="4" t="s">
        <v>148</v>
      </c>
      <c r="K264" s="4" t="s">
        <v>29</v>
      </c>
      <c r="L264" s="4" t="s">
        <v>30</v>
      </c>
      <c r="M264" s="6">
        <v>4</v>
      </c>
      <c r="N264" s="6">
        <v>2200</v>
      </c>
      <c r="O264" s="6">
        <v>5</v>
      </c>
      <c r="P264" s="6">
        <v>8360</v>
      </c>
      <c r="Q264" s="6">
        <v>2</v>
      </c>
      <c r="R264" s="4" t="s">
        <v>31</v>
      </c>
      <c r="S264" s="4" t="s">
        <v>32</v>
      </c>
      <c r="T264" s="4" t="s">
        <v>136</v>
      </c>
      <c r="U264" s="4">
        <v>9130666128</v>
      </c>
      <c r="V264" s="8" t="s">
        <v>34</v>
      </c>
      <c r="W264" s="3"/>
      <c r="X264" s="3"/>
      <c r="Y264" s="3"/>
      <c r="Z264" s="3"/>
    </row>
    <row r="265" spans="1:26" ht="15" thickBot="1" x14ac:dyDescent="0.4">
      <c r="A265" s="9" t="s">
        <v>390</v>
      </c>
      <c r="B265" s="9" t="s">
        <v>23</v>
      </c>
      <c r="C265" s="9" t="s">
        <v>46</v>
      </c>
      <c r="D265" s="10">
        <v>46003</v>
      </c>
      <c r="E265" s="10">
        <v>46010</v>
      </c>
      <c r="F265" s="9" t="s">
        <v>25</v>
      </c>
      <c r="G265" s="9" t="s">
        <v>26</v>
      </c>
      <c r="H265" s="10">
        <v>37355</v>
      </c>
      <c r="I265" s="9" t="s">
        <v>91</v>
      </c>
      <c r="J265" s="9" t="s">
        <v>75</v>
      </c>
      <c r="K265" s="9" t="s">
        <v>39</v>
      </c>
      <c r="L265" s="9" t="s">
        <v>49</v>
      </c>
      <c r="M265" s="11">
        <v>6</v>
      </c>
      <c r="N265" s="11">
        <v>55000</v>
      </c>
      <c r="O265" s="11">
        <v>20</v>
      </c>
      <c r="P265" s="11">
        <v>264000</v>
      </c>
      <c r="Q265" s="11">
        <v>2</v>
      </c>
      <c r="R265" s="9" t="s">
        <v>65</v>
      </c>
      <c r="S265" s="9" t="s">
        <v>96</v>
      </c>
      <c r="T265" s="9" t="s">
        <v>43</v>
      </c>
      <c r="U265" s="9">
        <v>9866567601</v>
      </c>
      <c r="V265" s="9" t="s">
        <v>53</v>
      </c>
      <c r="W265" s="3"/>
      <c r="X265" s="3"/>
      <c r="Y265" s="3"/>
      <c r="Z265" s="3"/>
    </row>
    <row r="266" spans="1:26" ht="15" thickBot="1" x14ac:dyDescent="0.4">
      <c r="A266" s="4" t="s">
        <v>391</v>
      </c>
      <c r="B266" s="4" t="s">
        <v>55</v>
      </c>
      <c r="C266" s="4" t="s">
        <v>105</v>
      </c>
      <c r="D266" s="5">
        <v>46026</v>
      </c>
      <c r="E266" s="5">
        <v>46036</v>
      </c>
      <c r="F266" s="4" t="s">
        <v>57</v>
      </c>
      <c r="G266" s="4" t="s">
        <v>58</v>
      </c>
      <c r="H266" s="5">
        <v>31314</v>
      </c>
      <c r="I266" s="4" t="s">
        <v>37</v>
      </c>
      <c r="J266" s="4" t="s">
        <v>38</v>
      </c>
      <c r="K266" s="4" t="s">
        <v>29</v>
      </c>
      <c r="L266" s="4" t="s">
        <v>107</v>
      </c>
      <c r="M266" s="6">
        <v>6</v>
      </c>
      <c r="N266" s="6">
        <v>8500</v>
      </c>
      <c r="O266" s="6">
        <v>10</v>
      </c>
      <c r="P266" s="6">
        <v>45900</v>
      </c>
      <c r="Q266" s="6">
        <v>5</v>
      </c>
      <c r="R266" s="4" t="s">
        <v>65</v>
      </c>
      <c r="S266" s="4" t="s">
        <v>50</v>
      </c>
      <c r="T266" s="4" t="s">
        <v>61</v>
      </c>
      <c r="U266" s="4">
        <v>9477282450</v>
      </c>
      <c r="V266" s="8" t="s">
        <v>34</v>
      </c>
      <c r="W266" s="3"/>
      <c r="X266" s="3"/>
      <c r="Y266" s="3"/>
      <c r="Z266" s="3"/>
    </row>
    <row r="267" spans="1:26" ht="15" thickBot="1" x14ac:dyDescent="0.4">
      <c r="A267" s="9" t="s">
        <v>392</v>
      </c>
      <c r="B267" s="9" t="s">
        <v>23</v>
      </c>
      <c r="C267" s="9" t="s">
        <v>125</v>
      </c>
      <c r="D267" s="10">
        <v>45889</v>
      </c>
      <c r="E267" s="10">
        <v>45894</v>
      </c>
      <c r="F267" s="9" t="s">
        <v>25</v>
      </c>
      <c r="G267" s="9" t="s">
        <v>26</v>
      </c>
      <c r="H267" s="10">
        <v>31028</v>
      </c>
      <c r="I267" s="9" t="s">
        <v>121</v>
      </c>
      <c r="J267" s="9" t="s">
        <v>38</v>
      </c>
      <c r="K267" s="9" t="s">
        <v>83</v>
      </c>
      <c r="L267" s="9" t="s">
        <v>127</v>
      </c>
      <c r="M267" s="11">
        <v>6</v>
      </c>
      <c r="N267" s="11">
        <v>20</v>
      </c>
      <c r="O267" s="11">
        <v>15</v>
      </c>
      <c r="P267" s="11">
        <v>102</v>
      </c>
      <c r="Q267" s="11">
        <v>2</v>
      </c>
      <c r="R267" s="9" t="s">
        <v>65</v>
      </c>
      <c r="S267" s="9" t="s">
        <v>42</v>
      </c>
      <c r="T267" s="9" t="s">
        <v>43</v>
      </c>
      <c r="U267" s="9">
        <v>9857621478</v>
      </c>
      <c r="V267" s="9" t="s">
        <v>53</v>
      </c>
      <c r="W267" s="3"/>
      <c r="X267" s="3"/>
      <c r="Y267" s="3"/>
      <c r="Z267" s="3"/>
    </row>
    <row r="268" spans="1:26" ht="15" thickBot="1" x14ac:dyDescent="0.4">
      <c r="A268" s="4" t="s">
        <v>393</v>
      </c>
      <c r="B268" s="4" t="s">
        <v>45</v>
      </c>
      <c r="C268" s="4" t="s">
        <v>82</v>
      </c>
      <c r="D268" s="5">
        <v>45780</v>
      </c>
      <c r="E268" s="5">
        <v>45788</v>
      </c>
      <c r="F268" s="4" t="s">
        <v>101</v>
      </c>
      <c r="G268" s="4" t="s">
        <v>26</v>
      </c>
      <c r="H268" s="5">
        <v>30883</v>
      </c>
      <c r="I268" s="4" t="s">
        <v>74</v>
      </c>
      <c r="J268" s="4" t="s">
        <v>75</v>
      </c>
      <c r="K268" s="4" t="s">
        <v>83</v>
      </c>
      <c r="L268" s="4" t="s">
        <v>84</v>
      </c>
      <c r="M268" s="6">
        <v>6</v>
      </c>
      <c r="N268" s="6">
        <v>60</v>
      </c>
      <c r="O268" s="6">
        <v>5</v>
      </c>
      <c r="P268" s="6">
        <v>342</v>
      </c>
      <c r="Q268" s="6">
        <v>1</v>
      </c>
      <c r="R268" s="4" t="s">
        <v>41</v>
      </c>
      <c r="S268" s="4" t="s">
        <v>50</v>
      </c>
      <c r="T268" s="4" t="s">
        <v>51</v>
      </c>
      <c r="U268" s="4">
        <v>9753869055</v>
      </c>
      <c r="V268" s="8" t="s">
        <v>34</v>
      </c>
      <c r="W268" s="3"/>
      <c r="X268" s="3"/>
      <c r="Y268" s="3"/>
      <c r="Z268" s="3"/>
    </row>
    <row r="269" spans="1:26" ht="15" thickBot="1" x14ac:dyDescent="0.4">
      <c r="A269" s="9" t="s">
        <v>394</v>
      </c>
      <c r="B269" s="9" t="s">
        <v>87</v>
      </c>
      <c r="C269" s="9" t="s">
        <v>105</v>
      </c>
      <c r="D269" s="10">
        <v>45666</v>
      </c>
      <c r="E269" s="10">
        <v>45669</v>
      </c>
      <c r="F269" s="9" t="s">
        <v>88</v>
      </c>
      <c r="G269" s="9" t="s">
        <v>58</v>
      </c>
      <c r="H269" s="10">
        <v>32217</v>
      </c>
      <c r="I269" s="9" t="s">
        <v>27</v>
      </c>
      <c r="J269" s="9" t="s">
        <v>28</v>
      </c>
      <c r="K269" s="9" t="s">
        <v>29</v>
      </c>
      <c r="L269" s="9" t="s">
        <v>107</v>
      </c>
      <c r="M269" s="11">
        <v>19</v>
      </c>
      <c r="N269" s="11">
        <v>8500</v>
      </c>
      <c r="O269" s="11">
        <v>0</v>
      </c>
      <c r="P269" s="11">
        <v>161500</v>
      </c>
      <c r="Q269" s="11">
        <v>5</v>
      </c>
      <c r="R269" s="9" t="s">
        <v>65</v>
      </c>
      <c r="S269" s="9" t="s">
        <v>96</v>
      </c>
      <c r="T269" s="9" t="s">
        <v>89</v>
      </c>
      <c r="U269" s="9">
        <v>9663266204</v>
      </c>
      <c r="V269" s="12" t="s">
        <v>34</v>
      </c>
      <c r="W269" s="3"/>
      <c r="X269" s="3"/>
      <c r="Y269" s="3"/>
      <c r="Z269" s="3"/>
    </row>
    <row r="270" spans="1:26" ht="15" thickBot="1" x14ac:dyDescent="0.4">
      <c r="A270" s="4" t="s">
        <v>395</v>
      </c>
      <c r="B270" s="4" t="s">
        <v>134</v>
      </c>
      <c r="C270" s="4" t="s">
        <v>46</v>
      </c>
      <c r="D270" s="5">
        <v>45901</v>
      </c>
      <c r="E270" s="5">
        <v>45910</v>
      </c>
      <c r="F270" s="4" t="s">
        <v>135</v>
      </c>
      <c r="G270" s="4" t="s">
        <v>26</v>
      </c>
      <c r="H270" s="5">
        <v>31924</v>
      </c>
      <c r="I270" s="4" t="s">
        <v>121</v>
      </c>
      <c r="J270" s="4" t="s">
        <v>38</v>
      </c>
      <c r="K270" s="4" t="s">
        <v>39</v>
      </c>
      <c r="L270" s="4" t="s">
        <v>49</v>
      </c>
      <c r="M270" s="6">
        <v>8</v>
      </c>
      <c r="N270" s="6">
        <v>55000</v>
      </c>
      <c r="O270" s="6">
        <v>0</v>
      </c>
      <c r="P270" s="6">
        <v>440000</v>
      </c>
      <c r="Q270" s="6">
        <v>3</v>
      </c>
      <c r="R270" s="4" t="s">
        <v>60</v>
      </c>
      <c r="S270" s="4" t="s">
        <v>80</v>
      </c>
      <c r="T270" s="4" t="s">
        <v>136</v>
      </c>
      <c r="U270" s="4">
        <v>9675208616</v>
      </c>
      <c r="V270" s="4" t="s">
        <v>52</v>
      </c>
      <c r="W270" s="3"/>
      <c r="X270" s="3"/>
      <c r="Y270" s="3"/>
      <c r="Z270" s="3"/>
    </row>
    <row r="271" spans="1:26" ht="15" thickBot="1" x14ac:dyDescent="0.4">
      <c r="A271" s="9" t="s">
        <v>396</v>
      </c>
      <c r="B271" s="9" t="s">
        <v>55</v>
      </c>
      <c r="C271" s="9" t="s">
        <v>36</v>
      </c>
      <c r="D271" s="10">
        <v>46144</v>
      </c>
      <c r="E271" s="10">
        <v>46149</v>
      </c>
      <c r="F271" s="9" t="s">
        <v>57</v>
      </c>
      <c r="G271" s="9" t="s">
        <v>58</v>
      </c>
      <c r="H271" s="10">
        <v>32441</v>
      </c>
      <c r="I271" s="9" t="s">
        <v>147</v>
      </c>
      <c r="J271" s="9" t="s">
        <v>148</v>
      </c>
      <c r="K271" s="9" t="s">
        <v>39</v>
      </c>
      <c r="L271" s="9" t="s">
        <v>40</v>
      </c>
      <c r="M271" s="11">
        <v>18</v>
      </c>
      <c r="N271" s="11">
        <v>12000</v>
      </c>
      <c r="O271" s="11">
        <v>20</v>
      </c>
      <c r="P271" s="11">
        <v>172800</v>
      </c>
      <c r="Q271" s="11">
        <v>5</v>
      </c>
      <c r="R271" s="9" t="s">
        <v>65</v>
      </c>
      <c r="S271" s="9" t="s">
        <v>50</v>
      </c>
      <c r="T271" s="9" t="s">
        <v>61</v>
      </c>
      <c r="U271" s="9">
        <v>9618393586</v>
      </c>
      <c r="V271" s="9" t="s">
        <v>53</v>
      </c>
      <c r="W271" s="3"/>
      <c r="X271" s="3"/>
      <c r="Y271" s="3"/>
      <c r="Z271" s="3"/>
    </row>
    <row r="272" spans="1:26" ht="15" thickBot="1" x14ac:dyDescent="0.4">
      <c r="A272" s="4" t="s">
        <v>397</v>
      </c>
      <c r="B272" s="4" t="s">
        <v>87</v>
      </c>
      <c r="C272" s="4" t="s">
        <v>105</v>
      </c>
      <c r="D272" s="5">
        <v>45764</v>
      </c>
      <c r="E272" s="5">
        <v>45773</v>
      </c>
      <c r="F272" s="4" t="s">
        <v>88</v>
      </c>
      <c r="G272" s="4" t="s">
        <v>58</v>
      </c>
      <c r="H272" s="5">
        <v>33219</v>
      </c>
      <c r="I272" s="4" t="s">
        <v>91</v>
      </c>
      <c r="J272" s="4" t="s">
        <v>75</v>
      </c>
      <c r="K272" s="4" t="s">
        <v>29</v>
      </c>
      <c r="L272" s="4" t="s">
        <v>107</v>
      </c>
      <c r="M272" s="6">
        <v>8</v>
      </c>
      <c r="N272" s="6">
        <v>8500</v>
      </c>
      <c r="O272" s="6">
        <v>5</v>
      </c>
      <c r="P272" s="6">
        <v>64600</v>
      </c>
      <c r="Q272" s="6">
        <v>2</v>
      </c>
      <c r="R272" s="4" t="s">
        <v>60</v>
      </c>
      <c r="S272" s="4" t="s">
        <v>50</v>
      </c>
      <c r="T272" s="4" t="s">
        <v>89</v>
      </c>
      <c r="U272" s="4">
        <v>9137027840</v>
      </c>
      <c r="V272" s="4" t="s">
        <v>53</v>
      </c>
      <c r="W272" s="3"/>
      <c r="X272" s="3"/>
      <c r="Y272" s="3"/>
      <c r="Z272" s="3"/>
    </row>
    <row r="273" spans="1:26" ht="15" thickBot="1" x14ac:dyDescent="0.4">
      <c r="A273" s="9" t="s">
        <v>398</v>
      </c>
      <c r="B273" s="9" t="s">
        <v>23</v>
      </c>
      <c r="C273" s="9" t="s">
        <v>125</v>
      </c>
      <c r="D273" s="10">
        <v>45878</v>
      </c>
      <c r="E273" s="10">
        <v>45887</v>
      </c>
      <c r="F273" s="9" t="s">
        <v>25</v>
      </c>
      <c r="G273" s="9" t="s">
        <v>26</v>
      </c>
      <c r="H273" s="10">
        <v>29640</v>
      </c>
      <c r="I273" s="9" t="s">
        <v>74</v>
      </c>
      <c r="J273" s="9" t="s">
        <v>75</v>
      </c>
      <c r="K273" s="9" t="s">
        <v>83</v>
      </c>
      <c r="L273" s="9" t="s">
        <v>127</v>
      </c>
      <c r="M273" s="11">
        <v>13</v>
      </c>
      <c r="N273" s="11">
        <v>20</v>
      </c>
      <c r="O273" s="11">
        <v>5</v>
      </c>
      <c r="P273" s="11">
        <v>247</v>
      </c>
      <c r="Q273" s="11">
        <v>3</v>
      </c>
      <c r="R273" s="9" t="s">
        <v>41</v>
      </c>
      <c r="S273" s="9" t="s">
        <v>80</v>
      </c>
      <c r="T273" s="9" t="s">
        <v>43</v>
      </c>
      <c r="U273" s="9">
        <v>9362758134</v>
      </c>
      <c r="V273" s="9" t="s">
        <v>52</v>
      </c>
      <c r="W273" s="3"/>
      <c r="X273" s="3"/>
      <c r="Y273" s="3"/>
      <c r="Z273" s="3"/>
    </row>
    <row r="274" spans="1:26" ht="15" thickBot="1" x14ac:dyDescent="0.4">
      <c r="A274" s="4" t="s">
        <v>399</v>
      </c>
      <c r="B274" s="4" t="s">
        <v>63</v>
      </c>
      <c r="C274" s="4" t="s">
        <v>82</v>
      </c>
      <c r="D274" s="5">
        <v>46116</v>
      </c>
      <c r="E274" s="5">
        <v>46128</v>
      </c>
      <c r="F274" s="4" t="s">
        <v>110</v>
      </c>
      <c r="G274" s="4" t="s">
        <v>58</v>
      </c>
      <c r="H274" s="5">
        <v>31140</v>
      </c>
      <c r="I274" s="4" t="s">
        <v>121</v>
      </c>
      <c r="J274" s="4" t="s">
        <v>38</v>
      </c>
      <c r="K274" s="4" t="s">
        <v>83</v>
      </c>
      <c r="L274" s="4" t="s">
        <v>84</v>
      </c>
      <c r="M274" s="6">
        <v>1</v>
      </c>
      <c r="N274" s="6">
        <v>60</v>
      </c>
      <c r="O274" s="6">
        <v>15</v>
      </c>
      <c r="P274" s="6">
        <v>51</v>
      </c>
      <c r="Q274" s="6">
        <v>2</v>
      </c>
      <c r="R274" s="4" t="s">
        <v>60</v>
      </c>
      <c r="S274" s="4" t="s">
        <v>50</v>
      </c>
      <c r="T274" s="4" t="s">
        <v>66</v>
      </c>
      <c r="U274" s="4">
        <v>9648541985</v>
      </c>
      <c r="V274" s="4" t="s">
        <v>53</v>
      </c>
      <c r="W274" s="3"/>
      <c r="X274" s="3"/>
      <c r="Y274" s="3"/>
      <c r="Z274" s="3"/>
    </row>
    <row r="275" spans="1:26" ht="15" thickBot="1" x14ac:dyDescent="0.4">
      <c r="A275" s="9" t="s">
        <v>400</v>
      </c>
      <c r="B275" s="9" t="s">
        <v>45</v>
      </c>
      <c r="C275" s="9" t="s">
        <v>125</v>
      </c>
      <c r="D275" s="10">
        <v>45830</v>
      </c>
      <c r="E275" s="10">
        <v>45836</v>
      </c>
      <c r="F275" s="9" t="s">
        <v>101</v>
      </c>
      <c r="G275" s="9" t="s">
        <v>26</v>
      </c>
      <c r="H275" s="10">
        <v>27978</v>
      </c>
      <c r="I275" s="9" t="s">
        <v>79</v>
      </c>
      <c r="J275" s="9" t="s">
        <v>75</v>
      </c>
      <c r="K275" s="9" t="s">
        <v>83</v>
      </c>
      <c r="L275" s="9" t="s">
        <v>127</v>
      </c>
      <c r="M275" s="11">
        <v>5</v>
      </c>
      <c r="N275" s="11">
        <v>20</v>
      </c>
      <c r="O275" s="11">
        <v>5</v>
      </c>
      <c r="P275" s="11">
        <v>95</v>
      </c>
      <c r="Q275" s="11">
        <v>2</v>
      </c>
      <c r="R275" s="9" t="s">
        <v>41</v>
      </c>
      <c r="S275" s="9" t="s">
        <v>42</v>
      </c>
      <c r="T275" s="9" t="s">
        <v>51</v>
      </c>
      <c r="U275" s="9">
        <v>9175002781</v>
      </c>
      <c r="V275" s="9" t="s">
        <v>52</v>
      </c>
      <c r="W275" s="3"/>
      <c r="X275" s="3"/>
      <c r="Y275" s="3"/>
      <c r="Z275" s="3"/>
    </row>
    <row r="276" spans="1:26" ht="15" thickBot="1" x14ac:dyDescent="0.4">
      <c r="A276" s="4" t="s">
        <v>401</v>
      </c>
      <c r="B276" s="4" t="s">
        <v>124</v>
      </c>
      <c r="C276" s="4" t="s">
        <v>125</v>
      </c>
      <c r="D276" s="5">
        <v>45796</v>
      </c>
      <c r="E276" s="5">
        <v>45801</v>
      </c>
      <c r="F276" s="4" t="s">
        <v>126</v>
      </c>
      <c r="G276" s="4" t="s">
        <v>58</v>
      </c>
      <c r="H276" s="5">
        <v>28623</v>
      </c>
      <c r="I276" s="4" t="s">
        <v>147</v>
      </c>
      <c r="J276" s="4" t="s">
        <v>148</v>
      </c>
      <c r="K276" s="4" t="s">
        <v>83</v>
      </c>
      <c r="L276" s="4" t="s">
        <v>127</v>
      </c>
      <c r="M276" s="6">
        <v>19</v>
      </c>
      <c r="N276" s="6">
        <v>20</v>
      </c>
      <c r="O276" s="6">
        <v>20</v>
      </c>
      <c r="P276" s="6">
        <v>304</v>
      </c>
      <c r="Q276" s="6">
        <v>3</v>
      </c>
      <c r="R276" s="4" t="s">
        <v>31</v>
      </c>
      <c r="S276" s="4" t="s">
        <v>32</v>
      </c>
      <c r="T276" s="4" t="s">
        <v>128</v>
      </c>
      <c r="U276" s="4">
        <v>9786241263</v>
      </c>
      <c r="V276" s="4" t="s">
        <v>53</v>
      </c>
      <c r="W276" s="3"/>
      <c r="X276" s="3"/>
      <c r="Y276" s="3"/>
      <c r="Z276" s="3"/>
    </row>
    <row r="277" spans="1:26" ht="15" thickBot="1" x14ac:dyDescent="0.4">
      <c r="A277" s="9" t="s">
        <v>402</v>
      </c>
      <c r="B277" s="9" t="s">
        <v>72</v>
      </c>
      <c r="C277" s="9" t="s">
        <v>138</v>
      </c>
      <c r="D277" s="10">
        <v>45745</v>
      </c>
      <c r="E277" s="10">
        <v>45754</v>
      </c>
      <c r="F277" s="9" t="s">
        <v>73</v>
      </c>
      <c r="G277" s="9" t="s">
        <v>26</v>
      </c>
      <c r="H277" s="10">
        <v>36026</v>
      </c>
      <c r="I277" s="9" t="s">
        <v>91</v>
      </c>
      <c r="J277" s="9" t="s">
        <v>75</v>
      </c>
      <c r="K277" s="9" t="s">
        <v>83</v>
      </c>
      <c r="L277" s="9" t="s">
        <v>139</v>
      </c>
      <c r="M277" s="11">
        <v>17</v>
      </c>
      <c r="N277" s="11">
        <v>45</v>
      </c>
      <c r="O277" s="11">
        <v>5</v>
      </c>
      <c r="P277" s="11">
        <v>726.75</v>
      </c>
      <c r="Q277" s="11">
        <v>4</v>
      </c>
      <c r="R277" s="9" t="s">
        <v>31</v>
      </c>
      <c r="S277" s="9" t="s">
        <v>80</v>
      </c>
      <c r="T277" s="9" t="s">
        <v>93</v>
      </c>
      <c r="U277" s="9">
        <v>9691078176</v>
      </c>
      <c r="V277" s="9" t="s">
        <v>52</v>
      </c>
      <c r="W277" s="3"/>
      <c r="X277" s="3"/>
      <c r="Y277" s="3"/>
      <c r="Z277" s="3"/>
    </row>
    <row r="278" spans="1:26" ht="15" thickBot="1" x14ac:dyDescent="0.4">
      <c r="A278" s="4" t="s">
        <v>403</v>
      </c>
      <c r="B278" s="4" t="s">
        <v>63</v>
      </c>
      <c r="C278" s="4" t="s">
        <v>112</v>
      </c>
      <c r="D278" s="5">
        <v>46071</v>
      </c>
      <c r="E278" s="5">
        <v>46075</v>
      </c>
      <c r="F278" s="4" t="s">
        <v>110</v>
      </c>
      <c r="G278" s="4" t="s">
        <v>58</v>
      </c>
      <c r="H278" s="5">
        <v>27687</v>
      </c>
      <c r="I278" s="4" t="s">
        <v>48</v>
      </c>
      <c r="J278" s="4" t="s">
        <v>28</v>
      </c>
      <c r="K278" s="4" t="s">
        <v>39</v>
      </c>
      <c r="L278" s="4" t="s">
        <v>114</v>
      </c>
      <c r="M278" s="6">
        <v>8</v>
      </c>
      <c r="N278" s="6">
        <v>700</v>
      </c>
      <c r="O278" s="6">
        <v>15</v>
      </c>
      <c r="P278" s="6">
        <v>4760</v>
      </c>
      <c r="Q278" s="6">
        <v>4</v>
      </c>
      <c r="R278" s="4" t="s">
        <v>41</v>
      </c>
      <c r="S278" s="4" t="s">
        <v>32</v>
      </c>
      <c r="T278" s="4" t="s">
        <v>66</v>
      </c>
      <c r="U278" s="4">
        <v>9336679085</v>
      </c>
      <c r="V278" s="4" t="s">
        <v>52</v>
      </c>
      <c r="W278" s="3"/>
      <c r="X278" s="3"/>
      <c r="Y278" s="3"/>
      <c r="Z278" s="3"/>
    </row>
    <row r="279" spans="1:26" ht="15" thickBot="1" x14ac:dyDescent="0.4">
      <c r="A279" s="9" t="s">
        <v>404</v>
      </c>
      <c r="B279" s="9" t="s">
        <v>104</v>
      </c>
      <c r="C279" s="9" t="s">
        <v>24</v>
      </c>
      <c r="D279" s="10">
        <v>46043</v>
      </c>
      <c r="E279" s="10">
        <v>46051</v>
      </c>
      <c r="F279" s="9" t="s">
        <v>166</v>
      </c>
      <c r="G279" s="9" t="s">
        <v>26</v>
      </c>
      <c r="H279" s="10">
        <v>27665</v>
      </c>
      <c r="I279" s="9" t="s">
        <v>74</v>
      </c>
      <c r="J279" s="9" t="s">
        <v>75</v>
      </c>
      <c r="K279" s="9" t="s">
        <v>29</v>
      </c>
      <c r="L279" s="9" t="s">
        <v>30</v>
      </c>
      <c r="M279" s="11">
        <v>15</v>
      </c>
      <c r="N279" s="11">
        <v>2200</v>
      </c>
      <c r="O279" s="11">
        <v>10</v>
      </c>
      <c r="P279" s="11">
        <v>29700</v>
      </c>
      <c r="Q279" s="11">
        <v>5</v>
      </c>
      <c r="R279" s="9" t="s">
        <v>65</v>
      </c>
      <c r="S279" s="9" t="s">
        <v>96</v>
      </c>
      <c r="T279" s="9" t="s">
        <v>108</v>
      </c>
      <c r="U279" s="9">
        <v>9497351043</v>
      </c>
      <c r="V279" s="12" t="s">
        <v>34</v>
      </c>
      <c r="W279" s="3"/>
      <c r="X279" s="3"/>
      <c r="Y279" s="3"/>
      <c r="Z279" s="3"/>
    </row>
    <row r="280" spans="1:26" ht="15" thickBot="1" x14ac:dyDescent="0.4">
      <c r="A280" s="4" t="s">
        <v>405</v>
      </c>
      <c r="B280" s="4" t="s">
        <v>72</v>
      </c>
      <c r="C280" s="4" t="s">
        <v>24</v>
      </c>
      <c r="D280" s="5">
        <v>45917</v>
      </c>
      <c r="E280" s="5">
        <v>45929</v>
      </c>
      <c r="F280" s="4" t="s">
        <v>73</v>
      </c>
      <c r="G280" s="4" t="s">
        <v>26</v>
      </c>
      <c r="H280" s="5">
        <v>37522</v>
      </c>
      <c r="I280" s="4" t="s">
        <v>74</v>
      </c>
      <c r="J280" s="4" t="s">
        <v>75</v>
      </c>
      <c r="K280" s="4" t="s">
        <v>29</v>
      </c>
      <c r="L280" s="4" t="s">
        <v>30</v>
      </c>
      <c r="M280" s="6">
        <v>1</v>
      </c>
      <c r="N280" s="6">
        <v>2200</v>
      </c>
      <c r="O280" s="6">
        <v>0</v>
      </c>
      <c r="P280" s="6">
        <v>2200</v>
      </c>
      <c r="Q280" s="6">
        <v>4</v>
      </c>
      <c r="R280" s="4" t="s">
        <v>31</v>
      </c>
      <c r="S280" s="4" t="s">
        <v>42</v>
      </c>
      <c r="T280" s="4" t="s">
        <v>93</v>
      </c>
      <c r="U280" s="4">
        <v>9357038998</v>
      </c>
      <c r="V280" s="4" t="s">
        <v>53</v>
      </c>
      <c r="W280" s="3"/>
      <c r="X280" s="3"/>
      <c r="Y280" s="3"/>
      <c r="Z280" s="3"/>
    </row>
    <row r="281" spans="1:26" ht="15" thickBot="1" x14ac:dyDescent="0.4">
      <c r="A281" s="9" t="s">
        <v>406</v>
      </c>
      <c r="B281" s="9" t="s">
        <v>134</v>
      </c>
      <c r="C281" s="9" t="s">
        <v>68</v>
      </c>
      <c r="D281" s="10">
        <v>45827</v>
      </c>
      <c r="E281" s="10">
        <v>45838</v>
      </c>
      <c r="F281" s="9" t="s">
        <v>135</v>
      </c>
      <c r="G281" s="9" t="s">
        <v>26</v>
      </c>
      <c r="H281" s="10">
        <v>32311</v>
      </c>
      <c r="I281" s="9" t="s">
        <v>91</v>
      </c>
      <c r="J281" s="9" t="s">
        <v>75</v>
      </c>
      <c r="K281" s="9" t="s">
        <v>29</v>
      </c>
      <c r="L281" s="9" t="s">
        <v>70</v>
      </c>
      <c r="M281" s="11">
        <v>10</v>
      </c>
      <c r="N281" s="11">
        <v>3500</v>
      </c>
      <c r="O281" s="11">
        <v>10</v>
      </c>
      <c r="P281" s="11">
        <v>31500</v>
      </c>
      <c r="Q281" s="11">
        <v>4</v>
      </c>
      <c r="R281" s="9" t="s">
        <v>41</v>
      </c>
      <c r="S281" s="9" t="s">
        <v>32</v>
      </c>
      <c r="T281" s="9" t="s">
        <v>136</v>
      </c>
      <c r="U281" s="9">
        <v>9986371291</v>
      </c>
      <c r="V281" s="9" t="s">
        <v>53</v>
      </c>
      <c r="W281" s="3"/>
      <c r="X281" s="3"/>
      <c r="Y281" s="3"/>
      <c r="Z281" s="3"/>
    </row>
    <row r="282" spans="1:26" ht="15" thickBot="1" x14ac:dyDescent="0.4">
      <c r="A282" s="4" t="s">
        <v>407</v>
      </c>
      <c r="B282" s="4" t="s">
        <v>55</v>
      </c>
      <c r="C282" s="4" t="s">
        <v>68</v>
      </c>
      <c r="D282" s="5">
        <v>45789</v>
      </c>
      <c r="E282" s="5">
        <v>45793</v>
      </c>
      <c r="F282" s="4" t="s">
        <v>57</v>
      </c>
      <c r="G282" s="4" t="s">
        <v>58</v>
      </c>
      <c r="H282" s="5">
        <v>33271</v>
      </c>
      <c r="I282" s="4" t="s">
        <v>121</v>
      </c>
      <c r="J282" s="4" t="s">
        <v>38</v>
      </c>
      <c r="K282" s="4" t="s">
        <v>29</v>
      </c>
      <c r="L282" s="4" t="s">
        <v>70</v>
      </c>
      <c r="M282" s="6">
        <v>16</v>
      </c>
      <c r="N282" s="6">
        <v>3500</v>
      </c>
      <c r="O282" s="6">
        <v>15</v>
      </c>
      <c r="P282" s="6">
        <v>47600</v>
      </c>
      <c r="Q282" s="6">
        <v>1</v>
      </c>
      <c r="R282" s="4" t="s">
        <v>60</v>
      </c>
      <c r="S282" s="4" t="s">
        <v>80</v>
      </c>
      <c r="T282" s="4" t="s">
        <v>61</v>
      </c>
      <c r="U282" s="4">
        <v>9397839191</v>
      </c>
      <c r="V282" s="4" t="s">
        <v>52</v>
      </c>
      <c r="W282" s="3"/>
      <c r="X282" s="3"/>
      <c r="Y282" s="3"/>
      <c r="Z282" s="3"/>
    </row>
    <row r="283" spans="1:26" ht="15" thickBot="1" x14ac:dyDescent="0.4">
      <c r="A283" s="9" t="s">
        <v>408</v>
      </c>
      <c r="B283" s="9" t="s">
        <v>134</v>
      </c>
      <c r="C283" s="9" t="s">
        <v>36</v>
      </c>
      <c r="D283" s="10">
        <v>45906</v>
      </c>
      <c r="E283" s="10">
        <v>45918</v>
      </c>
      <c r="F283" s="9" t="s">
        <v>135</v>
      </c>
      <c r="G283" s="9" t="s">
        <v>26</v>
      </c>
      <c r="H283" s="10">
        <v>28711</v>
      </c>
      <c r="I283" s="9" t="s">
        <v>121</v>
      </c>
      <c r="J283" s="9" t="s">
        <v>38</v>
      </c>
      <c r="K283" s="9" t="s">
        <v>39</v>
      </c>
      <c r="L283" s="9" t="s">
        <v>40</v>
      </c>
      <c r="M283" s="11">
        <v>1</v>
      </c>
      <c r="N283" s="11">
        <v>12000</v>
      </c>
      <c r="O283" s="11">
        <v>0</v>
      </c>
      <c r="P283" s="11">
        <v>12000</v>
      </c>
      <c r="Q283" s="11">
        <v>4</v>
      </c>
      <c r="R283" s="9" t="s">
        <v>41</v>
      </c>
      <c r="S283" s="9" t="s">
        <v>80</v>
      </c>
      <c r="T283" s="9" t="s">
        <v>136</v>
      </c>
      <c r="U283" s="9">
        <v>9162975843</v>
      </c>
      <c r="V283" s="9" t="s">
        <v>53</v>
      </c>
      <c r="W283" s="3"/>
      <c r="X283" s="3"/>
      <c r="Y283" s="3"/>
      <c r="Z283" s="3"/>
    </row>
    <row r="284" spans="1:26" ht="15" thickBot="1" x14ac:dyDescent="0.4">
      <c r="A284" s="4" t="s">
        <v>409</v>
      </c>
      <c r="B284" s="4" t="s">
        <v>63</v>
      </c>
      <c r="C284" s="4" t="s">
        <v>112</v>
      </c>
      <c r="D284" s="5">
        <v>45770</v>
      </c>
      <c r="E284" s="5">
        <v>45776</v>
      </c>
      <c r="F284" s="4" t="s">
        <v>110</v>
      </c>
      <c r="G284" s="4" t="s">
        <v>58</v>
      </c>
      <c r="H284" s="5">
        <v>34367</v>
      </c>
      <c r="I284" s="4" t="s">
        <v>74</v>
      </c>
      <c r="J284" s="4" t="s">
        <v>75</v>
      </c>
      <c r="K284" s="4" t="s">
        <v>39</v>
      </c>
      <c r="L284" s="4" t="s">
        <v>114</v>
      </c>
      <c r="M284" s="6">
        <v>6</v>
      </c>
      <c r="N284" s="6">
        <v>700</v>
      </c>
      <c r="O284" s="6">
        <v>20</v>
      </c>
      <c r="P284" s="6">
        <v>3360</v>
      </c>
      <c r="Q284" s="6">
        <v>2</v>
      </c>
      <c r="R284" s="4" t="s">
        <v>41</v>
      </c>
      <c r="S284" s="4" t="s">
        <v>80</v>
      </c>
      <c r="T284" s="4" t="s">
        <v>66</v>
      </c>
      <c r="U284" s="4">
        <v>9237616558</v>
      </c>
      <c r="V284" s="4" t="s">
        <v>52</v>
      </c>
      <c r="W284" s="3"/>
      <c r="X284" s="3"/>
      <c r="Y284" s="3"/>
      <c r="Z284" s="3"/>
    </row>
    <row r="285" spans="1:26" ht="15" thickBot="1" x14ac:dyDescent="0.4">
      <c r="A285" s="9" t="s">
        <v>410</v>
      </c>
      <c r="B285" s="9" t="s">
        <v>55</v>
      </c>
      <c r="C285" s="9" t="s">
        <v>24</v>
      </c>
      <c r="D285" s="10">
        <v>46074</v>
      </c>
      <c r="E285" s="10">
        <v>46080</v>
      </c>
      <c r="F285" s="9" t="s">
        <v>57</v>
      </c>
      <c r="G285" s="9" t="s">
        <v>58</v>
      </c>
      <c r="H285" s="10">
        <v>34786</v>
      </c>
      <c r="I285" s="9" t="s">
        <v>91</v>
      </c>
      <c r="J285" s="9" t="s">
        <v>75</v>
      </c>
      <c r="K285" s="9" t="s">
        <v>29</v>
      </c>
      <c r="L285" s="9" t="s">
        <v>30</v>
      </c>
      <c r="M285" s="11">
        <v>3</v>
      </c>
      <c r="N285" s="11">
        <v>2200</v>
      </c>
      <c r="O285" s="11">
        <v>0</v>
      </c>
      <c r="P285" s="11">
        <v>6600</v>
      </c>
      <c r="Q285" s="11">
        <v>4</v>
      </c>
      <c r="R285" s="9" t="s">
        <v>60</v>
      </c>
      <c r="S285" s="9" t="s">
        <v>32</v>
      </c>
      <c r="T285" s="9" t="s">
        <v>61</v>
      </c>
      <c r="U285" s="9">
        <v>9935063989</v>
      </c>
      <c r="V285" s="12" t="s">
        <v>34</v>
      </c>
      <c r="W285" s="3"/>
      <c r="X285" s="3"/>
      <c r="Y285" s="3"/>
      <c r="Z285" s="3"/>
    </row>
    <row r="286" spans="1:26" ht="15" thickBot="1" x14ac:dyDescent="0.4">
      <c r="A286" s="4" t="s">
        <v>411</v>
      </c>
      <c r="B286" s="4" t="s">
        <v>134</v>
      </c>
      <c r="C286" s="4" t="s">
        <v>138</v>
      </c>
      <c r="D286" s="5">
        <v>46019</v>
      </c>
      <c r="E286" s="5">
        <v>46023</v>
      </c>
      <c r="F286" s="4" t="s">
        <v>135</v>
      </c>
      <c r="G286" s="4" t="s">
        <v>26</v>
      </c>
      <c r="H286" s="5">
        <v>33675</v>
      </c>
      <c r="I286" s="4" t="s">
        <v>27</v>
      </c>
      <c r="J286" s="4" t="s">
        <v>28</v>
      </c>
      <c r="K286" s="4" t="s">
        <v>83</v>
      </c>
      <c r="L286" s="4" t="s">
        <v>139</v>
      </c>
      <c r="M286" s="6">
        <v>6</v>
      </c>
      <c r="N286" s="6">
        <v>45</v>
      </c>
      <c r="O286" s="6">
        <v>15</v>
      </c>
      <c r="P286" s="6">
        <v>229.5</v>
      </c>
      <c r="Q286" s="6">
        <v>1</v>
      </c>
      <c r="R286" s="4" t="s">
        <v>65</v>
      </c>
      <c r="S286" s="4" t="s">
        <v>42</v>
      </c>
      <c r="T286" s="4" t="s">
        <v>136</v>
      </c>
      <c r="U286" s="4">
        <v>9167376169</v>
      </c>
      <c r="V286" s="8" t="s">
        <v>34</v>
      </c>
      <c r="W286" s="3"/>
      <c r="X286" s="3"/>
      <c r="Y286" s="3"/>
      <c r="Z286" s="3"/>
    </row>
    <row r="287" spans="1:26" ht="15" thickBot="1" x14ac:dyDescent="0.4">
      <c r="A287" s="9" t="s">
        <v>412</v>
      </c>
      <c r="B287" s="9" t="s">
        <v>134</v>
      </c>
      <c r="C287" s="9" t="s">
        <v>56</v>
      </c>
      <c r="D287" s="10">
        <v>45922</v>
      </c>
      <c r="E287" s="10">
        <v>45930</v>
      </c>
      <c r="F287" s="9" t="s">
        <v>135</v>
      </c>
      <c r="G287" s="9" t="s">
        <v>26</v>
      </c>
      <c r="H287" s="10">
        <v>29609</v>
      </c>
      <c r="I287" s="9" t="s">
        <v>48</v>
      </c>
      <c r="J287" s="9" t="s">
        <v>28</v>
      </c>
      <c r="K287" s="9" t="s">
        <v>39</v>
      </c>
      <c r="L287" s="9" t="s">
        <v>59</v>
      </c>
      <c r="M287" s="11">
        <v>2</v>
      </c>
      <c r="N287" s="11">
        <v>1200</v>
      </c>
      <c r="O287" s="11">
        <v>0</v>
      </c>
      <c r="P287" s="11">
        <v>2400</v>
      </c>
      <c r="Q287" s="11">
        <v>1</v>
      </c>
      <c r="R287" s="9" t="s">
        <v>31</v>
      </c>
      <c r="S287" s="9" t="s">
        <v>96</v>
      </c>
      <c r="T287" s="9" t="s">
        <v>136</v>
      </c>
      <c r="U287" s="9">
        <v>9231845497</v>
      </c>
      <c r="V287" s="9" t="s">
        <v>53</v>
      </c>
      <c r="W287" s="3"/>
      <c r="X287" s="3"/>
      <c r="Y287" s="3"/>
      <c r="Z287" s="3"/>
    </row>
    <row r="288" spans="1:26" ht="15" thickBot="1" x14ac:dyDescent="0.4">
      <c r="A288" s="4" t="s">
        <v>413</v>
      </c>
      <c r="B288" s="4" t="s">
        <v>104</v>
      </c>
      <c r="C288" s="4" t="s">
        <v>112</v>
      </c>
      <c r="D288" s="5">
        <v>46150</v>
      </c>
      <c r="E288" s="5">
        <v>46153</v>
      </c>
      <c r="F288" s="4" t="s">
        <v>166</v>
      </c>
      <c r="G288" s="4" t="s">
        <v>26</v>
      </c>
      <c r="H288" s="5">
        <v>30953</v>
      </c>
      <c r="I288" s="4" t="s">
        <v>27</v>
      </c>
      <c r="J288" s="4" t="s">
        <v>28</v>
      </c>
      <c r="K288" s="4" t="s">
        <v>39</v>
      </c>
      <c r="L288" s="4" t="s">
        <v>114</v>
      </c>
      <c r="M288" s="6">
        <v>14</v>
      </c>
      <c r="N288" s="6">
        <v>700</v>
      </c>
      <c r="O288" s="6">
        <v>15</v>
      </c>
      <c r="P288" s="6">
        <v>8330</v>
      </c>
      <c r="Q288" s="6">
        <v>5</v>
      </c>
      <c r="R288" s="4" t="s">
        <v>31</v>
      </c>
      <c r="S288" s="4" t="s">
        <v>80</v>
      </c>
      <c r="T288" s="4" t="s">
        <v>108</v>
      </c>
      <c r="U288" s="4">
        <v>9409415805</v>
      </c>
      <c r="V288" s="4" t="s">
        <v>52</v>
      </c>
      <c r="W288" s="3"/>
      <c r="X288" s="3"/>
      <c r="Y288" s="3"/>
      <c r="Z288" s="3"/>
    </row>
    <row r="289" spans="1:26" ht="15" thickBot="1" x14ac:dyDescent="0.4">
      <c r="A289" s="9" t="s">
        <v>414</v>
      </c>
      <c r="B289" s="9" t="s">
        <v>72</v>
      </c>
      <c r="C289" s="9" t="s">
        <v>125</v>
      </c>
      <c r="D289" s="10">
        <v>45966</v>
      </c>
      <c r="E289" s="10">
        <v>45967</v>
      </c>
      <c r="F289" s="9" t="s">
        <v>73</v>
      </c>
      <c r="G289" s="9" t="s">
        <v>26</v>
      </c>
      <c r="H289" s="10">
        <v>27704</v>
      </c>
      <c r="I289" s="9" t="s">
        <v>74</v>
      </c>
      <c r="J289" s="9" t="s">
        <v>75</v>
      </c>
      <c r="K289" s="9" t="s">
        <v>83</v>
      </c>
      <c r="L289" s="9" t="s">
        <v>127</v>
      </c>
      <c r="M289" s="11">
        <v>13</v>
      </c>
      <c r="N289" s="11">
        <v>20</v>
      </c>
      <c r="O289" s="11">
        <v>5</v>
      </c>
      <c r="P289" s="11">
        <v>247</v>
      </c>
      <c r="Q289" s="11">
        <v>1</v>
      </c>
      <c r="R289" s="9" t="s">
        <v>60</v>
      </c>
      <c r="S289" s="9" t="s">
        <v>32</v>
      </c>
      <c r="T289" s="9" t="s">
        <v>415</v>
      </c>
      <c r="U289" s="9">
        <v>9240800508</v>
      </c>
      <c r="V289" s="9" t="s">
        <v>52</v>
      </c>
      <c r="W289" s="3"/>
      <c r="X289" s="3"/>
      <c r="Y289" s="3"/>
      <c r="Z289" s="3"/>
    </row>
    <row r="290" spans="1:26" ht="15" thickBot="1" x14ac:dyDescent="0.4">
      <c r="A290" s="4" t="s">
        <v>416</v>
      </c>
      <c r="B290" s="4" t="s">
        <v>55</v>
      </c>
      <c r="C290" s="4" t="s">
        <v>24</v>
      </c>
      <c r="D290" s="5">
        <v>45724</v>
      </c>
      <c r="E290" s="5">
        <v>45731</v>
      </c>
      <c r="F290" s="4" t="s">
        <v>57</v>
      </c>
      <c r="G290" s="4" t="s">
        <v>58</v>
      </c>
      <c r="H290" s="5">
        <v>34876</v>
      </c>
      <c r="I290" s="4" t="s">
        <v>79</v>
      </c>
      <c r="J290" s="4" t="s">
        <v>75</v>
      </c>
      <c r="K290" s="4" t="s">
        <v>29</v>
      </c>
      <c r="L290" s="4" t="s">
        <v>30</v>
      </c>
      <c r="M290" s="6">
        <v>3</v>
      </c>
      <c r="N290" s="6">
        <v>2200</v>
      </c>
      <c r="O290" s="6">
        <v>0</v>
      </c>
      <c r="P290" s="6">
        <v>6600</v>
      </c>
      <c r="Q290" s="6">
        <v>4</v>
      </c>
      <c r="R290" s="4" t="s">
        <v>41</v>
      </c>
      <c r="S290" s="4" t="s">
        <v>50</v>
      </c>
      <c r="T290" s="4" t="s">
        <v>61</v>
      </c>
      <c r="U290" s="4">
        <v>9764609936</v>
      </c>
      <c r="V290" s="4" t="s">
        <v>53</v>
      </c>
      <c r="W290" s="3"/>
      <c r="X290" s="3"/>
      <c r="Y290" s="3"/>
      <c r="Z290" s="3"/>
    </row>
    <row r="291" spans="1:26" ht="15" thickBot="1" x14ac:dyDescent="0.4">
      <c r="A291" s="9" t="s">
        <v>417</v>
      </c>
      <c r="B291" s="9" t="s">
        <v>55</v>
      </c>
      <c r="C291" s="9" t="s">
        <v>82</v>
      </c>
      <c r="D291" s="10">
        <v>46062</v>
      </c>
      <c r="E291" s="10">
        <v>46074</v>
      </c>
      <c r="F291" s="9" t="s">
        <v>57</v>
      </c>
      <c r="G291" s="9" t="s">
        <v>58</v>
      </c>
      <c r="H291" s="10">
        <v>29180</v>
      </c>
      <c r="I291" s="9" t="s">
        <v>79</v>
      </c>
      <c r="J291" s="9" t="s">
        <v>75</v>
      </c>
      <c r="K291" s="9" t="s">
        <v>83</v>
      </c>
      <c r="L291" s="9" t="s">
        <v>84</v>
      </c>
      <c r="M291" s="11">
        <v>3</v>
      </c>
      <c r="N291" s="11">
        <v>60</v>
      </c>
      <c r="O291" s="11">
        <v>15</v>
      </c>
      <c r="P291" s="11">
        <v>153</v>
      </c>
      <c r="Q291" s="11">
        <v>4</v>
      </c>
      <c r="R291" s="9" t="s">
        <v>65</v>
      </c>
      <c r="S291" s="9" t="s">
        <v>80</v>
      </c>
      <c r="T291" s="9" t="s">
        <v>61</v>
      </c>
      <c r="U291" s="9">
        <v>9362733217</v>
      </c>
      <c r="V291" s="12" t="s">
        <v>34</v>
      </c>
      <c r="W291" s="3"/>
      <c r="X291" s="3"/>
      <c r="Y291" s="3"/>
      <c r="Z291" s="3"/>
    </row>
    <row r="292" spans="1:26" ht="15" thickBot="1" x14ac:dyDescent="0.4">
      <c r="A292" s="4" t="s">
        <v>418</v>
      </c>
      <c r="B292" s="4" t="s">
        <v>87</v>
      </c>
      <c r="C292" s="4" t="s">
        <v>68</v>
      </c>
      <c r="D292" s="5">
        <v>45733</v>
      </c>
      <c r="E292" s="5">
        <v>45739</v>
      </c>
      <c r="F292" s="4" t="s">
        <v>88</v>
      </c>
      <c r="G292" s="4" t="s">
        <v>58</v>
      </c>
      <c r="H292" s="5">
        <v>31805</v>
      </c>
      <c r="I292" s="4" t="s">
        <v>74</v>
      </c>
      <c r="J292" s="4" t="s">
        <v>75</v>
      </c>
      <c r="K292" s="4" t="s">
        <v>29</v>
      </c>
      <c r="L292" s="4" t="s">
        <v>70</v>
      </c>
      <c r="M292" s="6">
        <v>9</v>
      </c>
      <c r="N292" s="6">
        <v>3500</v>
      </c>
      <c r="O292" s="6">
        <v>5</v>
      </c>
      <c r="P292" s="6">
        <v>29925</v>
      </c>
      <c r="Q292" s="6">
        <v>1</v>
      </c>
      <c r="R292" s="4" t="s">
        <v>31</v>
      </c>
      <c r="S292" s="4" t="s">
        <v>50</v>
      </c>
      <c r="T292" s="4" t="s">
        <v>89</v>
      </c>
      <c r="U292" s="4">
        <v>9270466205</v>
      </c>
      <c r="V292" s="4" t="s">
        <v>52</v>
      </c>
      <c r="W292" s="3"/>
      <c r="X292" s="3"/>
      <c r="Y292" s="3"/>
      <c r="Z292" s="3"/>
    </row>
    <row r="293" spans="1:26" ht="15" thickBot="1" x14ac:dyDescent="0.4">
      <c r="A293" s="9" t="s">
        <v>419</v>
      </c>
      <c r="B293" s="9" t="s">
        <v>156</v>
      </c>
      <c r="C293" s="9" t="s">
        <v>56</v>
      </c>
      <c r="D293" s="10">
        <v>45743</v>
      </c>
      <c r="E293" s="10">
        <v>45748</v>
      </c>
      <c r="F293" s="9" t="s">
        <v>106</v>
      </c>
      <c r="G293" s="9" t="s">
        <v>58</v>
      </c>
      <c r="H293" s="10">
        <v>36930</v>
      </c>
      <c r="I293" s="9" t="s">
        <v>121</v>
      </c>
      <c r="J293" s="9" t="s">
        <v>38</v>
      </c>
      <c r="K293" s="9" t="s">
        <v>39</v>
      </c>
      <c r="L293" s="9" t="s">
        <v>59</v>
      </c>
      <c r="M293" s="11">
        <v>5</v>
      </c>
      <c r="N293" s="11">
        <v>1200</v>
      </c>
      <c r="O293" s="11">
        <v>20</v>
      </c>
      <c r="P293" s="11">
        <v>4800</v>
      </c>
      <c r="Q293" s="11">
        <v>2</v>
      </c>
      <c r="R293" s="9" t="s">
        <v>65</v>
      </c>
      <c r="S293" s="9" t="s">
        <v>80</v>
      </c>
      <c r="T293" s="9" t="s">
        <v>158</v>
      </c>
      <c r="U293" s="9">
        <v>9571436865</v>
      </c>
      <c r="V293" s="9" t="s">
        <v>52</v>
      </c>
      <c r="W293" s="3"/>
      <c r="X293" s="3"/>
      <c r="Y293" s="3"/>
      <c r="Z293" s="3"/>
    </row>
    <row r="294" spans="1:26" ht="15" thickBot="1" x14ac:dyDescent="0.4">
      <c r="A294" s="4" t="s">
        <v>420</v>
      </c>
      <c r="B294" s="4" t="s">
        <v>45</v>
      </c>
      <c r="C294" s="4" t="s">
        <v>56</v>
      </c>
      <c r="D294" s="5">
        <v>45728</v>
      </c>
      <c r="E294" s="5">
        <v>45730</v>
      </c>
      <c r="F294" s="4" t="s">
        <v>101</v>
      </c>
      <c r="G294" s="4" t="s">
        <v>26</v>
      </c>
      <c r="H294" s="5">
        <v>32856</v>
      </c>
      <c r="I294" s="4" t="s">
        <v>121</v>
      </c>
      <c r="J294" s="4" t="s">
        <v>38</v>
      </c>
      <c r="K294" s="4" t="s">
        <v>39</v>
      </c>
      <c r="L294" s="4" t="s">
        <v>59</v>
      </c>
      <c r="M294" s="6">
        <v>10</v>
      </c>
      <c r="N294" s="6">
        <v>1200</v>
      </c>
      <c r="O294" s="6">
        <v>20</v>
      </c>
      <c r="P294" s="6">
        <v>9600</v>
      </c>
      <c r="Q294" s="6">
        <v>4</v>
      </c>
      <c r="R294" s="4" t="s">
        <v>31</v>
      </c>
      <c r="S294" s="4" t="s">
        <v>42</v>
      </c>
      <c r="T294" s="7" t="s">
        <v>421</v>
      </c>
      <c r="U294" s="4">
        <v>9307011171</v>
      </c>
      <c r="V294" s="8" t="s">
        <v>34</v>
      </c>
      <c r="W294" s="3"/>
      <c r="X294" s="3"/>
      <c r="Y294" s="3"/>
      <c r="Z294" s="3"/>
    </row>
    <row r="295" spans="1:26" ht="15" thickBot="1" x14ac:dyDescent="0.4">
      <c r="A295" s="9" t="s">
        <v>422</v>
      </c>
      <c r="B295" s="9" t="s">
        <v>23</v>
      </c>
      <c r="C295" s="9" t="s">
        <v>56</v>
      </c>
      <c r="D295" s="10">
        <v>46066</v>
      </c>
      <c r="E295" s="10">
        <v>46077</v>
      </c>
      <c r="F295" s="9" t="s">
        <v>25</v>
      </c>
      <c r="G295" s="9" t="s">
        <v>26</v>
      </c>
      <c r="H295" s="10">
        <v>32492</v>
      </c>
      <c r="I295" s="9" t="s">
        <v>91</v>
      </c>
      <c r="J295" s="9" t="s">
        <v>75</v>
      </c>
      <c r="K295" s="9" t="s">
        <v>39</v>
      </c>
      <c r="L295" s="9" t="s">
        <v>59</v>
      </c>
      <c r="M295" s="11">
        <v>5</v>
      </c>
      <c r="N295" s="11">
        <v>1200</v>
      </c>
      <c r="O295" s="11">
        <v>20</v>
      </c>
      <c r="P295" s="11">
        <v>4800</v>
      </c>
      <c r="Q295" s="11">
        <v>3</v>
      </c>
      <c r="R295" s="9" t="s">
        <v>41</v>
      </c>
      <c r="S295" s="9" t="s">
        <v>96</v>
      </c>
      <c r="T295" s="9" t="s">
        <v>43</v>
      </c>
      <c r="U295" s="9">
        <v>9922380435</v>
      </c>
      <c r="V295" s="12" t="s">
        <v>34</v>
      </c>
      <c r="W295" s="3"/>
      <c r="X295" s="3"/>
      <c r="Y295" s="3"/>
      <c r="Z295" s="3"/>
    </row>
    <row r="296" spans="1:26" ht="15" thickBot="1" x14ac:dyDescent="0.4">
      <c r="A296" s="4" t="s">
        <v>423</v>
      </c>
      <c r="B296" s="4" t="s">
        <v>104</v>
      </c>
      <c r="C296" s="4" t="s">
        <v>125</v>
      </c>
      <c r="D296" s="5">
        <v>45699</v>
      </c>
      <c r="E296" s="5">
        <v>45702</v>
      </c>
      <c r="F296" s="4" t="s">
        <v>166</v>
      </c>
      <c r="G296" s="4" t="s">
        <v>26</v>
      </c>
      <c r="H296" s="5">
        <v>33166</v>
      </c>
      <c r="I296" s="4" t="s">
        <v>74</v>
      </c>
      <c r="J296" s="4" t="s">
        <v>75</v>
      </c>
      <c r="K296" s="4" t="s">
        <v>83</v>
      </c>
      <c r="L296" s="4" t="s">
        <v>127</v>
      </c>
      <c r="M296" s="6">
        <v>10</v>
      </c>
      <c r="N296" s="6">
        <v>20</v>
      </c>
      <c r="O296" s="6">
        <v>5</v>
      </c>
      <c r="P296" s="6">
        <v>190</v>
      </c>
      <c r="Q296" s="6">
        <v>4</v>
      </c>
      <c r="R296" s="4" t="s">
        <v>31</v>
      </c>
      <c r="S296" s="4" t="s">
        <v>96</v>
      </c>
      <c r="T296" s="4" t="s">
        <v>108</v>
      </c>
      <c r="U296" s="4">
        <v>9463618792</v>
      </c>
      <c r="V296" s="4" t="s">
        <v>52</v>
      </c>
      <c r="W296" s="3"/>
      <c r="X296" s="3"/>
      <c r="Y296" s="3"/>
      <c r="Z296" s="3"/>
    </row>
    <row r="297" spans="1:26" ht="15" thickBot="1" x14ac:dyDescent="0.4">
      <c r="A297" s="9" t="s">
        <v>424</v>
      </c>
      <c r="B297" s="9" t="s">
        <v>72</v>
      </c>
      <c r="C297" s="9" t="s">
        <v>82</v>
      </c>
      <c r="D297" s="10">
        <v>45674</v>
      </c>
      <c r="E297" s="10">
        <v>45684</v>
      </c>
      <c r="F297" s="9" t="s">
        <v>73</v>
      </c>
      <c r="G297" s="9" t="s">
        <v>26</v>
      </c>
      <c r="H297" s="10">
        <v>28741</v>
      </c>
      <c r="I297" s="9" t="s">
        <v>37</v>
      </c>
      <c r="J297" s="9" t="s">
        <v>38</v>
      </c>
      <c r="K297" s="9" t="s">
        <v>83</v>
      </c>
      <c r="L297" s="9" t="s">
        <v>84</v>
      </c>
      <c r="M297" s="11">
        <v>20</v>
      </c>
      <c r="N297" s="11">
        <v>60</v>
      </c>
      <c r="O297" s="11">
        <v>15</v>
      </c>
      <c r="P297" s="11">
        <v>1020</v>
      </c>
      <c r="Q297" s="11">
        <v>5</v>
      </c>
      <c r="R297" s="9" t="s">
        <v>60</v>
      </c>
      <c r="S297" s="9" t="s">
        <v>32</v>
      </c>
      <c r="T297" s="9" t="s">
        <v>93</v>
      </c>
      <c r="U297" s="9">
        <v>9954973200</v>
      </c>
      <c r="V297" s="9" t="s">
        <v>52</v>
      </c>
      <c r="W297" s="3"/>
      <c r="X297" s="3"/>
      <c r="Y297" s="3"/>
      <c r="Z297" s="3"/>
    </row>
    <row r="298" spans="1:26" ht="15" thickBot="1" x14ac:dyDescent="0.4">
      <c r="A298" s="4" t="s">
        <v>425</v>
      </c>
      <c r="B298" s="4" t="s">
        <v>156</v>
      </c>
      <c r="C298" s="4" t="s">
        <v>24</v>
      </c>
      <c r="D298" s="5">
        <v>45748</v>
      </c>
      <c r="E298" s="5">
        <v>45759</v>
      </c>
      <c r="F298" s="4" t="s">
        <v>106</v>
      </c>
      <c r="G298" s="4" t="s">
        <v>58</v>
      </c>
      <c r="H298" s="5">
        <v>28530</v>
      </c>
      <c r="I298" s="4" t="s">
        <v>91</v>
      </c>
      <c r="J298" s="4" t="s">
        <v>75</v>
      </c>
      <c r="K298" s="4" t="s">
        <v>29</v>
      </c>
      <c r="L298" s="4" t="s">
        <v>30</v>
      </c>
      <c r="M298" s="6">
        <v>7</v>
      </c>
      <c r="N298" s="6">
        <v>2200</v>
      </c>
      <c r="O298" s="6">
        <v>15</v>
      </c>
      <c r="P298" s="6">
        <v>13090</v>
      </c>
      <c r="Q298" s="6">
        <v>4</v>
      </c>
      <c r="R298" s="4" t="s">
        <v>31</v>
      </c>
      <c r="S298" s="4" t="s">
        <v>50</v>
      </c>
      <c r="T298" s="4" t="s">
        <v>158</v>
      </c>
      <c r="U298" s="4">
        <v>9383199236</v>
      </c>
      <c r="V298" s="4" t="s">
        <v>53</v>
      </c>
      <c r="W298" s="3"/>
      <c r="X298" s="3"/>
      <c r="Y298" s="3"/>
      <c r="Z298" s="3"/>
    </row>
    <row r="299" spans="1:26" ht="15" thickBot="1" x14ac:dyDescent="0.4">
      <c r="A299" s="9" t="s">
        <v>426</v>
      </c>
      <c r="B299" s="9" t="s">
        <v>87</v>
      </c>
      <c r="C299" s="9" t="s">
        <v>46</v>
      </c>
      <c r="D299" s="10">
        <v>45670</v>
      </c>
      <c r="E299" s="10">
        <v>45673</v>
      </c>
      <c r="F299" s="9" t="s">
        <v>88</v>
      </c>
      <c r="G299" s="9" t="s">
        <v>58</v>
      </c>
      <c r="H299" s="10">
        <v>37989</v>
      </c>
      <c r="I299" s="9" t="s">
        <v>27</v>
      </c>
      <c r="J299" s="9" t="s">
        <v>28</v>
      </c>
      <c r="K299" s="9" t="s">
        <v>39</v>
      </c>
      <c r="L299" s="9" t="s">
        <v>49</v>
      </c>
      <c r="M299" s="11">
        <v>11</v>
      </c>
      <c r="N299" s="11">
        <v>55000</v>
      </c>
      <c r="O299" s="11">
        <v>5</v>
      </c>
      <c r="P299" s="11">
        <v>574750</v>
      </c>
      <c r="Q299" s="11">
        <v>1</v>
      </c>
      <c r="R299" s="9" t="s">
        <v>65</v>
      </c>
      <c r="S299" s="9" t="s">
        <v>32</v>
      </c>
      <c r="T299" s="9" t="s">
        <v>89</v>
      </c>
      <c r="U299" s="9">
        <v>9482699727</v>
      </c>
      <c r="V299" s="9" t="s">
        <v>53</v>
      </c>
      <c r="W299" s="3"/>
      <c r="X299" s="3"/>
      <c r="Y299" s="3"/>
      <c r="Z299" s="3"/>
    </row>
    <row r="300" spans="1:26" ht="15" thickBot="1" x14ac:dyDescent="0.4">
      <c r="A300" s="4" t="s">
        <v>427</v>
      </c>
      <c r="B300" s="4" t="s">
        <v>63</v>
      </c>
      <c r="C300" s="4" t="s">
        <v>68</v>
      </c>
      <c r="D300" s="5">
        <v>45935</v>
      </c>
      <c r="E300" s="5">
        <v>45947</v>
      </c>
      <c r="F300" s="4" t="s">
        <v>110</v>
      </c>
      <c r="G300" s="4" t="s">
        <v>58</v>
      </c>
      <c r="H300" s="5">
        <v>33726</v>
      </c>
      <c r="I300" s="4" t="s">
        <v>121</v>
      </c>
      <c r="J300" s="4" t="s">
        <v>38</v>
      </c>
      <c r="K300" s="4" t="s">
        <v>29</v>
      </c>
      <c r="L300" s="4" t="s">
        <v>70</v>
      </c>
      <c r="M300" s="6">
        <v>12</v>
      </c>
      <c r="N300" s="6">
        <v>3500</v>
      </c>
      <c r="O300" s="6">
        <v>0</v>
      </c>
      <c r="P300" s="6">
        <v>42000</v>
      </c>
      <c r="Q300" s="6">
        <v>2</v>
      </c>
      <c r="R300" s="8" t="s">
        <v>41</v>
      </c>
      <c r="S300" s="4"/>
      <c r="T300" s="4" t="s">
        <v>66</v>
      </c>
      <c r="U300" s="4">
        <v>9332473934</v>
      </c>
      <c r="V300" s="4" t="s">
        <v>52</v>
      </c>
      <c r="W300" s="3"/>
      <c r="X300" s="3"/>
      <c r="Y300" s="3"/>
      <c r="Z300" s="3"/>
    </row>
    <row r="301" spans="1:26" ht="15" thickBot="1" x14ac:dyDescent="0.4">
      <c r="A301" s="9" t="s">
        <v>428</v>
      </c>
      <c r="B301" s="9" t="s">
        <v>55</v>
      </c>
      <c r="C301" s="9" t="s">
        <v>138</v>
      </c>
      <c r="D301" s="10">
        <v>46078</v>
      </c>
      <c r="E301" s="10">
        <v>46089</v>
      </c>
      <c r="F301" s="9" t="s">
        <v>57</v>
      </c>
      <c r="G301" s="9" t="s">
        <v>58</v>
      </c>
      <c r="H301" s="10">
        <v>37647</v>
      </c>
      <c r="I301" s="9" t="s">
        <v>27</v>
      </c>
      <c r="J301" s="9" t="s">
        <v>28</v>
      </c>
      <c r="K301" s="9" t="s">
        <v>83</v>
      </c>
      <c r="L301" s="9" t="s">
        <v>139</v>
      </c>
      <c r="M301" s="11">
        <v>15</v>
      </c>
      <c r="N301" s="11">
        <v>45</v>
      </c>
      <c r="O301" s="11">
        <v>10</v>
      </c>
      <c r="P301" s="11">
        <v>607.5</v>
      </c>
      <c r="Q301" s="11">
        <v>2</v>
      </c>
      <c r="R301" s="9" t="s">
        <v>31</v>
      </c>
      <c r="S301" s="9" t="s">
        <v>96</v>
      </c>
      <c r="T301" s="9" t="s">
        <v>61</v>
      </c>
      <c r="U301" s="9">
        <v>9647657382</v>
      </c>
      <c r="V301" s="9" t="s">
        <v>52</v>
      </c>
      <c r="W301" s="3"/>
      <c r="X301" s="3"/>
      <c r="Y301" s="3"/>
      <c r="Z301" s="3"/>
    </row>
    <row r="302" spans="1:26" ht="15" thickBot="1" x14ac:dyDescent="0.4">
      <c r="A302" s="4" t="s">
        <v>429</v>
      </c>
      <c r="B302" s="4" t="s">
        <v>156</v>
      </c>
      <c r="C302" s="4" t="s">
        <v>138</v>
      </c>
      <c r="D302" s="5">
        <v>45793</v>
      </c>
      <c r="E302" s="5">
        <v>45803</v>
      </c>
      <c r="F302" s="4" t="s">
        <v>106</v>
      </c>
      <c r="G302" s="4" t="s">
        <v>58</v>
      </c>
      <c r="H302" s="5">
        <v>31917</v>
      </c>
      <c r="I302" s="4" t="s">
        <v>48</v>
      </c>
      <c r="J302" s="4" t="s">
        <v>28</v>
      </c>
      <c r="K302" s="4" t="s">
        <v>83</v>
      </c>
      <c r="L302" s="4" t="s">
        <v>139</v>
      </c>
      <c r="M302" s="6">
        <v>13</v>
      </c>
      <c r="N302" s="6">
        <v>45</v>
      </c>
      <c r="O302" s="6">
        <v>0</v>
      </c>
      <c r="P302" s="6">
        <v>585</v>
      </c>
      <c r="Q302" s="6">
        <v>5</v>
      </c>
      <c r="R302" s="4" t="s">
        <v>41</v>
      </c>
      <c r="S302" s="4" t="s">
        <v>42</v>
      </c>
      <c r="T302" s="4" t="s">
        <v>158</v>
      </c>
      <c r="U302" s="4">
        <v>9736797776</v>
      </c>
      <c r="V302" s="4" t="s">
        <v>52</v>
      </c>
      <c r="W302" s="3"/>
      <c r="X302" s="3"/>
      <c r="Y302" s="3"/>
      <c r="Z302" s="3"/>
    </row>
    <row r="303" spans="1:26" ht="15" thickBot="1" x14ac:dyDescent="0.4">
      <c r="A303" s="9" t="s">
        <v>430</v>
      </c>
      <c r="B303" s="9" t="s">
        <v>87</v>
      </c>
      <c r="C303" s="9" t="s">
        <v>46</v>
      </c>
      <c r="D303" s="10">
        <v>46024</v>
      </c>
      <c r="E303" s="10">
        <v>46027</v>
      </c>
      <c r="F303" s="9" t="s">
        <v>88</v>
      </c>
      <c r="G303" s="9" t="s">
        <v>58</v>
      </c>
      <c r="H303" s="10">
        <v>27644</v>
      </c>
      <c r="I303" s="9" t="s">
        <v>48</v>
      </c>
      <c r="J303" s="9" t="s">
        <v>28</v>
      </c>
      <c r="K303" s="9" t="s">
        <v>39</v>
      </c>
      <c r="L303" s="9" t="s">
        <v>49</v>
      </c>
      <c r="M303" s="11">
        <v>8</v>
      </c>
      <c r="N303" s="11">
        <v>55000</v>
      </c>
      <c r="O303" s="11">
        <v>0</v>
      </c>
      <c r="P303" s="11">
        <v>440000</v>
      </c>
      <c r="Q303" s="11">
        <v>2</v>
      </c>
      <c r="R303" s="9" t="s">
        <v>65</v>
      </c>
      <c r="S303" s="9" t="s">
        <v>96</v>
      </c>
      <c r="T303" s="9" t="s">
        <v>89</v>
      </c>
      <c r="U303" s="9">
        <v>9745773533</v>
      </c>
      <c r="V303" s="9" t="s">
        <v>53</v>
      </c>
      <c r="W303" s="3"/>
      <c r="X303" s="3"/>
      <c r="Y303" s="3"/>
      <c r="Z303" s="3"/>
    </row>
    <row r="304" spans="1:26" ht="15" thickBot="1" x14ac:dyDescent="0.4">
      <c r="A304" s="4" t="s">
        <v>431</v>
      </c>
      <c r="B304" s="4" t="s">
        <v>134</v>
      </c>
      <c r="C304" s="4" t="s">
        <v>46</v>
      </c>
      <c r="D304" s="5">
        <v>45861</v>
      </c>
      <c r="E304" s="5">
        <v>45865</v>
      </c>
      <c r="F304" s="4" t="s">
        <v>135</v>
      </c>
      <c r="G304" s="4" t="s">
        <v>26</v>
      </c>
      <c r="H304" s="5">
        <v>29443</v>
      </c>
      <c r="I304" s="4" t="s">
        <v>37</v>
      </c>
      <c r="J304" s="4" t="s">
        <v>38</v>
      </c>
      <c r="K304" s="4" t="s">
        <v>39</v>
      </c>
      <c r="L304" s="4" t="s">
        <v>49</v>
      </c>
      <c r="M304" s="6">
        <v>4</v>
      </c>
      <c r="N304" s="6">
        <v>55000</v>
      </c>
      <c r="O304" s="6">
        <v>20</v>
      </c>
      <c r="P304" s="6">
        <v>176000</v>
      </c>
      <c r="Q304" s="6">
        <v>5</v>
      </c>
      <c r="R304" s="4" t="s">
        <v>31</v>
      </c>
      <c r="S304" s="4" t="s">
        <v>42</v>
      </c>
      <c r="T304" s="4" t="s">
        <v>136</v>
      </c>
      <c r="U304" s="4">
        <v>9246715757</v>
      </c>
      <c r="V304" s="4" t="s">
        <v>52</v>
      </c>
      <c r="W304" s="3"/>
      <c r="X304" s="3"/>
      <c r="Y304" s="3"/>
      <c r="Z304" s="3"/>
    </row>
    <row r="305" spans="1:26" ht="15" thickBot="1" x14ac:dyDescent="0.4">
      <c r="A305" s="9" t="s">
        <v>432</v>
      </c>
      <c r="B305" s="9" t="s">
        <v>23</v>
      </c>
      <c r="C305" s="9" t="s">
        <v>68</v>
      </c>
      <c r="D305" s="10">
        <v>46135</v>
      </c>
      <c r="E305" s="10">
        <v>46138</v>
      </c>
      <c r="F305" s="9" t="s">
        <v>25</v>
      </c>
      <c r="G305" s="9" t="s">
        <v>26</v>
      </c>
      <c r="H305" s="10">
        <v>32605</v>
      </c>
      <c r="I305" s="9" t="s">
        <v>91</v>
      </c>
      <c r="J305" s="9" t="s">
        <v>75</v>
      </c>
      <c r="K305" s="9" t="s">
        <v>29</v>
      </c>
      <c r="L305" s="9" t="s">
        <v>70</v>
      </c>
      <c r="M305" s="11">
        <v>19</v>
      </c>
      <c r="N305" s="11">
        <v>3500</v>
      </c>
      <c r="O305" s="11">
        <v>5</v>
      </c>
      <c r="P305" s="11">
        <v>63175</v>
      </c>
      <c r="Q305" s="11">
        <v>1</v>
      </c>
      <c r="R305" s="9" t="s">
        <v>60</v>
      </c>
      <c r="S305" s="9" t="s">
        <v>80</v>
      </c>
      <c r="T305" s="9" t="s">
        <v>43</v>
      </c>
      <c r="U305" s="9">
        <v>9904065774</v>
      </c>
      <c r="V305" s="12" t="s">
        <v>34</v>
      </c>
      <c r="W305" s="3"/>
      <c r="X305" s="3"/>
      <c r="Y305" s="3"/>
      <c r="Z305" s="3"/>
    </row>
    <row r="306" spans="1:26" ht="15" thickBot="1" x14ac:dyDescent="0.4">
      <c r="A306" s="4" t="s">
        <v>433</v>
      </c>
      <c r="B306" s="4" t="s">
        <v>124</v>
      </c>
      <c r="C306" s="4" t="s">
        <v>56</v>
      </c>
      <c r="D306" s="5">
        <v>45718</v>
      </c>
      <c r="E306" s="5">
        <v>45722</v>
      </c>
      <c r="F306" s="4" t="s">
        <v>126</v>
      </c>
      <c r="G306" s="4" t="s">
        <v>58</v>
      </c>
      <c r="H306" s="5">
        <v>36027</v>
      </c>
      <c r="I306" s="4" t="s">
        <v>121</v>
      </c>
      <c r="J306" s="4" t="s">
        <v>38</v>
      </c>
      <c r="K306" s="4" t="s">
        <v>39</v>
      </c>
      <c r="L306" s="4" t="s">
        <v>59</v>
      </c>
      <c r="M306" s="6">
        <v>17</v>
      </c>
      <c r="N306" s="6">
        <v>1200</v>
      </c>
      <c r="O306" s="6">
        <v>15</v>
      </c>
      <c r="P306" s="6">
        <v>17340</v>
      </c>
      <c r="Q306" s="6">
        <v>2</v>
      </c>
      <c r="R306" s="4" t="s">
        <v>41</v>
      </c>
      <c r="S306" s="4" t="s">
        <v>42</v>
      </c>
      <c r="T306" s="4" t="s">
        <v>128</v>
      </c>
      <c r="U306" s="4">
        <v>9652985385</v>
      </c>
      <c r="V306" s="8" t="s">
        <v>34</v>
      </c>
      <c r="W306" s="3"/>
      <c r="X306" s="3"/>
      <c r="Y306" s="3"/>
      <c r="Z306" s="3"/>
    </row>
    <row r="307" spans="1:26" ht="15" thickBot="1" x14ac:dyDescent="0.4">
      <c r="A307" s="9" t="s">
        <v>434</v>
      </c>
      <c r="B307" s="9" t="s">
        <v>23</v>
      </c>
      <c r="C307" s="9" t="s">
        <v>24</v>
      </c>
      <c r="D307" s="10">
        <v>46062</v>
      </c>
      <c r="E307" s="10">
        <v>46070</v>
      </c>
      <c r="F307" s="9" t="s">
        <v>25</v>
      </c>
      <c r="G307" s="9" t="s">
        <v>26</v>
      </c>
      <c r="H307" s="10">
        <v>36984</v>
      </c>
      <c r="I307" s="9" t="s">
        <v>27</v>
      </c>
      <c r="J307" s="9" t="s">
        <v>28</v>
      </c>
      <c r="K307" s="9" t="s">
        <v>29</v>
      </c>
      <c r="L307" s="9" t="s">
        <v>30</v>
      </c>
      <c r="M307" s="11">
        <v>8</v>
      </c>
      <c r="N307" s="11">
        <v>2200</v>
      </c>
      <c r="O307" s="11">
        <v>5</v>
      </c>
      <c r="P307" s="11">
        <v>16720</v>
      </c>
      <c r="Q307" s="11">
        <v>3</v>
      </c>
      <c r="R307" s="9" t="s">
        <v>60</v>
      </c>
      <c r="S307" s="9" t="s">
        <v>80</v>
      </c>
      <c r="T307" s="9" t="s">
        <v>43</v>
      </c>
      <c r="U307" s="9">
        <v>9427001508</v>
      </c>
      <c r="V307" s="9" t="s">
        <v>52</v>
      </c>
      <c r="W307" s="3"/>
      <c r="X307" s="3"/>
      <c r="Y307" s="3"/>
      <c r="Z307" s="3"/>
    </row>
    <row r="308" spans="1:26" ht="15" thickBot="1" x14ac:dyDescent="0.4">
      <c r="A308" s="4" t="s">
        <v>435</v>
      </c>
      <c r="B308" s="4" t="s">
        <v>134</v>
      </c>
      <c r="C308" s="4" t="s">
        <v>112</v>
      </c>
      <c r="D308" s="5">
        <v>45704</v>
      </c>
      <c r="E308" s="5">
        <v>45714</v>
      </c>
      <c r="F308" s="4" t="s">
        <v>135</v>
      </c>
      <c r="G308" s="4" t="s">
        <v>26</v>
      </c>
      <c r="H308" s="5">
        <v>33668</v>
      </c>
      <c r="I308" s="4" t="s">
        <v>74</v>
      </c>
      <c r="J308" s="4" t="s">
        <v>75</v>
      </c>
      <c r="K308" s="4" t="s">
        <v>39</v>
      </c>
      <c r="L308" s="4" t="s">
        <v>114</v>
      </c>
      <c r="M308" s="6">
        <v>17</v>
      </c>
      <c r="N308" s="6">
        <v>700</v>
      </c>
      <c r="O308" s="6">
        <v>20</v>
      </c>
      <c r="P308" s="6">
        <v>9520</v>
      </c>
      <c r="Q308" s="6">
        <v>4</v>
      </c>
      <c r="R308" s="4" t="s">
        <v>41</v>
      </c>
      <c r="S308" s="4" t="s">
        <v>80</v>
      </c>
      <c r="T308" s="4" t="s">
        <v>136</v>
      </c>
      <c r="U308" s="4">
        <v>9666803655</v>
      </c>
      <c r="V308" s="8" t="s">
        <v>34</v>
      </c>
      <c r="W308" s="3"/>
      <c r="X308" s="3"/>
      <c r="Y308" s="3"/>
      <c r="Z308" s="3"/>
    </row>
    <row r="309" spans="1:26" ht="15" thickBot="1" x14ac:dyDescent="0.4">
      <c r="A309" s="9" t="s">
        <v>436</v>
      </c>
      <c r="B309" s="9" t="s">
        <v>134</v>
      </c>
      <c r="C309" s="9" t="s">
        <v>105</v>
      </c>
      <c r="D309" s="10">
        <v>45897</v>
      </c>
      <c r="E309" s="10">
        <v>45908</v>
      </c>
      <c r="F309" s="9" t="s">
        <v>135</v>
      </c>
      <c r="G309" s="9" t="s">
        <v>26</v>
      </c>
      <c r="H309" s="10">
        <v>28122</v>
      </c>
      <c r="I309" s="9" t="s">
        <v>79</v>
      </c>
      <c r="J309" s="9" t="s">
        <v>75</v>
      </c>
      <c r="K309" s="9" t="s">
        <v>29</v>
      </c>
      <c r="L309" s="9" t="s">
        <v>107</v>
      </c>
      <c r="M309" s="11">
        <v>6</v>
      </c>
      <c r="N309" s="11">
        <v>8500</v>
      </c>
      <c r="O309" s="11">
        <v>15</v>
      </c>
      <c r="P309" s="11">
        <v>43350</v>
      </c>
      <c r="Q309" s="11">
        <v>1</v>
      </c>
      <c r="R309" s="9" t="s">
        <v>31</v>
      </c>
      <c r="S309" s="9" t="s">
        <v>50</v>
      </c>
      <c r="T309" s="9" t="s">
        <v>136</v>
      </c>
      <c r="U309" s="9">
        <v>9134878547</v>
      </c>
      <c r="V309" s="12" t="s">
        <v>34</v>
      </c>
      <c r="W309" s="3"/>
      <c r="X309" s="3"/>
      <c r="Y309" s="3"/>
      <c r="Z309" s="3"/>
    </row>
    <row r="310" spans="1:26" ht="15" thickBot="1" x14ac:dyDescent="0.4">
      <c r="A310" s="4" t="s">
        <v>437</v>
      </c>
      <c r="B310" s="4" t="s">
        <v>45</v>
      </c>
      <c r="C310" s="4" t="s">
        <v>68</v>
      </c>
      <c r="D310" s="5">
        <v>45936</v>
      </c>
      <c r="E310" s="5">
        <v>45941</v>
      </c>
      <c r="F310" s="4" t="s">
        <v>101</v>
      </c>
      <c r="G310" s="4" t="s">
        <v>26</v>
      </c>
      <c r="H310" s="5">
        <v>31659</v>
      </c>
      <c r="I310" s="4" t="s">
        <v>27</v>
      </c>
      <c r="J310" s="4" t="s">
        <v>28</v>
      </c>
      <c r="K310" s="4" t="s">
        <v>29</v>
      </c>
      <c r="L310" s="4" t="s">
        <v>70</v>
      </c>
      <c r="M310" s="6">
        <v>3</v>
      </c>
      <c r="N310" s="6">
        <v>3500</v>
      </c>
      <c r="O310" s="6">
        <v>10</v>
      </c>
      <c r="P310" s="6">
        <v>9450</v>
      </c>
      <c r="Q310" s="6">
        <v>1</v>
      </c>
      <c r="R310" s="4" t="s">
        <v>41</v>
      </c>
      <c r="S310" s="4" t="s">
        <v>42</v>
      </c>
      <c r="T310" s="4" t="s">
        <v>51</v>
      </c>
      <c r="U310" s="4">
        <v>9253593557</v>
      </c>
      <c r="V310" s="8" t="s">
        <v>34</v>
      </c>
      <c r="W310" s="3"/>
      <c r="X310" s="3"/>
      <c r="Y310" s="3"/>
      <c r="Z310" s="3"/>
    </row>
    <row r="311" spans="1:26" ht="15" thickBot="1" x14ac:dyDescent="0.4">
      <c r="A311" s="9" t="s">
        <v>438</v>
      </c>
      <c r="B311" s="9" t="s">
        <v>55</v>
      </c>
      <c r="C311" s="9" t="s">
        <v>36</v>
      </c>
      <c r="D311" s="10">
        <v>45674</v>
      </c>
      <c r="E311" s="10">
        <v>45686</v>
      </c>
      <c r="F311" s="9" t="s">
        <v>57</v>
      </c>
      <c r="G311" s="9" t="s">
        <v>58</v>
      </c>
      <c r="H311" s="10">
        <v>32734</v>
      </c>
      <c r="I311" s="9" t="s">
        <v>91</v>
      </c>
      <c r="J311" s="9" t="s">
        <v>75</v>
      </c>
      <c r="K311" s="9" t="s">
        <v>39</v>
      </c>
      <c r="L311" s="9" t="s">
        <v>40</v>
      </c>
      <c r="M311" s="11">
        <v>2</v>
      </c>
      <c r="N311" s="11">
        <v>12000</v>
      </c>
      <c r="O311" s="11">
        <v>20</v>
      </c>
      <c r="P311" s="11">
        <v>19200</v>
      </c>
      <c r="Q311" s="11">
        <v>1</v>
      </c>
      <c r="R311" s="9" t="s">
        <v>60</v>
      </c>
      <c r="S311" s="9" t="s">
        <v>50</v>
      </c>
      <c r="T311" s="9" t="s">
        <v>61</v>
      </c>
      <c r="U311" s="9">
        <v>9183094051</v>
      </c>
      <c r="V311" s="12" t="s">
        <v>34</v>
      </c>
      <c r="W311" s="3"/>
      <c r="X311" s="3"/>
      <c r="Y311" s="3"/>
      <c r="Z311" s="3"/>
    </row>
    <row r="312" spans="1:26" ht="15" thickBot="1" x14ac:dyDescent="0.4">
      <c r="A312" s="4" t="s">
        <v>439</v>
      </c>
      <c r="B312" s="4" t="s">
        <v>124</v>
      </c>
      <c r="C312" s="4" t="s">
        <v>125</v>
      </c>
      <c r="D312" s="5">
        <v>45943</v>
      </c>
      <c r="E312" s="5">
        <v>45946</v>
      </c>
      <c r="F312" s="4" t="s">
        <v>126</v>
      </c>
      <c r="G312" s="4" t="s">
        <v>58</v>
      </c>
      <c r="H312" s="5">
        <v>33299</v>
      </c>
      <c r="I312" s="4" t="s">
        <v>37</v>
      </c>
      <c r="J312" s="4" t="s">
        <v>38</v>
      </c>
      <c r="K312" s="4" t="s">
        <v>83</v>
      </c>
      <c r="L312" s="4" t="s">
        <v>127</v>
      </c>
      <c r="M312" s="6">
        <v>12</v>
      </c>
      <c r="N312" s="6">
        <v>20</v>
      </c>
      <c r="O312" s="6">
        <v>20</v>
      </c>
      <c r="P312" s="6">
        <v>192</v>
      </c>
      <c r="Q312" s="6">
        <v>2</v>
      </c>
      <c r="R312" s="4" t="s">
        <v>60</v>
      </c>
      <c r="S312" s="4" t="s">
        <v>42</v>
      </c>
      <c r="T312" s="4" t="s">
        <v>128</v>
      </c>
      <c r="U312" s="4">
        <v>9293147620</v>
      </c>
      <c r="V312" s="8" t="s">
        <v>34</v>
      </c>
      <c r="W312" s="3"/>
      <c r="X312" s="3"/>
      <c r="Y312" s="3"/>
      <c r="Z312" s="3"/>
    </row>
    <row r="313" spans="1:26" ht="15" thickBot="1" x14ac:dyDescent="0.4">
      <c r="A313" s="9" t="s">
        <v>440</v>
      </c>
      <c r="B313" s="9" t="s">
        <v>72</v>
      </c>
      <c r="C313" s="9" t="s">
        <v>36</v>
      </c>
      <c r="D313" s="10">
        <v>46138</v>
      </c>
      <c r="E313" s="10">
        <v>46140</v>
      </c>
      <c r="F313" s="9" t="s">
        <v>73</v>
      </c>
      <c r="G313" s="9" t="s">
        <v>26</v>
      </c>
      <c r="H313" s="10">
        <v>32733</v>
      </c>
      <c r="I313" s="9" t="s">
        <v>147</v>
      </c>
      <c r="J313" s="9" t="s">
        <v>148</v>
      </c>
      <c r="K313" s="9" t="s">
        <v>39</v>
      </c>
      <c r="L313" s="9" t="s">
        <v>40</v>
      </c>
      <c r="M313" s="11">
        <v>20</v>
      </c>
      <c r="N313" s="11">
        <v>12000</v>
      </c>
      <c r="O313" s="11">
        <v>15</v>
      </c>
      <c r="P313" s="11">
        <v>204000</v>
      </c>
      <c r="Q313" s="11">
        <v>3</v>
      </c>
      <c r="R313" s="9" t="s">
        <v>31</v>
      </c>
      <c r="S313" s="9" t="s">
        <v>32</v>
      </c>
      <c r="T313" s="9" t="s">
        <v>93</v>
      </c>
      <c r="U313" s="9">
        <v>9755583734</v>
      </c>
      <c r="V313" s="9" t="s">
        <v>52</v>
      </c>
      <c r="W313" s="3"/>
      <c r="X313" s="3"/>
      <c r="Y313" s="3"/>
      <c r="Z313" s="3"/>
    </row>
    <row r="314" spans="1:26" ht="15" thickBot="1" x14ac:dyDescent="0.4">
      <c r="A314" s="4" t="s">
        <v>441</v>
      </c>
      <c r="B314" s="4" t="s">
        <v>45</v>
      </c>
      <c r="C314" s="4" t="s">
        <v>82</v>
      </c>
      <c r="D314" s="5">
        <v>46105</v>
      </c>
      <c r="E314" s="5">
        <v>46116</v>
      </c>
      <c r="F314" s="4" t="s">
        <v>101</v>
      </c>
      <c r="G314" s="4" t="s">
        <v>26</v>
      </c>
      <c r="H314" s="5">
        <v>37654</v>
      </c>
      <c r="I314" s="4" t="s">
        <v>121</v>
      </c>
      <c r="J314" s="4" t="s">
        <v>38</v>
      </c>
      <c r="K314" s="4" t="s">
        <v>83</v>
      </c>
      <c r="L314" s="4" t="s">
        <v>84</v>
      </c>
      <c r="M314" s="6">
        <v>13</v>
      </c>
      <c r="N314" s="6">
        <v>60</v>
      </c>
      <c r="O314" s="6">
        <v>10</v>
      </c>
      <c r="P314" s="6">
        <v>702</v>
      </c>
      <c r="Q314" s="6">
        <v>5</v>
      </c>
      <c r="R314" s="4" t="s">
        <v>31</v>
      </c>
      <c r="S314" s="4" t="s">
        <v>32</v>
      </c>
      <c r="T314" s="4" t="s">
        <v>51</v>
      </c>
      <c r="U314" s="4">
        <v>9186592813</v>
      </c>
      <c r="V314" s="4" t="s">
        <v>52</v>
      </c>
      <c r="W314" s="3"/>
      <c r="X314" s="3"/>
      <c r="Y314" s="3"/>
      <c r="Z314" s="3"/>
    </row>
    <row r="315" spans="1:26" ht="15" thickBot="1" x14ac:dyDescent="0.4">
      <c r="A315" s="9" t="s">
        <v>442</v>
      </c>
      <c r="B315" s="9" t="s">
        <v>55</v>
      </c>
      <c r="C315" s="9" t="s">
        <v>46</v>
      </c>
      <c r="D315" s="10">
        <v>45785</v>
      </c>
      <c r="E315" s="10">
        <v>45796</v>
      </c>
      <c r="F315" s="9" t="s">
        <v>57</v>
      </c>
      <c r="G315" s="9" t="s">
        <v>58</v>
      </c>
      <c r="H315" s="10">
        <v>35019</v>
      </c>
      <c r="I315" s="9" t="s">
        <v>79</v>
      </c>
      <c r="J315" s="9" t="s">
        <v>75</v>
      </c>
      <c r="K315" s="9" t="s">
        <v>39</v>
      </c>
      <c r="L315" s="9" t="s">
        <v>49</v>
      </c>
      <c r="M315" s="11">
        <v>13</v>
      </c>
      <c r="N315" s="11">
        <v>55000</v>
      </c>
      <c r="O315" s="11">
        <v>5</v>
      </c>
      <c r="P315" s="11">
        <v>679250</v>
      </c>
      <c r="Q315" s="11">
        <v>1</v>
      </c>
      <c r="R315" s="9" t="s">
        <v>65</v>
      </c>
      <c r="S315" s="9" t="s">
        <v>96</v>
      </c>
      <c r="T315" s="9" t="s">
        <v>61</v>
      </c>
      <c r="U315" s="9">
        <v>9203482008</v>
      </c>
      <c r="V315" s="9" t="s">
        <v>52</v>
      </c>
      <c r="W315" s="3"/>
      <c r="X315" s="3"/>
      <c r="Y315" s="3"/>
      <c r="Z315" s="3"/>
    </row>
    <row r="316" spans="1:26" ht="15" thickBot="1" x14ac:dyDescent="0.4">
      <c r="A316" s="4" t="s">
        <v>443</v>
      </c>
      <c r="B316" s="4" t="s">
        <v>72</v>
      </c>
      <c r="C316" s="4" t="s">
        <v>56</v>
      </c>
      <c r="D316" s="5">
        <v>46088</v>
      </c>
      <c r="E316" s="5">
        <v>46091</v>
      </c>
      <c r="F316" s="4" t="s">
        <v>73</v>
      </c>
      <c r="G316" s="4" t="s">
        <v>26</v>
      </c>
      <c r="H316" s="5">
        <v>32836</v>
      </c>
      <c r="I316" s="4" t="s">
        <v>48</v>
      </c>
      <c r="J316" s="4" t="s">
        <v>28</v>
      </c>
      <c r="K316" s="4" t="s">
        <v>39</v>
      </c>
      <c r="L316" s="4" t="s">
        <v>59</v>
      </c>
      <c r="M316" s="6">
        <v>7</v>
      </c>
      <c r="N316" s="6">
        <v>1200</v>
      </c>
      <c r="O316" s="6">
        <v>15</v>
      </c>
      <c r="P316" s="6">
        <v>7140</v>
      </c>
      <c r="Q316" s="6">
        <v>5</v>
      </c>
      <c r="R316" s="4" t="s">
        <v>65</v>
      </c>
      <c r="S316" s="4" t="s">
        <v>42</v>
      </c>
      <c r="T316" s="4" t="s">
        <v>93</v>
      </c>
      <c r="U316" s="4">
        <v>9829888777</v>
      </c>
      <c r="V316" s="4" t="s">
        <v>52</v>
      </c>
      <c r="W316" s="3"/>
      <c r="X316" s="3"/>
      <c r="Y316" s="3"/>
      <c r="Z316" s="3"/>
    </row>
    <row r="317" spans="1:26" ht="15" thickBot="1" x14ac:dyDescent="0.4">
      <c r="A317" s="9" t="s">
        <v>444</v>
      </c>
      <c r="B317" s="9" t="s">
        <v>63</v>
      </c>
      <c r="C317" s="9" t="s">
        <v>36</v>
      </c>
      <c r="D317" s="10">
        <v>46017</v>
      </c>
      <c r="E317" s="10">
        <v>46021</v>
      </c>
      <c r="F317" s="9" t="s">
        <v>110</v>
      </c>
      <c r="G317" s="9" t="s">
        <v>58</v>
      </c>
      <c r="H317" s="10">
        <v>32253</v>
      </c>
      <c r="I317" s="9" t="s">
        <v>121</v>
      </c>
      <c r="J317" s="9" t="s">
        <v>38</v>
      </c>
      <c r="K317" s="9" t="s">
        <v>39</v>
      </c>
      <c r="L317" s="9" t="s">
        <v>40</v>
      </c>
      <c r="M317" s="11">
        <v>17</v>
      </c>
      <c r="N317" s="11">
        <v>12000</v>
      </c>
      <c r="O317" s="11">
        <v>5</v>
      </c>
      <c r="P317" s="11">
        <v>193800</v>
      </c>
      <c r="Q317" s="11">
        <v>1</v>
      </c>
      <c r="R317" s="9" t="s">
        <v>31</v>
      </c>
      <c r="S317" s="9" t="s">
        <v>50</v>
      </c>
      <c r="T317" s="9" t="s">
        <v>66</v>
      </c>
      <c r="U317" s="9">
        <v>9566101317</v>
      </c>
      <c r="V317" s="9" t="s">
        <v>53</v>
      </c>
      <c r="W317" s="3"/>
      <c r="X317" s="3"/>
      <c r="Y317" s="3"/>
      <c r="Z317" s="3"/>
    </row>
    <row r="318" spans="1:26" ht="15" thickBot="1" x14ac:dyDescent="0.4">
      <c r="A318" s="4" t="s">
        <v>445</v>
      </c>
      <c r="B318" s="4" t="s">
        <v>63</v>
      </c>
      <c r="C318" s="4" t="s">
        <v>125</v>
      </c>
      <c r="D318" s="5">
        <v>46131</v>
      </c>
      <c r="E318" s="5">
        <v>46137</v>
      </c>
      <c r="F318" s="4" t="s">
        <v>110</v>
      </c>
      <c r="G318" s="4" t="s">
        <v>58</v>
      </c>
      <c r="H318" s="5">
        <v>28796</v>
      </c>
      <c r="I318" s="4" t="s">
        <v>48</v>
      </c>
      <c r="J318" s="4" t="s">
        <v>28</v>
      </c>
      <c r="K318" s="4" t="s">
        <v>83</v>
      </c>
      <c r="L318" s="4" t="s">
        <v>127</v>
      </c>
      <c r="M318" s="6">
        <v>10</v>
      </c>
      <c r="N318" s="6">
        <v>20</v>
      </c>
      <c r="O318" s="6">
        <v>5</v>
      </c>
      <c r="P318" s="6">
        <v>190</v>
      </c>
      <c r="Q318" s="6">
        <v>2</v>
      </c>
      <c r="R318" s="4" t="s">
        <v>31</v>
      </c>
      <c r="S318" s="4" t="s">
        <v>50</v>
      </c>
      <c r="T318" s="4" t="s">
        <v>66</v>
      </c>
      <c r="U318" s="4">
        <v>9706240823</v>
      </c>
      <c r="V318" s="4" t="s">
        <v>53</v>
      </c>
      <c r="W318" s="3"/>
      <c r="X318" s="3"/>
      <c r="Y318" s="3"/>
      <c r="Z318" s="3"/>
    </row>
    <row r="319" spans="1:26" ht="15" thickBot="1" x14ac:dyDescent="0.4">
      <c r="A319" s="9" t="s">
        <v>446</v>
      </c>
      <c r="B319" s="9" t="s">
        <v>104</v>
      </c>
      <c r="C319" s="9" t="s">
        <v>24</v>
      </c>
      <c r="D319" s="10">
        <v>45966</v>
      </c>
      <c r="E319" s="10">
        <v>45969</v>
      </c>
      <c r="F319" s="9" t="s">
        <v>166</v>
      </c>
      <c r="G319" s="9" t="s">
        <v>26</v>
      </c>
      <c r="H319" s="10">
        <v>32855</v>
      </c>
      <c r="I319" s="9" t="s">
        <v>37</v>
      </c>
      <c r="J319" s="9" t="s">
        <v>38</v>
      </c>
      <c r="K319" s="9" t="s">
        <v>29</v>
      </c>
      <c r="L319" s="9" t="s">
        <v>30</v>
      </c>
      <c r="M319" s="11">
        <v>11</v>
      </c>
      <c r="N319" s="11">
        <v>2200</v>
      </c>
      <c r="O319" s="11">
        <v>5</v>
      </c>
      <c r="P319" s="11">
        <v>22990</v>
      </c>
      <c r="Q319" s="11">
        <v>5</v>
      </c>
      <c r="R319" s="9" t="s">
        <v>60</v>
      </c>
      <c r="S319" s="9" t="s">
        <v>42</v>
      </c>
      <c r="T319" s="9" t="s">
        <v>108</v>
      </c>
      <c r="U319" s="9">
        <v>9259943760</v>
      </c>
      <c r="V319" s="9" t="s">
        <v>52</v>
      </c>
      <c r="W319" s="3"/>
      <c r="X319" s="3"/>
      <c r="Y319" s="3"/>
      <c r="Z319" s="3"/>
    </row>
    <row r="320" spans="1:26" ht="15" thickBot="1" x14ac:dyDescent="0.4">
      <c r="A320" s="4" t="s">
        <v>447</v>
      </c>
      <c r="B320" s="4" t="s">
        <v>72</v>
      </c>
      <c r="C320" s="4" t="s">
        <v>82</v>
      </c>
      <c r="D320" s="5">
        <v>46077</v>
      </c>
      <c r="E320" s="5">
        <v>46081</v>
      </c>
      <c r="F320" s="4" t="s">
        <v>73</v>
      </c>
      <c r="G320" s="4" t="s">
        <v>26</v>
      </c>
      <c r="H320" s="5">
        <v>34707</v>
      </c>
      <c r="I320" s="4" t="s">
        <v>121</v>
      </c>
      <c r="J320" s="4" t="s">
        <v>38</v>
      </c>
      <c r="K320" s="4" t="s">
        <v>83</v>
      </c>
      <c r="L320" s="4" t="s">
        <v>84</v>
      </c>
      <c r="M320" s="6">
        <v>8</v>
      </c>
      <c r="N320" s="6">
        <v>60</v>
      </c>
      <c r="O320" s="6">
        <v>15</v>
      </c>
      <c r="P320" s="6">
        <v>408</v>
      </c>
      <c r="Q320" s="6">
        <v>4</v>
      </c>
      <c r="R320" s="4" t="s">
        <v>31</v>
      </c>
      <c r="S320" s="4" t="s">
        <v>42</v>
      </c>
      <c r="T320" s="4" t="s">
        <v>93</v>
      </c>
      <c r="U320" s="4">
        <v>9527326977</v>
      </c>
      <c r="V320" s="4" t="s">
        <v>52</v>
      </c>
      <c r="W320" s="3"/>
      <c r="X320" s="3"/>
      <c r="Y320" s="3"/>
      <c r="Z320" s="3"/>
    </row>
    <row r="321" spans="1:26" ht="15" thickBot="1" x14ac:dyDescent="0.4">
      <c r="A321" s="9" t="s">
        <v>448</v>
      </c>
      <c r="B321" s="9" t="s">
        <v>124</v>
      </c>
      <c r="C321" s="9" t="s">
        <v>138</v>
      </c>
      <c r="D321" s="10">
        <v>45739</v>
      </c>
      <c r="E321" s="10">
        <v>45741</v>
      </c>
      <c r="F321" s="9" t="s">
        <v>126</v>
      </c>
      <c r="G321" s="9" t="s">
        <v>58</v>
      </c>
      <c r="H321" s="10">
        <v>34630</v>
      </c>
      <c r="I321" s="9" t="s">
        <v>37</v>
      </c>
      <c r="J321" s="9" t="s">
        <v>38</v>
      </c>
      <c r="K321" s="9" t="s">
        <v>83</v>
      </c>
      <c r="L321" s="9" t="s">
        <v>139</v>
      </c>
      <c r="M321" s="11">
        <v>17</v>
      </c>
      <c r="N321" s="11">
        <v>45</v>
      </c>
      <c r="O321" s="11">
        <v>15</v>
      </c>
      <c r="P321" s="11">
        <v>650.25</v>
      </c>
      <c r="Q321" s="11">
        <v>2</v>
      </c>
      <c r="R321" s="9" t="s">
        <v>65</v>
      </c>
      <c r="S321" s="9" t="s">
        <v>96</v>
      </c>
      <c r="T321" s="9" t="s">
        <v>128</v>
      </c>
      <c r="U321" s="9">
        <v>9886970990</v>
      </c>
      <c r="V321" s="12" t="s">
        <v>34</v>
      </c>
      <c r="W321" s="3"/>
      <c r="X321" s="3"/>
      <c r="Y321" s="3"/>
      <c r="Z321" s="3"/>
    </row>
    <row r="322" spans="1:26" ht="15" thickBot="1" x14ac:dyDescent="0.4">
      <c r="A322" s="4" t="s">
        <v>449</v>
      </c>
      <c r="B322" s="4" t="s">
        <v>156</v>
      </c>
      <c r="C322" s="4" t="s">
        <v>112</v>
      </c>
      <c r="D322" s="5">
        <v>45715</v>
      </c>
      <c r="E322" s="5">
        <v>45726</v>
      </c>
      <c r="F322" s="4" t="s">
        <v>106</v>
      </c>
      <c r="G322" s="4" t="s">
        <v>58</v>
      </c>
      <c r="H322" s="5">
        <v>35206</v>
      </c>
      <c r="I322" s="4" t="s">
        <v>121</v>
      </c>
      <c r="J322" s="4" t="s">
        <v>38</v>
      </c>
      <c r="K322" s="4" t="s">
        <v>39</v>
      </c>
      <c r="L322" s="4" t="s">
        <v>114</v>
      </c>
      <c r="M322" s="6">
        <v>14</v>
      </c>
      <c r="N322" s="6">
        <v>700</v>
      </c>
      <c r="O322" s="6">
        <v>15</v>
      </c>
      <c r="P322" s="6">
        <v>8330</v>
      </c>
      <c r="Q322" s="6">
        <v>1</v>
      </c>
      <c r="R322" s="4" t="s">
        <v>60</v>
      </c>
      <c r="S322" s="4" t="s">
        <v>80</v>
      </c>
      <c r="T322" s="4" t="s">
        <v>158</v>
      </c>
      <c r="U322" s="4">
        <v>9106930369</v>
      </c>
      <c r="V322" s="8" t="s">
        <v>34</v>
      </c>
      <c r="W322" s="3"/>
      <c r="X322" s="3"/>
      <c r="Y322" s="3"/>
      <c r="Z322" s="3"/>
    </row>
    <row r="323" spans="1:26" ht="15" thickBot="1" x14ac:dyDescent="0.4">
      <c r="A323" s="9" t="s">
        <v>450</v>
      </c>
      <c r="B323" s="9" t="s">
        <v>63</v>
      </c>
      <c r="C323" s="9" t="s">
        <v>56</v>
      </c>
      <c r="D323" s="10">
        <v>45811</v>
      </c>
      <c r="E323" s="10">
        <v>45822</v>
      </c>
      <c r="F323" s="9" t="s">
        <v>110</v>
      </c>
      <c r="G323" s="9" t="s">
        <v>58</v>
      </c>
      <c r="H323" s="10">
        <v>30097</v>
      </c>
      <c r="I323" s="9" t="s">
        <v>79</v>
      </c>
      <c r="J323" s="9" t="s">
        <v>75</v>
      </c>
      <c r="K323" s="9" t="s">
        <v>39</v>
      </c>
      <c r="L323" s="9" t="s">
        <v>59</v>
      </c>
      <c r="M323" s="11">
        <v>3</v>
      </c>
      <c r="N323" s="11">
        <v>1200</v>
      </c>
      <c r="O323" s="11">
        <v>5</v>
      </c>
      <c r="P323" s="11">
        <v>3420</v>
      </c>
      <c r="Q323" s="11">
        <v>3</v>
      </c>
      <c r="R323" s="9" t="s">
        <v>41</v>
      </c>
      <c r="S323" s="9" t="s">
        <v>96</v>
      </c>
      <c r="T323" s="9" t="s">
        <v>66</v>
      </c>
      <c r="U323" s="9">
        <v>9342009114</v>
      </c>
      <c r="V323" s="12" t="s">
        <v>34</v>
      </c>
      <c r="W323" s="3"/>
      <c r="X323" s="3"/>
      <c r="Y323" s="3"/>
      <c r="Z323" s="3"/>
    </row>
    <row r="324" spans="1:26" ht="15" thickBot="1" x14ac:dyDescent="0.4">
      <c r="A324" s="4" t="s">
        <v>451</v>
      </c>
      <c r="B324" s="4" t="s">
        <v>23</v>
      </c>
      <c r="C324" s="4" t="s">
        <v>56</v>
      </c>
      <c r="D324" s="5">
        <v>45845</v>
      </c>
      <c r="E324" s="5">
        <v>45854</v>
      </c>
      <c r="F324" s="4" t="s">
        <v>25</v>
      </c>
      <c r="G324" s="4" t="s">
        <v>26</v>
      </c>
      <c r="H324" s="5">
        <v>37217</v>
      </c>
      <c r="I324" s="4" t="s">
        <v>91</v>
      </c>
      <c r="J324" s="4" t="s">
        <v>75</v>
      </c>
      <c r="K324" s="4" t="s">
        <v>39</v>
      </c>
      <c r="L324" s="4" t="s">
        <v>59</v>
      </c>
      <c r="M324" s="6">
        <v>9</v>
      </c>
      <c r="N324" s="6">
        <v>1200</v>
      </c>
      <c r="O324" s="6">
        <v>15</v>
      </c>
      <c r="P324" s="6">
        <v>9180</v>
      </c>
      <c r="Q324" s="6">
        <v>3</v>
      </c>
      <c r="R324" s="4" t="s">
        <v>31</v>
      </c>
      <c r="S324" s="4" t="s">
        <v>42</v>
      </c>
      <c r="T324" s="4" t="s">
        <v>43</v>
      </c>
      <c r="U324" s="4">
        <v>9992739960</v>
      </c>
      <c r="V324" s="8" t="s">
        <v>34</v>
      </c>
      <c r="W324" s="3"/>
      <c r="X324" s="3"/>
      <c r="Y324" s="3"/>
      <c r="Z324" s="3"/>
    </row>
    <row r="325" spans="1:26" ht="15" thickBot="1" x14ac:dyDescent="0.4">
      <c r="A325" s="9" t="s">
        <v>452</v>
      </c>
      <c r="B325" s="9" t="s">
        <v>134</v>
      </c>
      <c r="C325" s="9" t="s">
        <v>125</v>
      </c>
      <c r="D325" s="10">
        <v>46132</v>
      </c>
      <c r="E325" s="10">
        <v>46133</v>
      </c>
      <c r="F325" s="9" t="s">
        <v>135</v>
      </c>
      <c r="G325" s="9" t="s">
        <v>26</v>
      </c>
      <c r="H325" s="10">
        <v>32565</v>
      </c>
      <c r="I325" s="9" t="s">
        <v>74</v>
      </c>
      <c r="J325" s="9" t="s">
        <v>75</v>
      </c>
      <c r="K325" s="9" t="s">
        <v>83</v>
      </c>
      <c r="L325" s="9" t="s">
        <v>127</v>
      </c>
      <c r="M325" s="11">
        <v>5</v>
      </c>
      <c r="N325" s="11">
        <v>20</v>
      </c>
      <c r="O325" s="11">
        <v>5</v>
      </c>
      <c r="P325" s="11">
        <v>95</v>
      </c>
      <c r="Q325" s="11">
        <v>4</v>
      </c>
      <c r="R325" s="9" t="s">
        <v>31</v>
      </c>
      <c r="S325" s="9" t="s">
        <v>96</v>
      </c>
      <c r="T325" s="9" t="s">
        <v>136</v>
      </c>
      <c r="U325" s="9">
        <v>9241987748</v>
      </c>
      <c r="V325" s="12" t="s">
        <v>34</v>
      </c>
      <c r="W325" s="3"/>
      <c r="X325" s="3"/>
      <c r="Y325" s="3"/>
      <c r="Z325" s="3"/>
    </row>
    <row r="326" spans="1:26" ht="15" thickBot="1" x14ac:dyDescent="0.4">
      <c r="A326" s="4" t="s">
        <v>453</v>
      </c>
      <c r="B326" s="4" t="s">
        <v>134</v>
      </c>
      <c r="C326" s="4" t="s">
        <v>24</v>
      </c>
      <c r="D326" s="5">
        <v>46001</v>
      </c>
      <c r="E326" s="5">
        <v>46012</v>
      </c>
      <c r="F326" s="4" t="s">
        <v>135</v>
      </c>
      <c r="G326" s="4" t="s">
        <v>26</v>
      </c>
      <c r="H326" s="5">
        <v>31277</v>
      </c>
      <c r="I326" s="4" t="s">
        <v>91</v>
      </c>
      <c r="J326" s="4" t="s">
        <v>75</v>
      </c>
      <c r="K326" s="4" t="s">
        <v>29</v>
      </c>
      <c r="L326" s="4" t="s">
        <v>30</v>
      </c>
      <c r="M326" s="6">
        <v>8</v>
      </c>
      <c r="N326" s="6">
        <v>2200</v>
      </c>
      <c r="O326" s="6">
        <v>10</v>
      </c>
      <c r="P326" s="6">
        <v>15840</v>
      </c>
      <c r="Q326" s="6">
        <v>4</v>
      </c>
      <c r="R326" s="4" t="s">
        <v>65</v>
      </c>
      <c r="S326" s="4" t="s">
        <v>50</v>
      </c>
      <c r="T326" s="4" t="s">
        <v>136</v>
      </c>
      <c r="U326" s="4">
        <v>9571990711</v>
      </c>
      <c r="V326" s="4" t="s">
        <v>53</v>
      </c>
      <c r="W326" s="3"/>
      <c r="X326" s="3"/>
      <c r="Y326" s="3"/>
      <c r="Z326" s="3"/>
    </row>
    <row r="327" spans="1:26" ht="15" thickBot="1" x14ac:dyDescent="0.4">
      <c r="A327" s="9" t="s">
        <v>454</v>
      </c>
      <c r="B327" s="9" t="s">
        <v>134</v>
      </c>
      <c r="C327" s="9" t="s">
        <v>112</v>
      </c>
      <c r="D327" s="10">
        <v>46089</v>
      </c>
      <c r="E327" s="10">
        <v>46093</v>
      </c>
      <c r="F327" s="9" t="s">
        <v>135</v>
      </c>
      <c r="G327" s="9" t="s">
        <v>26</v>
      </c>
      <c r="H327" s="10">
        <v>29223</v>
      </c>
      <c r="I327" s="9" t="s">
        <v>74</v>
      </c>
      <c r="J327" s="9" t="s">
        <v>75</v>
      </c>
      <c r="K327" s="9" t="s">
        <v>39</v>
      </c>
      <c r="L327" s="9" t="s">
        <v>114</v>
      </c>
      <c r="M327" s="11">
        <v>10</v>
      </c>
      <c r="N327" s="11">
        <v>700</v>
      </c>
      <c r="O327" s="11">
        <v>20</v>
      </c>
      <c r="P327" s="11">
        <v>5600</v>
      </c>
      <c r="Q327" s="11">
        <v>1</v>
      </c>
      <c r="R327" s="9" t="s">
        <v>65</v>
      </c>
      <c r="S327" s="9" t="s">
        <v>80</v>
      </c>
      <c r="T327" s="9" t="s">
        <v>136</v>
      </c>
      <c r="U327" s="9">
        <v>9219231183</v>
      </c>
      <c r="V327" s="12" t="s">
        <v>34</v>
      </c>
      <c r="W327" s="3"/>
      <c r="X327" s="3"/>
      <c r="Y327" s="3"/>
      <c r="Z327" s="3"/>
    </row>
    <row r="328" spans="1:26" ht="15" thickBot="1" x14ac:dyDescent="0.4">
      <c r="A328" s="4" t="s">
        <v>455</v>
      </c>
      <c r="B328" s="4" t="s">
        <v>63</v>
      </c>
      <c r="C328" s="4" t="s">
        <v>112</v>
      </c>
      <c r="D328" s="5">
        <v>45986</v>
      </c>
      <c r="E328" s="5">
        <v>45989</v>
      </c>
      <c r="F328" s="4" t="s">
        <v>110</v>
      </c>
      <c r="G328" s="4" t="s">
        <v>58</v>
      </c>
      <c r="H328" s="5">
        <v>28498</v>
      </c>
      <c r="I328" s="4" t="s">
        <v>48</v>
      </c>
      <c r="J328" s="4" t="s">
        <v>28</v>
      </c>
      <c r="K328" s="4" t="s">
        <v>39</v>
      </c>
      <c r="L328" s="4" t="s">
        <v>114</v>
      </c>
      <c r="M328" s="6">
        <v>2</v>
      </c>
      <c r="N328" s="6">
        <v>700</v>
      </c>
      <c r="O328" s="6">
        <v>20</v>
      </c>
      <c r="P328" s="6">
        <v>1120</v>
      </c>
      <c r="Q328" s="6">
        <v>2</v>
      </c>
      <c r="R328" s="4" t="s">
        <v>31</v>
      </c>
      <c r="S328" s="4" t="s">
        <v>80</v>
      </c>
      <c r="T328" s="4" t="s">
        <v>66</v>
      </c>
      <c r="U328" s="4">
        <v>9847386174</v>
      </c>
      <c r="V328" s="4" t="s">
        <v>52</v>
      </c>
      <c r="W328" s="3"/>
      <c r="X328" s="3"/>
      <c r="Y328" s="3"/>
      <c r="Z328" s="3"/>
    </row>
    <row r="329" spans="1:26" ht="15" thickBot="1" x14ac:dyDescent="0.4">
      <c r="A329" s="9" t="s">
        <v>456</v>
      </c>
      <c r="B329" s="9" t="s">
        <v>124</v>
      </c>
      <c r="C329" s="9" t="s">
        <v>68</v>
      </c>
      <c r="D329" s="10">
        <v>45827</v>
      </c>
      <c r="E329" s="10">
        <v>45836</v>
      </c>
      <c r="F329" s="9" t="s">
        <v>126</v>
      </c>
      <c r="G329" s="9" t="s">
        <v>58</v>
      </c>
      <c r="H329" s="10">
        <v>33821</v>
      </c>
      <c r="I329" s="9" t="s">
        <v>79</v>
      </c>
      <c r="J329" s="9" t="s">
        <v>75</v>
      </c>
      <c r="K329" s="9" t="s">
        <v>29</v>
      </c>
      <c r="L329" s="9" t="s">
        <v>70</v>
      </c>
      <c r="M329" s="11">
        <v>16</v>
      </c>
      <c r="N329" s="11">
        <v>3500</v>
      </c>
      <c r="O329" s="11">
        <v>20</v>
      </c>
      <c r="P329" s="11">
        <v>44800</v>
      </c>
      <c r="Q329" s="11">
        <v>2</v>
      </c>
      <c r="R329" s="9" t="s">
        <v>65</v>
      </c>
      <c r="S329" s="9" t="s">
        <v>32</v>
      </c>
      <c r="T329" s="9" t="s">
        <v>128</v>
      </c>
      <c r="U329" s="9">
        <v>9941274924</v>
      </c>
      <c r="V329" s="9" t="s">
        <v>52</v>
      </c>
      <c r="W329" s="3"/>
      <c r="X329" s="3"/>
      <c r="Y329" s="3"/>
      <c r="Z329" s="3"/>
    </row>
    <row r="330" spans="1:26" ht="15" thickBot="1" x14ac:dyDescent="0.4">
      <c r="A330" s="4" t="s">
        <v>457</v>
      </c>
      <c r="B330" s="4" t="s">
        <v>104</v>
      </c>
      <c r="C330" s="4" t="s">
        <v>68</v>
      </c>
      <c r="D330" s="5">
        <v>45860</v>
      </c>
      <c r="E330" s="5">
        <v>45870</v>
      </c>
      <c r="F330" s="4" t="s">
        <v>166</v>
      </c>
      <c r="G330" s="4" t="s">
        <v>26</v>
      </c>
      <c r="H330" s="5">
        <v>38349</v>
      </c>
      <c r="I330" s="4" t="s">
        <v>37</v>
      </c>
      <c r="J330" s="4" t="s">
        <v>38</v>
      </c>
      <c r="K330" s="4" t="s">
        <v>29</v>
      </c>
      <c r="L330" s="4" t="s">
        <v>70</v>
      </c>
      <c r="M330" s="6">
        <v>9</v>
      </c>
      <c r="N330" s="6">
        <v>3500</v>
      </c>
      <c r="O330" s="6">
        <v>20</v>
      </c>
      <c r="P330" s="6">
        <v>25200</v>
      </c>
      <c r="Q330" s="6">
        <v>1</v>
      </c>
      <c r="R330" s="4" t="s">
        <v>60</v>
      </c>
      <c r="S330" s="4" t="s">
        <v>42</v>
      </c>
      <c r="T330" s="4" t="s">
        <v>108</v>
      </c>
      <c r="U330" s="4">
        <v>9950650508</v>
      </c>
      <c r="V330" s="4" t="s">
        <v>53</v>
      </c>
      <c r="W330" s="3"/>
      <c r="X330" s="3"/>
      <c r="Y330" s="3"/>
      <c r="Z330" s="3"/>
    </row>
    <row r="331" spans="1:26" ht="15" thickBot="1" x14ac:dyDescent="0.4">
      <c r="A331" s="9" t="s">
        <v>458</v>
      </c>
      <c r="B331" s="9" t="s">
        <v>87</v>
      </c>
      <c r="C331" s="9" t="s">
        <v>112</v>
      </c>
      <c r="D331" s="10">
        <v>45959</v>
      </c>
      <c r="E331" s="10">
        <v>45960</v>
      </c>
      <c r="F331" s="9" t="s">
        <v>88</v>
      </c>
      <c r="G331" s="9" t="s">
        <v>58</v>
      </c>
      <c r="H331" s="10">
        <v>37628</v>
      </c>
      <c r="I331" s="9" t="s">
        <v>27</v>
      </c>
      <c r="J331" s="9" t="s">
        <v>28</v>
      </c>
      <c r="K331" s="9" t="s">
        <v>39</v>
      </c>
      <c r="L331" s="9" t="s">
        <v>114</v>
      </c>
      <c r="M331" s="11">
        <v>15</v>
      </c>
      <c r="N331" s="11">
        <v>700</v>
      </c>
      <c r="O331" s="11">
        <v>5</v>
      </c>
      <c r="P331" s="11">
        <v>9975</v>
      </c>
      <c r="Q331" s="11">
        <v>1</v>
      </c>
      <c r="R331" s="9" t="s">
        <v>31</v>
      </c>
      <c r="S331" s="9" t="s">
        <v>42</v>
      </c>
      <c r="T331" s="9" t="s">
        <v>89</v>
      </c>
      <c r="U331" s="9">
        <v>9464035549</v>
      </c>
      <c r="V331" s="9" t="s">
        <v>53</v>
      </c>
      <c r="W331" s="3"/>
      <c r="X331" s="3"/>
      <c r="Y331" s="3"/>
      <c r="Z331" s="3"/>
    </row>
    <row r="332" spans="1:26" ht="15" thickBot="1" x14ac:dyDescent="0.4">
      <c r="A332" s="4" t="s">
        <v>459</v>
      </c>
      <c r="B332" s="4" t="s">
        <v>45</v>
      </c>
      <c r="C332" s="4" t="s">
        <v>56</v>
      </c>
      <c r="D332" s="5">
        <v>46086</v>
      </c>
      <c r="E332" s="5">
        <v>46091</v>
      </c>
      <c r="F332" s="4" t="s">
        <v>101</v>
      </c>
      <c r="G332" s="4" t="s">
        <v>26</v>
      </c>
      <c r="H332" s="5">
        <v>34037</v>
      </c>
      <c r="I332" s="4" t="s">
        <v>91</v>
      </c>
      <c r="J332" s="4" t="s">
        <v>75</v>
      </c>
      <c r="K332" s="4" t="s">
        <v>39</v>
      </c>
      <c r="L332" s="4" t="s">
        <v>59</v>
      </c>
      <c r="M332" s="6">
        <v>13</v>
      </c>
      <c r="N332" s="6">
        <v>1200</v>
      </c>
      <c r="O332" s="6">
        <v>0</v>
      </c>
      <c r="P332" s="6">
        <v>15600</v>
      </c>
      <c r="Q332" s="6">
        <v>3</v>
      </c>
      <c r="R332" s="4" t="s">
        <v>41</v>
      </c>
      <c r="S332" s="4" t="s">
        <v>80</v>
      </c>
      <c r="T332" s="4" t="s">
        <v>51</v>
      </c>
      <c r="U332" s="4">
        <v>9142334315</v>
      </c>
      <c r="V332" s="4" t="s">
        <v>53</v>
      </c>
      <c r="W332" s="3"/>
      <c r="X332" s="3"/>
      <c r="Y332" s="3"/>
      <c r="Z332" s="3"/>
    </row>
    <row r="333" spans="1:26" ht="15" thickBot="1" x14ac:dyDescent="0.4">
      <c r="A333" s="9" t="s">
        <v>460</v>
      </c>
      <c r="B333" s="9" t="s">
        <v>156</v>
      </c>
      <c r="C333" s="9" t="s">
        <v>36</v>
      </c>
      <c r="D333" s="10">
        <v>45895</v>
      </c>
      <c r="E333" s="10">
        <v>45907</v>
      </c>
      <c r="F333" s="9" t="s">
        <v>106</v>
      </c>
      <c r="G333" s="9" t="s">
        <v>58</v>
      </c>
      <c r="H333" s="10">
        <v>34123</v>
      </c>
      <c r="I333" s="9" t="s">
        <v>37</v>
      </c>
      <c r="J333" s="9" t="s">
        <v>38</v>
      </c>
      <c r="K333" s="9" t="s">
        <v>39</v>
      </c>
      <c r="L333" s="9" t="s">
        <v>40</v>
      </c>
      <c r="M333" s="11">
        <v>5</v>
      </c>
      <c r="N333" s="11">
        <v>12000</v>
      </c>
      <c r="O333" s="11">
        <v>10</v>
      </c>
      <c r="P333" s="11">
        <v>54000</v>
      </c>
      <c r="Q333" s="11">
        <v>3</v>
      </c>
      <c r="R333" s="9" t="s">
        <v>65</v>
      </c>
      <c r="S333" s="9" t="s">
        <v>42</v>
      </c>
      <c r="T333" s="9" t="s">
        <v>158</v>
      </c>
      <c r="U333" s="9">
        <v>9123961962</v>
      </c>
      <c r="V333" s="12" t="s">
        <v>34</v>
      </c>
      <c r="W333" s="3"/>
      <c r="X333" s="3"/>
      <c r="Y333" s="3"/>
      <c r="Z333" s="3"/>
    </row>
    <row r="334" spans="1:26" ht="15" thickBot="1" x14ac:dyDescent="0.4">
      <c r="A334" s="4" t="s">
        <v>461</v>
      </c>
      <c r="B334" s="4" t="s">
        <v>45</v>
      </c>
      <c r="C334" s="4" t="s">
        <v>138</v>
      </c>
      <c r="D334" s="5">
        <v>45752</v>
      </c>
      <c r="E334" s="5">
        <v>45755</v>
      </c>
      <c r="F334" s="4" t="s">
        <v>101</v>
      </c>
      <c r="G334" s="4" t="s">
        <v>26</v>
      </c>
      <c r="H334" s="5">
        <v>36504</v>
      </c>
      <c r="I334" s="4" t="s">
        <v>48</v>
      </c>
      <c r="J334" s="4" t="s">
        <v>28</v>
      </c>
      <c r="K334" s="4" t="s">
        <v>83</v>
      </c>
      <c r="L334" s="4" t="s">
        <v>139</v>
      </c>
      <c r="M334" s="6">
        <v>12</v>
      </c>
      <c r="N334" s="6">
        <v>45</v>
      </c>
      <c r="O334" s="6">
        <v>20</v>
      </c>
      <c r="P334" s="6">
        <v>432</v>
      </c>
      <c r="Q334" s="6">
        <v>3</v>
      </c>
      <c r="R334" s="4" t="s">
        <v>41</v>
      </c>
      <c r="S334" s="4" t="s">
        <v>50</v>
      </c>
      <c r="T334" s="4" t="s">
        <v>51</v>
      </c>
      <c r="U334" s="4">
        <v>9741953402</v>
      </c>
      <c r="V334" s="8" t="s">
        <v>34</v>
      </c>
      <c r="W334" s="3"/>
      <c r="X334" s="3"/>
      <c r="Y334" s="3"/>
      <c r="Z334" s="3"/>
    </row>
    <row r="335" spans="1:26" ht="15" thickBot="1" x14ac:dyDescent="0.4">
      <c r="A335" s="9" t="s">
        <v>462</v>
      </c>
      <c r="B335" s="9" t="s">
        <v>23</v>
      </c>
      <c r="C335" s="9" t="s">
        <v>68</v>
      </c>
      <c r="D335" s="10">
        <v>45756</v>
      </c>
      <c r="E335" s="10">
        <v>45761</v>
      </c>
      <c r="F335" s="9" t="s">
        <v>25</v>
      </c>
      <c r="G335" s="9" t="s">
        <v>26</v>
      </c>
      <c r="H335" s="10">
        <v>27917</v>
      </c>
      <c r="I335" s="9" t="s">
        <v>48</v>
      </c>
      <c r="J335" s="9" t="s">
        <v>28</v>
      </c>
      <c r="K335" s="9" t="s">
        <v>29</v>
      </c>
      <c r="L335" s="9" t="s">
        <v>70</v>
      </c>
      <c r="M335" s="11">
        <v>2</v>
      </c>
      <c r="N335" s="11">
        <v>3500</v>
      </c>
      <c r="O335" s="11">
        <v>0</v>
      </c>
      <c r="P335" s="11">
        <v>7000</v>
      </c>
      <c r="Q335" s="11">
        <v>1</v>
      </c>
      <c r="R335" s="9" t="s">
        <v>41</v>
      </c>
      <c r="S335" s="9" t="s">
        <v>80</v>
      </c>
      <c r="T335" s="9" t="s">
        <v>43</v>
      </c>
      <c r="U335" s="9">
        <v>9404733633</v>
      </c>
      <c r="V335" s="9" t="s">
        <v>52</v>
      </c>
      <c r="W335" s="3"/>
      <c r="X335" s="3"/>
      <c r="Y335" s="3"/>
      <c r="Z335" s="3"/>
    </row>
    <row r="336" spans="1:26" ht="15" thickBot="1" x14ac:dyDescent="0.4">
      <c r="A336" s="4" t="s">
        <v>463</v>
      </c>
      <c r="B336" s="4" t="s">
        <v>23</v>
      </c>
      <c r="C336" s="4" t="s">
        <v>24</v>
      </c>
      <c r="D336" s="5">
        <v>46155</v>
      </c>
      <c r="E336" s="5">
        <v>46158</v>
      </c>
      <c r="F336" s="4" t="s">
        <v>25</v>
      </c>
      <c r="G336" s="4" t="s">
        <v>26</v>
      </c>
      <c r="H336" s="5">
        <v>30982</v>
      </c>
      <c r="I336" s="4" t="s">
        <v>79</v>
      </c>
      <c r="J336" s="4" t="s">
        <v>75</v>
      </c>
      <c r="K336" s="4" t="s">
        <v>29</v>
      </c>
      <c r="L336" s="4" t="s">
        <v>30</v>
      </c>
      <c r="M336" s="6">
        <v>15</v>
      </c>
      <c r="N336" s="6">
        <v>2200</v>
      </c>
      <c r="O336" s="6">
        <v>15</v>
      </c>
      <c r="P336" s="6">
        <v>28050</v>
      </c>
      <c r="Q336" s="6">
        <v>2</v>
      </c>
      <c r="R336" s="4" t="s">
        <v>41</v>
      </c>
      <c r="S336" s="4" t="s">
        <v>42</v>
      </c>
      <c r="T336" s="4" t="s">
        <v>43</v>
      </c>
      <c r="U336" s="4">
        <v>9297492337</v>
      </c>
      <c r="V336" s="4" t="s">
        <v>52</v>
      </c>
      <c r="W336" s="3"/>
      <c r="X336" s="3"/>
      <c r="Y336" s="3"/>
      <c r="Z336" s="3"/>
    </row>
    <row r="337" spans="1:26" ht="15" thickBot="1" x14ac:dyDescent="0.4">
      <c r="A337" s="9" t="s">
        <v>464</v>
      </c>
      <c r="B337" s="9" t="s">
        <v>72</v>
      </c>
      <c r="C337" s="9" t="s">
        <v>125</v>
      </c>
      <c r="D337" s="10">
        <v>45995</v>
      </c>
      <c r="E337" s="10">
        <v>46003</v>
      </c>
      <c r="F337" s="9" t="s">
        <v>73</v>
      </c>
      <c r="G337" s="9" t="s">
        <v>26</v>
      </c>
      <c r="H337" s="10">
        <v>27453</v>
      </c>
      <c r="I337" s="9" t="s">
        <v>91</v>
      </c>
      <c r="J337" s="9" t="s">
        <v>75</v>
      </c>
      <c r="K337" s="9" t="s">
        <v>83</v>
      </c>
      <c r="L337" s="9" t="s">
        <v>127</v>
      </c>
      <c r="M337" s="11">
        <v>8</v>
      </c>
      <c r="N337" s="11">
        <v>20</v>
      </c>
      <c r="O337" s="11">
        <v>20</v>
      </c>
      <c r="P337" s="11">
        <v>128</v>
      </c>
      <c r="Q337" s="11">
        <v>5</v>
      </c>
      <c r="R337" s="9" t="s">
        <v>65</v>
      </c>
      <c r="S337" s="9" t="s">
        <v>42</v>
      </c>
      <c r="T337" s="9" t="s">
        <v>93</v>
      </c>
      <c r="U337" s="9">
        <v>9350338928</v>
      </c>
      <c r="V337" s="12" t="s">
        <v>34</v>
      </c>
      <c r="W337" s="3"/>
      <c r="X337" s="3"/>
      <c r="Y337" s="3"/>
      <c r="Z337" s="3"/>
    </row>
    <row r="338" spans="1:26" ht="15" thickBot="1" x14ac:dyDescent="0.4">
      <c r="A338" s="4" t="s">
        <v>465</v>
      </c>
      <c r="B338" s="4" t="s">
        <v>87</v>
      </c>
      <c r="C338" s="4" t="s">
        <v>125</v>
      </c>
      <c r="D338" s="5">
        <v>46089</v>
      </c>
      <c r="E338" s="5">
        <v>46091</v>
      </c>
      <c r="F338" s="4" t="s">
        <v>88</v>
      </c>
      <c r="G338" s="4" t="s">
        <v>58</v>
      </c>
      <c r="H338" s="5">
        <v>34261</v>
      </c>
      <c r="I338" s="4" t="s">
        <v>27</v>
      </c>
      <c r="J338" s="4" t="s">
        <v>28</v>
      </c>
      <c r="K338" s="4" t="s">
        <v>83</v>
      </c>
      <c r="L338" s="4" t="s">
        <v>127</v>
      </c>
      <c r="M338" s="6">
        <v>1</v>
      </c>
      <c r="N338" s="6">
        <v>20</v>
      </c>
      <c r="O338" s="6">
        <v>0</v>
      </c>
      <c r="P338" s="6">
        <v>20</v>
      </c>
      <c r="Q338" s="6">
        <v>3</v>
      </c>
      <c r="R338" s="4" t="s">
        <v>65</v>
      </c>
      <c r="S338" s="4" t="s">
        <v>32</v>
      </c>
      <c r="T338" s="4" t="s">
        <v>89</v>
      </c>
      <c r="U338" s="4">
        <v>9933894798</v>
      </c>
      <c r="V338" s="8" t="s">
        <v>34</v>
      </c>
      <c r="W338" s="3"/>
      <c r="X338" s="3"/>
      <c r="Y338" s="3"/>
      <c r="Z338" s="3"/>
    </row>
    <row r="339" spans="1:26" ht="15" thickBot="1" x14ac:dyDescent="0.4">
      <c r="A339" s="9" t="s">
        <v>466</v>
      </c>
      <c r="B339" s="9" t="s">
        <v>23</v>
      </c>
      <c r="C339" s="9" t="s">
        <v>112</v>
      </c>
      <c r="D339" s="10">
        <v>46027</v>
      </c>
      <c r="E339" s="10">
        <v>46038</v>
      </c>
      <c r="F339" s="9" t="s">
        <v>25</v>
      </c>
      <c r="G339" s="9" t="s">
        <v>26</v>
      </c>
      <c r="H339" s="10">
        <v>30614</v>
      </c>
      <c r="I339" s="9" t="s">
        <v>121</v>
      </c>
      <c r="J339" s="9" t="s">
        <v>38</v>
      </c>
      <c r="K339" s="9" t="s">
        <v>39</v>
      </c>
      <c r="L339" s="9" t="s">
        <v>114</v>
      </c>
      <c r="M339" s="11">
        <v>15</v>
      </c>
      <c r="N339" s="11">
        <v>700</v>
      </c>
      <c r="O339" s="11">
        <v>0</v>
      </c>
      <c r="P339" s="11">
        <v>10500</v>
      </c>
      <c r="Q339" s="11">
        <v>2</v>
      </c>
      <c r="R339" s="9" t="s">
        <v>65</v>
      </c>
      <c r="S339" s="9" t="s">
        <v>42</v>
      </c>
      <c r="T339" s="9" t="s">
        <v>43</v>
      </c>
      <c r="U339" s="9">
        <v>9705218824</v>
      </c>
      <c r="V339" s="12" t="s">
        <v>34</v>
      </c>
      <c r="W339" s="3"/>
      <c r="X339" s="3"/>
      <c r="Y339" s="3"/>
      <c r="Z339" s="3"/>
    </row>
    <row r="340" spans="1:26" ht="15" thickBot="1" x14ac:dyDescent="0.4">
      <c r="A340" s="4" t="s">
        <v>467</v>
      </c>
      <c r="B340" s="4" t="s">
        <v>156</v>
      </c>
      <c r="C340" s="4" t="s">
        <v>68</v>
      </c>
      <c r="D340" s="5">
        <v>45695</v>
      </c>
      <c r="E340" s="5">
        <v>45698</v>
      </c>
      <c r="F340" s="4" t="s">
        <v>106</v>
      </c>
      <c r="G340" s="4" t="s">
        <v>58</v>
      </c>
      <c r="H340" s="5">
        <v>30324</v>
      </c>
      <c r="I340" s="4" t="s">
        <v>27</v>
      </c>
      <c r="J340" s="4" t="s">
        <v>28</v>
      </c>
      <c r="K340" s="4" t="s">
        <v>29</v>
      </c>
      <c r="L340" s="4" t="s">
        <v>70</v>
      </c>
      <c r="M340" s="6">
        <v>15</v>
      </c>
      <c r="N340" s="6">
        <v>3500</v>
      </c>
      <c r="O340" s="6">
        <v>10</v>
      </c>
      <c r="P340" s="6">
        <v>47250</v>
      </c>
      <c r="Q340" s="6">
        <v>3</v>
      </c>
      <c r="R340" s="4" t="s">
        <v>31</v>
      </c>
      <c r="S340" s="4" t="s">
        <v>96</v>
      </c>
      <c r="T340" s="4" t="s">
        <v>158</v>
      </c>
      <c r="U340" s="4">
        <v>9229164453</v>
      </c>
      <c r="V340" s="4" t="s">
        <v>52</v>
      </c>
      <c r="W340" s="3"/>
      <c r="X340" s="3"/>
      <c r="Y340" s="3"/>
      <c r="Z340" s="3"/>
    </row>
    <row r="341" spans="1:26" ht="15" thickBot="1" x14ac:dyDescent="0.4">
      <c r="A341" s="9" t="s">
        <v>468</v>
      </c>
      <c r="B341" s="9" t="s">
        <v>23</v>
      </c>
      <c r="C341" s="9" t="s">
        <v>82</v>
      </c>
      <c r="D341" s="10">
        <v>45866</v>
      </c>
      <c r="E341" s="10">
        <v>45876</v>
      </c>
      <c r="F341" s="9" t="s">
        <v>25</v>
      </c>
      <c r="G341" s="9" t="s">
        <v>26</v>
      </c>
      <c r="H341" s="10">
        <v>30664</v>
      </c>
      <c r="I341" s="9" t="s">
        <v>147</v>
      </c>
      <c r="J341" s="9" t="s">
        <v>148</v>
      </c>
      <c r="K341" s="9" t="s">
        <v>83</v>
      </c>
      <c r="L341" s="9" t="s">
        <v>84</v>
      </c>
      <c r="M341" s="11">
        <v>16</v>
      </c>
      <c r="N341" s="11">
        <v>60</v>
      </c>
      <c r="O341" s="11">
        <v>10</v>
      </c>
      <c r="P341" s="11">
        <v>864</v>
      </c>
      <c r="Q341" s="11">
        <v>4</v>
      </c>
      <c r="R341" s="9" t="s">
        <v>60</v>
      </c>
      <c r="S341" s="9" t="s">
        <v>50</v>
      </c>
      <c r="T341" s="9" t="s">
        <v>43</v>
      </c>
      <c r="U341" s="9">
        <v>9219806176</v>
      </c>
      <c r="V341" s="12" t="s">
        <v>34</v>
      </c>
      <c r="W341" s="3"/>
      <c r="X341" s="3"/>
      <c r="Y341" s="3"/>
      <c r="Z341" s="3"/>
    </row>
    <row r="342" spans="1:26" ht="15" thickBot="1" x14ac:dyDescent="0.4">
      <c r="A342" s="4" t="s">
        <v>469</v>
      </c>
      <c r="B342" s="4" t="s">
        <v>87</v>
      </c>
      <c r="C342" s="4" t="s">
        <v>138</v>
      </c>
      <c r="D342" s="5">
        <v>45945</v>
      </c>
      <c r="E342" s="5">
        <v>45951</v>
      </c>
      <c r="F342" s="4" t="s">
        <v>88</v>
      </c>
      <c r="G342" s="4" t="s">
        <v>58</v>
      </c>
      <c r="H342" s="5">
        <v>30585</v>
      </c>
      <c r="I342" s="4" t="s">
        <v>37</v>
      </c>
      <c r="J342" s="4" t="s">
        <v>38</v>
      </c>
      <c r="K342" s="4" t="s">
        <v>83</v>
      </c>
      <c r="L342" s="4" t="s">
        <v>139</v>
      </c>
      <c r="M342" s="6">
        <v>2</v>
      </c>
      <c r="N342" s="6">
        <v>45</v>
      </c>
      <c r="O342" s="6">
        <v>15</v>
      </c>
      <c r="P342" s="6">
        <v>76.5</v>
      </c>
      <c r="Q342" s="6">
        <v>1</v>
      </c>
      <c r="R342" s="4" t="s">
        <v>65</v>
      </c>
      <c r="S342" s="4" t="s">
        <v>96</v>
      </c>
      <c r="T342" s="4" t="s">
        <v>89</v>
      </c>
      <c r="U342" s="4">
        <v>9630210250</v>
      </c>
      <c r="V342" s="4" t="s">
        <v>53</v>
      </c>
      <c r="W342" s="3"/>
      <c r="X342" s="3"/>
      <c r="Y342" s="3"/>
      <c r="Z342" s="3"/>
    </row>
    <row r="343" spans="1:26" ht="15" thickBot="1" x14ac:dyDescent="0.4">
      <c r="A343" s="9" t="s">
        <v>470</v>
      </c>
      <c r="B343" s="9" t="s">
        <v>104</v>
      </c>
      <c r="C343" s="9" t="s">
        <v>82</v>
      </c>
      <c r="D343" s="10">
        <v>45997</v>
      </c>
      <c r="E343" s="10">
        <v>46006</v>
      </c>
      <c r="F343" s="9" t="s">
        <v>166</v>
      </c>
      <c r="G343" s="9" t="s">
        <v>26</v>
      </c>
      <c r="H343" s="10">
        <v>27537</v>
      </c>
      <c r="I343" s="9" t="s">
        <v>37</v>
      </c>
      <c r="J343" s="9" t="s">
        <v>38</v>
      </c>
      <c r="K343" s="9" t="s">
        <v>83</v>
      </c>
      <c r="L343" s="9" t="s">
        <v>84</v>
      </c>
      <c r="M343" s="11">
        <v>13</v>
      </c>
      <c r="N343" s="11">
        <v>60</v>
      </c>
      <c r="O343" s="11">
        <v>15</v>
      </c>
      <c r="P343" s="11">
        <v>663</v>
      </c>
      <c r="Q343" s="11">
        <v>2</v>
      </c>
      <c r="R343" s="9" t="s">
        <v>41</v>
      </c>
      <c r="S343" s="9" t="s">
        <v>50</v>
      </c>
      <c r="T343" s="9" t="s">
        <v>108</v>
      </c>
      <c r="U343" s="9">
        <v>9583354052</v>
      </c>
      <c r="V343" s="9" t="s">
        <v>53</v>
      </c>
      <c r="W343" s="3"/>
      <c r="X343" s="3"/>
      <c r="Y343" s="3"/>
      <c r="Z343" s="3"/>
    </row>
    <row r="344" spans="1:26" ht="15" thickBot="1" x14ac:dyDescent="0.4">
      <c r="A344" s="4" t="s">
        <v>471</v>
      </c>
      <c r="B344" s="4" t="s">
        <v>63</v>
      </c>
      <c r="C344" s="4" t="s">
        <v>36</v>
      </c>
      <c r="D344" s="5">
        <v>45797</v>
      </c>
      <c r="E344" s="5">
        <v>45799</v>
      </c>
      <c r="F344" s="4" t="s">
        <v>110</v>
      </c>
      <c r="G344" s="4" t="s">
        <v>58</v>
      </c>
      <c r="H344" s="5">
        <v>34647</v>
      </c>
      <c r="I344" s="4" t="s">
        <v>37</v>
      </c>
      <c r="J344" s="4" t="s">
        <v>38</v>
      </c>
      <c r="K344" s="4" t="s">
        <v>39</v>
      </c>
      <c r="L344" s="4" t="s">
        <v>40</v>
      </c>
      <c r="M344" s="6">
        <v>15</v>
      </c>
      <c r="N344" s="6">
        <v>12000</v>
      </c>
      <c r="O344" s="6">
        <v>20</v>
      </c>
      <c r="P344" s="6">
        <v>144000</v>
      </c>
      <c r="Q344" s="6">
        <v>3</v>
      </c>
      <c r="R344" s="4" t="s">
        <v>60</v>
      </c>
      <c r="S344" s="4" t="s">
        <v>32</v>
      </c>
      <c r="T344" s="4" t="s">
        <v>66</v>
      </c>
      <c r="U344" s="4">
        <v>9242534507</v>
      </c>
      <c r="V344" s="4" t="s">
        <v>53</v>
      </c>
      <c r="W344" s="3"/>
      <c r="X344" s="3"/>
      <c r="Y344" s="3"/>
      <c r="Z344" s="3"/>
    </row>
    <row r="345" spans="1:26" ht="15" thickBot="1" x14ac:dyDescent="0.4">
      <c r="A345" s="9" t="s">
        <v>472</v>
      </c>
      <c r="B345" s="9" t="s">
        <v>156</v>
      </c>
      <c r="C345" s="9" t="s">
        <v>125</v>
      </c>
      <c r="D345" s="10">
        <v>45863</v>
      </c>
      <c r="E345" s="10">
        <v>45871</v>
      </c>
      <c r="F345" s="9" t="s">
        <v>106</v>
      </c>
      <c r="G345" s="9" t="s">
        <v>58</v>
      </c>
      <c r="H345" s="10">
        <v>32128</v>
      </c>
      <c r="I345" s="9" t="s">
        <v>37</v>
      </c>
      <c r="J345" s="9" t="s">
        <v>38</v>
      </c>
      <c r="K345" s="9" t="s">
        <v>83</v>
      </c>
      <c r="L345" s="9" t="s">
        <v>127</v>
      </c>
      <c r="M345" s="11">
        <v>2</v>
      </c>
      <c r="N345" s="11">
        <v>20</v>
      </c>
      <c r="O345" s="11">
        <v>20</v>
      </c>
      <c r="P345" s="11">
        <v>32</v>
      </c>
      <c r="Q345" s="11">
        <v>4</v>
      </c>
      <c r="R345" s="9" t="s">
        <v>31</v>
      </c>
      <c r="S345" s="9" t="s">
        <v>32</v>
      </c>
      <c r="T345" s="9" t="s">
        <v>158</v>
      </c>
      <c r="U345" s="9">
        <v>9291239150</v>
      </c>
      <c r="V345" s="9" t="s">
        <v>52</v>
      </c>
      <c r="W345" s="3"/>
      <c r="X345" s="3"/>
      <c r="Y345" s="3"/>
      <c r="Z345" s="3"/>
    </row>
    <row r="346" spans="1:26" ht="15" thickBot="1" x14ac:dyDescent="0.4">
      <c r="A346" s="4" t="s">
        <v>473</v>
      </c>
      <c r="B346" s="4" t="s">
        <v>87</v>
      </c>
      <c r="C346" s="4" t="s">
        <v>68</v>
      </c>
      <c r="D346" s="5">
        <v>45874</v>
      </c>
      <c r="E346" s="5">
        <v>45886</v>
      </c>
      <c r="F346" s="4" t="s">
        <v>88</v>
      </c>
      <c r="G346" s="4" t="s">
        <v>58</v>
      </c>
      <c r="H346" s="5">
        <v>27564</v>
      </c>
      <c r="I346" s="4" t="s">
        <v>48</v>
      </c>
      <c r="J346" s="4" t="s">
        <v>28</v>
      </c>
      <c r="K346" s="4" t="s">
        <v>29</v>
      </c>
      <c r="L346" s="4" t="s">
        <v>70</v>
      </c>
      <c r="M346" s="6">
        <v>16</v>
      </c>
      <c r="N346" s="6">
        <v>3500</v>
      </c>
      <c r="O346" s="6">
        <v>0</v>
      </c>
      <c r="P346" s="6">
        <v>56000</v>
      </c>
      <c r="Q346" s="6">
        <v>4</v>
      </c>
      <c r="R346" s="4" t="s">
        <v>31</v>
      </c>
      <c r="S346" s="4" t="s">
        <v>80</v>
      </c>
      <c r="T346" s="4" t="s">
        <v>89</v>
      </c>
      <c r="U346" s="4">
        <v>9550820904</v>
      </c>
      <c r="V346" s="8" t="s">
        <v>34</v>
      </c>
      <c r="W346" s="3"/>
      <c r="X346" s="3"/>
      <c r="Y346" s="3"/>
      <c r="Z346" s="3"/>
    </row>
    <row r="347" spans="1:26" ht="15" thickBot="1" x14ac:dyDescent="0.4">
      <c r="A347" s="9" t="s">
        <v>474</v>
      </c>
      <c r="B347" s="9" t="s">
        <v>45</v>
      </c>
      <c r="C347" s="9" t="s">
        <v>68</v>
      </c>
      <c r="D347" s="10">
        <v>46071</v>
      </c>
      <c r="E347" s="10">
        <v>46078</v>
      </c>
      <c r="F347" s="9" t="s">
        <v>101</v>
      </c>
      <c r="G347" s="9" t="s">
        <v>26</v>
      </c>
      <c r="H347" s="10">
        <v>28134</v>
      </c>
      <c r="I347" s="9" t="s">
        <v>91</v>
      </c>
      <c r="J347" s="9" t="s">
        <v>75</v>
      </c>
      <c r="K347" s="9" t="s">
        <v>29</v>
      </c>
      <c r="L347" s="9" t="s">
        <v>70</v>
      </c>
      <c r="M347" s="11">
        <v>18</v>
      </c>
      <c r="N347" s="11">
        <v>3500</v>
      </c>
      <c r="O347" s="11">
        <v>15</v>
      </c>
      <c r="P347" s="11">
        <v>53550</v>
      </c>
      <c r="Q347" s="11">
        <v>5</v>
      </c>
      <c r="R347" s="9" t="s">
        <v>31</v>
      </c>
      <c r="S347" s="9" t="s">
        <v>96</v>
      </c>
      <c r="T347" s="9" t="s">
        <v>51</v>
      </c>
      <c r="U347" s="9">
        <v>9294486423</v>
      </c>
      <c r="V347" s="9" t="s">
        <v>53</v>
      </c>
      <c r="W347" s="3"/>
      <c r="X347" s="3"/>
      <c r="Y347" s="3"/>
      <c r="Z347" s="3"/>
    </row>
    <row r="348" spans="1:26" ht="15" thickBot="1" x14ac:dyDescent="0.4">
      <c r="A348" s="4" t="s">
        <v>475</v>
      </c>
      <c r="B348" s="4" t="s">
        <v>23</v>
      </c>
      <c r="C348" s="4" t="s">
        <v>138</v>
      </c>
      <c r="D348" s="5">
        <v>46102</v>
      </c>
      <c r="E348" s="5">
        <v>46107</v>
      </c>
      <c r="F348" s="4" t="s">
        <v>25</v>
      </c>
      <c r="G348" s="4" t="s">
        <v>26</v>
      </c>
      <c r="H348" s="5">
        <v>34232</v>
      </c>
      <c r="I348" s="4" t="s">
        <v>91</v>
      </c>
      <c r="J348" s="4" t="s">
        <v>75</v>
      </c>
      <c r="K348" s="4" t="s">
        <v>83</v>
      </c>
      <c r="L348" s="4" t="s">
        <v>139</v>
      </c>
      <c r="M348" s="6">
        <v>20</v>
      </c>
      <c r="N348" s="6">
        <v>45</v>
      </c>
      <c r="O348" s="6">
        <v>15</v>
      </c>
      <c r="P348" s="6">
        <v>765</v>
      </c>
      <c r="Q348" s="6">
        <v>4</v>
      </c>
      <c r="R348" s="4" t="s">
        <v>31</v>
      </c>
      <c r="S348" s="4" t="s">
        <v>96</v>
      </c>
      <c r="T348" s="4" t="s">
        <v>43</v>
      </c>
      <c r="U348" s="4">
        <v>9260258621</v>
      </c>
      <c r="V348" s="4" t="s">
        <v>53</v>
      </c>
      <c r="W348" s="3"/>
      <c r="X348" s="3"/>
      <c r="Y348" s="3"/>
      <c r="Z348" s="3"/>
    </row>
    <row r="349" spans="1:26" ht="15" thickBot="1" x14ac:dyDescent="0.4">
      <c r="A349" s="9" t="s">
        <v>476</v>
      </c>
      <c r="B349" s="9" t="s">
        <v>134</v>
      </c>
      <c r="C349" s="9" t="s">
        <v>24</v>
      </c>
      <c r="D349" s="10">
        <v>46128</v>
      </c>
      <c r="E349" s="10">
        <v>46131</v>
      </c>
      <c r="F349" s="9" t="s">
        <v>135</v>
      </c>
      <c r="G349" s="9" t="s">
        <v>26</v>
      </c>
      <c r="H349" s="10">
        <v>35494</v>
      </c>
      <c r="I349" s="9" t="s">
        <v>37</v>
      </c>
      <c r="J349" s="9" t="s">
        <v>38</v>
      </c>
      <c r="K349" s="9" t="s">
        <v>29</v>
      </c>
      <c r="L349" s="9" t="s">
        <v>30</v>
      </c>
      <c r="M349" s="11">
        <v>13</v>
      </c>
      <c r="N349" s="11">
        <v>2200</v>
      </c>
      <c r="O349" s="11">
        <v>15</v>
      </c>
      <c r="P349" s="11">
        <v>24310</v>
      </c>
      <c r="Q349" s="11">
        <v>2</v>
      </c>
      <c r="R349" s="9" t="s">
        <v>41</v>
      </c>
      <c r="S349" s="9" t="s">
        <v>80</v>
      </c>
      <c r="T349" s="9" t="s">
        <v>136</v>
      </c>
      <c r="U349" s="9">
        <v>9697433584</v>
      </c>
      <c r="V349" s="9" t="s">
        <v>52</v>
      </c>
      <c r="W349" s="3"/>
      <c r="X349" s="3"/>
      <c r="Y349" s="3"/>
      <c r="Z349" s="3"/>
    </row>
    <row r="350" spans="1:26" ht="15" thickBot="1" x14ac:dyDescent="0.4">
      <c r="A350" s="4" t="s">
        <v>477</v>
      </c>
      <c r="B350" s="4" t="s">
        <v>45</v>
      </c>
      <c r="C350" s="4" t="s">
        <v>478</v>
      </c>
      <c r="D350" s="5">
        <v>45943</v>
      </c>
      <c r="E350" s="5">
        <v>45944</v>
      </c>
      <c r="F350" s="4" t="s">
        <v>101</v>
      </c>
      <c r="G350" s="4" t="s">
        <v>26</v>
      </c>
      <c r="H350" s="5">
        <v>37447</v>
      </c>
      <c r="I350" s="4" t="s">
        <v>147</v>
      </c>
      <c r="J350" s="4" t="s">
        <v>148</v>
      </c>
      <c r="K350" s="4" t="s">
        <v>29</v>
      </c>
      <c r="L350" s="4" t="s">
        <v>107</v>
      </c>
      <c r="M350" s="6">
        <v>11</v>
      </c>
      <c r="N350" s="6">
        <v>8500</v>
      </c>
      <c r="O350" s="6">
        <v>5</v>
      </c>
      <c r="P350" s="6">
        <v>88825</v>
      </c>
      <c r="Q350" s="6">
        <v>1</v>
      </c>
      <c r="R350" s="4" t="s">
        <v>65</v>
      </c>
      <c r="S350" s="4" t="s">
        <v>80</v>
      </c>
      <c r="T350" s="4" t="s">
        <v>51</v>
      </c>
      <c r="U350" s="4">
        <v>9837969758</v>
      </c>
      <c r="V350" s="4" t="s">
        <v>53</v>
      </c>
      <c r="W350" s="3"/>
      <c r="X350" s="3"/>
      <c r="Y350" s="3"/>
      <c r="Z350" s="3"/>
    </row>
    <row r="351" spans="1:26" ht="15" thickBot="1" x14ac:dyDescent="0.4">
      <c r="A351" s="9" t="s">
        <v>479</v>
      </c>
      <c r="B351" s="9" t="s">
        <v>45</v>
      </c>
      <c r="C351" s="9" t="s">
        <v>24</v>
      </c>
      <c r="D351" s="10">
        <v>45996</v>
      </c>
      <c r="E351" s="10">
        <v>46001</v>
      </c>
      <c r="F351" s="9" t="s">
        <v>101</v>
      </c>
      <c r="G351" s="9" t="s">
        <v>26</v>
      </c>
      <c r="H351" s="10">
        <v>30790</v>
      </c>
      <c r="I351" s="9" t="s">
        <v>121</v>
      </c>
      <c r="J351" s="9" t="s">
        <v>38</v>
      </c>
      <c r="K351" s="9" t="s">
        <v>29</v>
      </c>
      <c r="L351" s="9" t="s">
        <v>30</v>
      </c>
      <c r="M351" s="11">
        <v>2</v>
      </c>
      <c r="N351" s="11">
        <v>2200</v>
      </c>
      <c r="O351" s="11">
        <v>0</v>
      </c>
      <c r="P351" s="11">
        <v>4400</v>
      </c>
      <c r="Q351" s="11">
        <v>4</v>
      </c>
      <c r="R351" s="9" t="s">
        <v>65</v>
      </c>
      <c r="S351" s="9" t="s">
        <v>96</v>
      </c>
      <c r="T351" s="9" t="s">
        <v>51</v>
      </c>
      <c r="U351" s="9">
        <v>9209736419</v>
      </c>
      <c r="V351" s="9" t="s">
        <v>52</v>
      </c>
      <c r="W351" s="3"/>
      <c r="X351" s="3"/>
      <c r="Y351" s="3"/>
      <c r="Z351" s="3"/>
    </row>
    <row r="352" spans="1:26" ht="15" thickBot="1" x14ac:dyDescent="0.4">
      <c r="A352" s="4" t="s">
        <v>480</v>
      </c>
      <c r="B352" s="4" t="s">
        <v>63</v>
      </c>
      <c r="C352" s="4" t="s">
        <v>112</v>
      </c>
      <c r="D352" s="5">
        <v>45868</v>
      </c>
      <c r="E352" s="5">
        <v>45873</v>
      </c>
      <c r="F352" s="4" t="s">
        <v>110</v>
      </c>
      <c r="G352" s="4" t="s">
        <v>58</v>
      </c>
      <c r="H352" s="5">
        <v>37803</v>
      </c>
      <c r="I352" s="4" t="s">
        <v>74</v>
      </c>
      <c r="J352" s="4" t="s">
        <v>75</v>
      </c>
      <c r="K352" s="4" t="s">
        <v>39</v>
      </c>
      <c r="L352" s="4" t="s">
        <v>114</v>
      </c>
      <c r="M352" s="6">
        <v>15</v>
      </c>
      <c r="N352" s="6">
        <v>700</v>
      </c>
      <c r="O352" s="6">
        <v>15</v>
      </c>
      <c r="P352" s="6">
        <v>8925</v>
      </c>
      <c r="Q352" s="6">
        <v>3</v>
      </c>
      <c r="R352" s="4" t="s">
        <v>41</v>
      </c>
      <c r="S352" s="4" t="s">
        <v>80</v>
      </c>
      <c r="T352" s="4" t="s">
        <v>66</v>
      </c>
      <c r="U352" s="4">
        <v>9645907237</v>
      </c>
      <c r="V352" s="8" t="s">
        <v>34</v>
      </c>
      <c r="W352" s="3"/>
      <c r="X352" s="3"/>
      <c r="Y352" s="3"/>
      <c r="Z352" s="3"/>
    </row>
    <row r="353" spans="1:26" ht="15" thickBot="1" x14ac:dyDescent="0.4">
      <c r="A353" s="9" t="s">
        <v>481</v>
      </c>
      <c r="B353" s="9" t="s">
        <v>87</v>
      </c>
      <c r="C353" s="9" t="s">
        <v>24</v>
      </c>
      <c r="D353" s="10">
        <v>45856</v>
      </c>
      <c r="E353" s="10">
        <v>45862</v>
      </c>
      <c r="F353" s="9" t="s">
        <v>88</v>
      </c>
      <c r="G353" s="9" t="s">
        <v>58</v>
      </c>
      <c r="H353" s="10">
        <v>33902</v>
      </c>
      <c r="I353" s="9" t="s">
        <v>91</v>
      </c>
      <c r="J353" s="9" t="s">
        <v>75</v>
      </c>
      <c r="K353" s="9" t="s">
        <v>29</v>
      </c>
      <c r="L353" s="9" t="s">
        <v>30</v>
      </c>
      <c r="M353" s="11">
        <v>5</v>
      </c>
      <c r="N353" s="11">
        <v>2200</v>
      </c>
      <c r="O353" s="11">
        <v>15</v>
      </c>
      <c r="P353" s="11">
        <v>9350</v>
      </c>
      <c r="Q353" s="11">
        <v>1</v>
      </c>
      <c r="R353" s="9" t="s">
        <v>41</v>
      </c>
      <c r="S353" s="9" t="s">
        <v>80</v>
      </c>
      <c r="T353" s="9" t="s">
        <v>89</v>
      </c>
      <c r="U353" s="9">
        <v>9566149945</v>
      </c>
      <c r="V353" s="9" t="s">
        <v>52</v>
      </c>
      <c r="W353" s="3"/>
      <c r="X353" s="3"/>
      <c r="Y353" s="3"/>
      <c r="Z353" s="3"/>
    </row>
    <row r="354" spans="1:26" ht="15" thickBot="1" x14ac:dyDescent="0.4">
      <c r="A354" s="4" t="s">
        <v>482</v>
      </c>
      <c r="B354" s="4" t="s">
        <v>63</v>
      </c>
      <c r="C354" s="4" t="s">
        <v>56</v>
      </c>
      <c r="D354" s="5">
        <v>46092</v>
      </c>
      <c r="E354" s="5">
        <v>46093</v>
      </c>
      <c r="F354" s="4" t="s">
        <v>110</v>
      </c>
      <c r="G354" s="4" t="s">
        <v>58</v>
      </c>
      <c r="H354" s="5">
        <v>32360</v>
      </c>
      <c r="I354" s="4" t="s">
        <v>91</v>
      </c>
      <c r="J354" s="4" t="s">
        <v>75</v>
      </c>
      <c r="K354" s="4" t="s">
        <v>39</v>
      </c>
      <c r="L354" s="4" t="s">
        <v>59</v>
      </c>
      <c r="M354" s="6">
        <v>15</v>
      </c>
      <c r="N354" s="6">
        <v>1200</v>
      </c>
      <c r="O354" s="6">
        <v>0</v>
      </c>
      <c r="P354" s="6">
        <v>18000</v>
      </c>
      <c r="Q354" s="6">
        <v>3</v>
      </c>
      <c r="R354" s="4" t="s">
        <v>41</v>
      </c>
      <c r="S354" s="4" t="s">
        <v>50</v>
      </c>
      <c r="T354" s="4" t="s">
        <v>66</v>
      </c>
      <c r="U354" s="4">
        <v>9935018068</v>
      </c>
      <c r="V354" s="4" t="s">
        <v>53</v>
      </c>
      <c r="W354" s="3"/>
      <c r="X354" s="3"/>
      <c r="Y354" s="3"/>
      <c r="Z354" s="3"/>
    </row>
    <row r="355" spans="1:26" ht="15" thickBot="1" x14ac:dyDescent="0.4">
      <c r="A355" s="9" t="s">
        <v>483</v>
      </c>
      <c r="B355" s="9" t="s">
        <v>134</v>
      </c>
      <c r="C355" s="9" t="s">
        <v>56</v>
      </c>
      <c r="D355" s="10">
        <v>46120</v>
      </c>
      <c r="E355" s="10">
        <v>46122</v>
      </c>
      <c r="F355" s="9" t="s">
        <v>135</v>
      </c>
      <c r="G355" s="9" t="s">
        <v>26</v>
      </c>
      <c r="H355" s="10">
        <v>31952</v>
      </c>
      <c r="I355" s="9" t="s">
        <v>74</v>
      </c>
      <c r="J355" s="9" t="s">
        <v>75</v>
      </c>
      <c r="K355" s="9" t="s">
        <v>39</v>
      </c>
      <c r="L355" s="9" t="s">
        <v>59</v>
      </c>
      <c r="M355" s="11">
        <v>19</v>
      </c>
      <c r="N355" s="11">
        <v>1200</v>
      </c>
      <c r="O355" s="11">
        <v>0</v>
      </c>
      <c r="P355" s="11">
        <v>22800</v>
      </c>
      <c r="Q355" s="11">
        <v>1</v>
      </c>
      <c r="R355" s="9" t="s">
        <v>31</v>
      </c>
      <c r="S355" s="9" t="s">
        <v>42</v>
      </c>
      <c r="T355" s="9" t="s">
        <v>136</v>
      </c>
      <c r="U355" s="9">
        <v>9171794652</v>
      </c>
      <c r="V355" s="9" t="s">
        <v>53</v>
      </c>
      <c r="W355" s="3"/>
      <c r="X355" s="3"/>
      <c r="Y355" s="3"/>
      <c r="Z355" s="3"/>
    </row>
    <row r="356" spans="1:26" ht="15" thickBot="1" x14ac:dyDescent="0.4">
      <c r="A356" s="4" t="s">
        <v>484</v>
      </c>
      <c r="B356" s="4" t="s">
        <v>104</v>
      </c>
      <c r="C356" s="4" t="s">
        <v>36</v>
      </c>
      <c r="D356" s="5">
        <v>45918</v>
      </c>
      <c r="E356" s="5">
        <v>45925</v>
      </c>
      <c r="F356" s="4" t="s">
        <v>166</v>
      </c>
      <c r="G356" s="4" t="s">
        <v>26</v>
      </c>
      <c r="H356" s="5">
        <v>32800</v>
      </c>
      <c r="I356" s="4" t="s">
        <v>74</v>
      </c>
      <c r="J356" s="4" t="s">
        <v>75</v>
      </c>
      <c r="K356" s="4" t="s">
        <v>39</v>
      </c>
      <c r="L356" s="4" t="s">
        <v>40</v>
      </c>
      <c r="M356" s="6">
        <v>9</v>
      </c>
      <c r="N356" s="6">
        <v>12000</v>
      </c>
      <c r="O356" s="6">
        <v>15</v>
      </c>
      <c r="P356" s="6">
        <v>91800</v>
      </c>
      <c r="Q356" s="6">
        <v>3</v>
      </c>
      <c r="R356" s="4" t="s">
        <v>65</v>
      </c>
      <c r="S356" s="4" t="s">
        <v>42</v>
      </c>
      <c r="T356" s="4" t="s">
        <v>108</v>
      </c>
      <c r="U356" s="4">
        <v>9671497416</v>
      </c>
      <c r="V356" s="4" t="s">
        <v>53</v>
      </c>
      <c r="W356" s="3"/>
      <c r="X356" s="3"/>
      <c r="Y356" s="3"/>
      <c r="Z356" s="3"/>
    </row>
    <row r="357" spans="1:26" ht="15" thickBot="1" x14ac:dyDescent="0.4">
      <c r="A357" s="9" t="s">
        <v>485</v>
      </c>
      <c r="B357" s="9" t="s">
        <v>23</v>
      </c>
      <c r="C357" s="9" t="s">
        <v>138</v>
      </c>
      <c r="D357" s="10">
        <v>45941</v>
      </c>
      <c r="E357" s="10">
        <v>45951</v>
      </c>
      <c r="F357" s="9" t="s">
        <v>25</v>
      </c>
      <c r="G357" s="9" t="s">
        <v>26</v>
      </c>
      <c r="H357" s="10">
        <v>33746</v>
      </c>
      <c r="I357" s="9" t="s">
        <v>121</v>
      </c>
      <c r="J357" s="9" t="s">
        <v>38</v>
      </c>
      <c r="K357" s="9" t="s">
        <v>83</v>
      </c>
      <c r="L357" s="9" t="s">
        <v>139</v>
      </c>
      <c r="M357" s="11">
        <v>5</v>
      </c>
      <c r="N357" s="11">
        <v>45</v>
      </c>
      <c r="O357" s="11">
        <v>5</v>
      </c>
      <c r="P357" s="11">
        <v>213.75</v>
      </c>
      <c r="Q357" s="11">
        <v>1</v>
      </c>
      <c r="R357" s="9" t="s">
        <v>60</v>
      </c>
      <c r="S357" s="9" t="s">
        <v>80</v>
      </c>
      <c r="T357" s="9" t="s">
        <v>43</v>
      </c>
      <c r="U357" s="9">
        <v>9810433484</v>
      </c>
      <c r="V357" s="12" t="s">
        <v>34</v>
      </c>
      <c r="W357" s="3"/>
      <c r="X357" s="3"/>
      <c r="Y357" s="3"/>
      <c r="Z357" s="3"/>
    </row>
    <row r="358" spans="1:26" ht="15" thickBot="1" x14ac:dyDescent="0.4">
      <c r="A358" s="4" t="s">
        <v>486</v>
      </c>
      <c r="B358" s="4" t="s">
        <v>134</v>
      </c>
      <c r="C358" s="4" t="s">
        <v>112</v>
      </c>
      <c r="D358" s="4" t="s">
        <v>487</v>
      </c>
      <c r="E358" s="5">
        <v>45699</v>
      </c>
      <c r="F358" s="4" t="s">
        <v>135</v>
      </c>
      <c r="G358" s="4" t="s">
        <v>26</v>
      </c>
      <c r="H358" s="5">
        <v>32822</v>
      </c>
      <c r="I358" s="4" t="s">
        <v>74</v>
      </c>
      <c r="J358" s="4" t="s">
        <v>75</v>
      </c>
      <c r="K358" s="4" t="s">
        <v>39</v>
      </c>
      <c r="L358" s="4" t="s">
        <v>114</v>
      </c>
      <c r="M358" s="6">
        <v>3</v>
      </c>
      <c r="N358" s="6">
        <v>700</v>
      </c>
      <c r="O358" s="6">
        <v>15</v>
      </c>
      <c r="P358" s="6">
        <v>1785</v>
      </c>
      <c r="Q358" s="6">
        <v>4</v>
      </c>
      <c r="R358" s="4" t="s">
        <v>31</v>
      </c>
      <c r="S358" s="4" t="s">
        <v>96</v>
      </c>
      <c r="T358" s="4" t="s">
        <v>136</v>
      </c>
      <c r="U358" s="4">
        <v>9990243436</v>
      </c>
      <c r="V358" s="8" t="s">
        <v>34</v>
      </c>
      <c r="W358" s="3"/>
      <c r="X358" s="3"/>
      <c r="Y358" s="3"/>
      <c r="Z358" s="3"/>
    </row>
    <row r="359" spans="1:26" ht="15" thickBot="1" x14ac:dyDescent="0.4">
      <c r="A359" s="9" t="s">
        <v>488</v>
      </c>
      <c r="B359" s="9" t="s">
        <v>55</v>
      </c>
      <c r="C359" s="9" t="s">
        <v>105</v>
      </c>
      <c r="D359" s="10">
        <v>46005</v>
      </c>
      <c r="E359" s="10">
        <v>46017</v>
      </c>
      <c r="F359" s="9" t="s">
        <v>57</v>
      </c>
      <c r="G359" s="9" t="s">
        <v>58</v>
      </c>
      <c r="H359" s="10">
        <v>29467</v>
      </c>
      <c r="I359" s="9" t="s">
        <v>121</v>
      </c>
      <c r="J359" s="9" t="s">
        <v>38</v>
      </c>
      <c r="K359" s="9" t="s">
        <v>29</v>
      </c>
      <c r="L359" s="9" t="s">
        <v>107</v>
      </c>
      <c r="M359" s="11">
        <v>12</v>
      </c>
      <c r="N359" s="11">
        <v>8500</v>
      </c>
      <c r="O359" s="11">
        <v>5</v>
      </c>
      <c r="P359" s="11">
        <v>96900</v>
      </c>
      <c r="Q359" s="11">
        <v>3</v>
      </c>
      <c r="R359" s="9" t="s">
        <v>60</v>
      </c>
      <c r="S359" s="9" t="s">
        <v>50</v>
      </c>
      <c r="T359" s="9" t="s">
        <v>61</v>
      </c>
      <c r="U359" s="9">
        <v>9396678031</v>
      </c>
      <c r="V359" s="9" t="s">
        <v>52</v>
      </c>
      <c r="W359" s="3"/>
      <c r="X359" s="3"/>
      <c r="Y359" s="3"/>
      <c r="Z359" s="3"/>
    </row>
    <row r="360" spans="1:26" ht="15" thickBot="1" x14ac:dyDescent="0.4">
      <c r="A360" s="4" t="s">
        <v>489</v>
      </c>
      <c r="B360" s="4" t="s">
        <v>134</v>
      </c>
      <c r="C360" s="4" t="s">
        <v>105</v>
      </c>
      <c r="D360" s="5">
        <v>46123</v>
      </c>
      <c r="E360" s="5">
        <v>46131</v>
      </c>
      <c r="F360" s="4" t="s">
        <v>135</v>
      </c>
      <c r="G360" s="4" t="s">
        <v>26</v>
      </c>
      <c r="H360" s="5">
        <v>28920</v>
      </c>
      <c r="I360" s="4" t="s">
        <v>79</v>
      </c>
      <c r="J360" s="4" t="s">
        <v>75</v>
      </c>
      <c r="K360" s="4" t="s">
        <v>29</v>
      </c>
      <c r="L360" s="4" t="s">
        <v>107</v>
      </c>
      <c r="M360" s="6">
        <v>4</v>
      </c>
      <c r="N360" s="6">
        <v>8500</v>
      </c>
      <c r="O360" s="6">
        <v>15</v>
      </c>
      <c r="P360" s="6">
        <v>28900</v>
      </c>
      <c r="Q360" s="6">
        <v>4</v>
      </c>
      <c r="R360" s="4" t="s">
        <v>41</v>
      </c>
      <c r="S360" s="4" t="s">
        <v>50</v>
      </c>
      <c r="T360" s="4" t="s">
        <v>136</v>
      </c>
      <c r="U360" s="4">
        <v>9818591245</v>
      </c>
      <c r="V360" s="4" t="s">
        <v>52</v>
      </c>
      <c r="W360" s="3"/>
      <c r="X360" s="3"/>
      <c r="Y360" s="3"/>
      <c r="Z360" s="3"/>
    </row>
    <row r="361" spans="1:26" ht="15" thickBot="1" x14ac:dyDescent="0.4">
      <c r="A361" s="9" t="s">
        <v>490</v>
      </c>
      <c r="B361" s="9" t="s">
        <v>87</v>
      </c>
      <c r="C361" s="9" t="s">
        <v>125</v>
      </c>
      <c r="D361" s="10">
        <v>45766</v>
      </c>
      <c r="E361" s="10">
        <v>45769</v>
      </c>
      <c r="F361" s="9" t="s">
        <v>88</v>
      </c>
      <c r="G361" s="9" t="s">
        <v>58</v>
      </c>
      <c r="H361" s="10">
        <v>35312</v>
      </c>
      <c r="I361" s="9" t="s">
        <v>121</v>
      </c>
      <c r="J361" s="9" t="s">
        <v>38</v>
      </c>
      <c r="K361" s="9" t="s">
        <v>83</v>
      </c>
      <c r="L361" s="9" t="s">
        <v>127</v>
      </c>
      <c r="M361" s="11">
        <v>16</v>
      </c>
      <c r="N361" s="11">
        <v>20</v>
      </c>
      <c r="O361" s="11">
        <v>10</v>
      </c>
      <c r="P361" s="11">
        <v>288</v>
      </c>
      <c r="Q361" s="11">
        <v>4</v>
      </c>
      <c r="R361" s="9" t="s">
        <v>31</v>
      </c>
      <c r="S361" s="9" t="s">
        <v>80</v>
      </c>
      <c r="T361" s="9" t="s">
        <v>89</v>
      </c>
      <c r="U361" s="9">
        <v>9505550047</v>
      </c>
      <c r="V361" s="9" t="s">
        <v>53</v>
      </c>
      <c r="W361" s="3"/>
      <c r="X361" s="3"/>
      <c r="Y361" s="3"/>
      <c r="Z361" s="3"/>
    </row>
    <row r="362" spans="1:26" ht="15" thickBot="1" x14ac:dyDescent="0.4">
      <c r="A362" s="4" t="s">
        <v>491</v>
      </c>
      <c r="B362" s="4" t="s">
        <v>87</v>
      </c>
      <c r="C362" s="4" t="s">
        <v>82</v>
      </c>
      <c r="D362" s="5">
        <v>46152</v>
      </c>
      <c r="E362" s="5">
        <v>46160</v>
      </c>
      <c r="F362" s="4" t="s">
        <v>88</v>
      </c>
      <c r="G362" s="4" t="s">
        <v>58</v>
      </c>
      <c r="H362" s="5">
        <v>36233</v>
      </c>
      <c r="I362" s="4" t="s">
        <v>74</v>
      </c>
      <c r="J362" s="4" t="s">
        <v>75</v>
      </c>
      <c r="K362" s="4" t="s">
        <v>83</v>
      </c>
      <c r="L362" s="4" t="s">
        <v>84</v>
      </c>
      <c r="M362" s="6">
        <v>3</v>
      </c>
      <c r="N362" s="6">
        <v>60</v>
      </c>
      <c r="O362" s="6">
        <v>20</v>
      </c>
      <c r="P362" s="6">
        <v>144</v>
      </c>
      <c r="Q362" s="6">
        <v>4</v>
      </c>
      <c r="R362" s="4" t="s">
        <v>65</v>
      </c>
      <c r="S362" s="4" t="s">
        <v>96</v>
      </c>
      <c r="T362" s="4" t="s">
        <v>89</v>
      </c>
      <c r="U362" s="4">
        <v>9469828772</v>
      </c>
      <c r="V362" s="4" t="s">
        <v>52</v>
      </c>
      <c r="W362" s="3"/>
      <c r="X362" s="3"/>
      <c r="Y362" s="3"/>
      <c r="Z362" s="3"/>
    </row>
    <row r="363" spans="1:26" ht="15" thickBot="1" x14ac:dyDescent="0.4">
      <c r="A363" s="9" t="s">
        <v>492</v>
      </c>
      <c r="B363" s="9" t="s">
        <v>55</v>
      </c>
      <c r="C363" s="9" t="s">
        <v>24</v>
      </c>
      <c r="D363" s="10">
        <v>45858</v>
      </c>
      <c r="E363" s="10">
        <v>45864</v>
      </c>
      <c r="F363" s="9" t="s">
        <v>57</v>
      </c>
      <c r="G363" s="9" t="s">
        <v>58</v>
      </c>
      <c r="H363" s="10">
        <v>30958</v>
      </c>
      <c r="I363" s="9" t="s">
        <v>74</v>
      </c>
      <c r="J363" s="9" t="s">
        <v>75</v>
      </c>
      <c r="K363" s="9" t="s">
        <v>29</v>
      </c>
      <c r="L363" s="9" t="s">
        <v>30</v>
      </c>
      <c r="M363" s="11">
        <v>19</v>
      </c>
      <c r="N363" s="11">
        <v>2200</v>
      </c>
      <c r="O363" s="11">
        <v>10</v>
      </c>
      <c r="P363" s="11">
        <v>37620</v>
      </c>
      <c r="Q363" s="11">
        <v>2</v>
      </c>
      <c r="R363" s="9" t="s">
        <v>31</v>
      </c>
      <c r="S363" s="9" t="s">
        <v>96</v>
      </c>
      <c r="T363" s="9" t="s">
        <v>61</v>
      </c>
      <c r="U363" s="9">
        <v>9885092680</v>
      </c>
      <c r="V363" s="9" t="s">
        <v>52</v>
      </c>
      <c r="W363" s="3"/>
      <c r="X363" s="3"/>
      <c r="Y363" s="3"/>
      <c r="Z363" s="3"/>
    </row>
    <row r="364" spans="1:26" ht="15" thickBot="1" x14ac:dyDescent="0.4">
      <c r="A364" s="4" t="s">
        <v>493</v>
      </c>
      <c r="B364" s="4" t="s">
        <v>55</v>
      </c>
      <c r="C364" s="4" t="s">
        <v>56</v>
      </c>
      <c r="D364" s="5">
        <v>46045</v>
      </c>
      <c r="E364" s="5">
        <v>46049</v>
      </c>
      <c r="F364" s="4" t="s">
        <v>57</v>
      </c>
      <c r="G364" s="4" t="s">
        <v>58</v>
      </c>
      <c r="H364" s="5">
        <v>30872</v>
      </c>
      <c r="I364" s="4" t="s">
        <v>27</v>
      </c>
      <c r="J364" s="4" t="s">
        <v>28</v>
      </c>
      <c r="K364" s="4" t="s">
        <v>39</v>
      </c>
      <c r="L364" s="4" t="s">
        <v>59</v>
      </c>
      <c r="M364" s="6">
        <v>7</v>
      </c>
      <c r="N364" s="6">
        <v>1200</v>
      </c>
      <c r="O364" s="6">
        <v>20</v>
      </c>
      <c r="P364" s="6">
        <v>6720</v>
      </c>
      <c r="Q364" s="6">
        <v>3</v>
      </c>
      <c r="R364" s="4" t="s">
        <v>60</v>
      </c>
      <c r="S364" s="4" t="s">
        <v>80</v>
      </c>
      <c r="T364" s="4" t="s">
        <v>61</v>
      </c>
      <c r="U364" s="4">
        <v>9362319457</v>
      </c>
      <c r="V364" s="4" t="s">
        <v>53</v>
      </c>
      <c r="W364" s="3"/>
      <c r="X364" s="3"/>
      <c r="Y364" s="3"/>
      <c r="Z364" s="3"/>
    </row>
    <row r="365" spans="1:26" ht="15" thickBot="1" x14ac:dyDescent="0.4">
      <c r="A365" s="9" t="s">
        <v>494</v>
      </c>
      <c r="B365" s="9" t="s">
        <v>45</v>
      </c>
      <c r="C365" s="9" t="s">
        <v>125</v>
      </c>
      <c r="D365" s="10">
        <v>46097</v>
      </c>
      <c r="E365" s="10">
        <v>46102</v>
      </c>
      <c r="F365" s="9" t="s">
        <v>101</v>
      </c>
      <c r="G365" s="9" t="s">
        <v>26</v>
      </c>
      <c r="H365" s="10">
        <v>32577</v>
      </c>
      <c r="I365" s="9" t="s">
        <v>48</v>
      </c>
      <c r="J365" s="9" t="s">
        <v>28</v>
      </c>
      <c r="K365" s="9" t="s">
        <v>83</v>
      </c>
      <c r="L365" s="9" t="s">
        <v>127</v>
      </c>
      <c r="M365" s="11">
        <v>20</v>
      </c>
      <c r="N365" s="11">
        <v>20</v>
      </c>
      <c r="O365" s="11">
        <v>20</v>
      </c>
      <c r="P365" s="11">
        <v>320</v>
      </c>
      <c r="Q365" s="11">
        <v>5</v>
      </c>
      <c r="R365" s="9" t="s">
        <v>60</v>
      </c>
      <c r="S365" s="9" t="s">
        <v>80</v>
      </c>
      <c r="T365" s="9" t="s">
        <v>51</v>
      </c>
      <c r="U365" s="9">
        <v>9223945130</v>
      </c>
      <c r="V365" s="9" t="s">
        <v>52</v>
      </c>
      <c r="W365" s="3"/>
      <c r="X365" s="3"/>
      <c r="Y365" s="3"/>
      <c r="Z365" s="3"/>
    </row>
    <row r="366" spans="1:26" ht="15" thickBot="1" x14ac:dyDescent="0.4">
      <c r="A366" s="4" t="s">
        <v>495</v>
      </c>
      <c r="B366" s="4" t="s">
        <v>72</v>
      </c>
      <c r="C366" s="4" t="s">
        <v>56</v>
      </c>
      <c r="D366" s="5">
        <v>45777</v>
      </c>
      <c r="E366" s="5">
        <v>45784</v>
      </c>
      <c r="F366" s="4" t="s">
        <v>73</v>
      </c>
      <c r="G366" s="4" t="s">
        <v>26</v>
      </c>
      <c r="H366" s="5">
        <v>31156</v>
      </c>
      <c r="I366" s="4" t="s">
        <v>27</v>
      </c>
      <c r="J366" s="4" t="s">
        <v>28</v>
      </c>
      <c r="K366" s="4" t="s">
        <v>39</v>
      </c>
      <c r="L366" s="4" t="s">
        <v>59</v>
      </c>
      <c r="M366" s="6">
        <v>19</v>
      </c>
      <c r="N366" s="6">
        <v>1200</v>
      </c>
      <c r="O366" s="6">
        <v>5</v>
      </c>
      <c r="P366" s="6">
        <v>21660</v>
      </c>
      <c r="Q366" s="6">
        <v>3</v>
      </c>
      <c r="R366" s="4" t="s">
        <v>60</v>
      </c>
      <c r="S366" s="4" t="s">
        <v>32</v>
      </c>
      <c r="T366" s="4" t="s">
        <v>93</v>
      </c>
      <c r="U366" s="4">
        <v>9910804926</v>
      </c>
      <c r="V366" s="4" t="s">
        <v>52</v>
      </c>
      <c r="W366" s="3"/>
      <c r="X366" s="3"/>
      <c r="Y366" s="3"/>
      <c r="Z366" s="3"/>
    </row>
    <row r="367" spans="1:26" ht="15" thickBot="1" x14ac:dyDescent="0.4">
      <c r="A367" s="9" t="s">
        <v>496</v>
      </c>
      <c r="B367" s="9" t="s">
        <v>45</v>
      </c>
      <c r="C367" s="9" t="s">
        <v>125</v>
      </c>
      <c r="D367" s="10">
        <v>45691</v>
      </c>
      <c r="E367" s="10">
        <v>45701</v>
      </c>
      <c r="F367" s="9" t="s">
        <v>101</v>
      </c>
      <c r="G367" s="9" t="s">
        <v>26</v>
      </c>
      <c r="H367" s="10">
        <v>37846</v>
      </c>
      <c r="I367" s="9" t="s">
        <v>27</v>
      </c>
      <c r="J367" s="9" t="s">
        <v>28</v>
      </c>
      <c r="K367" s="9" t="s">
        <v>83</v>
      </c>
      <c r="L367" s="9" t="s">
        <v>127</v>
      </c>
      <c r="M367" s="11">
        <v>5</v>
      </c>
      <c r="N367" s="11">
        <v>20</v>
      </c>
      <c r="O367" s="11">
        <v>0</v>
      </c>
      <c r="P367" s="11">
        <v>100</v>
      </c>
      <c r="Q367" s="11">
        <v>2</v>
      </c>
      <c r="R367" s="9" t="s">
        <v>65</v>
      </c>
      <c r="S367" s="9" t="s">
        <v>42</v>
      </c>
      <c r="T367" s="9" t="s">
        <v>51</v>
      </c>
      <c r="U367" s="9">
        <v>9274269744</v>
      </c>
      <c r="V367" s="9" t="s">
        <v>52</v>
      </c>
      <c r="W367" s="3"/>
      <c r="X367" s="3"/>
      <c r="Y367" s="3"/>
      <c r="Z367" s="3"/>
    </row>
    <row r="368" spans="1:26" ht="15" thickBot="1" x14ac:dyDescent="0.4">
      <c r="A368" s="4" t="s">
        <v>497</v>
      </c>
      <c r="B368" s="4" t="s">
        <v>72</v>
      </c>
      <c r="C368" s="4" t="s">
        <v>138</v>
      </c>
      <c r="D368" s="5">
        <v>46088</v>
      </c>
      <c r="E368" s="5">
        <v>46097</v>
      </c>
      <c r="F368" s="4" t="s">
        <v>73</v>
      </c>
      <c r="G368" s="4" t="s">
        <v>26</v>
      </c>
      <c r="H368" s="5">
        <v>30570</v>
      </c>
      <c r="I368" s="4" t="s">
        <v>121</v>
      </c>
      <c r="J368" s="4" t="s">
        <v>38</v>
      </c>
      <c r="K368" s="4" t="s">
        <v>83</v>
      </c>
      <c r="L368" s="4" t="s">
        <v>139</v>
      </c>
      <c r="M368" s="6">
        <v>16</v>
      </c>
      <c r="N368" s="6">
        <v>45</v>
      </c>
      <c r="O368" s="6">
        <v>15</v>
      </c>
      <c r="P368" s="6">
        <v>612</v>
      </c>
      <c r="Q368" s="6">
        <v>5</v>
      </c>
      <c r="R368" s="4" t="s">
        <v>31</v>
      </c>
      <c r="S368" s="4" t="s">
        <v>50</v>
      </c>
      <c r="T368" s="4" t="s">
        <v>93</v>
      </c>
      <c r="U368" s="4">
        <v>9223196101</v>
      </c>
      <c r="V368" s="4" t="s">
        <v>53</v>
      </c>
      <c r="W368" s="3"/>
      <c r="X368" s="3"/>
      <c r="Y368" s="3"/>
      <c r="Z368" s="3"/>
    </row>
    <row r="369" spans="1:26" ht="15" thickBot="1" x14ac:dyDescent="0.4">
      <c r="A369" s="9" t="s">
        <v>498</v>
      </c>
      <c r="B369" s="9" t="s">
        <v>23</v>
      </c>
      <c r="C369" s="9" t="s">
        <v>24</v>
      </c>
      <c r="D369" s="10">
        <v>45780</v>
      </c>
      <c r="E369" s="10">
        <v>45792</v>
      </c>
      <c r="F369" s="9" t="s">
        <v>25</v>
      </c>
      <c r="G369" s="9" t="s">
        <v>26</v>
      </c>
      <c r="H369" s="10">
        <v>27922</v>
      </c>
      <c r="I369" s="9" t="s">
        <v>121</v>
      </c>
      <c r="J369" s="9" t="s">
        <v>38</v>
      </c>
      <c r="K369" s="9" t="s">
        <v>29</v>
      </c>
      <c r="L369" s="9" t="s">
        <v>30</v>
      </c>
      <c r="M369" s="11">
        <v>1</v>
      </c>
      <c r="N369" s="11">
        <v>2200</v>
      </c>
      <c r="O369" s="11">
        <v>10</v>
      </c>
      <c r="P369" s="11">
        <v>1980</v>
      </c>
      <c r="Q369" s="11">
        <v>5</v>
      </c>
      <c r="R369" s="9" t="s">
        <v>60</v>
      </c>
      <c r="S369" s="9" t="s">
        <v>42</v>
      </c>
      <c r="T369" s="9" t="s">
        <v>43</v>
      </c>
      <c r="U369" s="9">
        <v>9888477457</v>
      </c>
      <c r="V369" s="12" t="s">
        <v>34</v>
      </c>
      <c r="W369" s="3"/>
      <c r="X369" s="3"/>
      <c r="Y369" s="3"/>
      <c r="Z369" s="3"/>
    </row>
    <row r="370" spans="1:26" ht="15" thickBot="1" x14ac:dyDescent="0.4">
      <c r="A370" s="4" t="s">
        <v>499</v>
      </c>
      <c r="B370" s="4" t="s">
        <v>45</v>
      </c>
      <c r="C370" s="4" t="s">
        <v>82</v>
      </c>
      <c r="D370" s="5">
        <v>46113</v>
      </c>
      <c r="E370" s="5">
        <v>46117</v>
      </c>
      <c r="F370" s="4" t="s">
        <v>101</v>
      </c>
      <c r="G370" s="4" t="s">
        <v>26</v>
      </c>
      <c r="H370" s="5">
        <v>31781</v>
      </c>
      <c r="I370" s="4" t="s">
        <v>27</v>
      </c>
      <c r="J370" s="4" t="s">
        <v>28</v>
      </c>
      <c r="K370" s="4" t="s">
        <v>83</v>
      </c>
      <c r="L370" s="4" t="s">
        <v>84</v>
      </c>
      <c r="M370" s="6">
        <v>19</v>
      </c>
      <c r="N370" s="6">
        <v>60</v>
      </c>
      <c r="O370" s="6">
        <v>15</v>
      </c>
      <c r="P370" s="6">
        <v>969</v>
      </c>
      <c r="Q370" s="6">
        <v>4</v>
      </c>
      <c r="R370" s="4" t="s">
        <v>41</v>
      </c>
      <c r="S370" s="4" t="s">
        <v>80</v>
      </c>
      <c r="T370" s="4" t="s">
        <v>51</v>
      </c>
      <c r="U370" s="4">
        <v>9435947486</v>
      </c>
      <c r="V370" s="4" t="s">
        <v>53</v>
      </c>
      <c r="W370" s="3"/>
      <c r="X370" s="3"/>
      <c r="Y370" s="3"/>
      <c r="Z370" s="3"/>
    </row>
    <row r="371" spans="1:26" ht="15" thickBot="1" x14ac:dyDescent="0.4">
      <c r="A371" s="9" t="s">
        <v>500</v>
      </c>
      <c r="B371" s="9" t="s">
        <v>156</v>
      </c>
      <c r="C371" s="9" t="s">
        <v>46</v>
      </c>
      <c r="D371" s="9"/>
      <c r="E371" s="10">
        <v>45690</v>
      </c>
      <c r="F371" s="9" t="s">
        <v>106</v>
      </c>
      <c r="G371" s="9" t="s">
        <v>58</v>
      </c>
      <c r="H371" s="10">
        <v>33738</v>
      </c>
      <c r="I371" s="9" t="s">
        <v>37</v>
      </c>
      <c r="J371" s="9" t="s">
        <v>38</v>
      </c>
      <c r="K371" s="9" t="s">
        <v>39</v>
      </c>
      <c r="L371" s="9" t="s">
        <v>49</v>
      </c>
      <c r="M371" s="11">
        <v>15</v>
      </c>
      <c r="N371" s="11">
        <v>55000</v>
      </c>
      <c r="O371" s="11">
        <v>0</v>
      </c>
      <c r="P371" s="11">
        <v>825000</v>
      </c>
      <c r="Q371" s="11">
        <v>5</v>
      </c>
      <c r="R371" s="9" t="s">
        <v>60</v>
      </c>
      <c r="S371" s="9" t="s">
        <v>80</v>
      </c>
      <c r="T371" s="9" t="s">
        <v>158</v>
      </c>
      <c r="U371" s="9">
        <v>9411668831</v>
      </c>
      <c r="V371" s="9" t="s">
        <v>53</v>
      </c>
      <c r="W371" s="3"/>
      <c r="X371" s="3"/>
      <c r="Y371" s="3"/>
      <c r="Z371" s="3"/>
    </row>
    <row r="372" spans="1:26" ht="15" thickBot="1" x14ac:dyDescent="0.4">
      <c r="A372" s="4" t="s">
        <v>501</v>
      </c>
      <c r="B372" s="4" t="s">
        <v>55</v>
      </c>
      <c r="C372" s="4" t="s">
        <v>138</v>
      </c>
      <c r="D372" s="5">
        <v>45936</v>
      </c>
      <c r="E372" s="5">
        <v>45938</v>
      </c>
      <c r="F372" s="4" t="s">
        <v>57</v>
      </c>
      <c r="G372" s="4" t="s">
        <v>58</v>
      </c>
      <c r="H372" s="5">
        <v>32631</v>
      </c>
      <c r="I372" s="4" t="s">
        <v>48</v>
      </c>
      <c r="J372" s="4" t="s">
        <v>28</v>
      </c>
      <c r="K372" s="4" t="s">
        <v>83</v>
      </c>
      <c r="L372" s="4" t="s">
        <v>139</v>
      </c>
      <c r="M372" s="6">
        <v>11</v>
      </c>
      <c r="N372" s="6">
        <v>45</v>
      </c>
      <c r="O372" s="6">
        <v>5</v>
      </c>
      <c r="P372" s="6">
        <v>470.25</v>
      </c>
      <c r="Q372" s="6">
        <v>5</v>
      </c>
      <c r="R372" s="4" t="s">
        <v>41</v>
      </c>
      <c r="S372" s="4" t="s">
        <v>96</v>
      </c>
      <c r="T372" s="4" t="s">
        <v>61</v>
      </c>
      <c r="U372" s="4">
        <v>9523682403</v>
      </c>
      <c r="V372" s="8" t="s">
        <v>34</v>
      </c>
      <c r="W372" s="3"/>
      <c r="X372" s="3"/>
      <c r="Y372" s="3"/>
      <c r="Z372" s="3"/>
    </row>
    <row r="373" spans="1:26" ht="15" thickBot="1" x14ac:dyDescent="0.4">
      <c r="A373" s="9" t="s">
        <v>502</v>
      </c>
      <c r="B373" s="9" t="s">
        <v>134</v>
      </c>
      <c r="C373" s="9" t="s">
        <v>125</v>
      </c>
      <c r="D373" s="10">
        <v>45820</v>
      </c>
      <c r="E373" s="10">
        <v>45825</v>
      </c>
      <c r="F373" s="9" t="s">
        <v>135</v>
      </c>
      <c r="G373" s="9" t="s">
        <v>26</v>
      </c>
      <c r="H373" s="10">
        <v>33226</v>
      </c>
      <c r="I373" s="9" t="s">
        <v>121</v>
      </c>
      <c r="J373" s="9" t="s">
        <v>38</v>
      </c>
      <c r="K373" s="9" t="s">
        <v>83</v>
      </c>
      <c r="L373" s="9" t="s">
        <v>127</v>
      </c>
      <c r="M373" s="11">
        <v>9</v>
      </c>
      <c r="N373" s="11">
        <v>20</v>
      </c>
      <c r="O373" s="11">
        <v>10</v>
      </c>
      <c r="P373" s="11">
        <v>162</v>
      </c>
      <c r="Q373" s="11">
        <v>1</v>
      </c>
      <c r="R373" s="9" t="s">
        <v>60</v>
      </c>
      <c r="S373" s="9" t="s">
        <v>42</v>
      </c>
      <c r="T373" s="9" t="s">
        <v>136</v>
      </c>
      <c r="U373" s="9">
        <v>9652936744</v>
      </c>
      <c r="V373" s="9" t="s">
        <v>53</v>
      </c>
      <c r="W373" s="3"/>
      <c r="X373" s="3"/>
      <c r="Y373" s="3"/>
      <c r="Z373" s="3"/>
    </row>
    <row r="374" spans="1:26" ht="15" thickBot="1" x14ac:dyDescent="0.4">
      <c r="A374" s="4" t="s">
        <v>503</v>
      </c>
      <c r="B374" s="4" t="s">
        <v>104</v>
      </c>
      <c r="C374" s="4" t="s">
        <v>138</v>
      </c>
      <c r="D374" s="5">
        <v>45979</v>
      </c>
      <c r="E374" s="5">
        <v>45981</v>
      </c>
      <c r="F374" s="4" t="s">
        <v>166</v>
      </c>
      <c r="G374" s="4" t="s">
        <v>26</v>
      </c>
      <c r="H374" s="5">
        <v>34889</v>
      </c>
      <c r="I374" s="4" t="s">
        <v>48</v>
      </c>
      <c r="J374" s="4" t="s">
        <v>28</v>
      </c>
      <c r="K374" s="4" t="s">
        <v>83</v>
      </c>
      <c r="L374" s="4" t="s">
        <v>139</v>
      </c>
      <c r="M374" s="6">
        <v>5</v>
      </c>
      <c r="N374" s="6">
        <v>45</v>
      </c>
      <c r="O374" s="6">
        <v>5</v>
      </c>
      <c r="P374" s="6">
        <v>213.75</v>
      </c>
      <c r="Q374" s="6">
        <v>3</v>
      </c>
      <c r="R374" s="4" t="s">
        <v>60</v>
      </c>
      <c r="S374" s="4" t="s">
        <v>80</v>
      </c>
      <c r="T374" s="4" t="s">
        <v>108</v>
      </c>
      <c r="U374" s="4">
        <v>9726464733</v>
      </c>
      <c r="V374" s="4" t="s">
        <v>52</v>
      </c>
      <c r="W374" s="3"/>
      <c r="X374" s="3"/>
      <c r="Y374" s="3"/>
      <c r="Z374" s="3"/>
    </row>
    <row r="375" spans="1:26" ht="15" thickBot="1" x14ac:dyDescent="0.4">
      <c r="A375" s="9" t="s">
        <v>504</v>
      </c>
      <c r="B375" s="9" t="s">
        <v>63</v>
      </c>
      <c r="C375" s="9" t="s">
        <v>112</v>
      </c>
      <c r="D375" s="10">
        <v>45962</v>
      </c>
      <c r="E375" s="10">
        <v>45963</v>
      </c>
      <c r="F375" s="9" t="s">
        <v>110</v>
      </c>
      <c r="G375" s="9" t="s">
        <v>58</v>
      </c>
      <c r="H375" s="10">
        <v>36152</v>
      </c>
      <c r="I375" s="9" t="s">
        <v>27</v>
      </c>
      <c r="J375" s="9" t="s">
        <v>28</v>
      </c>
      <c r="K375" s="9" t="s">
        <v>39</v>
      </c>
      <c r="L375" s="9" t="s">
        <v>114</v>
      </c>
      <c r="M375" s="11">
        <v>5</v>
      </c>
      <c r="N375" s="11">
        <v>700</v>
      </c>
      <c r="O375" s="11">
        <v>10</v>
      </c>
      <c r="P375" s="11">
        <v>3150</v>
      </c>
      <c r="Q375" s="11">
        <v>2</v>
      </c>
      <c r="R375" s="9" t="s">
        <v>65</v>
      </c>
      <c r="S375" s="9" t="s">
        <v>42</v>
      </c>
      <c r="T375" s="9" t="s">
        <v>66</v>
      </c>
      <c r="U375" s="9">
        <v>9273520544</v>
      </c>
      <c r="V375" s="12" t="s">
        <v>34</v>
      </c>
      <c r="W375" s="3"/>
      <c r="X375" s="3"/>
      <c r="Y375" s="3"/>
      <c r="Z375" s="3"/>
    </row>
    <row r="376" spans="1:26" ht="15" thickBot="1" x14ac:dyDescent="0.4">
      <c r="A376" s="4" t="s">
        <v>505</v>
      </c>
      <c r="B376" s="4" t="s">
        <v>124</v>
      </c>
      <c r="C376" s="4" t="s">
        <v>112</v>
      </c>
      <c r="D376" s="5">
        <v>45681</v>
      </c>
      <c r="E376" s="5">
        <v>45688</v>
      </c>
      <c r="F376" s="4" t="s">
        <v>126</v>
      </c>
      <c r="G376" s="4" t="s">
        <v>58</v>
      </c>
      <c r="H376" s="5">
        <v>29212</v>
      </c>
      <c r="I376" s="4" t="s">
        <v>147</v>
      </c>
      <c r="J376" s="4" t="s">
        <v>148</v>
      </c>
      <c r="K376" s="4" t="s">
        <v>39</v>
      </c>
      <c r="L376" s="4" t="s">
        <v>114</v>
      </c>
      <c r="M376" s="6">
        <v>1</v>
      </c>
      <c r="N376" s="6">
        <v>700</v>
      </c>
      <c r="O376" s="6">
        <v>0</v>
      </c>
      <c r="P376" s="6">
        <v>700</v>
      </c>
      <c r="Q376" s="6">
        <v>1</v>
      </c>
      <c r="R376" s="4" t="s">
        <v>65</v>
      </c>
      <c r="S376" s="4" t="s">
        <v>96</v>
      </c>
      <c r="T376" s="4" t="s">
        <v>128</v>
      </c>
      <c r="U376" s="4">
        <v>9374259988</v>
      </c>
      <c r="V376" s="8" t="s">
        <v>34</v>
      </c>
      <c r="W376" s="3"/>
      <c r="X376" s="3"/>
      <c r="Y376" s="3"/>
      <c r="Z376" s="3"/>
    </row>
    <row r="377" spans="1:26" ht="15" thickBot="1" x14ac:dyDescent="0.4">
      <c r="A377" s="9" t="s">
        <v>506</v>
      </c>
      <c r="B377" s="9" t="s">
        <v>23</v>
      </c>
      <c r="C377" s="9" t="s">
        <v>112</v>
      </c>
      <c r="D377" s="10">
        <v>46066</v>
      </c>
      <c r="E377" s="10">
        <v>46074</v>
      </c>
      <c r="F377" s="9" t="s">
        <v>25</v>
      </c>
      <c r="G377" s="9" t="s">
        <v>26</v>
      </c>
      <c r="H377" s="10">
        <v>27743</v>
      </c>
      <c r="I377" s="9" t="s">
        <v>74</v>
      </c>
      <c r="J377" s="9" t="s">
        <v>75</v>
      </c>
      <c r="K377" s="9" t="s">
        <v>39</v>
      </c>
      <c r="L377" s="9" t="s">
        <v>114</v>
      </c>
      <c r="M377" s="11">
        <v>13</v>
      </c>
      <c r="N377" s="11">
        <v>700</v>
      </c>
      <c r="O377" s="11">
        <v>20</v>
      </c>
      <c r="P377" s="11">
        <v>7280</v>
      </c>
      <c r="Q377" s="11">
        <v>2</v>
      </c>
      <c r="R377" s="9" t="s">
        <v>60</v>
      </c>
      <c r="S377" s="9" t="s">
        <v>32</v>
      </c>
      <c r="T377" s="9" t="s">
        <v>43</v>
      </c>
      <c r="U377" s="9">
        <v>9538129419</v>
      </c>
      <c r="V377" s="12" t="s">
        <v>34</v>
      </c>
      <c r="W377" s="3"/>
      <c r="X377" s="3"/>
      <c r="Y377" s="3"/>
      <c r="Z377" s="3"/>
    </row>
    <row r="378" spans="1:26" ht="15" thickBot="1" x14ac:dyDescent="0.4">
      <c r="A378" s="4" t="s">
        <v>507</v>
      </c>
      <c r="B378" s="4" t="s">
        <v>55</v>
      </c>
      <c r="C378" s="4" t="s">
        <v>36</v>
      </c>
      <c r="D378" s="5">
        <v>45696</v>
      </c>
      <c r="E378" s="5">
        <v>45707</v>
      </c>
      <c r="F378" s="4" t="s">
        <v>57</v>
      </c>
      <c r="G378" s="4" t="s">
        <v>58</v>
      </c>
      <c r="H378" s="5">
        <v>34106</v>
      </c>
      <c r="I378" s="4" t="s">
        <v>79</v>
      </c>
      <c r="J378" s="4" t="s">
        <v>75</v>
      </c>
      <c r="K378" s="4" t="s">
        <v>39</v>
      </c>
      <c r="L378" s="4" t="s">
        <v>40</v>
      </c>
      <c r="M378" s="6">
        <v>20</v>
      </c>
      <c r="N378" s="6">
        <v>12000</v>
      </c>
      <c r="O378" s="6">
        <v>0</v>
      </c>
      <c r="P378" s="6">
        <v>240000</v>
      </c>
      <c r="Q378" s="6">
        <v>2</v>
      </c>
      <c r="R378" s="4" t="s">
        <v>60</v>
      </c>
      <c r="S378" s="4" t="s">
        <v>80</v>
      </c>
      <c r="T378" s="4" t="s">
        <v>61</v>
      </c>
      <c r="U378" s="4">
        <v>9382815686</v>
      </c>
      <c r="V378" s="8" t="s">
        <v>34</v>
      </c>
      <c r="W378" s="3"/>
      <c r="X378" s="3"/>
      <c r="Y378" s="3"/>
      <c r="Z378" s="3"/>
    </row>
    <row r="379" spans="1:26" ht="15" thickBot="1" x14ac:dyDescent="0.4">
      <c r="A379" s="9" t="s">
        <v>508</v>
      </c>
      <c r="B379" s="9" t="s">
        <v>63</v>
      </c>
      <c r="C379" s="9" t="s">
        <v>56</v>
      </c>
      <c r="D379" s="10">
        <v>46019</v>
      </c>
      <c r="E379" s="10">
        <v>46028</v>
      </c>
      <c r="F379" s="9" t="s">
        <v>110</v>
      </c>
      <c r="G379" s="9" t="s">
        <v>58</v>
      </c>
      <c r="H379" s="10">
        <v>28020</v>
      </c>
      <c r="I379" s="9" t="s">
        <v>147</v>
      </c>
      <c r="J379" s="9" t="s">
        <v>148</v>
      </c>
      <c r="K379" s="9" t="s">
        <v>39</v>
      </c>
      <c r="L379" s="9" t="s">
        <v>59</v>
      </c>
      <c r="M379" s="11">
        <v>9</v>
      </c>
      <c r="N379" s="11">
        <v>1200</v>
      </c>
      <c r="O379" s="11">
        <v>15</v>
      </c>
      <c r="P379" s="11">
        <v>9180</v>
      </c>
      <c r="Q379" s="11">
        <v>1</v>
      </c>
      <c r="R379" s="9" t="s">
        <v>65</v>
      </c>
      <c r="S379" s="9" t="s">
        <v>32</v>
      </c>
      <c r="T379" s="9" t="s">
        <v>66</v>
      </c>
      <c r="U379" s="9">
        <v>9450746157</v>
      </c>
      <c r="V379" s="9" t="s">
        <v>52</v>
      </c>
      <c r="W379" s="3"/>
      <c r="X379" s="3"/>
      <c r="Y379" s="3"/>
      <c r="Z379" s="3"/>
    </row>
    <row r="380" spans="1:26" ht="15" thickBot="1" x14ac:dyDescent="0.4">
      <c r="A380" s="4" t="s">
        <v>509</v>
      </c>
      <c r="B380" s="4" t="s">
        <v>63</v>
      </c>
      <c r="C380" s="4" t="s">
        <v>125</v>
      </c>
      <c r="D380" s="5">
        <v>45931</v>
      </c>
      <c r="E380" s="5">
        <v>45933</v>
      </c>
      <c r="F380" s="4" t="s">
        <v>110</v>
      </c>
      <c r="G380" s="4" t="s">
        <v>58</v>
      </c>
      <c r="H380" s="5">
        <v>35421</v>
      </c>
      <c r="I380" s="4" t="s">
        <v>121</v>
      </c>
      <c r="J380" s="4" t="s">
        <v>38</v>
      </c>
      <c r="K380" s="4" t="s">
        <v>83</v>
      </c>
      <c r="L380" s="4" t="s">
        <v>127</v>
      </c>
      <c r="M380" s="6">
        <v>3</v>
      </c>
      <c r="N380" s="6">
        <v>20</v>
      </c>
      <c r="O380" s="6">
        <v>15</v>
      </c>
      <c r="P380" s="6">
        <v>51</v>
      </c>
      <c r="Q380" s="6">
        <v>3</v>
      </c>
      <c r="R380" s="4" t="s">
        <v>31</v>
      </c>
      <c r="S380" s="4" t="s">
        <v>80</v>
      </c>
      <c r="T380" s="4" t="s">
        <v>66</v>
      </c>
      <c r="U380" s="4">
        <v>9349012570</v>
      </c>
      <c r="V380" s="4" t="s">
        <v>52</v>
      </c>
      <c r="W380" s="3"/>
      <c r="X380" s="3"/>
      <c r="Y380" s="3"/>
      <c r="Z380" s="3"/>
    </row>
    <row r="381" spans="1:26" ht="15" thickBot="1" x14ac:dyDescent="0.4">
      <c r="A381" s="9" t="s">
        <v>510</v>
      </c>
      <c r="B381" s="9" t="s">
        <v>134</v>
      </c>
      <c r="C381" s="9" t="s">
        <v>46</v>
      </c>
      <c r="D381" s="10">
        <v>46009</v>
      </c>
      <c r="E381" s="10">
        <v>46010</v>
      </c>
      <c r="F381" s="9" t="s">
        <v>135</v>
      </c>
      <c r="G381" s="9" t="s">
        <v>26</v>
      </c>
      <c r="H381" s="10">
        <v>35058</v>
      </c>
      <c r="I381" s="9" t="s">
        <v>37</v>
      </c>
      <c r="J381" s="9" t="s">
        <v>38</v>
      </c>
      <c r="K381" s="9" t="s">
        <v>39</v>
      </c>
      <c r="L381" s="9" t="s">
        <v>49</v>
      </c>
      <c r="M381" s="11">
        <v>8</v>
      </c>
      <c r="N381" s="11">
        <v>55000</v>
      </c>
      <c r="O381" s="11">
        <v>20</v>
      </c>
      <c r="P381" s="11">
        <v>352000</v>
      </c>
      <c r="Q381" s="11">
        <v>5</v>
      </c>
      <c r="R381" s="9" t="s">
        <v>60</v>
      </c>
      <c r="S381" s="9" t="s">
        <v>96</v>
      </c>
      <c r="T381" s="9" t="s">
        <v>136</v>
      </c>
      <c r="U381" s="9">
        <v>9442163790</v>
      </c>
      <c r="V381" s="9" t="s">
        <v>52</v>
      </c>
      <c r="W381" s="3"/>
      <c r="X381" s="3"/>
      <c r="Y381" s="3"/>
      <c r="Z381" s="3"/>
    </row>
    <row r="382" spans="1:26" ht="15" thickBot="1" x14ac:dyDescent="0.4">
      <c r="A382" s="4" t="s">
        <v>511</v>
      </c>
      <c r="B382" s="4" t="s">
        <v>134</v>
      </c>
      <c r="C382" s="4" t="s">
        <v>82</v>
      </c>
      <c r="D382" s="5">
        <v>45929</v>
      </c>
      <c r="E382" s="5">
        <v>45937</v>
      </c>
      <c r="F382" s="4" t="s">
        <v>135</v>
      </c>
      <c r="G382" s="4" t="s">
        <v>26</v>
      </c>
      <c r="H382" s="5">
        <v>31221</v>
      </c>
      <c r="I382" s="4" t="s">
        <v>37</v>
      </c>
      <c r="J382" s="4" t="s">
        <v>38</v>
      </c>
      <c r="K382" s="4" t="s">
        <v>83</v>
      </c>
      <c r="L382" s="4" t="s">
        <v>84</v>
      </c>
      <c r="M382" s="6">
        <v>17</v>
      </c>
      <c r="N382" s="6">
        <v>60</v>
      </c>
      <c r="O382" s="6">
        <v>20</v>
      </c>
      <c r="P382" s="6">
        <v>816</v>
      </c>
      <c r="Q382" s="6">
        <v>1</v>
      </c>
      <c r="R382" s="4" t="s">
        <v>65</v>
      </c>
      <c r="S382" s="4" t="s">
        <v>32</v>
      </c>
      <c r="T382" s="4" t="s">
        <v>136</v>
      </c>
      <c r="U382" s="4">
        <v>9953329223</v>
      </c>
      <c r="V382" s="4" t="s">
        <v>52</v>
      </c>
      <c r="W382" s="3"/>
      <c r="X382" s="3"/>
      <c r="Y382" s="3"/>
      <c r="Z382" s="3"/>
    </row>
    <row r="383" spans="1:26" ht="15" thickBot="1" x14ac:dyDescent="0.4">
      <c r="A383" s="9" t="s">
        <v>512</v>
      </c>
      <c r="B383" s="9" t="s">
        <v>87</v>
      </c>
      <c r="C383" s="9" t="s">
        <v>125</v>
      </c>
      <c r="D383" s="10">
        <v>45791</v>
      </c>
      <c r="E383" s="10">
        <v>45799</v>
      </c>
      <c r="F383" s="9" t="s">
        <v>88</v>
      </c>
      <c r="G383" s="9" t="s">
        <v>58</v>
      </c>
      <c r="H383" s="10">
        <v>30722</v>
      </c>
      <c r="I383" s="9" t="s">
        <v>48</v>
      </c>
      <c r="J383" s="9" t="s">
        <v>28</v>
      </c>
      <c r="K383" s="9" t="s">
        <v>83</v>
      </c>
      <c r="L383" s="9" t="s">
        <v>127</v>
      </c>
      <c r="M383" s="11">
        <v>4</v>
      </c>
      <c r="N383" s="11">
        <v>20</v>
      </c>
      <c r="O383" s="11">
        <v>15</v>
      </c>
      <c r="P383" s="11">
        <v>68</v>
      </c>
      <c r="Q383" s="11">
        <v>3</v>
      </c>
      <c r="R383" s="9" t="s">
        <v>41</v>
      </c>
      <c r="S383" s="9" t="s">
        <v>50</v>
      </c>
      <c r="T383" s="9" t="s">
        <v>89</v>
      </c>
      <c r="U383" s="9">
        <v>9202321359</v>
      </c>
      <c r="V383" s="9" t="s">
        <v>52</v>
      </c>
      <c r="W383" s="3"/>
      <c r="X383" s="3"/>
      <c r="Y383" s="3"/>
      <c r="Z383" s="3"/>
    </row>
    <row r="384" spans="1:26" ht="15" thickBot="1" x14ac:dyDescent="0.4">
      <c r="A384" s="4" t="s">
        <v>513</v>
      </c>
      <c r="B384" s="4" t="s">
        <v>87</v>
      </c>
      <c r="C384" s="4" t="s">
        <v>24</v>
      </c>
      <c r="D384" s="5">
        <v>45748</v>
      </c>
      <c r="E384" s="5">
        <v>45758</v>
      </c>
      <c r="F384" s="4" t="s">
        <v>88</v>
      </c>
      <c r="G384" s="4" t="s">
        <v>58</v>
      </c>
      <c r="H384" s="5">
        <v>37348</v>
      </c>
      <c r="I384" s="4" t="s">
        <v>147</v>
      </c>
      <c r="J384" s="4" t="s">
        <v>148</v>
      </c>
      <c r="K384" s="4" t="s">
        <v>29</v>
      </c>
      <c r="L384" s="4" t="s">
        <v>30</v>
      </c>
      <c r="M384" s="6">
        <v>2</v>
      </c>
      <c r="N384" s="6">
        <v>2200</v>
      </c>
      <c r="O384" s="6">
        <v>10</v>
      </c>
      <c r="P384" s="6">
        <v>3960</v>
      </c>
      <c r="Q384" s="6">
        <v>2</v>
      </c>
      <c r="R384" s="4" t="s">
        <v>65</v>
      </c>
      <c r="S384" s="4" t="s">
        <v>42</v>
      </c>
      <c r="T384" s="4" t="s">
        <v>89</v>
      </c>
      <c r="U384" s="4">
        <v>9812564160</v>
      </c>
      <c r="V384" s="4" t="s">
        <v>52</v>
      </c>
      <c r="W384" s="3"/>
      <c r="X384" s="3"/>
      <c r="Y384" s="3"/>
      <c r="Z384" s="3"/>
    </row>
    <row r="385" spans="1:26" ht="15" thickBot="1" x14ac:dyDescent="0.4">
      <c r="A385" s="9" t="s">
        <v>514</v>
      </c>
      <c r="B385" s="9" t="s">
        <v>124</v>
      </c>
      <c r="C385" s="9" t="s">
        <v>82</v>
      </c>
      <c r="D385" s="10">
        <v>45754</v>
      </c>
      <c r="E385" s="10">
        <v>45765</v>
      </c>
      <c r="F385" s="9" t="s">
        <v>126</v>
      </c>
      <c r="G385" s="9" t="s">
        <v>58</v>
      </c>
      <c r="H385" s="10">
        <v>37819</v>
      </c>
      <c r="I385" s="9" t="s">
        <v>48</v>
      </c>
      <c r="J385" s="9" t="s">
        <v>28</v>
      </c>
      <c r="K385" s="9" t="s">
        <v>83</v>
      </c>
      <c r="L385" s="9" t="s">
        <v>84</v>
      </c>
      <c r="M385" s="11">
        <v>5</v>
      </c>
      <c r="N385" s="11">
        <v>60</v>
      </c>
      <c r="O385" s="11">
        <v>5</v>
      </c>
      <c r="P385" s="11">
        <v>285</v>
      </c>
      <c r="Q385" s="11">
        <v>1</v>
      </c>
      <c r="R385" s="9" t="s">
        <v>65</v>
      </c>
      <c r="S385" s="9" t="s">
        <v>32</v>
      </c>
      <c r="T385" s="9" t="s">
        <v>128</v>
      </c>
      <c r="U385" s="9">
        <v>9688458222</v>
      </c>
      <c r="V385" s="9" t="s">
        <v>53</v>
      </c>
      <c r="W385" s="3"/>
      <c r="X385" s="3"/>
      <c r="Y385" s="3"/>
      <c r="Z385" s="3"/>
    </row>
    <row r="386" spans="1:26" ht="15" thickBot="1" x14ac:dyDescent="0.4">
      <c r="A386" s="4" t="s">
        <v>515</v>
      </c>
      <c r="B386" s="4" t="s">
        <v>87</v>
      </c>
      <c r="C386" s="4" t="s">
        <v>24</v>
      </c>
      <c r="D386" s="5">
        <v>46072</v>
      </c>
      <c r="E386" s="5">
        <v>46076</v>
      </c>
      <c r="F386" s="4" t="s">
        <v>88</v>
      </c>
      <c r="G386" s="4" t="s">
        <v>58</v>
      </c>
      <c r="H386" s="5">
        <v>33517</v>
      </c>
      <c r="I386" s="4" t="s">
        <v>37</v>
      </c>
      <c r="J386" s="4" t="s">
        <v>38</v>
      </c>
      <c r="K386" s="4" t="s">
        <v>29</v>
      </c>
      <c r="L386" s="4" t="s">
        <v>30</v>
      </c>
      <c r="M386" s="6">
        <v>17</v>
      </c>
      <c r="N386" s="6">
        <v>2200</v>
      </c>
      <c r="O386" s="6">
        <v>0</v>
      </c>
      <c r="P386" s="6">
        <v>37400</v>
      </c>
      <c r="Q386" s="6">
        <v>2</v>
      </c>
      <c r="R386" s="4" t="s">
        <v>65</v>
      </c>
      <c r="S386" s="4" t="s">
        <v>96</v>
      </c>
      <c r="T386" s="4" t="s">
        <v>89</v>
      </c>
      <c r="U386" s="4">
        <v>9634473337</v>
      </c>
      <c r="V386" s="4" t="s">
        <v>53</v>
      </c>
      <c r="W386" s="3"/>
      <c r="X386" s="3"/>
      <c r="Y386" s="3"/>
      <c r="Z386" s="3"/>
    </row>
    <row r="387" spans="1:26" ht="15" thickBot="1" x14ac:dyDescent="0.4">
      <c r="A387" s="9" t="s">
        <v>516</v>
      </c>
      <c r="B387" s="9" t="s">
        <v>104</v>
      </c>
      <c r="C387" s="9" t="s">
        <v>82</v>
      </c>
      <c r="D387" s="10">
        <v>45995</v>
      </c>
      <c r="E387" s="10">
        <v>46002</v>
      </c>
      <c r="F387" s="9" t="s">
        <v>166</v>
      </c>
      <c r="G387" s="9" t="s">
        <v>26</v>
      </c>
      <c r="H387" s="10">
        <v>30686</v>
      </c>
      <c r="I387" s="9" t="s">
        <v>91</v>
      </c>
      <c r="J387" s="9" t="s">
        <v>75</v>
      </c>
      <c r="K387" s="9" t="s">
        <v>83</v>
      </c>
      <c r="L387" s="9" t="s">
        <v>84</v>
      </c>
      <c r="M387" s="11">
        <v>7</v>
      </c>
      <c r="N387" s="11">
        <v>60</v>
      </c>
      <c r="O387" s="11">
        <v>0</v>
      </c>
      <c r="P387" s="11">
        <v>420</v>
      </c>
      <c r="Q387" s="11">
        <v>2</v>
      </c>
      <c r="R387" s="9" t="s">
        <v>65</v>
      </c>
      <c r="S387" s="9" t="s">
        <v>50</v>
      </c>
      <c r="T387" s="9" t="s">
        <v>108</v>
      </c>
      <c r="U387" s="9">
        <v>9608737026</v>
      </c>
      <c r="V387" s="9" t="s">
        <v>52</v>
      </c>
      <c r="W387" s="3"/>
      <c r="X387" s="3"/>
      <c r="Y387" s="3"/>
      <c r="Z387" s="3"/>
    </row>
    <row r="388" spans="1:26" ht="15" thickBot="1" x14ac:dyDescent="0.4">
      <c r="A388" s="4" t="s">
        <v>517</v>
      </c>
      <c r="B388" s="4" t="s">
        <v>124</v>
      </c>
      <c r="C388" s="4" t="s">
        <v>46</v>
      </c>
      <c r="D388" s="5">
        <v>45950</v>
      </c>
      <c r="E388" s="5">
        <v>45954</v>
      </c>
      <c r="F388" s="4" t="s">
        <v>126</v>
      </c>
      <c r="G388" s="4" t="s">
        <v>58</v>
      </c>
      <c r="H388" s="5">
        <v>27465</v>
      </c>
      <c r="I388" s="4" t="s">
        <v>27</v>
      </c>
      <c r="J388" s="4" t="s">
        <v>28</v>
      </c>
      <c r="K388" s="4" t="s">
        <v>39</v>
      </c>
      <c r="L388" s="4" t="s">
        <v>49</v>
      </c>
      <c r="M388" s="6">
        <v>6</v>
      </c>
      <c r="N388" s="6">
        <v>55000</v>
      </c>
      <c r="O388" s="6">
        <v>5</v>
      </c>
      <c r="P388" s="6">
        <v>313500</v>
      </c>
      <c r="Q388" s="6">
        <v>4</v>
      </c>
      <c r="R388" s="4" t="s">
        <v>60</v>
      </c>
      <c r="S388" s="4" t="s">
        <v>50</v>
      </c>
      <c r="T388" s="4" t="s">
        <v>128</v>
      </c>
      <c r="U388" s="4">
        <v>9804498139</v>
      </c>
      <c r="V388" s="8" t="s">
        <v>34</v>
      </c>
      <c r="W388" s="3"/>
      <c r="X388" s="3"/>
      <c r="Y388" s="3"/>
      <c r="Z388" s="3"/>
    </row>
    <row r="389" spans="1:26" ht="15" thickBot="1" x14ac:dyDescent="0.4">
      <c r="A389" s="9" t="s">
        <v>518</v>
      </c>
      <c r="B389" s="9" t="s">
        <v>55</v>
      </c>
      <c r="C389" s="9" t="s">
        <v>125</v>
      </c>
      <c r="D389" s="10">
        <v>46043</v>
      </c>
      <c r="E389" s="10">
        <v>46047</v>
      </c>
      <c r="F389" s="9" t="s">
        <v>57</v>
      </c>
      <c r="G389" s="9" t="s">
        <v>58</v>
      </c>
      <c r="H389" s="10">
        <v>30390</v>
      </c>
      <c r="I389" s="9" t="s">
        <v>27</v>
      </c>
      <c r="J389" s="9" t="s">
        <v>28</v>
      </c>
      <c r="K389" s="9" t="s">
        <v>83</v>
      </c>
      <c r="L389" s="9" t="s">
        <v>127</v>
      </c>
      <c r="M389" s="11">
        <v>16</v>
      </c>
      <c r="N389" s="11">
        <v>20</v>
      </c>
      <c r="O389" s="11">
        <v>5</v>
      </c>
      <c r="P389" s="11">
        <v>304</v>
      </c>
      <c r="Q389" s="11">
        <v>1</v>
      </c>
      <c r="R389" s="9" t="s">
        <v>60</v>
      </c>
      <c r="S389" s="9" t="s">
        <v>42</v>
      </c>
      <c r="T389" s="9" t="s">
        <v>61</v>
      </c>
      <c r="U389" s="9">
        <v>9798643580</v>
      </c>
      <c r="V389" s="12" t="s">
        <v>34</v>
      </c>
      <c r="W389" s="3"/>
      <c r="X389" s="3"/>
      <c r="Y389" s="3"/>
      <c r="Z389" s="3"/>
    </row>
    <row r="390" spans="1:26" ht="15" thickBot="1" x14ac:dyDescent="0.4">
      <c r="A390" s="4" t="s">
        <v>519</v>
      </c>
      <c r="B390" s="4" t="s">
        <v>23</v>
      </c>
      <c r="C390" s="4" t="s">
        <v>24</v>
      </c>
      <c r="D390" s="5">
        <v>45682</v>
      </c>
      <c r="E390" s="5">
        <v>45685</v>
      </c>
      <c r="F390" s="4" t="s">
        <v>25</v>
      </c>
      <c r="G390" s="4" t="s">
        <v>26</v>
      </c>
      <c r="H390" s="5">
        <v>27870</v>
      </c>
      <c r="I390" s="4" t="s">
        <v>147</v>
      </c>
      <c r="J390" s="4" t="s">
        <v>148</v>
      </c>
      <c r="K390" s="4" t="s">
        <v>29</v>
      </c>
      <c r="L390" s="4" t="s">
        <v>30</v>
      </c>
      <c r="M390" s="6">
        <v>11</v>
      </c>
      <c r="N390" s="6">
        <v>2200</v>
      </c>
      <c r="O390" s="6">
        <v>15</v>
      </c>
      <c r="P390" s="6">
        <v>20570</v>
      </c>
      <c r="Q390" s="6">
        <v>1</v>
      </c>
      <c r="R390" s="4" t="s">
        <v>41</v>
      </c>
      <c r="S390" s="4" t="s">
        <v>80</v>
      </c>
      <c r="T390" s="4" t="s">
        <v>43</v>
      </c>
      <c r="U390" s="4">
        <v>9809823278</v>
      </c>
      <c r="V390" s="4" t="s">
        <v>53</v>
      </c>
      <c r="W390" s="3"/>
      <c r="X390" s="3"/>
      <c r="Y390" s="3"/>
      <c r="Z390" s="3"/>
    </row>
    <row r="391" spans="1:26" ht="15" thickBot="1" x14ac:dyDescent="0.4">
      <c r="A391" s="9" t="s">
        <v>520</v>
      </c>
      <c r="B391" s="9" t="s">
        <v>72</v>
      </c>
      <c r="C391" s="9" t="s">
        <v>125</v>
      </c>
      <c r="D391" s="10">
        <v>45716</v>
      </c>
      <c r="E391" s="10">
        <v>45718</v>
      </c>
      <c r="F391" s="9" t="s">
        <v>73</v>
      </c>
      <c r="G391" s="9" t="s">
        <v>26</v>
      </c>
      <c r="H391" s="10">
        <v>31454</v>
      </c>
      <c r="I391" s="9" t="s">
        <v>79</v>
      </c>
      <c r="J391" s="9" t="s">
        <v>75</v>
      </c>
      <c r="K391" s="9" t="s">
        <v>83</v>
      </c>
      <c r="L391" s="9" t="s">
        <v>127</v>
      </c>
      <c r="M391" s="11">
        <v>19</v>
      </c>
      <c r="N391" s="11">
        <v>20</v>
      </c>
      <c r="O391" s="11">
        <v>5</v>
      </c>
      <c r="P391" s="11">
        <v>361</v>
      </c>
      <c r="Q391" s="11">
        <v>4</v>
      </c>
      <c r="R391" s="9" t="s">
        <v>65</v>
      </c>
      <c r="S391" s="9" t="s">
        <v>32</v>
      </c>
      <c r="T391" s="9" t="s">
        <v>93</v>
      </c>
      <c r="U391" s="9">
        <v>9177767854</v>
      </c>
      <c r="V391" s="9" t="s">
        <v>52</v>
      </c>
      <c r="W391" s="3"/>
      <c r="X391" s="3"/>
      <c r="Y391" s="3"/>
      <c r="Z391" s="3"/>
    </row>
    <row r="392" spans="1:26" ht="15" thickBot="1" x14ac:dyDescent="0.4">
      <c r="A392" s="4" t="s">
        <v>521</v>
      </c>
      <c r="B392" s="4" t="s">
        <v>72</v>
      </c>
      <c r="C392" s="4" t="s">
        <v>56</v>
      </c>
      <c r="D392" s="5">
        <v>45828</v>
      </c>
      <c r="E392" s="5">
        <v>45829</v>
      </c>
      <c r="F392" s="4" t="s">
        <v>73</v>
      </c>
      <c r="G392" s="4" t="s">
        <v>26</v>
      </c>
      <c r="H392" s="5">
        <v>28570</v>
      </c>
      <c r="I392" s="4" t="s">
        <v>79</v>
      </c>
      <c r="J392" s="4" t="s">
        <v>75</v>
      </c>
      <c r="K392" s="4" t="s">
        <v>39</v>
      </c>
      <c r="L392" s="4" t="s">
        <v>59</v>
      </c>
      <c r="M392" s="6">
        <v>20</v>
      </c>
      <c r="N392" s="6">
        <v>1200</v>
      </c>
      <c r="O392" s="6">
        <v>15</v>
      </c>
      <c r="P392" s="6">
        <v>20400</v>
      </c>
      <c r="Q392" s="6">
        <v>4</v>
      </c>
      <c r="R392" s="4" t="s">
        <v>60</v>
      </c>
      <c r="S392" s="4" t="s">
        <v>32</v>
      </c>
      <c r="T392" s="4" t="s">
        <v>93</v>
      </c>
      <c r="U392" s="4">
        <v>9643440006</v>
      </c>
      <c r="V392" s="4" t="s">
        <v>52</v>
      </c>
      <c r="W392" s="3"/>
      <c r="X392" s="3"/>
      <c r="Y392" s="3"/>
      <c r="Z392" s="3"/>
    </row>
    <row r="393" spans="1:26" ht="15" thickBot="1" x14ac:dyDescent="0.4">
      <c r="A393" s="9" t="s">
        <v>522</v>
      </c>
      <c r="B393" s="9" t="s">
        <v>45</v>
      </c>
      <c r="C393" s="9" t="s">
        <v>125</v>
      </c>
      <c r="D393" s="10">
        <v>45805</v>
      </c>
      <c r="E393" s="10">
        <v>45814</v>
      </c>
      <c r="F393" s="9" t="s">
        <v>101</v>
      </c>
      <c r="G393" s="9" t="s">
        <v>26</v>
      </c>
      <c r="H393" s="10">
        <v>35258</v>
      </c>
      <c r="I393" s="9" t="s">
        <v>27</v>
      </c>
      <c r="J393" s="9" t="s">
        <v>28</v>
      </c>
      <c r="K393" s="9" t="s">
        <v>83</v>
      </c>
      <c r="L393" s="9" t="s">
        <v>127</v>
      </c>
      <c r="M393" s="11">
        <v>13</v>
      </c>
      <c r="N393" s="11">
        <v>20</v>
      </c>
      <c r="O393" s="11">
        <v>15</v>
      </c>
      <c r="P393" s="11">
        <v>221</v>
      </c>
      <c r="Q393" s="11">
        <v>4</v>
      </c>
      <c r="R393" s="9" t="s">
        <v>31</v>
      </c>
      <c r="S393" s="9" t="s">
        <v>32</v>
      </c>
      <c r="T393" s="9" t="s">
        <v>51</v>
      </c>
      <c r="U393" s="9">
        <v>9673698825</v>
      </c>
      <c r="V393" s="9" t="s">
        <v>52</v>
      </c>
      <c r="W393" s="3"/>
      <c r="X393" s="3"/>
      <c r="Y393" s="3"/>
      <c r="Z393" s="3"/>
    </row>
    <row r="394" spans="1:26" ht="15" thickBot="1" x14ac:dyDescent="0.4">
      <c r="A394" s="4" t="s">
        <v>523</v>
      </c>
      <c r="B394" s="4" t="s">
        <v>134</v>
      </c>
      <c r="C394" s="4" t="s">
        <v>56</v>
      </c>
      <c r="D394" s="5">
        <v>45660</v>
      </c>
      <c r="E394" s="5">
        <v>45665</v>
      </c>
      <c r="F394" s="4" t="s">
        <v>135</v>
      </c>
      <c r="G394" s="4" t="s">
        <v>26</v>
      </c>
      <c r="H394" s="5">
        <v>33940</v>
      </c>
      <c r="I394" s="4" t="s">
        <v>37</v>
      </c>
      <c r="J394" s="4" t="s">
        <v>38</v>
      </c>
      <c r="K394" s="4" t="s">
        <v>39</v>
      </c>
      <c r="L394" s="4" t="s">
        <v>59</v>
      </c>
      <c r="M394" s="6">
        <v>12</v>
      </c>
      <c r="N394" s="6">
        <v>1200</v>
      </c>
      <c r="O394" s="6">
        <v>10</v>
      </c>
      <c r="P394" s="6">
        <v>12960</v>
      </c>
      <c r="Q394" s="6">
        <v>3</v>
      </c>
      <c r="R394" s="4" t="s">
        <v>41</v>
      </c>
      <c r="S394" s="4" t="s">
        <v>32</v>
      </c>
      <c r="T394" s="4" t="s">
        <v>136</v>
      </c>
      <c r="U394" s="4">
        <v>9706238784</v>
      </c>
      <c r="V394" s="4" t="s">
        <v>52</v>
      </c>
      <c r="W394" s="3"/>
      <c r="X394" s="3"/>
      <c r="Y394" s="3"/>
      <c r="Z394" s="3"/>
    </row>
    <row r="395" spans="1:26" ht="15" thickBot="1" x14ac:dyDescent="0.4">
      <c r="A395" s="9" t="s">
        <v>524</v>
      </c>
      <c r="B395" s="9" t="s">
        <v>72</v>
      </c>
      <c r="C395" s="9" t="s">
        <v>105</v>
      </c>
      <c r="D395" s="10">
        <v>45685</v>
      </c>
      <c r="E395" s="10">
        <v>45686</v>
      </c>
      <c r="F395" s="9" t="s">
        <v>73</v>
      </c>
      <c r="G395" s="9" t="s">
        <v>26</v>
      </c>
      <c r="H395" s="10">
        <v>35147</v>
      </c>
      <c r="I395" s="9" t="s">
        <v>147</v>
      </c>
      <c r="J395" s="9" t="s">
        <v>148</v>
      </c>
      <c r="K395" s="9" t="s">
        <v>29</v>
      </c>
      <c r="L395" s="9" t="s">
        <v>107</v>
      </c>
      <c r="M395" s="11">
        <v>6</v>
      </c>
      <c r="N395" s="11">
        <v>8500</v>
      </c>
      <c r="O395" s="11">
        <v>5</v>
      </c>
      <c r="P395" s="11">
        <v>48450</v>
      </c>
      <c r="Q395" s="11">
        <v>5</v>
      </c>
      <c r="R395" s="9" t="s">
        <v>31</v>
      </c>
      <c r="S395" s="9" t="s">
        <v>80</v>
      </c>
      <c r="T395" s="9" t="s">
        <v>93</v>
      </c>
      <c r="U395" s="9">
        <v>9132959877</v>
      </c>
      <c r="V395" s="9" t="s">
        <v>53</v>
      </c>
      <c r="W395" s="3"/>
      <c r="X395" s="3"/>
      <c r="Y395" s="3"/>
      <c r="Z395" s="3"/>
    </row>
    <row r="396" spans="1:26" ht="15" thickBot="1" x14ac:dyDescent="0.4">
      <c r="A396" s="4" t="s">
        <v>525</v>
      </c>
      <c r="B396" s="4" t="s">
        <v>23</v>
      </c>
      <c r="C396" s="4" t="s">
        <v>105</v>
      </c>
      <c r="D396" s="5">
        <v>46071</v>
      </c>
      <c r="E396" s="5">
        <v>46079</v>
      </c>
      <c r="F396" s="4" t="s">
        <v>25</v>
      </c>
      <c r="G396" s="4" t="s">
        <v>26</v>
      </c>
      <c r="H396" s="5">
        <v>34508</v>
      </c>
      <c r="I396" s="4" t="s">
        <v>91</v>
      </c>
      <c r="J396" s="4" t="s">
        <v>75</v>
      </c>
      <c r="K396" s="4" t="s">
        <v>29</v>
      </c>
      <c r="L396" s="4" t="s">
        <v>107</v>
      </c>
      <c r="M396" s="6">
        <v>15</v>
      </c>
      <c r="N396" s="6">
        <v>8500</v>
      </c>
      <c r="O396" s="6">
        <v>10</v>
      </c>
      <c r="P396" s="6">
        <v>114750</v>
      </c>
      <c r="Q396" s="6">
        <v>1</v>
      </c>
      <c r="R396" s="4" t="s">
        <v>31</v>
      </c>
      <c r="S396" s="4" t="s">
        <v>80</v>
      </c>
      <c r="T396" s="4" t="s">
        <v>43</v>
      </c>
      <c r="U396" s="4">
        <v>9295011645</v>
      </c>
      <c r="V396" s="8" t="s">
        <v>34</v>
      </c>
      <c r="W396" s="3"/>
      <c r="X396" s="3"/>
      <c r="Y396" s="3"/>
      <c r="Z396" s="3"/>
    </row>
    <row r="397" spans="1:26" ht="15" thickBot="1" x14ac:dyDescent="0.4">
      <c r="A397" s="9" t="s">
        <v>526</v>
      </c>
      <c r="B397" s="9" t="s">
        <v>87</v>
      </c>
      <c r="C397" s="9" t="s">
        <v>36</v>
      </c>
      <c r="D397" s="10">
        <v>45872</v>
      </c>
      <c r="E397" s="10">
        <v>45884</v>
      </c>
      <c r="F397" s="9" t="s">
        <v>88</v>
      </c>
      <c r="G397" s="9" t="s">
        <v>58</v>
      </c>
      <c r="H397" s="10">
        <v>29253</v>
      </c>
      <c r="I397" s="9" t="s">
        <v>27</v>
      </c>
      <c r="J397" s="9" t="s">
        <v>28</v>
      </c>
      <c r="K397" s="9" t="s">
        <v>39</v>
      </c>
      <c r="L397" s="9" t="s">
        <v>40</v>
      </c>
      <c r="M397" s="11">
        <v>19</v>
      </c>
      <c r="N397" s="11">
        <v>12000</v>
      </c>
      <c r="O397" s="11">
        <v>20</v>
      </c>
      <c r="P397" s="11">
        <v>182400</v>
      </c>
      <c r="Q397" s="11">
        <v>5</v>
      </c>
      <c r="R397" s="9" t="s">
        <v>31</v>
      </c>
      <c r="S397" s="9" t="s">
        <v>80</v>
      </c>
      <c r="T397" s="9" t="s">
        <v>89</v>
      </c>
      <c r="U397" s="9">
        <v>9677606427</v>
      </c>
      <c r="V397" s="12" t="s">
        <v>34</v>
      </c>
      <c r="W397" s="3"/>
      <c r="X397" s="3"/>
      <c r="Y397" s="3"/>
      <c r="Z397" s="3"/>
    </row>
    <row r="398" spans="1:26" ht="15" thickBot="1" x14ac:dyDescent="0.4">
      <c r="A398" s="4" t="s">
        <v>527</v>
      </c>
      <c r="B398" s="4" t="s">
        <v>63</v>
      </c>
      <c r="C398" s="4" t="s">
        <v>112</v>
      </c>
      <c r="D398" s="5">
        <v>45672</v>
      </c>
      <c r="E398" s="5">
        <v>45675</v>
      </c>
      <c r="F398" s="4" t="s">
        <v>110</v>
      </c>
      <c r="G398" s="4" t="s">
        <v>58</v>
      </c>
      <c r="H398" s="5">
        <v>33109</v>
      </c>
      <c r="I398" s="4" t="s">
        <v>37</v>
      </c>
      <c r="J398" s="4" t="s">
        <v>38</v>
      </c>
      <c r="K398" s="4" t="s">
        <v>39</v>
      </c>
      <c r="L398" s="4" t="s">
        <v>114</v>
      </c>
      <c r="M398" s="6">
        <v>5</v>
      </c>
      <c r="N398" s="6">
        <v>700</v>
      </c>
      <c r="O398" s="6">
        <v>0</v>
      </c>
      <c r="P398" s="6">
        <v>3500</v>
      </c>
      <c r="Q398" s="6">
        <v>2</v>
      </c>
      <c r="R398" s="4" t="s">
        <v>60</v>
      </c>
      <c r="S398" s="4" t="s">
        <v>50</v>
      </c>
      <c r="T398" s="4" t="s">
        <v>66</v>
      </c>
      <c r="U398" s="4">
        <v>9161631566</v>
      </c>
      <c r="V398" s="4" t="s">
        <v>53</v>
      </c>
      <c r="W398" s="3"/>
      <c r="X398" s="3"/>
      <c r="Y398" s="3"/>
      <c r="Z398" s="3"/>
    </row>
    <row r="399" spans="1:26" ht="15" thickBot="1" x14ac:dyDescent="0.4">
      <c r="A399" s="9" t="s">
        <v>528</v>
      </c>
      <c r="B399" s="9" t="s">
        <v>63</v>
      </c>
      <c r="C399" s="9" t="s">
        <v>36</v>
      </c>
      <c r="D399" s="10">
        <v>45688</v>
      </c>
      <c r="E399" s="10">
        <v>45692</v>
      </c>
      <c r="F399" s="9" t="s">
        <v>110</v>
      </c>
      <c r="G399" s="9" t="s">
        <v>58</v>
      </c>
      <c r="H399" s="10">
        <v>28834</v>
      </c>
      <c r="I399" s="9" t="s">
        <v>147</v>
      </c>
      <c r="J399" s="9" t="s">
        <v>148</v>
      </c>
      <c r="K399" s="9" t="s">
        <v>39</v>
      </c>
      <c r="L399" s="9" t="s">
        <v>40</v>
      </c>
      <c r="M399" s="11">
        <v>19</v>
      </c>
      <c r="N399" s="11">
        <v>12000</v>
      </c>
      <c r="O399" s="11">
        <v>0</v>
      </c>
      <c r="P399" s="11">
        <v>228000</v>
      </c>
      <c r="Q399" s="11">
        <v>4</v>
      </c>
      <c r="R399" s="9" t="s">
        <v>65</v>
      </c>
      <c r="S399" s="9" t="s">
        <v>50</v>
      </c>
      <c r="T399" s="9" t="s">
        <v>66</v>
      </c>
      <c r="U399" s="9">
        <v>9136906750</v>
      </c>
      <c r="V399" s="9" t="s">
        <v>52</v>
      </c>
      <c r="W399" s="3"/>
      <c r="X399" s="3"/>
      <c r="Y399" s="3"/>
      <c r="Z399" s="3"/>
    </row>
    <row r="400" spans="1:26" ht="15" thickBot="1" x14ac:dyDescent="0.4">
      <c r="A400" s="4" t="s">
        <v>529</v>
      </c>
      <c r="B400" s="4" t="s">
        <v>156</v>
      </c>
      <c r="C400" s="4" t="s">
        <v>112</v>
      </c>
      <c r="D400" s="4"/>
      <c r="E400" s="5">
        <v>45964</v>
      </c>
      <c r="F400" s="4" t="s">
        <v>106</v>
      </c>
      <c r="G400" s="4" t="s">
        <v>58</v>
      </c>
      <c r="H400" s="5">
        <v>29099</v>
      </c>
      <c r="I400" s="4" t="s">
        <v>48</v>
      </c>
      <c r="J400" s="4" t="s">
        <v>28</v>
      </c>
      <c r="K400" s="4" t="s">
        <v>39</v>
      </c>
      <c r="L400" s="4" t="s">
        <v>114</v>
      </c>
      <c r="M400" s="6">
        <v>12</v>
      </c>
      <c r="N400" s="6">
        <v>700</v>
      </c>
      <c r="O400" s="6">
        <v>15</v>
      </c>
      <c r="P400" s="6">
        <v>7140</v>
      </c>
      <c r="Q400" s="6">
        <v>3</v>
      </c>
      <c r="R400" s="4" t="s">
        <v>60</v>
      </c>
      <c r="S400" s="4" t="s">
        <v>32</v>
      </c>
      <c r="T400" s="4" t="s">
        <v>158</v>
      </c>
      <c r="U400" s="4">
        <v>9485286324</v>
      </c>
      <c r="V400" s="8" t="s">
        <v>34</v>
      </c>
      <c r="W400" s="3"/>
      <c r="X400" s="3"/>
      <c r="Y400" s="3"/>
      <c r="Z400" s="3"/>
    </row>
    <row r="401" spans="1:26" ht="15" thickBot="1" x14ac:dyDescent="0.4">
      <c r="A401" s="9" t="s">
        <v>530</v>
      </c>
      <c r="B401" s="9" t="s">
        <v>23</v>
      </c>
      <c r="C401" s="9" t="s">
        <v>56</v>
      </c>
      <c r="D401" s="10">
        <v>45790</v>
      </c>
      <c r="E401" s="10">
        <v>45798</v>
      </c>
      <c r="F401" s="9" t="s">
        <v>25</v>
      </c>
      <c r="G401" s="9" t="s">
        <v>26</v>
      </c>
      <c r="H401" s="10">
        <v>36989</v>
      </c>
      <c r="I401" s="9" t="s">
        <v>37</v>
      </c>
      <c r="J401" s="9" t="s">
        <v>38</v>
      </c>
      <c r="K401" s="9" t="s">
        <v>39</v>
      </c>
      <c r="L401" s="9" t="s">
        <v>59</v>
      </c>
      <c r="M401" s="11">
        <v>16</v>
      </c>
      <c r="N401" s="11">
        <v>1200</v>
      </c>
      <c r="O401" s="11">
        <v>20</v>
      </c>
      <c r="P401" s="11">
        <v>15360</v>
      </c>
      <c r="Q401" s="11">
        <v>1</v>
      </c>
      <c r="R401" s="9" t="s">
        <v>31</v>
      </c>
      <c r="S401" s="9" t="s">
        <v>42</v>
      </c>
      <c r="T401" s="9" t="s">
        <v>43</v>
      </c>
      <c r="U401" s="9">
        <v>9414633966</v>
      </c>
      <c r="V401" s="9" t="s">
        <v>52</v>
      </c>
      <c r="W401" s="3"/>
      <c r="X401" s="3"/>
      <c r="Y401" s="3"/>
      <c r="Z401" s="3"/>
    </row>
    <row r="402" spans="1:26" ht="15" thickBot="1" x14ac:dyDescent="0.4">
      <c r="A402" s="4" t="s">
        <v>531</v>
      </c>
      <c r="B402" s="4" t="s">
        <v>55</v>
      </c>
      <c r="C402" s="4" t="s">
        <v>105</v>
      </c>
      <c r="D402" s="5">
        <v>46018</v>
      </c>
      <c r="E402" s="5">
        <v>46026</v>
      </c>
      <c r="F402" s="4" t="s">
        <v>57</v>
      </c>
      <c r="G402" s="4" t="s">
        <v>58</v>
      </c>
      <c r="H402" s="5">
        <v>30317</v>
      </c>
      <c r="I402" s="4" t="s">
        <v>27</v>
      </c>
      <c r="J402" s="4" t="s">
        <v>28</v>
      </c>
      <c r="K402" s="4" t="s">
        <v>29</v>
      </c>
      <c r="L402" s="4" t="s">
        <v>107</v>
      </c>
      <c r="M402" s="6">
        <v>10</v>
      </c>
      <c r="N402" s="6">
        <v>8500</v>
      </c>
      <c r="O402" s="6">
        <v>5</v>
      </c>
      <c r="P402" s="6">
        <v>80750</v>
      </c>
      <c r="Q402" s="6">
        <v>5</v>
      </c>
      <c r="R402" s="4" t="s">
        <v>41</v>
      </c>
      <c r="S402" s="4" t="s">
        <v>32</v>
      </c>
      <c r="T402" s="4" t="s">
        <v>61</v>
      </c>
      <c r="U402" s="4">
        <v>9833735234</v>
      </c>
      <c r="V402" s="8" t="s">
        <v>34</v>
      </c>
      <c r="W402" s="3"/>
      <c r="X402" s="3"/>
      <c r="Y402" s="3"/>
      <c r="Z402" s="3"/>
    </row>
    <row r="403" spans="1:26" ht="15" thickBot="1" x14ac:dyDescent="0.4">
      <c r="A403" s="9" t="s">
        <v>532</v>
      </c>
      <c r="B403" s="9" t="s">
        <v>23</v>
      </c>
      <c r="C403" s="9" t="s">
        <v>125</v>
      </c>
      <c r="D403" s="10">
        <v>45699</v>
      </c>
      <c r="E403" s="10">
        <v>45709</v>
      </c>
      <c r="F403" s="9" t="s">
        <v>25</v>
      </c>
      <c r="G403" s="9" t="s">
        <v>26</v>
      </c>
      <c r="H403" s="10">
        <v>32729</v>
      </c>
      <c r="I403" s="9" t="s">
        <v>91</v>
      </c>
      <c r="J403" s="9" t="s">
        <v>75</v>
      </c>
      <c r="K403" s="9" t="s">
        <v>83</v>
      </c>
      <c r="L403" s="9" t="s">
        <v>127</v>
      </c>
      <c r="M403" s="11">
        <v>18</v>
      </c>
      <c r="N403" s="11">
        <v>20</v>
      </c>
      <c r="O403" s="11">
        <v>20</v>
      </c>
      <c r="P403" s="11">
        <v>288</v>
      </c>
      <c r="Q403" s="11">
        <v>1</v>
      </c>
      <c r="R403" s="9" t="s">
        <v>65</v>
      </c>
      <c r="S403" s="9" t="s">
        <v>32</v>
      </c>
      <c r="T403" s="9" t="s">
        <v>43</v>
      </c>
      <c r="U403" s="9">
        <v>9523689108</v>
      </c>
      <c r="V403" s="9" t="s">
        <v>52</v>
      </c>
      <c r="W403" s="3"/>
      <c r="X403" s="3"/>
      <c r="Y403" s="3"/>
      <c r="Z403" s="3"/>
    </row>
    <row r="404" spans="1:26" ht="15" thickBot="1" x14ac:dyDescent="0.4">
      <c r="A404" s="4" t="s">
        <v>533</v>
      </c>
      <c r="B404" s="4" t="s">
        <v>55</v>
      </c>
      <c r="C404" s="4" t="s">
        <v>105</v>
      </c>
      <c r="D404" s="5">
        <v>46094</v>
      </c>
      <c r="E404" s="5">
        <v>46100</v>
      </c>
      <c r="F404" s="4" t="s">
        <v>57</v>
      </c>
      <c r="G404" s="4" t="s">
        <v>58</v>
      </c>
      <c r="H404" s="5">
        <v>34264</v>
      </c>
      <c r="I404" s="4" t="s">
        <v>74</v>
      </c>
      <c r="J404" s="4" t="s">
        <v>75</v>
      </c>
      <c r="K404" s="4" t="s">
        <v>29</v>
      </c>
      <c r="L404" s="4" t="s">
        <v>107</v>
      </c>
      <c r="M404" s="6">
        <v>9</v>
      </c>
      <c r="N404" s="6">
        <v>8500</v>
      </c>
      <c r="O404" s="6">
        <v>0</v>
      </c>
      <c r="P404" s="6">
        <v>76500</v>
      </c>
      <c r="Q404" s="6">
        <v>2</v>
      </c>
      <c r="R404" s="4" t="s">
        <v>60</v>
      </c>
      <c r="S404" s="4" t="s">
        <v>32</v>
      </c>
      <c r="T404" s="4" t="s">
        <v>61</v>
      </c>
      <c r="U404" s="4">
        <v>9812909831</v>
      </c>
      <c r="V404" s="4" t="s">
        <v>52</v>
      </c>
      <c r="W404" s="3"/>
      <c r="X404" s="3"/>
      <c r="Y404" s="3"/>
      <c r="Z404" s="3"/>
    </row>
    <row r="405" spans="1:26" ht="15" thickBot="1" x14ac:dyDescent="0.4">
      <c r="A405" s="9" t="s">
        <v>534</v>
      </c>
      <c r="B405" s="9" t="s">
        <v>23</v>
      </c>
      <c r="C405" s="9" t="s">
        <v>105</v>
      </c>
      <c r="D405" s="10">
        <v>45931</v>
      </c>
      <c r="E405" s="10">
        <v>45942</v>
      </c>
      <c r="F405" s="9" t="s">
        <v>25</v>
      </c>
      <c r="G405" s="9" t="s">
        <v>26</v>
      </c>
      <c r="H405" s="10">
        <v>36651</v>
      </c>
      <c r="I405" s="9" t="s">
        <v>74</v>
      </c>
      <c r="J405" s="9" t="s">
        <v>75</v>
      </c>
      <c r="K405" s="9" t="s">
        <v>29</v>
      </c>
      <c r="L405" s="9" t="s">
        <v>107</v>
      </c>
      <c r="M405" s="11">
        <v>8</v>
      </c>
      <c r="N405" s="11">
        <v>8500</v>
      </c>
      <c r="O405" s="11">
        <v>10</v>
      </c>
      <c r="P405" s="11">
        <v>61200</v>
      </c>
      <c r="Q405" s="11">
        <v>4</v>
      </c>
      <c r="R405" s="9" t="s">
        <v>31</v>
      </c>
      <c r="S405" s="9" t="s">
        <v>80</v>
      </c>
      <c r="T405" s="9" t="s">
        <v>43</v>
      </c>
      <c r="U405" s="9">
        <v>9106290987</v>
      </c>
      <c r="V405" s="9" t="s">
        <v>53</v>
      </c>
      <c r="W405" s="3"/>
      <c r="X405" s="3"/>
      <c r="Y405" s="3"/>
      <c r="Z405" s="3"/>
    </row>
    <row r="406" spans="1:26" ht="15" thickBot="1" x14ac:dyDescent="0.4">
      <c r="A406" s="4" t="s">
        <v>535</v>
      </c>
      <c r="B406" s="4" t="s">
        <v>45</v>
      </c>
      <c r="C406" s="4" t="s">
        <v>125</v>
      </c>
      <c r="D406" s="5">
        <v>46048</v>
      </c>
      <c r="E406" s="5">
        <v>46054</v>
      </c>
      <c r="F406" s="4" t="s">
        <v>101</v>
      </c>
      <c r="G406" s="4" t="s">
        <v>26</v>
      </c>
      <c r="H406" s="5">
        <v>30730</v>
      </c>
      <c r="I406" s="4" t="s">
        <v>79</v>
      </c>
      <c r="J406" s="4" t="s">
        <v>75</v>
      </c>
      <c r="K406" s="4" t="s">
        <v>83</v>
      </c>
      <c r="L406" s="4" t="s">
        <v>127</v>
      </c>
      <c r="M406" s="6">
        <v>3</v>
      </c>
      <c r="N406" s="6">
        <v>20</v>
      </c>
      <c r="O406" s="6">
        <v>10</v>
      </c>
      <c r="P406" s="6">
        <v>54</v>
      </c>
      <c r="Q406" s="6">
        <v>3</v>
      </c>
      <c r="R406" s="4" t="s">
        <v>60</v>
      </c>
      <c r="S406" s="4" t="s">
        <v>96</v>
      </c>
      <c r="T406" s="4" t="s">
        <v>51</v>
      </c>
      <c r="U406" s="4">
        <v>9767727724</v>
      </c>
      <c r="V406" s="4" t="s">
        <v>52</v>
      </c>
      <c r="W406" s="3"/>
      <c r="X406" s="3"/>
      <c r="Y406" s="3"/>
      <c r="Z406" s="3"/>
    </row>
    <row r="407" spans="1:26" ht="15" thickBot="1" x14ac:dyDescent="0.4">
      <c r="A407" s="9" t="s">
        <v>536</v>
      </c>
      <c r="B407" s="9" t="s">
        <v>104</v>
      </c>
      <c r="C407" s="9" t="s">
        <v>105</v>
      </c>
      <c r="D407" s="10">
        <v>45840</v>
      </c>
      <c r="E407" s="10">
        <v>45850</v>
      </c>
      <c r="F407" s="9" t="s">
        <v>166</v>
      </c>
      <c r="G407" s="9" t="s">
        <v>26</v>
      </c>
      <c r="H407" s="10">
        <v>33402</v>
      </c>
      <c r="I407" s="9" t="s">
        <v>147</v>
      </c>
      <c r="J407" s="9" t="s">
        <v>148</v>
      </c>
      <c r="K407" s="9" t="s">
        <v>29</v>
      </c>
      <c r="L407" s="9" t="s">
        <v>107</v>
      </c>
      <c r="M407" s="11">
        <v>18</v>
      </c>
      <c r="N407" s="11">
        <v>8500</v>
      </c>
      <c r="O407" s="11">
        <v>10</v>
      </c>
      <c r="P407" s="11">
        <v>137700</v>
      </c>
      <c r="Q407" s="11">
        <v>4</v>
      </c>
      <c r="R407" s="9" t="s">
        <v>31</v>
      </c>
      <c r="S407" s="9" t="s">
        <v>42</v>
      </c>
      <c r="T407" s="9" t="s">
        <v>108</v>
      </c>
      <c r="U407" s="9">
        <v>9865401727</v>
      </c>
      <c r="V407" s="9" t="s">
        <v>53</v>
      </c>
      <c r="W407" s="3"/>
      <c r="X407" s="3"/>
      <c r="Y407" s="3"/>
      <c r="Z407" s="3"/>
    </row>
    <row r="408" spans="1:26" ht="15" thickBot="1" x14ac:dyDescent="0.4">
      <c r="A408" s="4" t="s">
        <v>537</v>
      </c>
      <c r="B408" s="4" t="s">
        <v>45</v>
      </c>
      <c r="C408" s="4" t="s">
        <v>138</v>
      </c>
      <c r="D408" s="5">
        <v>45935</v>
      </c>
      <c r="E408" s="5">
        <v>45939</v>
      </c>
      <c r="F408" s="4" t="s">
        <v>101</v>
      </c>
      <c r="G408" s="4" t="s">
        <v>26</v>
      </c>
      <c r="H408" s="5">
        <v>35204</v>
      </c>
      <c r="I408" s="4" t="s">
        <v>79</v>
      </c>
      <c r="J408" s="4" t="s">
        <v>75</v>
      </c>
      <c r="K408" s="4" t="s">
        <v>83</v>
      </c>
      <c r="L408" s="4" t="s">
        <v>139</v>
      </c>
      <c r="M408" s="6">
        <v>5</v>
      </c>
      <c r="N408" s="6">
        <v>45</v>
      </c>
      <c r="O408" s="6">
        <v>10</v>
      </c>
      <c r="P408" s="6">
        <v>202.5</v>
      </c>
      <c r="Q408" s="6">
        <v>3</v>
      </c>
      <c r="R408" s="4" t="s">
        <v>31</v>
      </c>
      <c r="S408" s="4" t="s">
        <v>80</v>
      </c>
      <c r="T408" s="4" t="s">
        <v>51</v>
      </c>
      <c r="U408" s="4">
        <v>9603848571</v>
      </c>
      <c r="V408" s="4" t="s">
        <v>52</v>
      </c>
      <c r="W408" s="3"/>
      <c r="X408" s="3"/>
      <c r="Y408" s="3"/>
      <c r="Z408" s="3"/>
    </row>
    <row r="409" spans="1:26" ht="15" thickBot="1" x14ac:dyDescent="0.4">
      <c r="A409" s="9" t="s">
        <v>538</v>
      </c>
      <c r="B409" s="9" t="s">
        <v>55</v>
      </c>
      <c r="C409" s="9" t="s">
        <v>138</v>
      </c>
      <c r="D409" s="10">
        <v>45807</v>
      </c>
      <c r="E409" s="10">
        <v>45810</v>
      </c>
      <c r="F409" s="9" t="s">
        <v>57</v>
      </c>
      <c r="G409" s="9" t="s">
        <v>58</v>
      </c>
      <c r="H409" s="10">
        <v>33747</v>
      </c>
      <c r="I409" s="9" t="s">
        <v>74</v>
      </c>
      <c r="J409" s="9" t="s">
        <v>75</v>
      </c>
      <c r="K409" s="9" t="s">
        <v>83</v>
      </c>
      <c r="L409" s="9" t="s">
        <v>139</v>
      </c>
      <c r="M409" s="11">
        <v>2</v>
      </c>
      <c r="N409" s="11">
        <v>45</v>
      </c>
      <c r="O409" s="11">
        <v>20</v>
      </c>
      <c r="P409" s="11">
        <v>72</v>
      </c>
      <c r="Q409" s="11">
        <v>5</v>
      </c>
      <c r="R409" s="9" t="s">
        <v>65</v>
      </c>
      <c r="S409" s="9" t="s">
        <v>50</v>
      </c>
      <c r="T409" s="9" t="s">
        <v>61</v>
      </c>
      <c r="U409" s="9">
        <v>9101231789</v>
      </c>
      <c r="V409" s="9" t="s">
        <v>53</v>
      </c>
      <c r="W409" s="3"/>
      <c r="X409" s="3"/>
      <c r="Y409" s="3"/>
      <c r="Z409" s="3"/>
    </row>
    <row r="410" spans="1:26" ht="15" thickBot="1" x14ac:dyDescent="0.4">
      <c r="A410" s="4" t="s">
        <v>539</v>
      </c>
      <c r="B410" s="4" t="s">
        <v>72</v>
      </c>
      <c r="C410" s="4" t="s">
        <v>138</v>
      </c>
      <c r="D410" s="5">
        <v>45684</v>
      </c>
      <c r="E410" s="5">
        <v>45694</v>
      </c>
      <c r="F410" s="4" t="s">
        <v>73</v>
      </c>
      <c r="G410" s="4" t="s">
        <v>26</v>
      </c>
      <c r="H410" s="5">
        <v>32309</v>
      </c>
      <c r="I410" s="4" t="s">
        <v>27</v>
      </c>
      <c r="J410" s="4" t="s">
        <v>28</v>
      </c>
      <c r="K410" s="4" t="s">
        <v>83</v>
      </c>
      <c r="L410" s="4" t="s">
        <v>139</v>
      </c>
      <c r="M410" s="6">
        <v>18</v>
      </c>
      <c r="N410" s="6">
        <v>45</v>
      </c>
      <c r="O410" s="6">
        <v>10</v>
      </c>
      <c r="P410" s="6">
        <v>729</v>
      </c>
      <c r="Q410" s="6">
        <v>2</v>
      </c>
      <c r="R410" s="4" t="s">
        <v>41</v>
      </c>
      <c r="S410" s="4" t="s">
        <v>80</v>
      </c>
      <c r="T410" s="4" t="s">
        <v>93</v>
      </c>
      <c r="U410" s="4">
        <v>9485017802</v>
      </c>
      <c r="V410" s="4" t="s">
        <v>52</v>
      </c>
      <c r="W410" s="3"/>
      <c r="X410" s="3"/>
      <c r="Y410" s="3"/>
      <c r="Z410" s="3"/>
    </row>
    <row r="411" spans="1:26" ht="15" thickBot="1" x14ac:dyDescent="0.4">
      <c r="A411" s="9" t="s">
        <v>540</v>
      </c>
      <c r="B411" s="9" t="s">
        <v>87</v>
      </c>
      <c r="C411" s="9" t="s">
        <v>56</v>
      </c>
      <c r="D411" s="10">
        <v>46015</v>
      </c>
      <c r="E411" s="10">
        <v>46023</v>
      </c>
      <c r="F411" s="9" t="s">
        <v>88</v>
      </c>
      <c r="G411" s="9" t="s">
        <v>58</v>
      </c>
      <c r="H411" s="10">
        <v>34172</v>
      </c>
      <c r="I411" s="9" t="s">
        <v>147</v>
      </c>
      <c r="J411" s="9" t="s">
        <v>148</v>
      </c>
      <c r="K411" s="9" t="s">
        <v>39</v>
      </c>
      <c r="L411" s="9" t="s">
        <v>59</v>
      </c>
      <c r="M411" s="11">
        <v>13</v>
      </c>
      <c r="N411" s="11">
        <v>1200</v>
      </c>
      <c r="O411" s="11">
        <v>5</v>
      </c>
      <c r="P411" s="11">
        <v>14820</v>
      </c>
      <c r="Q411" s="11">
        <v>4</v>
      </c>
      <c r="R411" s="9" t="s">
        <v>60</v>
      </c>
      <c r="S411" s="9" t="s">
        <v>80</v>
      </c>
      <c r="T411" s="9" t="s">
        <v>89</v>
      </c>
      <c r="U411" s="9">
        <v>9815464650</v>
      </c>
      <c r="V411" s="12" t="s">
        <v>34</v>
      </c>
      <c r="W411" s="3"/>
      <c r="X411" s="3"/>
      <c r="Y411" s="3"/>
      <c r="Z411" s="3"/>
    </row>
    <row r="412" spans="1:26" ht="15" thickBot="1" x14ac:dyDescent="0.4">
      <c r="A412" s="4" t="s">
        <v>541</v>
      </c>
      <c r="B412" s="4" t="s">
        <v>23</v>
      </c>
      <c r="C412" s="4" t="s">
        <v>125</v>
      </c>
      <c r="D412" s="5">
        <v>46153</v>
      </c>
      <c r="E412" s="5">
        <v>46159</v>
      </c>
      <c r="F412" s="4" t="s">
        <v>25</v>
      </c>
      <c r="G412" s="4" t="s">
        <v>26</v>
      </c>
      <c r="H412" s="5">
        <v>38020</v>
      </c>
      <c r="I412" s="4" t="s">
        <v>27</v>
      </c>
      <c r="J412" s="4" t="s">
        <v>28</v>
      </c>
      <c r="K412" s="4" t="s">
        <v>83</v>
      </c>
      <c r="L412" s="4" t="s">
        <v>127</v>
      </c>
      <c r="M412" s="6">
        <v>14</v>
      </c>
      <c r="N412" s="6">
        <v>20</v>
      </c>
      <c r="O412" s="6">
        <v>20</v>
      </c>
      <c r="P412" s="6">
        <v>224</v>
      </c>
      <c r="Q412" s="6">
        <v>5</v>
      </c>
      <c r="R412" s="4" t="s">
        <v>65</v>
      </c>
      <c r="S412" s="4" t="s">
        <v>42</v>
      </c>
      <c r="T412" s="4" t="s">
        <v>43</v>
      </c>
      <c r="U412" s="4">
        <v>9860715839</v>
      </c>
      <c r="V412" s="4" t="s">
        <v>52</v>
      </c>
      <c r="W412" s="3"/>
      <c r="X412" s="3"/>
      <c r="Y412" s="3"/>
      <c r="Z412" s="3"/>
    </row>
    <row r="413" spans="1:26" ht="15" thickBot="1" x14ac:dyDescent="0.4">
      <c r="A413" s="9" t="s">
        <v>542</v>
      </c>
      <c r="B413" s="9" t="s">
        <v>72</v>
      </c>
      <c r="C413" s="9" t="s">
        <v>68</v>
      </c>
      <c r="D413" s="10">
        <v>46064</v>
      </c>
      <c r="E413" s="10">
        <v>46076</v>
      </c>
      <c r="F413" s="9" t="s">
        <v>73</v>
      </c>
      <c r="G413" s="9" t="s">
        <v>26</v>
      </c>
      <c r="H413" s="10">
        <v>28847</v>
      </c>
      <c r="I413" s="9" t="s">
        <v>27</v>
      </c>
      <c r="J413" s="9" t="s">
        <v>28</v>
      </c>
      <c r="K413" s="9" t="s">
        <v>29</v>
      </c>
      <c r="L413" s="9" t="s">
        <v>70</v>
      </c>
      <c r="M413" s="11">
        <v>16</v>
      </c>
      <c r="N413" s="11">
        <v>3500</v>
      </c>
      <c r="O413" s="11">
        <v>15</v>
      </c>
      <c r="P413" s="11">
        <v>47600</v>
      </c>
      <c r="Q413" s="11">
        <v>3</v>
      </c>
      <c r="R413" s="9" t="s">
        <v>65</v>
      </c>
      <c r="S413" s="9" t="s">
        <v>50</v>
      </c>
      <c r="T413" s="9" t="s">
        <v>93</v>
      </c>
      <c r="U413" s="9">
        <v>9207561051</v>
      </c>
      <c r="V413" s="9" t="s">
        <v>53</v>
      </c>
      <c r="W413" s="3"/>
      <c r="X413" s="3"/>
      <c r="Y413" s="3"/>
      <c r="Z413" s="3"/>
    </row>
    <row r="414" spans="1:26" ht="15" thickBot="1" x14ac:dyDescent="0.4">
      <c r="A414" s="4" t="s">
        <v>543</v>
      </c>
      <c r="B414" s="4" t="s">
        <v>134</v>
      </c>
      <c r="C414" s="4" t="s">
        <v>125</v>
      </c>
      <c r="D414" s="5">
        <v>45704</v>
      </c>
      <c r="E414" s="5">
        <v>45712</v>
      </c>
      <c r="F414" s="4" t="s">
        <v>135</v>
      </c>
      <c r="G414" s="4" t="s">
        <v>26</v>
      </c>
      <c r="H414" s="5">
        <v>34257</v>
      </c>
      <c r="I414" s="4" t="s">
        <v>48</v>
      </c>
      <c r="J414" s="4" t="s">
        <v>28</v>
      </c>
      <c r="K414" s="4" t="s">
        <v>83</v>
      </c>
      <c r="L414" s="4" t="s">
        <v>127</v>
      </c>
      <c r="M414" s="6">
        <v>20</v>
      </c>
      <c r="N414" s="6">
        <v>20</v>
      </c>
      <c r="O414" s="6">
        <v>15</v>
      </c>
      <c r="P414" s="6">
        <v>340</v>
      </c>
      <c r="Q414" s="6">
        <v>1</v>
      </c>
      <c r="R414" s="4" t="s">
        <v>41</v>
      </c>
      <c r="S414" s="4" t="s">
        <v>50</v>
      </c>
      <c r="T414" s="4" t="s">
        <v>136</v>
      </c>
      <c r="U414" s="4">
        <v>9159894508</v>
      </c>
      <c r="V414" s="4" t="s">
        <v>53</v>
      </c>
      <c r="W414" s="3"/>
      <c r="X414" s="3"/>
      <c r="Y414" s="3"/>
      <c r="Z414" s="3"/>
    </row>
    <row r="415" spans="1:26" ht="15" thickBot="1" x14ac:dyDescent="0.4">
      <c r="A415" s="9" t="s">
        <v>544</v>
      </c>
      <c r="B415" s="9" t="s">
        <v>104</v>
      </c>
      <c r="C415" s="9" t="s">
        <v>46</v>
      </c>
      <c r="D415" s="10">
        <v>45756</v>
      </c>
      <c r="E415" s="10">
        <v>45761</v>
      </c>
      <c r="F415" s="9" t="s">
        <v>166</v>
      </c>
      <c r="G415" s="9" t="s">
        <v>26</v>
      </c>
      <c r="H415" s="10">
        <v>29201</v>
      </c>
      <c r="I415" s="9" t="s">
        <v>91</v>
      </c>
      <c r="J415" s="9" t="s">
        <v>75</v>
      </c>
      <c r="K415" s="9" t="s">
        <v>39</v>
      </c>
      <c r="L415" s="9" t="s">
        <v>49</v>
      </c>
      <c r="M415" s="11">
        <v>1</v>
      </c>
      <c r="N415" s="11">
        <v>55000</v>
      </c>
      <c r="O415" s="11">
        <v>15</v>
      </c>
      <c r="P415" s="11">
        <v>46750</v>
      </c>
      <c r="Q415" s="11">
        <v>2</v>
      </c>
      <c r="R415" s="9" t="s">
        <v>65</v>
      </c>
      <c r="S415" s="9" t="s">
        <v>80</v>
      </c>
      <c r="T415" s="9" t="s">
        <v>108</v>
      </c>
      <c r="U415" s="9">
        <v>9531465024</v>
      </c>
      <c r="V415" s="9" t="s">
        <v>53</v>
      </c>
      <c r="W415" s="3"/>
      <c r="X415" s="3"/>
      <c r="Y415" s="3"/>
      <c r="Z415" s="3"/>
    </row>
    <row r="416" spans="1:26" ht="15" thickBot="1" x14ac:dyDescent="0.4">
      <c r="A416" s="4" t="s">
        <v>545</v>
      </c>
      <c r="B416" s="4" t="s">
        <v>72</v>
      </c>
      <c r="C416" s="4" t="s">
        <v>82</v>
      </c>
      <c r="D416" s="5">
        <v>45672</v>
      </c>
      <c r="E416" s="5">
        <v>45677</v>
      </c>
      <c r="F416" s="4" t="s">
        <v>73</v>
      </c>
      <c r="G416" s="4" t="s">
        <v>26</v>
      </c>
      <c r="H416" s="5">
        <v>37400</v>
      </c>
      <c r="I416" s="4" t="s">
        <v>91</v>
      </c>
      <c r="J416" s="4" t="s">
        <v>75</v>
      </c>
      <c r="K416" s="4" t="s">
        <v>83</v>
      </c>
      <c r="L416" s="4" t="s">
        <v>84</v>
      </c>
      <c r="M416" s="6">
        <v>15</v>
      </c>
      <c r="N416" s="6">
        <v>60</v>
      </c>
      <c r="O416" s="6">
        <v>5</v>
      </c>
      <c r="P416" s="6">
        <v>855</v>
      </c>
      <c r="Q416" s="6">
        <v>4</v>
      </c>
      <c r="R416" s="4" t="s">
        <v>41</v>
      </c>
      <c r="S416" s="4" t="s">
        <v>50</v>
      </c>
      <c r="T416" s="4" t="s">
        <v>93</v>
      </c>
      <c r="U416" s="4">
        <v>9158813608</v>
      </c>
      <c r="V416" s="8" t="s">
        <v>34</v>
      </c>
      <c r="W416" s="3"/>
      <c r="X416" s="3"/>
      <c r="Y416" s="3"/>
      <c r="Z416" s="3"/>
    </row>
    <row r="417" spans="1:26" ht="15" thickBot="1" x14ac:dyDescent="0.4">
      <c r="A417" s="9" t="s">
        <v>546</v>
      </c>
      <c r="B417" s="9" t="s">
        <v>63</v>
      </c>
      <c r="C417" s="9" t="s">
        <v>112</v>
      </c>
      <c r="D417" s="10">
        <v>46108</v>
      </c>
      <c r="E417" s="10">
        <v>46114</v>
      </c>
      <c r="F417" s="9" t="s">
        <v>110</v>
      </c>
      <c r="G417" s="9" t="s">
        <v>58</v>
      </c>
      <c r="H417" s="10">
        <v>27828</v>
      </c>
      <c r="I417" s="9" t="s">
        <v>74</v>
      </c>
      <c r="J417" s="9" t="s">
        <v>75</v>
      </c>
      <c r="K417" s="9" t="s">
        <v>39</v>
      </c>
      <c r="L417" s="9" t="s">
        <v>114</v>
      </c>
      <c r="M417" s="11">
        <v>15</v>
      </c>
      <c r="N417" s="11">
        <v>700</v>
      </c>
      <c r="O417" s="11">
        <v>0</v>
      </c>
      <c r="P417" s="11">
        <v>10500</v>
      </c>
      <c r="Q417" s="11">
        <v>5</v>
      </c>
      <c r="R417" s="9" t="s">
        <v>41</v>
      </c>
      <c r="S417" s="9" t="s">
        <v>80</v>
      </c>
      <c r="T417" s="9" t="s">
        <v>66</v>
      </c>
      <c r="U417" s="9">
        <v>9308461700</v>
      </c>
      <c r="V417" s="12" t="s">
        <v>34</v>
      </c>
      <c r="W417" s="3"/>
      <c r="X417" s="3"/>
      <c r="Y417" s="3"/>
      <c r="Z417" s="3"/>
    </row>
    <row r="418" spans="1:26" ht="15" thickBot="1" x14ac:dyDescent="0.4">
      <c r="A418" s="4" t="s">
        <v>547</v>
      </c>
      <c r="B418" s="4" t="s">
        <v>124</v>
      </c>
      <c r="C418" s="4" t="s">
        <v>36</v>
      </c>
      <c r="D418" s="5">
        <v>46027</v>
      </c>
      <c r="E418" s="5">
        <v>46031</v>
      </c>
      <c r="F418" s="4" t="s">
        <v>126</v>
      </c>
      <c r="G418" s="4" t="s">
        <v>58</v>
      </c>
      <c r="H418" s="5">
        <v>29484</v>
      </c>
      <c r="I418" s="4" t="s">
        <v>147</v>
      </c>
      <c r="J418" s="4" t="s">
        <v>148</v>
      </c>
      <c r="K418" s="4" t="s">
        <v>39</v>
      </c>
      <c r="L418" s="4" t="s">
        <v>40</v>
      </c>
      <c r="M418" s="6">
        <v>13</v>
      </c>
      <c r="N418" s="6">
        <v>12000</v>
      </c>
      <c r="O418" s="6">
        <v>10</v>
      </c>
      <c r="P418" s="6">
        <v>140400</v>
      </c>
      <c r="Q418" s="6">
        <v>1</v>
      </c>
      <c r="R418" s="4" t="s">
        <v>31</v>
      </c>
      <c r="S418" s="4" t="s">
        <v>96</v>
      </c>
      <c r="T418" s="4" t="s">
        <v>128</v>
      </c>
      <c r="U418" s="4">
        <v>9882279049</v>
      </c>
      <c r="V418" s="4" t="s">
        <v>53</v>
      </c>
      <c r="W418" s="3"/>
      <c r="X418" s="3"/>
      <c r="Y418" s="3"/>
      <c r="Z418" s="3"/>
    </row>
    <row r="419" spans="1:26" ht="15" thickBot="1" x14ac:dyDescent="0.4">
      <c r="A419" s="9" t="s">
        <v>548</v>
      </c>
      <c r="B419" s="9" t="s">
        <v>63</v>
      </c>
      <c r="C419" s="9" t="s">
        <v>36</v>
      </c>
      <c r="D419" s="10">
        <v>46129</v>
      </c>
      <c r="E419" s="10">
        <v>46141</v>
      </c>
      <c r="F419" s="9" t="s">
        <v>110</v>
      </c>
      <c r="G419" s="9" t="s">
        <v>58</v>
      </c>
      <c r="H419" s="10">
        <v>32318</v>
      </c>
      <c r="I419" s="9" t="s">
        <v>27</v>
      </c>
      <c r="J419" s="9" t="s">
        <v>28</v>
      </c>
      <c r="K419" s="9" t="s">
        <v>39</v>
      </c>
      <c r="L419" s="9" t="s">
        <v>40</v>
      </c>
      <c r="M419" s="11">
        <v>12</v>
      </c>
      <c r="N419" s="11">
        <v>12000</v>
      </c>
      <c r="O419" s="11">
        <v>20</v>
      </c>
      <c r="P419" s="11">
        <v>115200</v>
      </c>
      <c r="Q419" s="11">
        <v>2</v>
      </c>
      <c r="R419" s="9" t="s">
        <v>31</v>
      </c>
      <c r="S419" s="9" t="s">
        <v>32</v>
      </c>
      <c r="T419" s="9" t="s">
        <v>66</v>
      </c>
      <c r="U419" s="9">
        <v>9961801338</v>
      </c>
      <c r="V419" s="12" t="s">
        <v>34</v>
      </c>
      <c r="W419" s="3"/>
      <c r="X419" s="3"/>
      <c r="Y419" s="3"/>
      <c r="Z419" s="3"/>
    </row>
    <row r="420" spans="1:26" ht="15" thickBot="1" x14ac:dyDescent="0.4">
      <c r="A420" s="4" t="s">
        <v>549</v>
      </c>
      <c r="B420" s="4" t="s">
        <v>63</v>
      </c>
      <c r="C420" s="4" t="s">
        <v>138</v>
      </c>
      <c r="D420" s="5">
        <v>45741</v>
      </c>
      <c r="E420" s="5">
        <v>45745</v>
      </c>
      <c r="F420" s="4" t="s">
        <v>110</v>
      </c>
      <c r="G420" s="4" t="s">
        <v>58</v>
      </c>
      <c r="H420" s="5">
        <v>37783</v>
      </c>
      <c r="I420" s="4" t="s">
        <v>74</v>
      </c>
      <c r="J420" s="4" t="s">
        <v>75</v>
      </c>
      <c r="K420" s="4" t="s">
        <v>83</v>
      </c>
      <c r="L420" s="4" t="s">
        <v>139</v>
      </c>
      <c r="M420" s="6">
        <v>10</v>
      </c>
      <c r="N420" s="6">
        <v>45</v>
      </c>
      <c r="O420" s="6">
        <v>0</v>
      </c>
      <c r="P420" s="6">
        <v>450</v>
      </c>
      <c r="Q420" s="6">
        <v>5</v>
      </c>
      <c r="R420" s="4" t="s">
        <v>60</v>
      </c>
      <c r="S420" s="4" t="s">
        <v>80</v>
      </c>
      <c r="T420" s="4" t="s">
        <v>66</v>
      </c>
      <c r="U420" s="4">
        <v>9853525026</v>
      </c>
      <c r="V420" s="4" t="s">
        <v>53</v>
      </c>
      <c r="W420" s="3"/>
      <c r="X420" s="3"/>
      <c r="Y420" s="3"/>
      <c r="Z420" s="3"/>
    </row>
    <row r="421" spans="1:26" ht="15" thickBot="1" x14ac:dyDescent="0.4">
      <c r="A421" s="9" t="s">
        <v>550</v>
      </c>
      <c r="B421" s="9" t="s">
        <v>87</v>
      </c>
      <c r="C421" s="9" t="s">
        <v>56</v>
      </c>
      <c r="D421" s="10">
        <v>45774</v>
      </c>
      <c r="E421" s="10">
        <v>45786</v>
      </c>
      <c r="F421" s="9" t="s">
        <v>88</v>
      </c>
      <c r="G421" s="9" t="s">
        <v>58</v>
      </c>
      <c r="H421" s="10">
        <v>29930</v>
      </c>
      <c r="I421" s="9" t="s">
        <v>74</v>
      </c>
      <c r="J421" s="9" t="s">
        <v>75</v>
      </c>
      <c r="K421" s="9" t="s">
        <v>39</v>
      </c>
      <c r="L421" s="9" t="s">
        <v>59</v>
      </c>
      <c r="M421" s="11">
        <v>20</v>
      </c>
      <c r="N421" s="11">
        <v>1200</v>
      </c>
      <c r="O421" s="11">
        <v>20</v>
      </c>
      <c r="P421" s="11">
        <v>19200</v>
      </c>
      <c r="Q421" s="11">
        <v>5</v>
      </c>
      <c r="R421" s="9" t="s">
        <v>41</v>
      </c>
      <c r="S421" s="9" t="s">
        <v>50</v>
      </c>
      <c r="T421" s="9" t="s">
        <v>89</v>
      </c>
      <c r="U421" s="9">
        <v>9209649485</v>
      </c>
      <c r="V421" s="9" t="s">
        <v>53</v>
      </c>
      <c r="W421" s="3"/>
      <c r="X421" s="3"/>
      <c r="Y421" s="3"/>
      <c r="Z421" s="3"/>
    </row>
    <row r="422" spans="1:26" ht="15" thickBot="1" x14ac:dyDescent="0.4">
      <c r="A422" s="4" t="s">
        <v>551</v>
      </c>
      <c r="B422" s="4" t="s">
        <v>55</v>
      </c>
      <c r="C422" s="4" t="s">
        <v>56</v>
      </c>
      <c r="D422" s="5">
        <v>45919</v>
      </c>
      <c r="E422" s="5">
        <v>45926</v>
      </c>
      <c r="F422" s="4" t="s">
        <v>57</v>
      </c>
      <c r="G422" s="4" t="s">
        <v>58</v>
      </c>
      <c r="H422" s="5">
        <v>27449</v>
      </c>
      <c r="I422" s="4" t="s">
        <v>79</v>
      </c>
      <c r="J422" s="4" t="s">
        <v>75</v>
      </c>
      <c r="K422" s="4" t="s">
        <v>39</v>
      </c>
      <c r="L422" s="4" t="s">
        <v>59</v>
      </c>
      <c r="M422" s="6">
        <v>8</v>
      </c>
      <c r="N422" s="6">
        <v>1200</v>
      </c>
      <c r="O422" s="6">
        <v>10</v>
      </c>
      <c r="P422" s="6">
        <v>8640</v>
      </c>
      <c r="Q422" s="6">
        <v>4</v>
      </c>
      <c r="R422" s="4" t="s">
        <v>41</v>
      </c>
      <c r="S422" s="4" t="s">
        <v>50</v>
      </c>
      <c r="T422" s="4" t="s">
        <v>61</v>
      </c>
      <c r="U422" s="4">
        <v>9712905525</v>
      </c>
      <c r="V422" s="8" t="s">
        <v>34</v>
      </c>
      <c r="W422" s="3"/>
      <c r="X422" s="3"/>
      <c r="Y422" s="3"/>
      <c r="Z422" s="3"/>
    </row>
    <row r="423" spans="1:26" ht="15" thickBot="1" x14ac:dyDescent="0.4">
      <c r="A423" s="9" t="s">
        <v>552</v>
      </c>
      <c r="B423" s="9" t="s">
        <v>87</v>
      </c>
      <c r="C423" s="9" t="s">
        <v>56</v>
      </c>
      <c r="D423" s="10">
        <v>45795</v>
      </c>
      <c r="E423" s="10">
        <v>45797</v>
      </c>
      <c r="F423" s="9" t="s">
        <v>88</v>
      </c>
      <c r="G423" s="9" t="s">
        <v>58</v>
      </c>
      <c r="H423" s="10">
        <v>28395</v>
      </c>
      <c r="I423" s="9" t="s">
        <v>121</v>
      </c>
      <c r="J423" s="9" t="s">
        <v>38</v>
      </c>
      <c r="K423" s="9" t="s">
        <v>39</v>
      </c>
      <c r="L423" s="9" t="s">
        <v>59</v>
      </c>
      <c r="M423" s="11">
        <v>8</v>
      </c>
      <c r="N423" s="11">
        <v>1200</v>
      </c>
      <c r="O423" s="11">
        <v>10</v>
      </c>
      <c r="P423" s="11">
        <v>8640</v>
      </c>
      <c r="Q423" s="11">
        <v>5</v>
      </c>
      <c r="R423" s="9" t="s">
        <v>60</v>
      </c>
      <c r="S423" s="9" t="s">
        <v>42</v>
      </c>
      <c r="T423" s="9" t="s">
        <v>89</v>
      </c>
      <c r="U423" s="9">
        <v>9812472447</v>
      </c>
      <c r="V423" s="9" t="s">
        <v>53</v>
      </c>
      <c r="W423" s="3"/>
      <c r="X423" s="3"/>
      <c r="Y423" s="3"/>
      <c r="Z423" s="3"/>
    </row>
    <row r="424" spans="1:26" ht="15" thickBot="1" x14ac:dyDescent="0.4">
      <c r="A424" s="4" t="s">
        <v>553</v>
      </c>
      <c r="B424" s="4" t="s">
        <v>156</v>
      </c>
      <c r="C424" s="4" t="s">
        <v>24</v>
      </c>
      <c r="D424" s="5">
        <v>46020</v>
      </c>
      <c r="E424" s="5">
        <v>46021</v>
      </c>
      <c r="F424" s="4" t="s">
        <v>106</v>
      </c>
      <c r="G424" s="4" t="s">
        <v>58</v>
      </c>
      <c r="H424" s="5">
        <v>32136</v>
      </c>
      <c r="I424" s="4" t="s">
        <v>121</v>
      </c>
      <c r="J424" s="4" t="s">
        <v>38</v>
      </c>
      <c r="K424" s="4" t="s">
        <v>29</v>
      </c>
      <c r="L424" s="4" t="s">
        <v>30</v>
      </c>
      <c r="M424" s="6">
        <v>9</v>
      </c>
      <c r="N424" s="6">
        <v>2200</v>
      </c>
      <c r="O424" s="6">
        <v>20</v>
      </c>
      <c r="P424" s="6">
        <v>15840</v>
      </c>
      <c r="Q424" s="6">
        <v>1</v>
      </c>
      <c r="R424" s="4" t="s">
        <v>41</v>
      </c>
      <c r="S424" s="4" t="s">
        <v>80</v>
      </c>
      <c r="T424" s="4" t="s">
        <v>158</v>
      </c>
      <c r="U424" s="4">
        <v>9281127052</v>
      </c>
      <c r="V424" s="8" t="s">
        <v>34</v>
      </c>
      <c r="W424" s="3"/>
      <c r="X424" s="3"/>
      <c r="Y424" s="3"/>
      <c r="Z424" s="3"/>
    </row>
    <row r="425" spans="1:26" ht="15" thickBot="1" x14ac:dyDescent="0.4">
      <c r="A425" s="9" t="s">
        <v>554</v>
      </c>
      <c r="B425" s="9" t="s">
        <v>87</v>
      </c>
      <c r="C425" s="9" t="s">
        <v>125</v>
      </c>
      <c r="D425" s="10">
        <v>45669</v>
      </c>
      <c r="E425" s="10">
        <v>45673</v>
      </c>
      <c r="F425" s="9" t="s">
        <v>88</v>
      </c>
      <c r="G425" s="9" t="s">
        <v>58</v>
      </c>
      <c r="H425" s="10">
        <v>36973</v>
      </c>
      <c r="I425" s="9" t="s">
        <v>147</v>
      </c>
      <c r="J425" s="9" t="s">
        <v>148</v>
      </c>
      <c r="K425" s="9" t="s">
        <v>83</v>
      </c>
      <c r="L425" s="9" t="s">
        <v>127</v>
      </c>
      <c r="M425" s="11">
        <v>8</v>
      </c>
      <c r="N425" s="11">
        <v>20</v>
      </c>
      <c r="O425" s="11">
        <v>20</v>
      </c>
      <c r="P425" s="11">
        <v>128</v>
      </c>
      <c r="Q425" s="11">
        <v>4</v>
      </c>
      <c r="R425" s="9" t="s">
        <v>31</v>
      </c>
      <c r="S425" s="9" t="s">
        <v>32</v>
      </c>
      <c r="T425" s="9" t="s">
        <v>89</v>
      </c>
      <c r="U425" s="9">
        <v>9346312555</v>
      </c>
      <c r="V425" s="9" t="s">
        <v>53</v>
      </c>
      <c r="W425" s="3"/>
      <c r="X425" s="3"/>
      <c r="Y425" s="3"/>
      <c r="Z425" s="3"/>
    </row>
    <row r="426" spans="1:26" ht="15" thickBot="1" x14ac:dyDescent="0.4">
      <c r="A426" s="4" t="s">
        <v>555</v>
      </c>
      <c r="B426" s="4" t="s">
        <v>124</v>
      </c>
      <c r="C426" s="4" t="s">
        <v>46</v>
      </c>
      <c r="D426" s="5">
        <v>46035</v>
      </c>
      <c r="E426" s="5">
        <v>46044</v>
      </c>
      <c r="F426" s="4" t="s">
        <v>126</v>
      </c>
      <c r="G426" s="4" t="s">
        <v>58</v>
      </c>
      <c r="H426" s="5">
        <v>30216</v>
      </c>
      <c r="I426" s="4" t="s">
        <v>79</v>
      </c>
      <c r="J426" s="4" t="s">
        <v>75</v>
      </c>
      <c r="K426" s="4" t="s">
        <v>39</v>
      </c>
      <c r="L426" s="4" t="s">
        <v>49</v>
      </c>
      <c r="M426" s="6">
        <v>5</v>
      </c>
      <c r="N426" s="6">
        <v>55000</v>
      </c>
      <c r="O426" s="6">
        <v>0</v>
      </c>
      <c r="P426" s="6">
        <v>275000</v>
      </c>
      <c r="Q426" s="6">
        <v>1</v>
      </c>
      <c r="R426" s="4" t="s">
        <v>60</v>
      </c>
      <c r="S426" s="4" t="s">
        <v>80</v>
      </c>
      <c r="T426" s="4" t="s">
        <v>128</v>
      </c>
      <c r="U426" s="4">
        <v>9443786067</v>
      </c>
      <c r="V426" s="8" t="s">
        <v>34</v>
      </c>
      <c r="W426" s="3"/>
      <c r="X426" s="3"/>
      <c r="Y426" s="3"/>
      <c r="Z426" s="3"/>
    </row>
    <row r="427" spans="1:26" ht="15" thickBot="1" x14ac:dyDescent="0.4">
      <c r="A427" s="9" t="s">
        <v>556</v>
      </c>
      <c r="B427" s="9" t="s">
        <v>72</v>
      </c>
      <c r="C427" s="9" t="s">
        <v>56</v>
      </c>
      <c r="D427" s="10">
        <v>46096</v>
      </c>
      <c r="E427" s="10">
        <v>46099</v>
      </c>
      <c r="F427" s="9" t="s">
        <v>73</v>
      </c>
      <c r="G427" s="9" t="s">
        <v>26</v>
      </c>
      <c r="H427" s="10">
        <v>31670</v>
      </c>
      <c r="I427" s="9" t="s">
        <v>74</v>
      </c>
      <c r="J427" s="9" t="s">
        <v>75</v>
      </c>
      <c r="K427" s="9" t="s">
        <v>39</v>
      </c>
      <c r="L427" s="9" t="s">
        <v>59</v>
      </c>
      <c r="M427" s="11">
        <v>13</v>
      </c>
      <c r="N427" s="11">
        <v>1200</v>
      </c>
      <c r="O427" s="11">
        <v>5</v>
      </c>
      <c r="P427" s="11">
        <v>14820</v>
      </c>
      <c r="Q427" s="11">
        <v>2</v>
      </c>
      <c r="R427" s="9" t="s">
        <v>60</v>
      </c>
      <c r="S427" s="9" t="s">
        <v>32</v>
      </c>
      <c r="T427" s="9" t="s">
        <v>93</v>
      </c>
      <c r="U427" s="9">
        <v>9452540528</v>
      </c>
      <c r="V427" s="9" t="s">
        <v>53</v>
      </c>
      <c r="W427" s="3"/>
      <c r="X427" s="3"/>
      <c r="Y427" s="3"/>
      <c r="Z427" s="3"/>
    </row>
    <row r="428" spans="1:26" ht="15" thickBot="1" x14ac:dyDescent="0.4">
      <c r="A428" s="4" t="s">
        <v>557</v>
      </c>
      <c r="B428" s="4" t="s">
        <v>63</v>
      </c>
      <c r="C428" s="4" t="s">
        <v>105</v>
      </c>
      <c r="D428" s="5">
        <v>45986</v>
      </c>
      <c r="E428" s="5">
        <v>45991</v>
      </c>
      <c r="F428" s="4" t="s">
        <v>110</v>
      </c>
      <c r="G428" s="4" t="s">
        <v>58</v>
      </c>
      <c r="H428" s="5">
        <v>37602</v>
      </c>
      <c r="I428" s="4" t="s">
        <v>121</v>
      </c>
      <c r="J428" s="4" t="s">
        <v>38</v>
      </c>
      <c r="K428" s="4" t="s">
        <v>29</v>
      </c>
      <c r="L428" s="4" t="s">
        <v>107</v>
      </c>
      <c r="M428" s="6">
        <v>13</v>
      </c>
      <c r="N428" s="6">
        <v>8500</v>
      </c>
      <c r="O428" s="6">
        <v>20</v>
      </c>
      <c r="P428" s="6">
        <v>88400</v>
      </c>
      <c r="Q428" s="6">
        <v>5</v>
      </c>
      <c r="R428" s="4" t="s">
        <v>31</v>
      </c>
      <c r="S428" s="4" t="s">
        <v>42</v>
      </c>
      <c r="T428" s="4" t="s">
        <v>66</v>
      </c>
      <c r="U428" s="4">
        <v>9750918728</v>
      </c>
      <c r="V428" s="4" t="s">
        <v>52</v>
      </c>
      <c r="W428" s="3"/>
      <c r="X428" s="3"/>
      <c r="Y428" s="3"/>
      <c r="Z428" s="3"/>
    </row>
    <row r="429" spans="1:26" ht="15" thickBot="1" x14ac:dyDescent="0.4">
      <c r="A429" s="9" t="s">
        <v>558</v>
      </c>
      <c r="B429" s="9" t="s">
        <v>55</v>
      </c>
      <c r="C429" s="9" t="s">
        <v>82</v>
      </c>
      <c r="D429" s="10">
        <v>45692</v>
      </c>
      <c r="E429" s="10">
        <v>45703</v>
      </c>
      <c r="F429" s="9" t="s">
        <v>57</v>
      </c>
      <c r="G429" s="9" t="s">
        <v>58</v>
      </c>
      <c r="H429" s="10">
        <v>36053</v>
      </c>
      <c r="I429" s="9" t="s">
        <v>79</v>
      </c>
      <c r="J429" s="9" t="s">
        <v>75</v>
      </c>
      <c r="K429" s="9" t="s">
        <v>83</v>
      </c>
      <c r="L429" s="9" t="s">
        <v>84</v>
      </c>
      <c r="M429" s="11">
        <v>14</v>
      </c>
      <c r="N429" s="11">
        <v>60</v>
      </c>
      <c r="O429" s="11">
        <v>10</v>
      </c>
      <c r="P429" s="11">
        <v>756</v>
      </c>
      <c r="Q429" s="11">
        <v>1</v>
      </c>
      <c r="R429" s="9" t="s">
        <v>31</v>
      </c>
      <c r="S429" s="9" t="s">
        <v>50</v>
      </c>
      <c r="T429" s="9" t="s">
        <v>61</v>
      </c>
      <c r="U429" s="9">
        <v>9375975834</v>
      </c>
      <c r="V429" s="9" t="s">
        <v>53</v>
      </c>
      <c r="W429" s="3"/>
      <c r="X429" s="3"/>
      <c r="Y429" s="3"/>
      <c r="Z429" s="3"/>
    </row>
    <row r="430" spans="1:26" ht="15" thickBot="1" x14ac:dyDescent="0.4">
      <c r="A430" s="4" t="s">
        <v>559</v>
      </c>
      <c r="B430" s="4" t="s">
        <v>134</v>
      </c>
      <c r="C430" s="4" t="s">
        <v>24</v>
      </c>
      <c r="D430" s="5">
        <v>45775</v>
      </c>
      <c r="E430" s="5">
        <v>45776</v>
      </c>
      <c r="F430" s="4" t="s">
        <v>135</v>
      </c>
      <c r="G430" s="4" t="s">
        <v>26</v>
      </c>
      <c r="H430" s="5">
        <v>31337</v>
      </c>
      <c r="I430" s="4" t="s">
        <v>48</v>
      </c>
      <c r="J430" s="4" t="s">
        <v>28</v>
      </c>
      <c r="K430" s="4" t="s">
        <v>29</v>
      </c>
      <c r="L430" s="4" t="s">
        <v>30</v>
      </c>
      <c r="M430" s="6">
        <v>15</v>
      </c>
      <c r="N430" s="6">
        <v>2200</v>
      </c>
      <c r="O430" s="6">
        <v>0</v>
      </c>
      <c r="P430" s="6">
        <v>33000</v>
      </c>
      <c r="Q430" s="6">
        <v>1</v>
      </c>
      <c r="R430" s="4" t="s">
        <v>31</v>
      </c>
      <c r="S430" s="4" t="s">
        <v>50</v>
      </c>
      <c r="T430" s="4" t="s">
        <v>136</v>
      </c>
      <c r="U430" s="4">
        <v>9497321112</v>
      </c>
      <c r="V430" s="8" t="s">
        <v>34</v>
      </c>
      <c r="W430" s="3"/>
      <c r="X430" s="3"/>
      <c r="Y430" s="3"/>
      <c r="Z430" s="3"/>
    </row>
    <row r="431" spans="1:26" ht="15" thickBot="1" x14ac:dyDescent="0.4">
      <c r="A431" s="9" t="s">
        <v>560</v>
      </c>
      <c r="B431" s="9" t="s">
        <v>63</v>
      </c>
      <c r="C431" s="9" t="s">
        <v>82</v>
      </c>
      <c r="D431" s="10">
        <v>45896</v>
      </c>
      <c r="E431" s="10">
        <v>45898</v>
      </c>
      <c r="F431" s="9" t="s">
        <v>110</v>
      </c>
      <c r="G431" s="9" t="s">
        <v>58</v>
      </c>
      <c r="H431" s="10">
        <v>34926</v>
      </c>
      <c r="I431" s="9" t="s">
        <v>121</v>
      </c>
      <c r="J431" s="9" t="s">
        <v>38</v>
      </c>
      <c r="K431" s="9" t="s">
        <v>83</v>
      </c>
      <c r="L431" s="9" t="s">
        <v>84</v>
      </c>
      <c r="M431" s="11">
        <v>19</v>
      </c>
      <c r="N431" s="11">
        <v>60</v>
      </c>
      <c r="O431" s="11">
        <v>20</v>
      </c>
      <c r="P431" s="11">
        <v>912</v>
      </c>
      <c r="Q431" s="11">
        <v>3</v>
      </c>
      <c r="R431" s="9" t="s">
        <v>31</v>
      </c>
      <c r="S431" s="9" t="s">
        <v>96</v>
      </c>
      <c r="T431" s="9" t="s">
        <v>66</v>
      </c>
      <c r="U431" s="9">
        <v>9828749888</v>
      </c>
      <c r="V431" s="9" t="s">
        <v>52</v>
      </c>
      <c r="W431" s="3"/>
      <c r="X431" s="3"/>
      <c r="Y431" s="3"/>
      <c r="Z431" s="3"/>
    </row>
    <row r="432" spans="1:26" ht="15" thickBot="1" x14ac:dyDescent="0.4">
      <c r="A432" s="4" t="s">
        <v>561</v>
      </c>
      <c r="B432" s="4" t="s">
        <v>45</v>
      </c>
      <c r="C432" s="4" t="s">
        <v>138</v>
      </c>
      <c r="D432" s="5">
        <v>45942</v>
      </c>
      <c r="E432" s="5">
        <v>45953</v>
      </c>
      <c r="F432" s="4" t="s">
        <v>101</v>
      </c>
      <c r="G432" s="4" t="s">
        <v>26</v>
      </c>
      <c r="H432" s="5">
        <v>31286</v>
      </c>
      <c r="I432" s="4" t="s">
        <v>121</v>
      </c>
      <c r="J432" s="4" t="s">
        <v>38</v>
      </c>
      <c r="K432" s="4" t="s">
        <v>83</v>
      </c>
      <c r="L432" s="4" t="s">
        <v>139</v>
      </c>
      <c r="M432" s="6">
        <v>13</v>
      </c>
      <c r="N432" s="6">
        <v>45</v>
      </c>
      <c r="O432" s="6">
        <v>15</v>
      </c>
      <c r="P432" s="6">
        <v>497.25</v>
      </c>
      <c r="Q432" s="6">
        <v>2</v>
      </c>
      <c r="R432" s="4" t="s">
        <v>31</v>
      </c>
      <c r="S432" s="4" t="s">
        <v>42</v>
      </c>
      <c r="T432" s="4" t="s">
        <v>51</v>
      </c>
      <c r="U432" s="4">
        <v>9814267382</v>
      </c>
      <c r="V432" s="8" t="s">
        <v>34</v>
      </c>
      <c r="W432" s="3"/>
      <c r="X432" s="3"/>
      <c r="Y432" s="3"/>
      <c r="Z432" s="3"/>
    </row>
    <row r="433" spans="1:26" ht="15" thickBot="1" x14ac:dyDescent="0.4">
      <c r="A433" s="9" t="s">
        <v>562</v>
      </c>
      <c r="B433" s="9" t="s">
        <v>134</v>
      </c>
      <c r="C433" s="9" t="s">
        <v>36</v>
      </c>
      <c r="D433" s="10">
        <v>46036</v>
      </c>
      <c r="E433" s="10">
        <v>46046</v>
      </c>
      <c r="F433" s="9" t="s">
        <v>135</v>
      </c>
      <c r="G433" s="9" t="s">
        <v>26</v>
      </c>
      <c r="H433" s="10">
        <v>27550</v>
      </c>
      <c r="I433" s="9" t="s">
        <v>74</v>
      </c>
      <c r="J433" s="9" t="s">
        <v>75</v>
      </c>
      <c r="K433" s="9" t="s">
        <v>39</v>
      </c>
      <c r="L433" s="9" t="s">
        <v>40</v>
      </c>
      <c r="M433" s="11">
        <v>7</v>
      </c>
      <c r="N433" s="11">
        <v>12000</v>
      </c>
      <c r="O433" s="11">
        <v>5</v>
      </c>
      <c r="P433" s="11">
        <v>79800</v>
      </c>
      <c r="Q433" s="11">
        <v>4</v>
      </c>
      <c r="R433" s="9" t="s">
        <v>60</v>
      </c>
      <c r="S433" s="9" t="s">
        <v>96</v>
      </c>
      <c r="T433" s="9" t="s">
        <v>136</v>
      </c>
      <c r="U433" s="9">
        <v>9937007439</v>
      </c>
      <c r="V433" s="9" t="s">
        <v>53</v>
      </c>
      <c r="W433" s="3"/>
      <c r="X433" s="3"/>
      <c r="Y433" s="3"/>
      <c r="Z433" s="3"/>
    </row>
    <row r="434" spans="1:26" ht="15" thickBot="1" x14ac:dyDescent="0.4">
      <c r="A434" s="4" t="s">
        <v>563</v>
      </c>
      <c r="B434" s="4" t="s">
        <v>156</v>
      </c>
      <c r="C434" s="4" t="s">
        <v>125</v>
      </c>
      <c r="D434" s="14">
        <v>46152</v>
      </c>
      <c r="E434" s="4"/>
      <c r="F434" s="4" t="s">
        <v>106</v>
      </c>
      <c r="G434" s="4" t="s">
        <v>58</v>
      </c>
      <c r="H434" s="5">
        <v>35514</v>
      </c>
      <c r="I434" s="4" t="s">
        <v>147</v>
      </c>
      <c r="J434" s="4" t="s">
        <v>148</v>
      </c>
      <c r="K434" s="4" t="s">
        <v>83</v>
      </c>
      <c r="L434" s="4" t="s">
        <v>127</v>
      </c>
      <c r="M434" s="6">
        <v>8</v>
      </c>
      <c r="N434" s="6">
        <v>20</v>
      </c>
      <c r="O434" s="6">
        <v>0</v>
      </c>
      <c r="P434" s="6">
        <v>160</v>
      </c>
      <c r="Q434" s="6">
        <v>4</v>
      </c>
      <c r="R434" s="4" t="s">
        <v>60</v>
      </c>
      <c r="S434" s="4" t="s">
        <v>50</v>
      </c>
      <c r="T434" s="4" t="s">
        <v>158</v>
      </c>
      <c r="U434" s="4">
        <v>9657513435</v>
      </c>
      <c r="V434" s="4" t="s">
        <v>52</v>
      </c>
      <c r="W434" s="3"/>
      <c r="X434" s="3"/>
      <c r="Y434" s="3"/>
      <c r="Z434" s="3"/>
    </row>
    <row r="435" spans="1:26" ht="15" thickBot="1" x14ac:dyDescent="0.4">
      <c r="A435" s="9" t="s">
        <v>564</v>
      </c>
      <c r="B435" s="9" t="s">
        <v>23</v>
      </c>
      <c r="C435" s="9" t="s">
        <v>68</v>
      </c>
      <c r="D435" s="10">
        <v>45689</v>
      </c>
      <c r="E435" s="10">
        <v>45694</v>
      </c>
      <c r="F435" s="9" t="s">
        <v>25</v>
      </c>
      <c r="G435" s="9" t="s">
        <v>26</v>
      </c>
      <c r="H435" s="10">
        <v>35538</v>
      </c>
      <c r="I435" s="9" t="s">
        <v>147</v>
      </c>
      <c r="J435" s="9" t="s">
        <v>148</v>
      </c>
      <c r="K435" s="9" t="s">
        <v>29</v>
      </c>
      <c r="L435" s="9" t="s">
        <v>70</v>
      </c>
      <c r="M435" s="11">
        <v>16</v>
      </c>
      <c r="N435" s="11">
        <v>3500</v>
      </c>
      <c r="O435" s="11">
        <v>5</v>
      </c>
      <c r="P435" s="11">
        <v>53200</v>
      </c>
      <c r="Q435" s="11">
        <v>1</v>
      </c>
      <c r="R435" s="9" t="s">
        <v>60</v>
      </c>
      <c r="S435" s="9" t="s">
        <v>50</v>
      </c>
      <c r="T435" s="9" t="s">
        <v>43</v>
      </c>
      <c r="U435" s="9">
        <v>9999406260</v>
      </c>
      <c r="V435" s="9" t="s">
        <v>53</v>
      </c>
      <c r="W435" s="3"/>
      <c r="X435" s="3"/>
      <c r="Y435" s="3"/>
      <c r="Z435" s="3"/>
    </row>
    <row r="436" spans="1:26" ht="15" thickBot="1" x14ac:dyDescent="0.4">
      <c r="A436" s="4" t="s">
        <v>565</v>
      </c>
      <c r="B436" s="4" t="s">
        <v>156</v>
      </c>
      <c r="C436" s="4" t="s">
        <v>105</v>
      </c>
      <c r="D436" s="5">
        <v>45710</v>
      </c>
      <c r="E436" s="5">
        <v>45720</v>
      </c>
      <c r="F436" s="4" t="s">
        <v>106</v>
      </c>
      <c r="G436" s="4" t="s">
        <v>58</v>
      </c>
      <c r="H436" s="5">
        <v>36308</v>
      </c>
      <c r="I436" s="4" t="s">
        <v>74</v>
      </c>
      <c r="J436" s="4" t="s">
        <v>75</v>
      </c>
      <c r="K436" s="4" t="s">
        <v>29</v>
      </c>
      <c r="L436" s="4" t="s">
        <v>107</v>
      </c>
      <c r="M436" s="6">
        <v>12</v>
      </c>
      <c r="N436" s="6">
        <v>8500</v>
      </c>
      <c r="O436" s="6">
        <v>10</v>
      </c>
      <c r="P436" s="6">
        <v>91800</v>
      </c>
      <c r="Q436" s="6">
        <v>3</v>
      </c>
      <c r="R436" s="4" t="s">
        <v>60</v>
      </c>
      <c r="S436" s="4" t="s">
        <v>32</v>
      </c>
      <c r="T436" s="4" t="s">
        <v>158</v>
      </c>
      <c r="U436" s="4">
        <v>9233727886</v>
      </c>
      <c r="V436" s="8" t="s">
        <v>34</v>
      </c>
      <c r="W436" s="3"/>
      <c r="X436" s="3"/>
      <c r="Y436" s="3"/>
      <c r="Z436" s="3"/>
    </row>
    <row r="437" spans="1:26" ht="15" thickBot="1" x14ac:dyDescent="0.4">
      <c r="A437" s="9" t="s">
        <v>566</v>
      </c>
      <c r="B437" s="9" t="s">
        <v>23</v>
      </c>
      <c r="C437" s="9" t="s">
        <v>82</v>
      </c>
      <c r="D437" s="10">
        <v>45765</v>
      </c>
      <c r="E437" s="10">
        <v>45767</v>
      </c>
      <c r="F437" s="9" t="s">
        <v>25</v>
      </c>
      <c r="G437" s="9" t="s">
        <v>26</v>
      </c>
      <c r="H437" s="10">
        <v>30492</v>
      </c>
      <c r="I437" s="9" t="s">
        <v>91</v>
      </c>
      <c r="J437" s="9" t="s">
        <v>75</v>
      </c>
      <c r="K437" s="9" t="s">
        <v>83</v>
      </c>
      <c r="L437" s="9" t="s">
        <v>84</v>
      </c>
      <c r="M437" s="11">
        <v>1</v>
      </c>
      <c r="N437" s="11">
        <v>60</v>
      </c>
      <c r="O437" s="11">
        <v>20</v>
      </c>
      <c r="P437" s="11">
        <v>48</v>
      </c>
      <c r="Q437" s="11">
        <v>2</v>
      </c>
      <c r="R437" s="9" t="s">
        <v>60</v>
      </c>
      <c r="S437" s="9" t="s">
        <v>96</v>
      </c>
      <c r="T437" s="9" t="s">
        <v>43</v>
      </c>
      <c r="U437" s="9">
        <v>9831688801</v>
      </c>
      <c r="V437" s="12" t="s">
        <v>34</v>
      </c>
      <c r="W437" s="3"/>
      <c r="X437" s="3"/>
      <c r="Y437" s="3"/>
      <c r="Z437" s="3"/>
    </row>
    <row r="438" spans="1:26" ht="15" thickBot="1" x14ac:dyDescent="0.4">
      <c r="A438" s="4" t="s">
        <v>567</v>
      </c>
      <c r="B438" s="4" t="s">
        <v>87</v>
      </c>
      <c r="C438" s="4" t="s">
        <v>82</v>
      </c>
      <c r="D438" s="5">
        <v>45967</v>
      </c>
      <c r="E438" s="5">
        <v>45972</v>
      </c>
      <c r="F438" s="4" t="s">
        <v>88</v>
      </c>
      <c r="G438" s="4" t="s">
        <v>58</v>
      </c>
      <c r="H438" s="5">
        <v>33995</v>
      </c>
      <c r="I438" s="4" t="s">
        <v>27</v>
      </c>
      <c r="J438" s="4" t="s">
        <v>28</v>
      </c>
      <c r="K438" s="4" t="s">
        <v>83</v>
      </c>
      <c r="L438" s="4" t="s">
        <v>84</v>
      </c>
      <c r="M438" s="6">
        <v>3</v>
      </c>
      <c r="N438" s="6">
        <v>60</v>
      </c>
      <c r="O438" s="6">
        <v>15</v>
      </c>
      <c r="P438" s="6">
        <v>153</v>
      </c>
      <c r="Q438" s="6">
        <v>4</v>
      </c>
      <c r="R438" s="4" t="s">
        <v>60</v>
      </c>
      <c r="S438" s="4" t="s">
        <v>32</v>
      </c>
      <c r="T438" s="4" t="s">
        <v>89</v>
      </c>
      <c r="U438" s="4">
        <v>9982849508</v>
      </c>
      <c r="V438" s="8" t="s">
        <v>34</v>
      </c>
      <c r="W438" s="3"/>
      <c r="X438" s="3"/>
      <c r="Y438" s="3"/>
      <c r="Z438" s="3"/>
    </row>
    <row r="439" spans="1:26" ht="15" thickBot="1" x14ac:dyDescent="0.4">
      <c r="A439" s="9" t="s">
        <v>568</v>
      </c>
      <c r="B439" s="9" t="s">
        <v>72</v>
      </c>
      <c r="C439" s="9" t="s">
        <v>112</v>
      </c>
      <c r="D439" s="10">
        <v>45736</v>
      </c>
      <c r="E439" s="10">
        <v>45741</v>
      </c>
      <c r="F439" s="9" t="s">
        <v>73</v>
      </c>
      <c r="G439" s="9" t="s">
        <v>26</v>
      </c>
      <c r="H439" s="10">
        <v>28917</v>
      </c>
      <c r="I439" s="9" t="s">
        <v>147</v>
      </c>
      <c r="J439" s="9" t="s">
        <v>148</v>
      </c>
      <c r="K439" s="9" t="s">
        <v>39</v>
      </c>
      <c r="L439" s="9" t="s">
        <v>114</v>
      </c>
      <c r="M439" s="11">
        <v>10</v>
      </c>
      <c r="N439" s="11">
        <v>700</v>
      </c>
      <c r="O439" s="11">
        <v>15</v>
      </c>
      <c r="P439" s="11">
        <v>5950</v>
      </c>
      <c r="Q439" s="11">
        <v>3</v>
      </c>
      <c r="R439" s="9" t="s">
        <v>41</v>
      </c>
      <c r="S439" s="9" t="s">
        <v>32</v>
      </c>
      <c r="T439" s="9" t="s">
        <v>93</v>
      </c>
      <c r="U439" s="9">
        <v>9288309246</v>
      </c>
      <c r="V439" s="9" t="s">
        <v>52</v>
      </c>
      <c r="W439" s="3"/>
      <c r="X439" s="3"/>
      <c r="Y439" s="3"/>
      <c r="Z439" s="3"/>
    </row>
    <row r="440" spans="1:26" ht="15" thickBot="1" x14ac:dyDescent="0.4">
      <c r="A440" s="4" t="s">
        <v>569</v>
      </c>
      <c r="B440" s="4" t="s">
        <v>63</v>
      </c>
      <c r="C440" s="4" t="s">
        <v>125</v>
      </c>
      <c r="D440" s="5">
        <v>45952</v>
      </c>
      <c r="E440" s="5">
        <v>45955</v>
      </c>
      <c r="F440" s="4" t="s">
        <v>110</v>
      </c>
      <c r="G440" s="4" t="s">
        <v>58</v>
      </c>
      <c r="H440" s="5">
        <v>28016</v>
      </c>
      <c r="I440" s="4" t="s">
        <v>91</v>
      </c>
      <c r="J440" s="4" t="s">
        <v>75</v>
      </c>
      <c r="K440" s="4" t="s">
        <v>83</v>
      </c>
      <c r="L440" s="4" t="s">
        <v>127</v>
      </c>
      <c r="M440" s="6">
        <v>2</v>
      </c>
      <c r="N440" s="6">
        <v>20</v>
      </c>
      <c r="O440" s="6">
        <v>10</v>
      </c>
      <c r="P440" s="6">
        <v>36</v>
      </c>
      <c r="Q440" s="6">
        <v>2</v>
      </c>
      <c r="R440" s="4" t="s">
        <v>65</v>
      </c>
      <c r="S440" s="4" t="s">
        <v>50</v>
      </c>
      <c r="T440" s="4" t="s">
        <v>66</v>
      </c>
      <c r="U440" s="4">
        <v>9808476235</v>
      </c>
      <c r="V440" s="8" t="s">
        <v>34</v>
      </c>
      <c r="W440" s="3"/>
      <c r="X440" s="3"/>
      <c r="Y440" s="3"/>
      <c r="Z440" s="3"/>
    </row>
    <row r="441" spans="1:26" ht="15" thickBot="1" x14ac:dyDescent="0.4">
      <c r="A441" s="9" t="s">
        <v>570</v>
      </c>
      <c r="B441" s="9" t="s">
        <v>63</v>
      </c>
      <c r="C441" s="9" t="s">
        <v>125</v>
      </c>
      <c r="D441" s="10">
        <v>46022</v>
      </c>
      <c r="E441" s="10">
        <v>46027</v>
      </c>
      <c r="F441" s="9" t="s">
        <v>110</v>
      </c>
      <c r="G441" s="9" t="s">
        <v>58</v>
      </c>
      <c r="H441" s="10">
        <v>33446</v>
      </c>
      <c r="I441" s="9" t="s">
        <v>37</v>
      </c>
      <c r="J441" s="9" t="s">
        <v>38</v>
      </c>
      <c r="K441" s="9" t="s">
        <v>83</v>
      </c>
      <c r="L441" s="9" t="s">
        <v>127</v>
      </c>
      <c r="M441" s="11">
        <v>14</v>
      </c>
      <c r="N441" s="11">
        <v>20</v>
      </c>
      <c r="O441" s="11">
        <v>20</v>
      </c>
      <c r="P441" s="11">
        <v>224</v>
      </c>
      <c r="Q441" s="11">
        <v>5</v>
      </c>
      <c r="R441" s="9" t="s">
        <v>31</v>
      </c>
      <c r="S441" s="9" t="s">
        <v>96</v>
      </c>
      <c r="T441" s="9" t="s">
        <v>66</v>
      </c>
      <c r="U441" s="9">
        <v>9869056117</v>
      </c>
      <c r="V441" s="9" t="s">
        <v>52</v>
      </c>
      <c r="W441" s="3"/>
      <c r="X441" s="3"/>
      <c r="Y441" s="3"/>
      <c r="Z441" s="3"/>
    </row>
    <row r="442" spans="1:26" ht="15" thickBot="1" x14ac:dyDescent="0.4">
      <c r="A442" s="4" t="s">
        <v>571</v>
      </c>
      <c r="B442" s="4" t="s">
        <v>156</v>
      </c>
      <c r="C442" s="4" t="s">
        <v>68</v>
      </c>
      <c r="D442" s="5">
        <v>45829</v>
      </c>
      <c r="E442" s="5">
        <v>45833</v>
      </c>
      <c r="F442" s="4" t="s">
        <v>106</v>
      </c>
      <c r="G442" s="4" t="s">
        <v>58</v>
      </c>
      <c r="H442" s="5">
        <v>32075</v>
      </c>
      <c r="I442" s="4" t="s">
        <v>91</v>
      </c>
      <c r="J442" s="4" t="s">
        <v>75</v>
      </c>
      <c r="K442" s="4" t="s">
        <v>29</v>
      </c>
      <c r="L442" s="4" t="s">
        <v>70</v>
      </c>
      <c r="M442" s="6">
        <v>4</v>
      </c>
      <c r="N442" s="6">
        <v>3500</v>
      </c>
      <c r="O442" s="6">
        <v>0</v>
      </c>
      <c r="P442" s="6">
        <v>14000</v>
      </c>
      <c r="Q442" s="6">
        <v>2</v>
      </c>
      <c r="R442" s="4" t="s">
        <v>65</v>
      </c>
      <c r="S442" s="4" t="s">
        <v>32</v>
      </c>
      <c r="T442" s="4" t="s">
        <v>158</v>
      </c>
      <c r="U442" s="4">
        <v>9734229772</v>
      </c>
      <c r="V442" s="4" t="s">
        <v>53</v>
      </c>
      <c r="W442" s="3"/>
      <c r="X442" s="3"/>
      <c r="Y442" s="3"/>
      <c r="Z442" s="3"/>
    </row>
    <row r="443" spans="1:26" ht="15" thickBot="1" x14ac:dyDescent="0.4">
      <c r="A443" s="9" t="s">
        <v>572</v>
      </c>
      <c r="B443" s="9" t="s">
        <v>63</v>
      </c>
      <c r="C443" s="9" t="s">
        <v>68</v>
      </c>
      <c r="D443" s="10">
        <v>45812</v>
      </c>
      <c r="E443" s="10">
        <v>45813</v>
      </c>
      <c r="F443" s="9" t="s">
        <v>110</v>
      </c>
      <c r="G443" s="9" t="s">
        <v>58</v>
      </c>
      <c r="H443" s="10">
        <v>30629</v>
      </c>
      <c r="I443" s="9" t="s">
        <v>121</v>
      </c>
      <c r="J443" s="9" t="s">
        <v>38</v>
      </c>
      <c r="K443" s="9" t="s">
        <v>29</v>
      </c>
      <c r="L443" s="9" t="s">
        <v>70</v>
      </c>
      <c r="M443" s="11">
        <v>9</v>
      </c>
      <c r="N443" s="11">
        <v>3500</v>
      </c>
      <c r="O443" s="11">
        <v>5</v>
      </c>
      <c r="P443" s="11">
        <v>29925</v>
      </c>
      <c r="Q443" s="11">
        <v>3</v>
      </c>
      <c r="R443" s="9" t="s">
        <v>60</v>
      </c>
      <c r="S443" s="9" t="s">
        <v>50</v>
      </c>
      <c r="T443" s="9" t="s">
        <v>66</v>
      </c>
      <c r="U443" s="9">
        <v>9791617906</v>
      </c>
      <c r="V443" s="12" t="s">
        <v>34</v>
      </c>
      <c r="W443" s="3"/>
      <c r="X443" s="3"/>
      <c r="Y443" s="3"/>
      <c r="Z443" s="3"/>
    </row>
    <row r="444" spans="1:26" ht="15" thickBot="1" x14ac:dyDescent="0.4">
      <c r="A444" s="4" t="s">
        <v>573</v>
      </c>
      <c r="B444" s="4" t="s">
        <v>87</v>
      </c>
      <c r="C444" s="4" t="s">
        <v>82</v>
      </c>
      <c r="D444" s="5">
        <v>45807</v>
      </c>
      <c r="E444" s="5">
        <v>45811</v>
      </c>
      <c r="F444" s="4" t="s">
        <v>88</v>
      </c>
      <c r="G444" s="4" t="s">
        <v>58</v>
      </c>
      <c r="H444" s="5">
        <v>30678</v>
      </c>
      <c r="I444" s="4" t="s">
        <v>74</v>
      </c>
      <c r="J444" s="4" t="s">
        <v>75</v>
      </c>
      <c r="K444" s="4" t="s">
        <v>83</v>
      </c>
      <c r="L444" s="4" t="s">
        <v>84</v>
      </c>
      <c r="M444" s="6">
        <v>9</v>
      </c>
      <c r="N444" s="6">
        <v>60</v>
      </c>
      <c r="O444" s="6">
        <v>0</v>
      </c>
      <c r="P444" s="6">
        <v>540</v>
      </c>
      <c r="Q444" s="6">
        <v>3</v>
      </c>
      <c r="R444" s="4" t="s">
        <v>65</v>
      </c>
      <c r="S444" s="4" t="s">
        <v>32</v>
      </c>
      <c r="T444" s="4" t="s">
        <v>89</v>
      </c>
      <c r="U444" s="4">
        <v>9286316823</v>
      </c>
      <c r="V444" s="4" t="s">
        <v>52</v>
      </c>
      <c r="W444" s="3"/>
      <c r="X444" s="3"/>
      <c r="Y444" s="3"/>
      <c r="Z444" s="3"/>
    </row>
    <row r="445" spans="1:26" ht="15" thickBot="1" x14ac:dyDescent="0.4">
      <c r="A445" s="9" t="s">
        <v>574</v>
      </c>
      <c r="B445" s="9" t="s">
        <v>104</v>
      </c>
      <c r="C445" s="9" t="s">
        <v>56</v>
      </c>
      <c r="D445" s="10">
        <v>45779</v>
      </c>
      <c r="E445" s="10">
        <v>45780</v>
      </c>
      <c r="F445" s="9" t="s">
        <v>166</v>
      </c>
      <c r="G445" s="9" t="s">
        <v>26</v>
      </c>
      <c r="H445" s="10">
        <v>33862</v>
      </c>
      <c r="I445" s="9" t="s">
        <v>91</v>
      </c>
      <c r="J445" s="9" t="s">
        <v>75</v>
      </c>
      <c r="K445" s="9" t="s">
        <v>39</v>
      </c>
      <c r="L445" s="9" t="s">
        <v>59</v>
      </c>
      <c r="M445" s="11">
        <v>4</v>
      </c>
      <c r="N445" s="11">
        <v>1200</v>
      </c>
      <c r="O445" s="11">
        <v>0</v>
      </c>
      <c r="P445" s="11">
        <v>4800</v>
      </c>
      <c r="Q445" s="11">
        <v>1</v>
      </c>
      <c r="R445" s="9" t="s">
        <v>41</v>
      </c>
      <c r="S445" s="9" t="s">
        <v>50</v>
      </c>
      <c r="T445" s="9" t="s">
        <v>108</v>
      </c>
      <c r="U445" s="9">
        <v>9810569252</v>
      </c>
      <c r="V445" s="12" t="s">
        <v>34</v>
      </c>
      <c r="W445" s="3"/>
      <c r="X445" s="3"/>
      <c r="Y445" s="3"/>
      <c r="Z445" s="3"/>
    </row>
    <row r="446" spans="1:26" ht="15" thickBot="1" x14ac:dyDescent="0.4">
      <c r="A446" s="4" t="s">
        <v>575</v>
      </c>
      <c r="B446" s="4" t="s">
        <v>45</v>
      </c>
      <c r="C446" s="4" t="s">
        <v>46</v>
      </c>
      <c r="D446" s="5">
        <v>45691</v>
      </c>
      <c r="E446" s="5">
        <v>45701</v>
      </c>
      <c r="F446" s="4" t="s">
        <v>101</v>
      </c>
      <c r="G446" s="4" t="s">
        <v>26</v>
      </c>
      <c r="H446" s="5">
        <v>36381</v>
      </c>
      <c r="I446" s="4" t="s">
        <v>27</v>
      </c>
      <c r="J446" s="4" t="s">
        <v>28</v>
      </c>
      <c r="K446" s="4" t="s">
        <v>39</v>
      </c>
      <c r="L446" s="4" t="s">
        <v>49</v>
      </c>
      <c r="M446" s="6">
        <v>10</v>
      </c>
      <c r="N446" s="6">
        <v>55000</v>
      </c>
      <c r="O446" s="6">
        <v>5</v>
      </c>
      <c r="P446" s="6">
        <v>522500</v>
      </c>
      <c r="Q446" s="6">
        <v>5</v>
      </c>
      <c r="R446" s="4" t="s">
        <v>65</v>
      </c>
      <c r="S446" s="4" t="s">
        <v>80</v>
      </c>
      <c r="T446" s="4" t="s">
        <v>51</v>
      </c>
      <c r="U446" s="4">
        <v>9771745925</v>
      </c>
      <c r="V446" s="8" t="s">
        <v>34</v>
      </c>
      <c r="W446" s="3"/>
      <c r="X446" s="3"/>
      <c r="Y446" s="3"/>
      <c r="Z446" s="3"/>
    </row>
    <row r="447" spans="1:26" ht="15" thickBot="1" x14ac:dyDescent="0.4">
      <c r="A447" s="9" t="s">
        <v>576</v>
      </c>
      <c r="B447" s="9" t="s">
        <v>124</v>
      </c>
      <c r="C447" s="9" t="s">
        <v>138</v>
      </c>
      <c r="D447" s="10">
        <v>45837</v>
      </c>
      <c r="E447" s="10">
        <v>45844</v>
      </c>
      <c r="F447" s="9" t="s">
        <v>126</v>
      </c>
      <c r="G447" s="9" t="s">
        <v>58</v>
      </c>
      <c r="H447" s="10">
        <v>32931</v>
      </c>
      <c r="I447" s="9" t="s">
        <v>27</v>
      </c>
      <c r="J447" s="9" t="s">
        <v>28</v>
      </c>
      <c r="K447" s="9" t="s">
        <v>83</v>
      </c>
      <c r="L447" s="9" t="s">
        <v>139</v>
      </c>
      <c r="M447" s="11">
        <v>20</v>
      </c>
      <c r="N447" s="11">
        <v>45</v>
      </c>
      <c r="O447" s="11">
        <v>15</v>
      </c>
      <c r="P447" s="11">
        <v>765</v>
      </c>
      <c r="Q447" s="11">
        <v>2</v>
      </c>
      <c r="R447" s="9" t="s">
        <v>60</v>
      </c>
      <c r="S447" s="9" t="s">
        <v>32</v>
      </c>
      <c r="T447" s="9" t="s">
        <v>128</v>
      </c>
      <c r="U447" s="9">
        <v>9820683063</v>
      </c>
      <c r="V447" s="9" t="s">
        <v>53</v>
      </c>
      <c r="W447" s="3"/>
      <c r="X447" s="3"/>
      <c r="Y447" s="3"/>
      <c r="Z447" s="3"/>
    </row>
    <row r="448" spans="1:26" ht="15" thickBot="1" x14ac:dyDescent="0.4">
      <c r="A448" s="4" t="s">
        <v>577</v>
      </c>
      <c r="B448" s="4" t="s">
        <v>23</v>
      </c>
      <c r="C448" s="4" t="s">
        <v>125</v>
      </c>
      <c r="D448" s="5">
        <v>46065</v>
      </c>
      <c r="E448" s="5">
        <v>46075</v>
      </c>
      <c r="F448" s="4" t="s">
        <v>25</v>
      </c>
      <c r="G448" s="4" t="s">
        <v>26</v>
      </c>
      <c r="H448" s="5">
        <v>34420</v>
      </c>
      <c r="I448" s="4" t="s">
        <v>74</v>
      </c>
      <c r="J448" s="4" t="s">
        <v>75</v>
      </c>
      <c r="K448" s="4" t="s">
        <v>83</v>
      </c>
      <c r="L448" s="4" t="s">
        <v>127</v>
      </c>
      <c r="M448" s="6">
        <v>9</v>
      </c>
      <c r="N448" s="6">
        <v>20</v>
      </c>
      <c r="O448" s="6">
        <v>20</v>
      </c>
      <c r="P448" s="6">
        <v>144</v>
      </c>
      <c r="Q448" s="6">
        <v>3</v>
      </c>
      <c r="R448" s="4" t="s">
        <v>60</v>
      </c>
      <c r="S448" s="4" t="s">
        <v>50</v>
      </c>
      <c r="T448" s="4" t="s">
        <v>43</v>
      </c>
      <c r="U448" s="4">
        <v>9292891941</v>
      </c>
      <c r="V448" s="8" t="s">
        <v>34</v>
      </c>
      <c r="W448" s="3"/>
      <c r="X448" s="3"/>
      <c r="Y448" s="3"/>
      <c r="Z448" s="3"/>
    </row>
    <row r="449" spans="1:26" ht="15" thickBot="1" x14ac:dyDescent="0.4">
      <c r="A449" s="9" t="s">
        <v>578</v>
      </c>
      <c r="B449" s="9" t="s">
        <v>23</v>
      </c>
      <c r="C449" s="9" t="s">
        <v>46</v>
      </c>
      <c r="D449" s="10">
        <v>45719</v>
      </c>
      <c r="E449" s="10">
        <v>45730</v>
      </c>
      <c r="F449" s="9" t="s">
        <v>25</v>
      </c>
      <c r="G449" s="9" t="s">
        <v>26</v>
      </c>
      <c r="H449" s="10">
        <v>29383</v>
      </c>
      <c r="I449" s="9" t="s">
        <v>79</v>
      </c>
      <c r="J449" s="9" t="s">
        <v>75</v>
      </c>
      <c r="K449" s="9" t="s">
        <v>39</v>
      </c>
      <c r="L449" s="9" t="s">
        <v>49</v>
      </c>
      <c r="M449" s="11">
        <v>8</v>
      </c>
      <c r="N449" s="11">
        <v>55000</v>
      </c>
      <c r="O449" s="11">
        <v>0</v>
      </c>
      <c r="P449" s="11">
        <v>440000</v>
      </c>
      <c r="Q449" s="11">
        <v>4</v>
      </c>
      <c r="R449" s="9" t="s">
        <v>31</v>
      </c>
      <c r="S449" s="9" t="s">
        <v>80</v>
      </c>
      <c r="T449" s="9" t="s">
        <v>43</v>
      </c>
      <c r="U449" s="9">
        <v>9413789556</v>
      </c>
      <c r="V449" s="12" t="s">
        <v>34</v>
      </c>
      <c r="W449" s="3"/>
      <c r="X449" s="3"/>
      <c r="Y449" s="3"/>
      <c r="Z449" s="3"/>
    </row>
    <row r="450" spans="1:26" ht="15" thickBot="1" x14ac:dyDescent="0.4">
      <c r="A450" s="4" t="s">
        <v>579</v>
      </c>
      <c r="B450" s="4" t="s">
        <v>156</v>
      </c>
      <c r="C450" s="4" t="s">
        <v>56</v>
      </c>
      <c r="D450" s="5">
        <v>46136</v>
      </c>
      <c r="E450" s="5">
        <v>46140</v>
      </c>
      <c r="F450" s="4" t="s">
        <v>106</v>
      </c>
      <c r="G450" s="4" t="s">
        <v>58</v>
      </c>
      <c r="H450" s="5">
        <v>36687</v>
      </c>
      <c r="I450" s="4" t="s">
        <v>91</v>
      </c>
      <c r="J450" s="4" t="s">
        <v>75</v>
      </c>
      <c r="K450" s="4" t="s">
        <v>39</v>
      </c>
      <c r="L450" s="4" t="s">
        <v>59</v>
      </c>
      <c r="M450" s="6">
        <v>4</v>
      </c>
      <c r="N450" s="6">
        <v>1200</v>
      </c>
      <c r="O450" s="6">
        <v>10</v>
      </c>
      <c r="P450" s="6">
        <v>4320</v>
      </c>
      <c r="Q450" s="6">
        <v>4</v>
      </c>
      <c r="R450" s="4" t="s">
        <v>65</v>
      </c>
      <c r="S450" s="4" t="s">
        <v>32</v>
      </c>
      <c r="T450" s="7" t="s">
        <v>580</v>
      </c>
      <c r="U450" s="4">
        <v>98765</v>
      </c>
      <c r="V450" s="4" t="s">
        <v>53</v>
      </c>
      <c r="W450" s="3"/>
      <c r="X450" s="3"/>
      <c r="Y450" s="3"/>
      <c r="Z450" s="3"/>
    </row>
    <row r="451" spans="1:26" ht="15" thickBot="1" x14ac:dyDescent="0.4">
      <c r="A451" s="9" t="s">
        <v>581</v>
      </c>
      <c r="B451" s="9" t="s">
        <v>156</v>
      </c>
      <c r="C451" s="9" t="s">
        <v>105</v>
      </c>
      <c r="D451" s="10">
        <v>46145</v>
      </c>
      <c r="E451" s="10">
        <v>46155</v>
      </c>
      <c r="F451" s="9" t="s">
        <v>106</v>
      </c>
      <c r="G451" s="9" t="s">
        <v>58</v>
      </c>
      <c r="H451" s="10">
        <v>35906</v>
      </c>
      <c r="I451" s="9" t="s">
        <v>147</v>
      </c>
      <c r="J451" s="9" t="s">
        <v>148</v>
      </c>
      <c r="K451" s="9" t="s">
        <v>29</v>
      </c>
      <c r="L451" s="9" t="s">
        <v>107</v>
      </c>
      <c r="M451" s="11">
        <v>14</v>
      </c>
      <c r="N451" s="11">
        <v>8500</v>
      </c>
      <c r="O451" s="11">
        <v>10</v>
      </c>
      <c r="P451" s="11">
        <v>107100</v>
      </c>
      <c r="Q451" s="11">
        <v>4</v>
      </c>
      <c r="R451" s="9" t="s">
        <v>31</v>
      </c>
      <c r="S451" s="9" t="s">
        <v>32</v>
      </c>
      <c r="T451" s="9" t="s">
        <v>158</v>
      </c>
      <c r="U451" s="9">
        <v>9211936331</v>
      </c>
      <c r="V451" s="12" t="s">
        <v>34</v>
      </c>
      <c r="W451" s="3"/>
      <c r="X451" s="3"/>
      <c r="Y451" s="3"/>
      <c r="Z451" s="3"/>
    </row>
    <row r="452" spans="1:26" ht="15" thickBot="1" x14ac:dyDescent="0.4">
      <c r="A452" s="4" t="s">
        <v>582</v>
      </c>
      <c r="B452" s="4" t="s">
        <v>55</v>
      </c>
      <c r="C452" s="4" t="s">
        <v>138</v>
      </c>
      <c r="D452" s="5">
        <v>45807</v>
      </c>
      <c r="E452" s="5">
        <v>45815</v>
      </c>
      <c r="F452" s="4" t="s">
        <v>57</v>
      </c>
      <c r="G452" s="4" t="s">
        <v>58</v>
      </c>
      <c r="H452" s="5">
        <v>30812</v>
      </c>
      <c r="I452" s="4" t="s">
        <v>27</v>
      </c>
      <c r="J452" s="4" t="s">
        <v>28</v>
      </c>
      <c r="K452" s="4" t="s">
        <v>83</v>
      </c>
      <c r="L452" s="4" t="s">
        <v>139</v>
      </c>
      <c r="M452" s="6">
        <v>1</v>
      </c>
      <c r="N452" s="6">
        <v>45</v>
      </c>
      <c r="O452" s="6">
        <v>0</v>
      </c>
      <c r="P452" s="6">
        <v>45</v>
      </c>
      <c r="Q452" s="6">
        <v>3</v>
      </c>
      <c r="R452" s="4" t="s">
        <v>65</v>
      </c>
      <c r="S452" s="4" t="s">
        <v>96</v>
      </c>
      <c r="T452" s="4" t="s">
        <v>61</v>
      </c>
      <c r="U452" s="4">
        <v>9167291747</v>
      </c>
      <c r="V452" s="4" t="s">
        <v>53</v>
      </c>
      <c r="W452" s="3"/>
      <c r="X452" s="3"/>
      <c r="Y452" s="3"/>
      <c r="Z452" s="3"/>
    </row>
    <row r="453" spans="1:26" ht="15" thickBot="1" x14ac:dyDescent="0.4">
      <c r="A453" s="9" t="s">
        <v>583</v>
      </c>
      <c r="B453" s="9" t="s">
        <v>55</v>
      </c>
      <c r="C453" s="9" t="s">
        <v>46</v>
      </c>
      <c r="D453" s="10">
        <v>45705</v>
      </c>
      <c r="E453" s="10">
        <v>45716</v>
      </c>
      <c r="F453" s="9" t="s">
        <v>57</v>
      </c>
      <c r="G453" s="9" t="s">
        <v>58</v>
      </c>
      <c r="H453" s="10">
        <v>31692</v>
      </c>
      <c r="I453" s="9" t="s">
        <v>37</v>
      </c>
      <c r="J453" s="9" t="s">
        <v>38</v>
      </c>
      <c r="K453" s="9" t="s">
        <v>39</v>
      </c>
      <c r="L453" s="9" t="s">
        <v>49</v>
      </c>
      <c r="M453" s="11">
        <v>16</v>
      </c>
      <c r="N453" s="11">
        <v>55000</v>
      </c>
      <c r="O453" s="11">
        <v>15</v>
      </c>
      <c r="P453" s="11">
        <v>748000</v>
      </c>
      <c r="Q453" s="11">
        <v>1</v>
      </c>
      <c r="R453" s="9" t="s">
        <v>60</v>
      </c>
      <c r="S453" s="9" t="s">
        <v>96</v>
      </c>
      <c r="T453" s="9" t="s">
        <v>61</v>
      </c>
      <c r="U453" s="9">
        <v>9637283597</v>
      </c>
      <c r="V453" s="9" t="s">
        <v>53</v>
      </c>
      <c r="W453" s="3"/>
      <c r="X453" s="3"/>
      <c r="Y453" s="3"/>
      <c r="Z453" s="3"/>
    </row>
    <row r="454" spans="1:26" ht="15" thickBot="1" x14ac:dyDescent="0.4">
      <c r="A454" s="4" t="s">
        <v>584</v>
      </c>
      <c r="B454" s="4" t="s">
        <v>45</v>
      </c>
      <c r="C454" s="4" t="s">
        <v>112</v>
      </c>
      <c r="D454" s="5">
        <v>46103</v>
      </c>
      <c r="E454" s="5">
        <v>46110</v>
      </c>
      <c r="F454" s="4" t="s">
        <v>101</v>
      </c>
      <c r="G454" s="4" t="s">
        <v>26</v>
      </c>
      <c r="H454" s="5">
        <v>37926</v>
      </c>
      <c r="I454" s="4" t="s">
        <v>91</v>
      </c>
      <c r="J454" s="4" t="s">
        <v>75</v>
      </c>
      <c r="K454" s="4" t="s">
        <v>39</v>
      </c>
      <c r="L454" s="4" t="s">
        <v>114</v>
      </c>
      <c r="M454" s="6">
        <v>8</v>
      </c>
      <c r="N454" s="6">
        <v>700</v>
      </c>
      <c r="O454" s="6">
        <v>0</v>
      </c>
      <c r="P454" s="6">
        <v>5600</v>
      </c>
      <c r="Q454" s="6">
        <v>3</v>
      </c>
      <c r="R454" s="4" t="s">
        <v>31</v>
      </c>
      <c r="S454" s="4" t="s">
        <v>42</v>
      </c>
      <c r="T454" s="4" t="s">
        <v>51</v>
      </c>
      <c r="U454" s="4">
        <v>9514269002</v>
      </c>
      <c r="V454" s="8" t="s">
        <v>34</v>
      </c>
      <c r="W454" s="3"/>
      <c r="X454" s="3"/>
      <c r="Y454" s="3"/>
      <c r="Z454" s="3"/>
    </row>
    <row r="455" spans="1:26" ht="15" thickBot="1" x14ac:dyDescent="0.4">
      <c r="A455" s="9" t="s">
        <v>585</v>
      </c>
      <c r="B455" s="9" t="s">
        <v>134</v>
      </c>
      <c r="C455" s="9" t="s">
        <v>56</v>
      </c>
      <c r="D455" s="10">
        <v>46114</v>
      </c>
      <c r="E455" s="10">
        <v>46125</v>
      </c>
      <c r="F455" s="9" t="s">
        <v>135</v>
      </c>
      <c r="G455" s="9" t="s">
        <v>26</v>
      </c>
      <c r="H455" s="10">
        <v>37782</v>
      </c>
      <c r="I455" s="9" t="s">
        <v>91</v>
      </c>
      <c r="J455" s="9" t="s">
        <v>75</v>
      </c>
      <c r="K455" s="9" t="s">
        <v>39</v>
      </c>
      <c r="L455" s="9" t="s">
        <v>59</v>
      </c>
      <c r="M455" s="11">
        <v>3</v>
      </c>
      <c r="N455" s="11">
        <v>1200</v>
      </c>
      <c r="O455" s="11">
        <v>0</v>
      </c>
      <c r="P455" s="11">
        <v>3600</v>
      </c>
      <c r="Q455" s="11">
        <v>1</v>
      </c>
      <c r="R455" s="9" t="s">
        <v>60</v>
      </c>
      <c r="S455" s="9" t="s">
        <v>42</v>
      </c>
      <c r="T455" s="9" t="s">
        <v>136</v>
      </c>
      <c r="U455" s="9">
        <v>9778908233</v>
      </c>
      <c r="V455" s="9" t="s">
        <v>53</v>
      </c>
      <c r="W455" s="3"/>
      <c r="X455" s="3"/>
      <c r="Y455" s="3"/>
      <c r="Z455" s="3"/>
    </row>
    <row r="456" spans="1:26" ht="15" thickBot="1" x14ac:dyDescent="0.4">
      <c r="A456" s="4" t="s">
        <v>586</v>
      </c>
      <c r="B456" s="4" t="s">
        <v>55</v>
      </c>
      <c r="C456" s="4" t="s">
        <v>68</v>
      </c>
      <c r="D456" s="5">
        <v>45706</v>
      </c>
      <c r="E456" s="5">
        <v>45714</v>
      </c>
      <c r="F456" s="4" t="s">
        <v>57</v>
      </c>
      <c r="G456" s="4" t="s">
        <v>58</v>
      </c>
      <c r="H456" s="5">
        <v>32959</v>
      </c>
      <c r="I456" s="4" t="s">
        <v>147</v>
      </c>
      <c r="J456" s="4" t="s">
        <v>148</v>
      </c>
      <c r="K456" s="4" t="s">
        <v>29</v>
      </c>
      <c r="L456" s="4" t="s">
        <v>70</v>
      </c>
      <c r="M456" s="6">
        <v>7</v>
      </c>
      <c r="N456" s="6">
        <v>3500</v>
      </c>
      <c r="O456" s="6">
        <v>15</v>
      </c>
      <c r="P456" s="6">
        <v>20825</v>
      </c>
      <c r="Q456" s="6">
        <v>4</v>
      </c>
      <c r="R456" s="4" t="s">
        <v>60</v>
      </c>
      <c r="S456" s="4" t="s">
        <v>50</v>
      </c>
      <c r="T456" s="4" t="s">
        <v>61</v>
      </c>
      <c r="U456" s="4">
        <v>9981118755</v>
      </c>
      <c r="V456" s="4" t="s">
        <v>52</v>
      </c>
      <c r="W456" s="3"/>
      <c r="X456" s="3"/>
      <c r="Y456" s="3"/>
      <c r="Z456" s="3"/>
    </row>
    <row r="457" spans="1:26" ht="15" thickBot="1" x14ac:dyDescent="0.4">
      <c r="A457" s="9" t="s">
        <v>587</v>
      </c>
      <c r="B457" s="9" t="s">
        <v>45</v>
      </c>
      <c r="C457" s="9" t="s">
        <v>46</v>
      </c>
      <c r="D457" s="10">
        <v>46110</v>
      </c>
      <c r="E457" s="10">
        <v>46116</v>
      </c>
      <c r="F457" s="9" t="s">
        <v>101</v>
      </c>
      <c r="G457" s="9" t="s">
        <v>26</v>
      </c>
      <c r="H457" s="10">
        <v>37769</v>
      </c>
      <c r="I457" s="9" t="s">
        <v>79</v>
      </c>
      <c r="J457" s="9" t="s">
        <v>75</v>
      </c>
      <c r="K457" s="9" t="s">
        <v>39</v>
      </c>
      <c r="L457" s="9" t="s">
        <v>49</v>
      </c>
      <c r="M457" s="11">
        <v>9</v>
      </c>
      <c r="N457" s="11">
        <v>55000</v>
      </c>
      <c r="O457" s="11">
        <v>15</v>
      </c>
      <c r="P457" s="11">
        <v>420750</v>
      </c>
      <c r="Q457" s="11">
        <v>3</v>
      </c>
      <c r="R457" s="9" t="s">
        <v>65</v>
      </c>
      <c r="S457" s="9" t="s">
        <v>32</v>
      </c>
      <c r="T457" s="9" t="s">
        <v>51</v>
      </c>
      <c r="U457" s="9">
        <v>9887896743</v>
      </c>
      <c r="V457" s="9" t="s">
        <v>53</v>
      </c>
      <c r="W457" s="3"/>
      <c r="X457" s="3"/>
      <c r="Y457" s="3"/>
      <c r="Z457" s="3"/>
    </row>
    <row r="458" spans="1:26" ht="15" thickBot="1" x14ac:dyDescent="0.4">
      <c r="A458" s="4" t="s">
        <v>588</v>
      </c>
      <c r="B458" s="4" t="s">
        <v>156</v>
      </c>
      <c r="C458" s="4" t="s">
        <v>36</v>
      </c>
      <c r="D458" s="5">
        <v>45992</v>
      </c>
      <c r="E458" s="5">
        <v>45993</v>
      </c>
      <c r="F458" s="4" t="s">
        <v>106</v>
      </c>
      <c r="G458" s="4" t="s">
        <v>58</v>
      </c>
      <c r="H458" s="5">
        <v>34006</v>
      </c>
      <c r="I458" s="4" t="s">
        <v>48</v>
      </c>
      <c r="J458" s="4" t="s">
        <v>28</v>
      </c>
      <c r="K458" s="4" t="s">
        <v>39</v>
      </c>
      <c r="L458" s="4" t="s">
        <v>40</v>
      </c>
      <c r="M458" s="6">
        <v>12</v>
      </c>
      <c r="N458" s="6">
        <v>12000</v>
      </c>
      <c r="O458" s="6">
        <v>0</v>
      </c>
      <c r="P458" s="6">
        <v>144000</v>
      </c>
      <c r="Q458" s="6">
        <v>3</v>
      </c>
      <c r="R458" s="4" t="s">
        <v>60</v>
      </c>
      <c r="S458" s="4" t="s">
        <v>96</v>
      </c>
      <c r="T458" s="4" t="s">
        <v>158</v>
      </c>
      <c r="U458" s="4">
        <v>9585330043</v>
      </c>
      <c r="V458" s="4" t="s">
        <v>53</v>
      </c>
      <c r="W458" s="3"/>
      <c r="X458" s="3"/>
      <c r="Y458" s="3"/>
      <c r="Z458" s="3"/>
    </row>
    <row r="459" spans="1:26" ht="15" thickBot="1" x14ac:dyDescent="0.4">
      <c r="A459" s="9" t="s">
        <v>589</v>
      </c>
      <c r="B459" s="9" t="s">
        <v>72</v>
      </c>
      <c r="C459" s="9" t="s">
        <v>82</v>
      </c>
      <c r="D459" s="10">
        <v>45781</v>
      </c>
      <c r="E459" s="10">
        <v>45788</v>
      </c>
      <c r="F459" s="9" t="s">
        <v>73</v>
      </c>
      <c r="G459" s="9" t="s">
        <v>26</v>
      </c>
      <c r="H459" s="10">
        <v>27639</v>
      </c>
      <c r="I459" s="9" t="s">
        <v>91</v>
      </c>
      <c r="J459" s="9" t="s">
        <v>75</v>
      </c>
      <c r="K459" s="9" t="s">
        <v>83</v>
      </c>
      <c r="L459" s="9" t="s">
        <v>84</v>
      </c>
      <c r="M459" s="11">
        <v>7</v>
      </c>
      <c r="N459" s="11">
        <v>60</v>
      </c>
      <c r="O459" s="11">
        <v>10</v>
      </c>
      <c r="P459" s="11">
        <v>378</v>
      </c>
      <c r="Q459" s="11">
        <v>4</v>
      </c>
      <c r="R459" s="9" t="s">
        <v>31</v>
      </c>
      <c r="S459" s="9" t="s">
        <v>42</v>
      </c>
      <c r="T459" s="9" t="s">
        <v>93</v>
      </c>
      <c r="U459" s="9">
        <v>9423719975</v>
      </c>
      <c r="V459" s="9" t="s">
        <v>53</v>
      </c>
      <c r="W459" s="3"/>
      <c r="X459" s="3"/>
      <c r="Y459" s="3"/>
      <c r="Z459" s="3"/>
    </row>
    <row r="460" spans="1:26" ht="15" thickBot="1" x14ac:dyDescent="0.4">
      <c r="A460" s="4" t="s">
        <v>590</v>
      </c>
      <c r="B460" s="4" t="s">
        <v>124</v>
      </c>
      <c r="C460" s="4" t="s">
        <v>24</v>
      </c>
      <c r="D460" s="5">
        <v>45892</v>
      </c>
      <c r="E460" s="5">
        <v>45900</v>
      </c>
      <c r="F460" s="4" t="s">
        <v>126</v>
      </c>
      <c r="G460" s="4" t="s">
        <v>58</v>
      </c>
      <c r="H460" s="5">
        <v>34586</v>
      </c>
      <c r="I460" s="4" t="s">
        <v>74</v>
      </c>
      <c r="J460" s="4" t="s">
        <v>75</v>
      </c>
      <c r="K460" s="4" t="s">
        <v>29</v>
      </c>
      <c r="L460" s="4" t="s">
        <v>30</v>
      </c>
      <c r="M460" s="6">
        <v>17</v>
      </c>
      <c r="N460" s="6">
        <v>2200</v>
      </c>
      <c r="O460" s="6">
        <v>15</v>
      </c>
      <c r="P460" s="6">
        <v>31790</v>
      </c>
      <c r="Q460" s="6">
        <v>3</v>
      </c>
      <c r="R460" s="4" t="s">
        <v>65</v>
      </c>
      <c r="S460" s="4" t="s">
        <v>96</v>
      </c>
      <c r="T460" s="4" t="s">
        <v>128</v>
      </c>
      <c r="U460" s="4">
        <v>9270746961</v>
      </c>
      <c r="V460" s="4" t="s">
        <v>52</v>
      </c>
      <c r="W460" s="3"/>
      <c r="X460" s="3"/>
      <c r="Y460" s="3"/>
      <c r="Z460" s="3"/>
    </row>
    <row r="461" spans="1:26" ht="15" thickBot="1" x14ac:dyDescent="0.4">
      <c r="A461" s="9" t="s">
        <v>591</v>
      </c>
      <c r="B461" s="9" t="s">
        <v>156</v>
      </c>
      <c r="C461" s="9" t="s">
        <v>112</v>
      </c>
      <c r="D461" s="10">
        <v>45988</v>
      </c>
      <c r="E461" s="10">
        <v>45997</v>
      </c>
      <c r="F461" s="9" t="s">
        <v>106</v>
      </c>
      <c r="G461" s="9" t="s">
        <v>58</v>
      </c>
      <c r="H461" s="10">
        <v>33884</v>
      </c>
      <c r="I461" s="9" t="s">
        <v>48</v>
      </c>
      <c r="J461" s="9" t="s">
        <v>28</v>
      </c>
      <c r="K461" s="9" t="s">
        <v>39</v>
      </c>
      <c r="L461" s="9" t="s">
        <v>114</v>
      </c>
      <c r="M461" s="11">
        <v>17</v>
      </c>
      <c r="N461" s="11">
        <v>700</v>
      </c>
      <c r="O461" s="11">
        <v>10</v>
      </c>
      <c r="P461" s="11">
        <v>10710</v>
      </c>
      <c r="Q461" s="11">
        <v>2</v>
      </c>
      <c r="R461" s="9" t="s">
        <v>31</v>
      </c>
      <c r="S461" s="9" t="s">
        <v>50</v>
      </c>
      <c r="T461" s="9" t="s">
        <v>158</v>
      </c>
      <c r="U461" s="9">
        <v>9333162025</v>
      </c>
      <c r="V461" s="9" t="s">
        <v>52</v>
      </c>
      <c r="W461" s="3"/>
      <c r="X461" s="3"/>
      <c r="Y461" s="3"/>
      <c r="Z461" s="3"/>
    </row>
    <row r="462" spans="1:26" ht="15" thickBot="1" x14ac:dyDescent="0.4">
      <c r="A462" s="4" t="s">
        <v>592</v>
      </c>
      <c r="B462" s="4" t="s">
        <v>156</v>
      </c>
      <c r="C462" s="4" t="s">
        <v>46</v>
      </c>
      <c r="D462" s="5">
        <v>45806</v>
      </c>
      <c r="E462" s="5">
        <v>45809</v>
      </c>
      <c r="F462" s="4" t="s">
        <v>106</v>
      </c>
      <c r="G462" s="4" t="s">
        <v>58</v>
      </c>
      <c r="H462" s="5">
        <v>37454</v>
      </c>
      <c r="I462" s="4" t="s">
        <v>37</v>
      </c>
      <c r="J462" s="4" t="s">
        <v>38</v>
      </c>
      <c r="K462" s="4" t="s">
        <v>39</v>
      </c>
      <c r="L462" s="4" t="s">
        <v>49</v>
      </c>
      <c r="M462" s="6">
        <v>19</v>
      </c>
      <c r="N462" s="6">
        <v>55000</v>
      </c>
      <c r="O462" s="6">
        <v>20</v>
      </c>
      <c r="P462" s="6">
        <v>836000</v>
      </c>
      <c r="Q462" s="6">
        <v>5</v>
      </c>
      <c r="R462" s="4" t="s">
        <v>41</v>
      </c>
      <c r="S462" s="4" t="s">
        <v>50</v>
      </c>
      <c r="T462" s="4" t="s">
        <v>158</v>
      </c>
      <c r="U462" s="4">
        <v>9247023285</v>
      </c>
      <c r="V462" s="8" t="s">
        <v>34</v>
      </c>
      <c r="W462" s="3"/>
      <c r="X462" s="3"/>
      <c r="Y462" s="3"/>
      <c r="Z462" s="3"/>
    </row>
    <row r="463" spans="1:26" ht="15" thickBot="1" x14ac:dyDescent="0.4">
      <c r="A463" s="9" t="s">
        <v>593</v>
      </c>
      <c r="B463" s="9" t="s">
        <v>87</v>
      </c>
      <c r="C463" s="9" t="s">
        <v>82</v>
      </c>
      <c r="D463" s="10">
        <v>45912</v>
      </c>
      <c r="E463" s="10">
        <v>45919</v>
      </c>
      <c r="F463" s="9" t="s">
        <v>88</v>
      </c>
      <c r="G463" s="9" t="s">
        <v>58</v>
      </c>
      <c r="H463" s="10">
        <v>36925</v>
      </c>
      <c r="I463" s="9" t="s">
        <v>37</v>
      </c>
      <c r="J463" s="9" t="s">
        <v>38</v>
      </c>
      <c r="K463" s="9" t="s">
        <v>83</v>
      </c>
      <c r="L463" s="9" t="s">
        <v>84</v>
      </c>
      <c r="M463" s="11">
        <v>1</v>
      </c>
      <c r="N463" s="11">
        <v>60</v>
      </c>
      <c r="O463" s="11">
        <v>10</v>
      </c>
      <c r="P463" s="11">
        <v>54</v>
      </c>
      <c r="Q463" s="11">
        <v>4</v>
      </c>
      <c r="R463" s="12" t="s">
        <v>41</v>
      </c>
      <c r="S463" s="9"/>
      <c r="T463" s="13" t="s">
        <v>594</v>
      </c>
      <c r="U463" s="9">
        <v>9448658297</v>
      </c>
      <c r="V463" s="9" t="s">
        <v>53</v>
      </c>
      <c r="W463" s="3"/>
      <c r="X463" s="3"/>
      <c r="Y463" s="3"/>
      <c r="Z463" s="3"/>
    </row>
    <row r="464" spans="1:26" ht="15" thickBot="1" x14ac:dyDescent="0.4">
      <c r="A464" s="4" t="s">
        <v>595</v>
      </c>
      <c r="B464" s="4" t="s">
        <v>55</v>
      </c>
      <c r="C464" s="4" t="s">
        <v>68</v>
      </c>
      <c r="D464" s="5">
        <v>46085</v>
      </c>
      <c r="E464" s="5">
        <v>46092</v>
      </c>
      <c r="F464" s="4" t="s">
        <v>57</v>
      </c>
      <c r="G464" s="4" t="s">
        <v>58</v>
      </c>
      <c r="H464" s="5">
        <v>33047</v>
      </c>
      <c r="I464" s="4" t="s">
        <v>27</v>
      </c>
      <c r="J464" s="4" t="s">
        <v>28</v>
      </c>
      <c r="K464" s="4" t="s">
        <v>29</v>
      </c>
      <c r="L464" s="4" t="s">
        <v>70</v>
      </c>
      <c r="M464" s="6">
        <v>16</v>
      </c>
      <c r="N464" s="6">
        <v>3500</v>
      </c>
      <c r="O464" s="6">
        <v>0</v>
      </c>
      <c r="P464" s="6">
        <v>56000</v>
      </c>
      <c r="Q464" s="6">
        <v>4</v>
      </c>
      <c r="R464" s="4" t="s">
        <v>41</v>
      </c>
      <c r="S464" s="4" t="s">
        <v>32</v>
      </c>
      <c r="T464" s="4" t="s">
        <v>61</v>
      </c>
      <c r="U464" s="4">
        <v>9906748486</v>
      </c>
      <c r="V464" s="4" t="s">
        <v>52</v>
      </c>
      <c r="W464" s="3"/>
      <c r="X464" s="3"/>
      <c r="Y464" s="3"/>
      <c r="Z464" s="3"/>
    </row>
    <row r="465" spans="1:26" ht="15" thickBot="1" x14ac:dyDescent="0.4">
      <c r="A465" s="9" t="s">
        <v>596</v>
      </c>
      <c r="B465" s="9" t="s">
        <v>87</v>
      </c>
      <c r="C465" s="9" t="s">
        <v>125</v>
      </c>
      <c r="D465" s="10">
        <v>45681</v>
      </c>
      <c r="E465" s="10">
        <v>45693</v>
      </c>
      <c r="F465" s="9" t="s">
        <v>88</v>
      </c>
      <c r="G465" s="9" t="s">
        <v>58</v>
      </c>
      <c r="H465" s="10">
        <v>28623</v>
      </c>
      <c r="I465" s="9" t="s">
        <v>79</v>
      </c>
      <c r="J465" s="9" t="s">
        <v>75</v>
      </c>
      <c r="K465" s="9" t="s">
        <v>83</v>
      </c>
      <c r="L465" s="9" t="s">
        <v>127</v>
      </c>
      <c r="M465" s="11">
        <v>14</v>
      </c>
      <c r="N465" s="11">
        <v>20</v>
      </c>
      <c r="O465" s="11">
        <v>10</v>
      </c>
      <c r="P465" s="11">
        <v>252</v>
      </c>
      <c r="Q465" s="11">
        <v>1</v>
      </c>
      <c r="R465" s="9" t="s">
        <v>41</v>
      </c>
      <c r="S465" s="9" t="s">
        <v>50</v>
      </c>
      <c r="T465" s="9" t="s">
        <v>89</v>
      </c>
      <c r="U465" s="9">
        <v>9365182725</v>
      </c>
      <c r="V465" s="9" t="s">
        <v>52</v>
      </c>
      <c r="W465" s="3"/>
      <c r="X465" s="3"/>
      <c r="Y465" s="3"/>
      <c r="Z465" s="3"/>
    </row>
    <row r="466" spans="1:26" ht="15" thickBot="1" x14ac:dyDescent="0.4">
      <c r="A466" s="4" t="s">
        <v>597</v>
      </c>
      <c r="B466" s="4" t="s">
        <v>55</v>
      </c>
      <c r="C466" s="4" t="s">
        <v>24</v>
      </c>
      <c r="D466" s="5">
        <v>46004</v>
      </c>
      <c r="E466" s="5">
        <v>46005</v>
      </c>
      <c r="F466" s="4" t="s">
        <v>57</v>
      </c>
      <c r="G466" s="4" t="s">
        <v>58</v>
      </c>
      <c r="H466" s="5">
        <v>36729</v>
      </c>
      <c r="I466" s="4" t="s">
        <v>48</v>
      </c>
      <c r="J466" s="4" t="s">
        <v>28</v>
      </c>
      <c r="K466" s="4" t="s">
        <v>29</v>
      </c>
      <c r="L466" s="4" t="s">
        <v>30</v>
      </c>
      <c r="M466" s="6">
        <v>11</v>
      </c>
      <c r="N466" s="6">
        <v>2200</v>
      </c>
      <c r="O466" s="6">
        <v>15</v>
      </c>
      <c r="P466" s="6">
        <v>20570</v>
      </c>
      <c r="Q466" s="6">
        <v>4</v>
      </c>
      <c r="R466" s="4" t="s">
        <v>41</v>
      </c>
      <c r="S466" s="4" t="s">
        <v>42</v>
      </c>
      <c r="T466" s="4" t="s">
        <v>61</v>
      </c>
      <c r="U466" s="4">
        <v>9937119494</v>
      </c>
      <c r="V466" s="4" t="s">
        <v>53</v>
      </c>
      <c r="W466" s="3"/>
      <c r="X466" s="3"/>
      <c r="Y466" s="3"/>
      <c r="Z466" s="3"/>
    </row>
    <row r="467" spans="1:26" ht="15" thickBot="1" x14ac:dyDescent="0.4">
      <c r="A467" s="9" t="s">
        <v>598</v>
      </c>
      <c r="B467" s="9" t="s">
        <v>63</v>
      </c>
      <c r="C467" s="9" t="s">
        <v>46</v>
      </c>
      <c r="D467" s="10">
        <v>45870</v>
      </c>
      <c r="E467" s="10">
        <v>45878</v>
      </c>
      <c r="F467" s="9" t="s">
        <v>110</v>
      </c>
      <c r="G467" s="9" t="s">
        <v>58</v>
      </c>
      <c r="H467" s="10">
        <v>31126</v>
      </c>
      <c r="I467" s="9" t="s">
        <v>121</v>
      </c>
      <c r="J467" s="9" t="s">
        <v>38</v>
      </c>
      <c r="K467" s="9" t="s">
        <v>39</v>
      </c>
      <c r="L467" s="9" t="s">
        <v>49</v>
      </c>
      <c r="M467" s="11">
        <v>2</v>
      </c>
      <c r="N467" s="11">
        <v>55000</v>
      </c>
      <c r="O467" s="11">
        <v>0</v>
      </c>
      <c r="P467" s="11">
        <v>110000</v>
      </c>
      <c r="Q467" s="11">
        <v>4</v>
      </c>
      <c r="R467" s="9" t="s">
        <v>41</v>
      </c>
      <c r="S467" s="9" t="s">
        <v>42</v>
      </c>
      <c r="T467" s="9" t="s">
        <v>66</v>
      </c>
      <c r="U467" s="9">
        <v>9828015293</v>
      </c>
      <c r="V467" s="9" t="s">
        <v>53</v>
      </c>
      <c r="W467" s="3"/>
      <c r="X467" s="3"/>
      <c r="Y467" s="3"/>
      <c r="Z467" s="3"/>
    </row>
    <row r="468" spans="1:26" ht="15" thickBot="1" x14ac:dyDescent="0.4">
      <c r="A468" s="4" t="s">
        <v>599</v>
      </c>
      <c r="B468" s="4" t="s">
        <v>45</v>
      </c>
      <c r="C468" s="4" t="s">
        <v>24</v>
      </c>
      <c r="D468" s="5">
        <v>45658</v>
      </c>
      <c r="E468" s="5">
        <v>45664</v>
      </c>
      <c r="F468" s="4" t="s">
        <v>101</v>
      </c>
      <c r="G468" s="4" t="s">
        <v>26</v>
      </c>
      <c r="H468" s="5">
        <v>32181</v>
      </c>
      <c r="I468" s="4" t="s">
        <v>79</v>
      </c>
      <c r="J468" s="4" t="s">
        <v>75</v>
      </c>
      <c r="K468" s="4" t="s">
        <v>29</v>
      </c>
      <c r="L468" s="4" t="s">
        <v>30</v>
      </c>
      <c r="M468" s="6">
        <v>7</v>
      </c>
      <c r="N468" s="6">
        <v>2200</v>
      </c>
      <c r="O468" s="6">
        <v>5</v>
      </c>
      <c r="P468" s="6">
        <v>14630</v>
      </c>
      <c r="Q468" s="6">
        <v>4</v>
      </c>
      <c r="R468" s="4" t="s">
        <v>60</v>
      </c>
      <c r="S468" s="4" t="s">
        <v>80</v>
      </c>
      <c r="T468" s="4" t="s">
        <v>51</v>
      </c>
      <c r="U468" s="4">
        <v>9864206250</v>
      </c>
      <c r="V468" s="4" t="s">
        <v>53</v>
      </c>
      <c r="W468" s="3"/>
      <c r="X468" s="3"/>
      <c r="Y468" s="3"/>
      <c r="Z468" s="3"/>
    </row>
    <row r="469" spans="1:26" ht="15" thickBot="1" x14ac:dyDescent="0.4">
      <c r="A469" s="9" t="s">
        <v>600</v>
      </c>
      <c r="B469" s="9" t="s">
        <v>23</v>
      </c>
      <c r="C469" s="9" t="s">
        <v>138</v>
      </c>
      <c r="D469" s="10">
        <v>45755</v>
      </c>
      <c r="E469" s="10">
        <v>45759</v>
      </c>
      <c r="F469" s="9" t="s">
        <v>25</v>
      </c>
      <c r="G469" s="9" t="s">
        <v>26</v>
      </c>
      <c r="H469" s="10">
        <v>35546</v>
      </c>
      <c r="I469" s="9" t="s">
        <v>91</v>
      </c>
      <c r="J469" s="9" t="s">
        <v>75</v>
      </c>
      <c r="K469" s="9" t="s">
        <v>83</v>
      </c>
      <c r="L469" s="9" t="s">
        <v>139</v>
      </c>
      <c r="M469" s="11">
        <v>11</v>
      </c>
      <c r="N469" s="11">
        <v>45</v>
      </c>
      <c r="O469" s="11">
        <v>15</v>
      </c>
      <c r="P469" s="11">
        <v>420.75</v>
      </c>
      <c r="Q469" s="11">
        <v>4</v>
      </c>
      <c r="R469" s="9" t="s">
        <v>60</v>
      </c>
      <c r="S469" s="9" t="s">
        <v>50</v>
      </c>
      <c r="T469" s="9" t="s">
        <v>43</v>
      </c>
      <c r="U469" s="9">
        <v>9519293104</v>
      </c>
      <c r="V469" s="9" t="s">
        <v>52</v>
      </c>
      <c r="W469" s="3"/>
      <c r="X469" s="3"/>
      <c r="Y469" s="3"/>
      <c r="Z469" s="3"/>
    </row>
    <row r="470" spans="1:26" ht="15" thickBot="1" x14ac:dyDescent="0.4">
      <c r="A470" s="4" t="s">
        <v>601</v>
      </c>
      <c r="B470" s="4" t="s">
        <v>72</v>
      </c>
      <c r="C470" s="4" t="s">
        <v>82</v>
      </c>
      <c r="D470" s="5">
        <v>45767</v>
      </c>
      <c r="E470" s="5">
        <v>45777</v>
      </c>
      <c r="F470" s="4" t="s">
        <v>73</v>
      </c>
      <c r="G470" s="4" t="s">
        <v>26</v>
      </c>
      <c r="H470" s="5">
        <v>37033</v>
      </c>
      <c r="I470" s="4" t="s">
        <v>74</v>
      </c>
      <c r="J470" s="4" t="s">
        <v>75</v>
      </c>
      <c r="K470" s="4" t="s">
        <v>83</v>
      </c>
      <c r="L470" s="4" t="s">
        <v>84</v>
      </c>
      <c r="M470" s="6">
        <v>16</v>
      </c>
      <c r="N470" s="6">
        <v>60</v>
      </c>
      <c r="O470" s="6">
        <v>5</v>
      </c>
      <c r="P470" s="6">
        <v>912</v>
      </c>
      <c r="Q470" s="6">
        <v>2</v>
      </c>
      <c r="R470" s="4" t="s">
        <v>31</v>
      </c>
      <c r="S470" s="4" t="s">
        <v>80</v>
      </c>
      <c r="T470" s="4" t="s">
        <v>93</v>
      </c>
      <c r="U470" s="4">
        <v>9296075245</v>
      </c>
      <c r="V470" s="4" t="s">
        <v>53</v>
      </c>
      <c r="W470" s="3"/>
      <c r="X470" s="3"/>
      <c r="Y470" s="3"/>
      <c r="Z470" s="3"/>
    </row>
    <row r="471" spans="1:26" ht="15" thickBot="1" x14ac:dyDescent="0.4">
      <c r="A471" s="9" t="s">
        <v>602</v>
      </c>
      <c r="B471" s="9" t="s">
        <v>156</v>
      </c>
      <c r="C471" s="9" t="s">
        <v>46</v>
      </c>
      <c r="D471" s="10">
        <v>45963</v>
      </c>
      <c r="E471" s="10">
        <v>45965</v>
      </c>
      <c r="F471" s="9" t="s">
        <v>106</v>
      </c>
      <c r="G471" s="9" t="s">
        <v>58</v>
      </c>
      <c r="H471" s="10">
        <v>30121</v>
      </c>
      <c r="I471" s="9" t="s">
        <v>79</v>
      </c>
      <c r="J471" s="9" t="s">
        <v>75</v>
      </c>
      <c r="K471" s="9" t="s">
        <v>39</v>
      </c>
      <c r="L471" s="9" t="s">
        <v>49</v>
      </c>
      <c r="M471" s="11">
        <v>18</v>
      </c>
      <c r="N471" s="11">
        <v>55000</v>
      </c>
      <c r="O471" s="11">
        <v>0</v>
      </c>
      <c r="P471" s="11">
        <v>990000</v>
      </c>
      <c r="Q471" s="11">
        <v>5</v>
      </c>
      <c r="R471" s="9" t="s">
        <v>41</v>
      </c>
      <c r="S471" s="9" t="s">
        <v>42</v>
      </c>
      <c r="T471" s="9" t="s">
        <v>158</v>
      </c>
      <c r="U471" s="9">
        <v>9316770206</v>
      </c>
      <c r="V471" s="9" t="s">
        <v>52</v>
      </c>
      <c r="W471" s="3"/>
      <c r="X471" s="3"/>
      <c r="Y471" s="3"/>
      <c r="Z471" s="3"/>
    </row>
    <row r="472" spans="1:26" ht="15" thickBot="1" x14ac:dyDescent="0.4">
      <c r="A472" s="4" t="s">
        <v>603</v>
      </c>
      <c r="B472" s="4" t="s">
        <v>23</v>
      </c>
      <c r="C472" s="4" t="s">
        <v>56</v>
      </c>
      <c r="D472" s="5">
        <v>45948</v>
      </c>
      <c r="E472" s="5">
        <v>45952</v>
      </c>
      <c r="F472" s="4" t="s">
        <v>25</v>
      </c>
      <c r="G472" s="4" t="s">
        <v>26</v>
      </c>
      <c r="H472" s="5">
        <v>36334</v>
      </c>
      <c r="I472" s="4" t="s">
        <v>48</v>
      </c>
      <c r="J472" s="4" t="s">
        <v>28</v>
      </c>
      <c r="K472" s="4" t="s">
        <v>39</v>
      </c>
      <c r="L472" s="4" t="s">
        <v>59</v>
      </c>
      <c r="M472" s="6">
        <v>17</v>
      </c>
      <c r="N472" s="6">
        <v>1200</v>
      </c>
      <c r="O472" s="6">
        <v>5</v>
      </c>
      <c r="P472" s="6">
        <v>19380</v>
      </c>
      <c r="Q472" s="6">
        <v>1</v>
      </c>
      <c r="R472" s="4" t="s">
        <v>41</v>
      </c>
      <c r="S472" s="4" t="s">
        <v>32</v>
      </c>
      <c r="T472" s="4" t="s">
        <v>43</v>
      </c>
      <c r="U472" s="4">
        <v>9706553861</v>
      </c>
      <c r="V472" s="4" t="s">
        <v>52</v>
      </c>
      <c r="W472" s="3"/>
      <c r="X472" s="3"/>
      <c r="Y472" s="3"/>
      <c r="Z472" s="3"/>
    </row>
    <row r="473" spans="1:26" ht="15" thickBot="1" x14ac:dyDescent="0.4">
      <c r="A473" s="9" t="s">
        <v>604</v>
      </c>
      <c r="B473" s="9" t="s">
        <v>45</v>
      </c>
      <c r="C473" s="9" t="s">
        <v>46</v>
      </c>
      <c r="D473" s="10">
        <v>45774</v>
      </c>
      <c r="E473" s="10">
        <v>45782</v>
      </c>
      <c r="F473" s="9" t="s">
        <v>101</v>
      </c>
      <c r="G473" s="9" t="s">
        <v>26</v>
      </c>
      <c r="H473" s="10">
        <v>36924</v>
      </c>
      <c r="I473" s="9" t="s">
        <v>79</v>
      </c>
      <c r="J473" s="9" t="s">
        <v>75</v>
      </c>
      <c r="K473" s="9" t="s">
        <v>39</v>
      </c>
      <c r="L473" s="9" t="s">
        <v>49</v>
      </c>
      <c r="M473" s="11">
        <v>11</v>
      </c>
      <c r="N473" s="11">
        <v>55000</v>
      </c>
      <c r="O473" s="11">
        <v>0</v>
      </c>
      <c r="P473" s="11">
        <v>605000</v>
      </c>
      <c r="Q473" s="11">
        <v>2</v>
      </c>
      <c r="R473" s="9" t="s">
        <v>31</v>
      </c>
      <c r="S473" s="9" t="s">
        <v>50</v>
      </c>
      <c r="T473" s="9" t="s">
        <v>51</v>
      </c>
      <c r="U473" s="9">
        <v>9524904662</v>
      </c>
      <c r="V473" s="9" t="s">
        <v>52</v>
      </c>
      <c r="W473" s="3"/>
      <c r="X473" s="3"/>
      <c r="Y473" s="3"/>
      <c r="Z473" s="3"/>
    </row>
    <row r="474" spans="1:26" ht="15" thickBot="1" x14ac:dyDescent="0.4">
      <c r="A474" s="4" t="s">
        <v>605</v>
      </c>
      <c r="B474" s="4" t="s">
        <v>134</v>
      </c>
      <c r="C474" s="4" t="s">
        <v>112</v>
      </c>
      <c r="D474" s="5">
        <v>45799</v>
      </c>
      <c r="E474" s="5">
        <v>45808</v>
      </c>
      <c r="F474" s="4" t="s">
        <v>135</v>
      </c>
      <c r="G474" s="4" t="s">
        <v>26</v>
      </c>
      <c r="H474" s="5">
        <v>36200</v>
      </c>
      <c r="I474" s="4" t="s">
        <v>37</v>
      </c>
      <c r="J474" s="4" t="s">
        <v>38</v>
      </c>
      <c r="K474" s="4" t="s">
        <v>39</v>
      </c>
      <c r="L474" s="4" t="s">
        <v>114</v>
      </c>
      <c r="M474" s="6">
        <v>20</v>
      </c>
      <c r="N474" s="6">
        <v>700</v>
      </c>
      <c r="O474" s="6">
        <v>20</v>
      </c>
      <c r="P474" s="6">
        <v>11200</v>
      </c>
      <c r="Q474" s="6">
        <v>5</v>
      </c>
      <c r="R474" s="4" t="s">
        <v>41</v>
      </c>
      <c r="S474" s="4" t="s">
        <v>50</v>
      </c>
      <c r="T474" s="4" t="s">
        <v>136</v>
      </c>
      <c r="U474" s="4">
        <v>9577624596</v>
      </c>
      <c r="V474" s="8" t="s">
        <v>34</v>
      </c>
      <c r="W474" s="3"/>
      <c r="X474" s="3"/>
      <c r="Y474" s="3"/>
      <c r="Z474" s="3"/>
    </row>
    <row r="475" spans="1:26" ht="15" thickBot="1" x14ac:dyDescent="0.4">
      <c r="A475" s="9" t="s">
        <v>606</v>
      </c>
      <c r="B475" s="9" t="s">
        <v>55</v>
      </c>
      <c r="C475" s="9" t="s">
        <v>125</v>
      </c>
      <c r="D475" s="10">
        <v>46050</v>
      </c>
      <c r="E475" s="10">
        <v>46061</v>
      </c>
      <c r="F475" s="9" t="s">
        <v>57</v>
      </c>
      <c r="G475" s="9" t="s">
        <v>58</v>
      </c>
      <c r="H475" s="10">
        <v>32269</v>
      </c>
      <c r="I475" s="9" t="s">
        <v>37</v>
      </c>
      <c r="J475" s="9" t="s">
        <v>38</v>
      </c>
      <c r="K475" s="9" t="s">
        <v>83</v>
      </c>
      <c r="L475" s="9" t="s">
        <v>127</v>
      </c>
      <c r="M475" s="11">
        <v>5</v>
      </c>
      <c r="N475" s="11">
        <v>20</v>
      </c>
      <c r="O475" s="11">
        <v>5</v>
      </c>
      <c r="P475" s="11">
        <v>95</v>
      </c>
      <c r="Q475" s="11">
        <v>4</v>
      </c>
      <c r="R475" s="9" t="s">
        <v>31</v>
      </c>
      <c r="S475" s="9" t="s">
        <v>42</v>
      </c>
      <c r="T475" s="9" t="s">
        <v>61</v>
      </c>
      <c r="U475" s="9">
        <v>9898452436</v>
      </c>
      <c r="V475" s="9" t="s">
        <v>53</v>
      </c>
      <c r="W475" s="3"/>
      <c r="X475" s="3"/>
      <c r="Y475" s="3"/>
      <c r="Z475" s="3"/>
    </row>
    <row r="476" spans="1:26" ht="15" thickBot="1" x14ac:dyDescent="0.4">
      <c r="A476" s="4" t="s">
        <v>607</v>
      </c>
      <c r="B476" s="4" t="s">
        <v>156</v>
      </c>
      <c r="C476" s="4" t="s">
        <v>46</v>
      </c>
      <c r="D476" s="5">
        <v>45692</v>
      </c>
      <c r="E476" s="5">
        <v>45699</v>
      </c>
      <c r="F476" s="4" t="s">
        <v>106</v>
      </c>
      <c r="G476" s="4" t="s">
        <v>58</v>
      </c>
      <c r="H476" s="5">
        <v>27437</v>
      </c>
      <c r="I476" s="4" t="s">
        <v>74</v>
      </c>
      <c r="J476" s="4" t="s">
        <v>75</v>
      </c>
      <c r="K476" s="4" t="s">
        <v>39</v>
      </c>
      <c r="L476" s="4" t="s">
        <v>49</v>
      </c>
      <c r="M476" s="6">
        <v>13</v>
      </c>
      <c r="N476" s="6">
        <v>55000</v>
      </c>
      <c r="O476" s="6">
        <v>5</v>
      </c>
      <c r="P476" s="6">
        <v>679250</v>
      </c>
      <c r="Q476" s="6">
        <v>1</v>
      </c>
      <c r="R476" s="4" t="s">
        <v>41</v>
      </c>
      <c r="S476" s="4" t="s">
        <v>42</v>
      </c>
      <c r="T476" s="4" t="s">
        <v>158</v>
      </c>
      <c r="U476" s="4">
        <v>9960757012</v>
      </c>
      <c r="V476" s="4" t="s">
        <v>52</v>
      </c>
      <c r="W476" s="3"/>
      <c r="X476" s="3"/>
      <c r="Y476" s="3"/>
      <c r="Z476" s="3"/>
    </row>
    <row r="477" spans="1:26" ht="15" thickBot="1" x14ac:dyDescent="0.4">
      <c r="A477" s="9" t="s">
        <v>608</v>
      </c>
      <c r="B477" s="9" t="s">
        <v>87</v>
      </c>
      <c r="C477" s="9" t="s">
        <v>46</v>
      </c>
      <c r="D477" s="10">
        <v>45766</v>
      </c>
      <c r="E477" s="10">
        <v>45767</v>
      </c>
      <c r="F477" s="9" t="s">
        <v>88</v>
      </c>
      <c r="G477" s="9" t="s">
        <v>58</v>
      </c>
      <c r="H477" s="10">
        <v>37987</v>
      </c>
      <c r="I477" s="9" t="s">
        <v>147</v>
      </c>
      <c r="J477" s="9" t="s">
        <v>148</v>
      </c>
      <c r="K477" s="9" t="s">
        <v>39</v>
      </c>
      <c r="L477" s="9" t="s">
        <v>49</v>
      </c>
      <c r="M477" s="11">
        <v>12</v>
      </c>
      <c r="N477" s="11">
        <v>55000</v>
      </c>
      <c r="O477" s="11">
        <v>5</v>
      </c>
      <c r="P477" s="11">
        <v>627000</v>
      </c>
      <c r="Q477" s="11">
        <v>1</v>
      </c>
      <c r="R477" s="9" t="s">
        <v>41</v>
      </c>
      <c r="S477" s="9" t="s">
        <v>80</v>
      </c>
      <c r="T477" s="9" t="s">
        <v>89</v>
      </c>
      <c r="U477" s="9">
        <v>9331268182</v>
      </c>
      <c r="V477" s="9" t="s">
        <v>53</v>
      </c>
      <c r="W477" s="3"/>
      <c r="X477" s="3"/>
      <c r="Y477" s="3"/>
      <c r="Z477" s="3"/>
    </row>
    <row r="478" spans="1:26" ht="15" thickBot="1" x14ac:dyDescent="0.4">
      <c r="A478" s="4" t="s">
        <v>609</v>
      </c>
      <c r="B478" s="4" t="s">
        <v>45</v>
      </c>
      <c r="C478" s="4" t="s">
        <v>138</v>
      </c>
      <c r="D478" s="5">
        <v>45678</v>
      </c>
      <c r="E478" s="5">
        <v>45685</v>
      </c>
      <c r="F478" s="4" t="s">
        <v>101</v>
      </c>
      <c r="G478" s="4" t="s">
        <v>26</v>
      </c>
      <c r="H478" s="5">
        <v>37126</v>
      </c>
      <c r="I478" s="4" t="s">
        <v>74</v>
      </c>
      <c r="J478" s="4" t="s">
        <v>75</v>
      </c>
      <c r="K478" s="4" t="s">
        <v>83</v>
      </c>
      <c r="L478" s="4" t="s">
        <v>139</v>
      </c>
      <c r="M478" s="6">
        <v>16</v>
      </c>
      <c r="N478" s="6">
        <v>45</v>
      </c>
      <c r="O478" s="6">
        <v>20</v>
      </c>
      <c r="P478" s="6">
        <v>576</v>
      </c>
      <c r="Q478" s="6">
        <v>2</v>
      </c>
      <c r="R478" s="4" t="s">
        <v>31</v>
      </c>
      <c r="S478" s="4" t="s">
        <v>42</v>
      </c>
      <c r="T478" s="4" t="s">
        <v>51</v>
      </c>
      <c r="U478" s="4">
        <v>9135996862</v>
      </c>
      <c r="V478" s="4" t="s">
        <v>52</v>
      </c>
      <c r="W478" s="3"/>
      <c r="X478" s="3"/>
      <c r="Y478" s="3"/>
      <c r="Z478" s="3"/>
    </row>
    <row r="479" spans="1:26" ht="15" thickBot="1" x14ac:dyDescent="0.4">
      <c r="A479" s="9" t="s">
        <v>610</v>
      </c>
      <c r="B479" s="9" t="s">
        <v>23</v>
      </c>
      <c r="C479" s="9" t="s">
        <v>56</v>
      </c>
      <c r="D479" s="10">
        <v>45918</v>
      </c>
      <c r="E479" s="10">
        <v>45927</v>
      </c>
      <c r="F479" s="9" t="s">
        <v>25</v>
      </c>
      <c r="G479" s="9" t="s">
        <v>26</v>
      </c>
      <c r="H479" s="10">
        <v>35818</v>
      </c>
      <c r="I479" s="9" t="s">
        <v>48</v>
      </c>
      <c r="J479" s="9" t="s">
        <v>28</v>
      </c>
      <c r="K479" s="9" t="s">
        <v>39</v>
      </c>
      <c r="L479" s="9" t="s">
        <v>59</v>
      </c>
      <c r="M479" s="11">
        <v>5</v>
      </c>
      <c r="N479" s="11">
        <v>1200</v>
      </c>
      <c r="O479" s="11">
        <v>10</v>
      </c>
      <c r="P479" s="11">
        <v>5400</v>
      </c>
      <c r="Q479" s="11">
        <v>1</v>
      </c>
      <c r="R479" s="9" t="s">
        <v>31</v>
      </c>
      <c r="S479" s="9"/>
      <c r="T479" s="13" t="s">
        <v>611</v>
      </c>
      <c r="U479" s="9">
        <v>9540813143</v>
      </c>
      <c r="V479" s="12" t="s">
        <v>34</v>
      </c>
      <c r="W479" s="3"/>
      <c r="X479" s="3"/>
      <c r="Y479" s="3"/>
      <c r="Z479" s="3"/>
    </row>
    <row r="480" spans="1:26" ht="15" thickBot="1" x14ac:dyDescent="0.4">
      <c r="A480" s="4" t="s">
        <v>612</v>
      </c>
      <c r="B480" s="4" t="s">
        <v>104</v>
      </c>
      <c r="C480" s="4" t="s">
        <v>138</v>
      </c>
      <c r="D480" s="5">
        <v>45949</v>
      </c>
      <c r="E480" s="5">
        <v>45950</v>
      </c>
      <c r="F480" s="4" t="s">
        <v>166</v>
      </c>
      <c r="G480" s="4" t="s">
        <v>26</v>
      </c>
      <c r="H480" s="5">
        <v>38135</v>
      </c>
      <c r="I480" s="4" t="s">
        <v>147</v>
      </c>
      <c r="J480" s="4" t="s">
        <v>148</v>
      </c>
      <c r="K480" s="4" t="s">
        <v>83</v>
      </c>
      <c r="L480" s="4" t="s">
        <v>139</v>
      </c>
      <c r="M480" s="6">
        <v>2</v>
      </c>
      <c r="N480" s="6">
        <v>45</v>
      </c>
      <c r="O480" s="6">
        <v>10</v>
      </c>
      <c r="P480" s="6">
        <v>81</v>
      </c>
      <c r="Q480" s="6">
        <v>4</v>
      </c>
      <c r="R480" s="4" t="s">
        <v>65</v>
      </c>
      <c r="S480" s="4" t="s">
        <v>42</v>
      </c>
      <c r="T480" s="4" t="s">
        <v>108</v>
      </c>
      <c r="U480" s="4">
        <v>9910913552</v>
      </c>
      <c r="V480" s="4" t="s">
        <v>52</v>
      </c>
      <c r="W480" s="3"/>
      <c r="X480" s="3"/>
      <c r="Y480" s="3"/>
      <c r="Z480" s="3"/>
    </row>
    <row r="481" spans="1:26" ht="15" thickBot="1" x14ac:dyDescent="0.4">
      <c r="A481" s="9" t="s">
        <v>613</v>
      </c>
      <c r="B481" s="9" t="s">
        <v>87</v>
      </c>
      <c r="C481" s="9" t="s">
        <v>36</v>
      </c>
      <c r="D481" s="10">
        <v>46034</v>
      </c>
      <c r="E481" s="10">
        <v>46040</v>
      </c>
      <c r="F481" s="9" t="s">
        <v>88</v>
      </c>
      <c r="G481" s="9" t="s">
        <v>58</v>
      </c>
      <c r="H481" s="10">
        <v>31112</v>
      </c>
      <c r="I481" s="9" t="s">
        <v>91</v>
      </c>
      <c r="J481" s="9" t="s">
        <v>75</v>
      </c>
      <c r="K481" s="9" t="s">
        <v>39</v>
      </c>
      <c r="L481" s="9" t="s">
        <v>40</v>
      </c>
      <c r="M481" s="11">
        <v>3</v>
      </c>
      <c r="N481" s="11">
        <v>12000</v>
      </c>
      <c r="O481" s="11">
        <v>0</v>
      </c>
      <c r="P481" s="11">
        <v>36000</v>
      </c>
      <c r="Q481" s="11">
        <v>2</v>
      </c>
      <c r="R481" s="9" t="s">
        <v>65</v>
      </c>
      <c r="S481" s="9" t="s">
        <v>96</v>
      </c>
      <c r="T481" s="9" t="s">
        <v>89</v>
      </c>
      <c r="U481" s="9">
        <v>9282751683</v>
      </c>
      <c r="V481" s="9" t="s">
        <v>52</v>
      </c>
      <c r="W481" s="3"/>
      <c r="X481" s="3"/>
      <c r="Y481" s="3"/>
      <c r="Z481" s="3"/>
    </row>
    <row r="482" spans="1:26" ht="15" thickBot="1" x14ac:dyDescent="0.4">
      <c r="A482" s="4" t="s">
        <v>614</v>
      </c>
      <c r="B482" s="4" t="s">
        <v>23</v>
      </c>
      <c r="C482" s="4" t="s">
        <v>36</v>
      </c>
      <c r="D482" s="5">
        <v>45683</v>
      </c>
      <c r="E482" s="5">
        <v>45689</v>
      </c>
      <c r="F482" s="4" t="s">
        <v>25</v>
      </c>
      <c r="G482" s="4" t="s">
        <v>26</v>
      </c>
      <c r="H482" s="5">
        <v>31661</v>
      </c>
      <c r="I482" s="4" t="s">
        <v>48</v>
      </c>
      <c r="J482" s="4" t="s">
        <v>28</v>
      </c>
      <c r="K482" s="4" t="s">
        <v>39</v>
      </c>
      <c r="L482" s="4" t="s">
        <v>40</v>
      </c>
      <c r="M482" s="6">
        <v>3</v>
      </c>
      <c r="N482" s="6">
        <v>12000</v>
      </c>
      <c r="O482" s="6">
        <v>20</v>
      </c>
      <c r="P482" s="6">
        <v>28800</v>
      </c>
      <c r="Q482" s="6">
        <v>3</v>
      </c>
      <c r="R482" s="4" t="s">
        <v>65</v>
      </c>
      <c r="S482" s="4" t="s">
        <v>80</v>
      </c>
      <c r="T482" s="4" t="s">
        <v>43</v>
      </c>
      <c r="U482" s="4">
        <v>9939332058</v>
      </c>
      <c r="V482" s="8" t="s">
        <v>34</v>
      </c>
      <c r="W482" s="3"/>
      <c r="X482" s="3"/>
      <c r="Y482" s="3"/>
      <c r="Z482" s="3"/>
    </row>
    <row r="483" spans="1:26" ht="15" thickBot="1" x14ac:dyDescent="0.4">
      <c r="A483" s="9" t="s">
        <v>615</v>
      </c>
      <c r="B483" s="9" t="s">
        <v>87</v>
      </c>
      <c r="C483" s="9" t="s">
        <v>105</v>
      </c>
      <c r="D483" s="10">
        <v>46119</v>
      </c>
      <c r="E483" s="10">
        <v>46120</v>
      </c>
      <c r="F483" s="9" t="s">
        <v>88</v>
      </c>
      <c r="G483" s="9" t="s">
        <v>58</v>
      </c>
      <c r="H483" s="10">
        <v>29819</v>
      </c>
      <c r="I483" s="9" t="s">
        <v>147</v>
      </c>
      <c r="J483" s="9" t="s">
        <v>148</v>
      </c>
      <c r="K483" s="9" t="s">
        <v>29</v>
      </c>
      <c r="L483" s="9" t="s">
        <v>107</v>
      </c>
      <c r="M483" s="11">
        <v>9</v>
      </c>
      <c r="N483" s="11">
        <v>8500</v>
      </c>
      <c r="O483" s="11">
        <v>15</v>
      </c>
      <c r="P483" s="11">
        <v>65025</v>
      </c>
      <c r="Q483" s="11">
        <v>5</v>
      </c>
      <c r="R483" s="9" t="s">
        <v>31</v>
      </c>
      <c r="S483" s="9" t="s">
        <v>42</v>
      </c>
      <c r="T483" s="9" t="s">
        <v>89</v>
      </c>
      <c r="U483" s="9">
        <v>9780626473</v>
      </c>
      <c r="V483" s="9" t="s">
        <v>52</v>
      </c>
      <c r="W483" s="3"/>
      <c r="X483" s="3"/>
      <c r="Y483" s="3"/>
      <c r="Z483" s="3"/>
    </row>
    <row r="484" spans="1:26" ht="15" thickBot="1" x14ac:dyDescent="0.4">
      <c r="A484" s="4" t="s">
        <v>616</v>
      </c>
      <c r="B484" s="4" t="s">
        <v>55</v>
      </c>
      <c r="C484" s="4" t="s">
        <v>112</v>
      </c>
      <c r="D484" s="5">
        <v>45834</v>
      </c>
      <c r="E484" s="5">
        <v>45844</v>
      </c>
      <c r="F484" s="4" t="s">
        <v>617</v>
      </c>
      <c r="G484" s="4" t="s">
        <v>58</v>
      </c>
      <c r="H484" s="5">
        <v>33717</v>
      </c>
      <c r="I484" s="4" t="s">
        <v>147</v>
      </c>
      <c r="J484" s="4" t="s">
        <v>148</v>
      </c>
      <c r="K484" s="4" t="s">
        <v>39</v>
      </c>
      <c r="L484" s="4" t="s">
        <v>114</v>
      </c>
      <c r="M484" s="6">
        <v>17</v>
      </c>
      <c r="N484" s="6">
        <v>700</v>
      </c>
      <c r="O484" s="6">
        <v>0</v>
      </c>
      <c r="P484" s="6">
        <v>11900</v>
      </c>
      <c r="Q484" s="6">
        <v>2</v>
      </c>
      <c r="R484" s="4" t="s">
        <v>31</v>
      </c>
      <c r="S484" s="4" t="s">
        <v>50</v>
      </c>
      <c r="T484" s="4" t="s">
        <v>61</v>
      </c>
      <c r="U484" s="4">
        <v>9347298020</v>
      </c>
      <c r="V484" s="4" t="s">
        <v>53</v>
      </c>
      <c r="W484" s="3"/>
      <c r="X484" s="3"/>
      <c r="Y484" s="3"/>
      <c r="Z484" s="3"/>
    </row>
    <row r="485" spans="1:26" ht="15" thickBot="1" x14ac:dyDescent="0.4">
      <c r="A485" s="9" t="s">
        <v>618</v>
      </c>
      <c r="B485" s="9" t="s">
        <v>23</v>
      </c>
      <c r="C485" s="9" t="s">
        <v>112</v>
      </c>
      <c r="D485" s="10">
        <v>45846</v>
      </c>
      <c r="E485" s="10">
        <v>45856</v>
      </c>
      <c r="F485" s="9" t="s">
        <v>25</v>
      </c>
      <c r="G485" s="9" t="s">
        <v>26</v>
      </c>
      <c r="H485" s="10">
        <v>33422</v>
      </c>
      <c r="I485" s="9" t="s">
        <v>27</v>
      </c>
      <c r="J485" s="9" t="s">
        <v>28</v>
      </c>
      <c r="K485" s="9" t="s">
        <v>39</v>
      </c>
      <c r="L485" s="9" t="s">
        <v>114</v>
      </c>
      <c r="M485" s="11">
        <v>20</v>
      </c>
      <c r="N485" s="11">
        <v>700</v>
      </c>
      <c r="O485" s="11">
        <v>5</v>
      </c>
      <c r="P485" s="11">
        <v>13300</v>
      </c>
      <c r="Q485" s="11">
        <v>2</v>
      </c>
      <c r="R485" s="9" t="s">
        <v>65</v>
      </c>
      <c r="S485" s="9" t="s">
        <v>32</v>
      </c>
      <c r="T485" s="9" t="s">
        <v>43</v>
      </c>
      <c r="U485" s="9">
        <v>9345328522</v>
      </c>
      <c r="V485" s="12" t="s">
        <v>34</v>
      </c>
      <c r="W485" s="3"/>
      <c r="X485" s="3"/>
      <c r="Y485" s="3"/>
      <c r="Z485" s="3"/>
    </row>
    <row r="486" spans="1:26" ht="15" thickBot="1" x14ac:dyDescent="0.4">
      <c r="A486" s="4" t="s">
        <v>619</v>
      </c>
      <c r="B486" s="4" t="s">
        <v>156</v>
      </c>
      <c r="C486" s="4" t="s">
        <v>56</v>
      </c>
      <c r="D486" s="5">
        <v>46092</v>
      </c>
      <c r="E486" s="5">
        <v>46102</v>
      </c>
      <c r="F486" s="4" t="s">
        <v>106</v>
      </c>
      <c r="G486" s="4" t="s">
        <v>58</v>
      </c>
      <c r="H486" s="5">
        <v>28526</v>
      </c>
      <c r="I486" s="4" t="s">
        <v>91</v>
      </c>
      <c r="J486" s="4" t="s">
        <v>75</v>
      </c>
      <c r="K486" s="4" t="s">
        <v>39</v>
      </c>
      <c r="L486" s="4" t="s">
        <v>59</v>
      </c>
      <c r="M486" s="6">
        <v>13</v>
      </c>
      <c r="N486" s="6">
        <v>1200</v>
      </c>
      <c r="O486" s="6">
        <v>20</v>
      </c>
      <c r="P486" s="6">
        <v>12480</v>
      </c>
      <c r="Q486" s="6">
        <v>5</v>
      </c>
      <c r="R486" s="4" t="s">
        <v>60</v>
      </c>
      <c r="S486" s="4" t="s">
        <v>80</v>
      </c>
      <c r="T486" s="4" t="s">
        <v>158</v>
      </c>
      <c r="U486" s="4">
        <v>9160310438</v>
      </c>
      <c r="V486" s="8" t="s">
        <v>34</v>
      </c>
      <c r="W486" s="3"/>
      <c r="X486" s="3"/>
      <c r="Y486" s="3"/>
      <c r="Z486" s="3"/>
    </row>
    <row r="487" spans="1:26" ht="15" thickBot="1" x14ac:dyDescent="0.4">
      <c r="A487" s="9" t="s">
        <v>620</v>
      </c>
      <c r="B487" s="9" t="s">
        <v>72</v>
      </c>
      <c r="C487" s="9" t="s">
        <v>46</v>
      </c>
      <c r="D487" s="10">
        <v>46104</v>
      </c>
      <c r="E487" s="10">
        <v>46110</v>
      </c>
      <c r="F487" s="9" t="s">
        <v>73</v>
      </c>
      <c r="G487" s="9" t="s">
        <v>26</v>
      </c>
      <c r="H487" s="10">
        <v>36359</v>
      </c>
      <c r="I487" s="9" t="s">
        <v>121</v>
      </c>
      <c r="J487" s="9" t="s">
        <v>38</v>
      </c>
      <c r="K487" s="9" t="s">
        <v>39</v>
      </c>
      <c r="L487" s="9" t="s">
        <v>49</v>
      </c>
      <c r="M487" s="11">
        <v>20</v>
      </c>
      <c r="N487" s="11">
        <v>55000</v>
      </c>
      <c r="O487" s="11">
        <v>10</v>
      </c>
      <c r="P487" s="11">
        <v>990000</v>
      </c>
      <c r="Q487" s="11">
        <v>1</v>
      </c>
      <c r="R487" s="9" t="s">
        <v>65</v>
      </c>
      <c r="S487" s="9" t="s">
        <v>32</v>
      </c>
      <c r="T487" s="9" t="s">
        <v>93</v>
      </c>
      <c r="U487" s="9">
        <v>9343776153</v>
      </c>
      <c r="V487" s="9" t="s">
        <v>52</v>
      </c>
      <c r="W487" s="3"/>
      <c r="X487" s="3"/>
      <c r="Y487" s="3"/>
      <c r="Z487" s="3"/>
    </row>
    <row r="488" spans="1:26" ht="15" thickBot="1" x14ac:dyDescent="0.4">
      <c r="A488" s="4" t="s">
        <v>621</v>
      </c>
      <c r="B488" s="4" t="s">
        <v>134</v>
      </c>
      <c r="C488" s="4" t="s">
        <v>56</v>
      </c>
      <c r="D488" s="5">
        <v>45961</v>
      </c>
      <c r="E488" s="5">
        <v>45966</v>
      </c>
      <c r="F488" s="4" t="s">
        <v>135</v>
      </c>
      <c r="G488" s="4" t="s">
        <v>26</v>
      </c>
      <c r="H488" s="5">
        <v>32236</v>
      </c>
      <c r="I488" s="4" t="s">
        <v>147</v>
      </c>
      <c r="J488" s="4" t="s">
        <v>148</v>
      </c>
      <c r="K488" s="4" t="s">
        <v>39</v>
      </c>
      <c r="L488" s="4" t="s">
        <v>59</v>
      </c>
      <c r="M488" s="6">
        <v>8</v>
      </c>
      <c r="N488" s="6">
        <v>1200</v>
      </c>
      <c r="O488" s="6">
        <v>0</v>
      </c>
      <c r="P488" s="6">
        <v>9600</v>
      </c>
      <c r="Q488" s="6">
        <v>2</v>
      </c>
      <c r="R488" s="4" t="s">
        <v>41</v>
      </c>
      <c r="S488" s="4" t="s">
        <v>96</v>
      </c>
      <c r="T488" s="4" t="s">
        <v>136</v>
      </c>
      <c r="U488" s="4">
        <v>9458599727</v>
      </c>
      <c r="V488" s="8" t="s">
        <v>34</v>
      </c>
      <c r="W488" s="3"/>
      <c r="X488" s="3"/>
      <c r="Y488" s="3"/>
      <c r="Z488" s="3"/>
    </row>
    <row r="489" spans="1:26" ht="15" thickBot="1" x14ac:dyDescent="0.4">
      <c r="A489" s="9" t="s">
        <v>622</v>
      </c>
      <c r="B489" s="9" t="s">
        <v>45</v>
      </c>
      <c r="C489" s="9" t="s">
        <v>125</v>
      </c>
      <c r="D489" s="10">
        <v>46147</v>
      </c>
      <c r="E489" s="10">
        <v>46151</v>
      </c>
      <c r="F489" s="9" t="s">
        <v>101</v>
      </c>
      <c r="G489" s="9" t="s">
        <v>26</v>
      </c>
      <c r="H489" s="10">
        <v>28805</v>
      </c>
      <c r="I489" s="9" t="s">
        <v>147</v>
      </c>
      <c r="J489" s="9" t="s">
        <v>148</v>
      </c>
      <c r="K489" s="9" t="s">
        <v>83</v>
      </c>
      <c r="L489" s="9" t="s">
        <v>127</v>
      </c>
      <c r="M489" s="11">
        <v>18</v>
      </c>
      <c r="N489" s="11">
        <v>20</v>
      </c>
      <c r="O489" s="11">
        <v>10</v>
      </c>
      <c r="P489" s="11">
        <v>324</v>
      </c>
      <c r="Q489" s="11">
        <v>5</v>
      </c>
      <c r="R489" s="9" t="s">
        <v>60</v>
      </c>
      <c r="S489" s="9"/>
      <c r="T489" s="13" t="s">
        <v>623</v>
      </c>
      <c r="U489" s="9">
        <v>9218660140</v>
      </c>
      <c r="V489" s="9" t="s">
        <v>52</v>
      </c>
      <c r="W489" s="3"/>
      <c r="X489" s="3"/>
      <c r="Y489" s="3"/>
      <c r="Z489" s="3"/>
    </row>
    <row r="490" spans="1:26" ht="15" thickBot="1" x14ac:dyDescent="0.4">
      <c r="A490" s="4" t="s">
        <v>624</v>
      </c>
      <c r="B490" s="4" t="s">
        <v>104</v>
      </c>
      <c r="C490" s="4" t="s">
        <v>36</v>
      </c>
      <c r="D490" s="5">
        <v>45711</v>
      </c>
      <c r="E490" s="5">
        <v>45723</v>
      </c>
      <c r="F490" s="4" t="s">
        <v>166</v>
      </c>
      <c r="G490" s="4" t="s">
        <v>26</v>
      </c>
      <c r="H490" s="5">
        <v>34426</v>
      </c>
      <c r="I490" s="4" t="s">
        <v>79</v>
      </c>
      <c r="J490" s="4" t="s">
        <v>75</v>
      </c>
      <c r="K490" s="4" t="s">
        <v>39</v>
      </c>
      <c r="L490" s="4" t="s">
        <v>40</v>
      </c>
      <c r="M490" s="6">
        <v>11</v>
      </c>
      <c r="N490" s="6">
        <v>12000</v>
      </c>
      <c r="O490" s="6">
        <v>10</v>
      </c>
      <c r="P490" s="6">
        <v>118800</v>
      </c>
      <c r="Q490" s="6">
        <v>1</v>
      </c>
      <c r="R490" s="4" t="s">
        <v>60</v>
      </c>
      <c r="S490" s="4" t="s">
        <v>42</v>
      </c>
      <c r="T490" s="4" t="s">
        <v>108</v>
      </c>
      <c r="U490" s="4">
        <v>9341979199</v>
      </c>
      <c r="V490" s="4" t="s">
        <v>53</v>
      </c>
      <c r="W490" s="3"/>
      <c r="X490" s="3"/>
      <c r="Y490" s="3"/>
      <c r="Z490" s="3"/>
    </row>
    <row r="491" spans="1:26" ht="15" thickBot="1" x14ac:dyDescent="0.4">
      <c r="A491" s="9" t="s">
        <v>625</v>
      </c>
      <c r="B491" s="9" t="s">
        <v>156</v>
      </c>
      <c r="C491" s="9" t="s">
        <v>105</v>
      </c>
      <c r="D491" s="10">
        <v>45672</v>
      </c>
      <c r="E491" s="10">
        <v>45674</v>
      </c>
      <c r="F491" s="9" t="s">
        <v>106</v>
      </c>
      <c r="G491" s="9" t="s">
        <v>58</v>
      </c>
      <c r="H491" s="10">
        <v>34098</v>
      </c>
      <c r="I491" s="9" t="s">
        <v>27</v>
      </c>
      <c r="J491" s="9" t="s">
        <v>28</v>
      </c>
      <c r="K491" s="9" t="s">
        <v>29</v>
      </c>
      <c r="L491" s="9" t="s">
        <v>107</v>
      </c>
      <c r="M491" s="11">
        <v>2</v>
      </c>
      <c r="N491" s="11">
        <v>8500</v>
      </c>
      <c r="O491" s="11">
        <v>5</v>
      </c>
      <c r="P491" s="11">
        <v>16150</v>
      </c>
      <c r="Q491" s="11">
        <v>1</v>
      </c>
      <c r="R491" s="9" t="s">
        <v>60</v>
      </c>
      <c r="S491" s="9" t="s">
        <v>50</v>
      </c>
      <c r="T491" s="9" t="s">
        <v>158</v>
      </c>
      <c r="U491" s="9">
        <v>9823080381</v>
      </c>
      <c r="V491" s="12" t="s">
        <v>34</v>
      </c>
      <c r="W491" s="3"/>
      <c r="X491" s="3"/>
      <c r="Y491" s="3"/>
      <c r="Z491" s="3"/>
    </row>
    <row r="492" spans="1:26" ht="15" thickBot="1" x14ac:dyDescent="0.4">
      <c r="A492" s="4" t="s">
        <v>626</v>
      </c>
      <c r="B492" s="4" t="s">
        <v>72</v>
      </c>
      <c r="C492" s="4" t="s">
        <v>24</v>
      </c>
      <c r="D492" s="5">
        <v>45746</v>
      </c>
      <c r="E492" s="5">
        <v>45755</v>
      </c>
      <c r="F492" s="4" t="s">
        <v>73</v>
      </c>
      <c r="G492" s="4" t="s">
        <v>26</v>
      </c>
      <c r="H492" s="5">
        <v>34526</v>
      </c>
      <c r="I492" s="4" t="s">
        <v>79</v>
      </c>
      <c r="J492" s="4" t="s">
        <v>75</v>
      </c>
      <c r="K492" s="4" t="s">
        <v>29</v>
      </c>
      <c r="L492" s="4" t="s">
        <v>30</v>
      </c>
      <c r="M492" s="6">
        <v>7</v>
      </c>
      <c r="N492" s="6">
        <v>2200</v>
      </c>
      <c r="O492" s="6">
        <v>0</v>
      </c>
      <c r="P492" s="6">
        <v>15400</v>
      </c>
      <c r="Q492" s="6">
        <v>5</v>
      </c>
      <c r="R492" s="4" t="s">
        <v>41</v>
      </c>
      <c r="S492" s="4" t="s">
        <v>32</v>
      </c>
      <c r="T492" s="4" t="s">
        <v>93</v>
      </c>
      <c r="U492" s="4">
        <v>9981183477</v>
      </c>
      <c r="V492" s="4" t="s">
        <v>52</v>
      </c>
      <c r="W492" s="3"/>
      <c r="X492" s="3"/>
      <c r="Y492" s="3"/>
      <c r="Z492" s="3"/>
    </row>
    <row r="493" spans="1:26" ht="15" thickBot="1" x14ac:dyDescent="0.4">
      <c r="A493" s="9" t="s">
        <v>627</v>
      </c>
      <c r="B493" s="9" t="s">
        <v>63</v>
      </c>
      <c r="C493" s="9" t="s">
        <v>105</v>
      </c>
      <c r="D493" s="10">
        <v>46136</v>
      </c>
      <c r="E493" s="10">
        <v>46144</v>
      </c>
      <c r="F493" s="9" t="s">
        <v>110</v>
      </c>
      <c r="G493" s="9" t="s">
        <v>58</v>
      </c>
      <c r="H493" s="10">
        <v>30304</v>
      </c>
      <c r="I493" s="9" t="s">
        <v>37</v>
      </c>
      <c r="J493" s="9" t="s">
        <v>38</v>
      </c>
      <c r="K493" s="9" t="s">
        <v>29</v>
      </c>
      <c r="L493" s="9" t="s">
        <v>107</v>
      </c>
      <c r="M493" s="11">
        <v>20</v>
      </c>
      <c r="N493" s="11">
        <v>8500</v>
      </c>
      <c r="O493" s="11">
        <v>0</v>
      </c>
      <c r="P493" s="11">
        <v>170000</v>
      </c>
      <c r="Q493" s="11">
        <v>3</v>
      </c>
      <c r="R493" s="9" t="s">
        <v>41</v>
      </c>
      <c r="S493" s="9" t="s">
        <v>42</v>
      </c>
      <c r="T493" s="9" t="s">
        <v>66</v>
      </c>
      <c r="U493" s="9">
        <v>9281596011</v>
      </c>
      <c r="V493" s="12" t="s">
        <v>34</v>
      </c>
      <c r="W493" s="3"/>
      <c r="X493" s="3"/>
      <c r="Y493" s="3"/>
      <c r="Z493" s="3"/>
    </row>
    <row r="494" spans="1:26" ht="15" thickBot="1" x14ac:dyDescent="0.4">
      <c r="A494" s="4" t="s">
        <v>628</v>
      </c>
      <c r="B494" s="4" t="s">
        <v>87</v>
      </c>
      <c r="C494" s="4" t="s">
        <v>56</v>
      </c>
      <c r="D494" s="5">
        <v>45858</v>
      </c>
      <c r="E494" s="5">
        <v>45867</v>
      </c>
      <c r="F494" s="4" t="s">
        <v>88</v>
      </c>
      <c r="G494" s="4" t="s">
        <v>58</v>
      </c>
      <c r="H494" s="5">
        <v>37197</v>
      </c>
      <c r="I494" s="4" t="s">
        <v>27</v>
      </c>
      <c r="J494" s="4" t="s">
        <v>28</v>
      </c>
      <c r="K494" s="4" t="s">
        <v>39</v>
      </c>
      <c r="L494" s="4" t="s">
        <v>59</v>
      </c>
      <c r="M494" s="6">
        <v>11</v>
      </c>
      <c r="N494" s="6">
        <v>1200</v>
      </c>
      <c r="O494" s="6">
        <v>5</v>
      </c>
      <c r="P494" s="6">
        <v>12540</v>
      </c>
      <c r="Q494" s="6">
        <v>2</v>
      </c>
      <c r="R494" s="4" t="s">
        <v>31</v>
      </c>
      <c r="S494" s="4" t="s">
        <v>32</v>
      </c>
      <c r="T494" s="4" t="s">
        <v>89</v>
      </c>
      <c r="U494" s="4">
        <v>9211734022</v>
      </c>
      <c r="V494" s="4" t="s">
        <v>52</v>
      </c>
      <c r="W494" s="3"/>
      <c r="X494" s="3"/>
      <c r="Y494" s="3"/>
      <c r="Z494" s="3"/>
    </row>
    <row r="495" spans="1:26" ht="15" thickBot="1" x14ac:dyDescent="0.4">
      <c r="A495" s="9" t="s">
        <v>629</v>
      </c>
      <c r="B495" s="9" t="s">
        <v>63</v>
      </c>
      <c r="C495" s="9" t="s">
        <v>112</v>
      </c>
      <c r="D495" s="10">
        <v>45867</v>
      </c>
      <c r="E495" s="10">
        <v>45870</v>
      </c>
      <c r="F495" s="9" t="s">
        <v>110</v>
      </c>
      <c r="G495" s="9" t="s">
        <v>58</v>
      </c>
      <c r="H495" s="10">
        <v>37182</v>
      </c>
      <c r="I495" s="9" t="s">
        <v>91</v>
      </c>
      <c r="J495" s="9" t="s">
        <v>75</v>
      </c>
      <c r="K495" s="9" t="s">
        <v>39</v>
      </c>
      <c r="L495" s="9" t="s">
        <v>114</v>
      </c>
      <c r="M495" s="11">
        <v>14</v>
      </c>
      <c r="N495" s="11">
        <v>700</v>
      </c>
      <c r="O495" s="11">
        <v>0</v>
      </c>
      <c r="P495" s="11">
        <v>9800</v>
      </c>
      <c r="Q495" s="11">
        <v>2</v>
      </c>
      <c r="R495" s="9" t="s">
        <v>60</v>
      </c>
      <c r="S495" s="9" t="s">
        <v>96</v>
      </c>
      <c r="T495" s="9" t="s">
        <v>66</v>
      </c>
      <c r="U495" s="9">
        <v>9447151666</v>
      </c>
      <c r="V495" s="9" t="s">
        <v>53</v>
      </c>
      <c r="W495" s="3"/>
      <c r="X495" s="3"/>
      <c r="Y495" s="3"/>
      <c r="Z495" s="3"/>
    </row>
    <row r="496" spans="1:26" ht="15" thickBot="1" x14ac:dyDescent="0.4">
      <c r="A496" s="4" t="s">
        <v>630</v>
      </c>
      <c r="B496" s="4" t="s">
        <v>55</v>
      </c>
      <c r="C496" s="4" t="s">
        <v>56</v>
      </c>
      <c r="D496" s="5">
        <v>45951</v>
      </c>
      <c r="E496" s="5">
        <v>45962</v>
      </c>
      <c r="F496" s="4" t="s">
        <v>57</v>
      </c>
      <c r="G496" s="4" t="s">
        <v>58</v>
      </c>
      <c r="H496" s="5">
        <v>36881</v>
      </c>
      <c r="I496" s="4" t="s">
        <v>79</v>
      </c>
      <c r="J496" s="4" t="s">
        <v>75</v>
      </c>
      <c r="K496" s="4" t="s">
        <v>39</v>
      </c>
      <c r="L496" s="4" t="s">
        <v>59</v>
      </c>
      <c r="M496" s="6">
        <v>16</v>
      </c>
      <c r="N496" s="6">
        <v>1200</v>
      </c>
      <c r="O496" s="6">
        <v>15</v>
      </c>
      <c r="P496" s="6">
        <v>16320</v>
      </c>
      <c r="Q496" s="6">
        <v>4</v>
      </c>
      <c r="R496" s="4" t="s">
        <v>31</v>
      </c>
      <c r="S496" s="4" t="s">
        <v>96</v>
      </c>
      <c r="T496" s="4" t="s">
        <v>61</v>
      </c>
      <c r="U496" s="4">
        <v>9345342793</v>
      </c>
      <c r="V496" s="4" t="s">
        <v>52</v>
      </c>
      <c r="W496" s="3"/>
      <c r="X496" s="3"/>
      <c r="Y496" s="3"/>
      <c r="Z496" s="3"/>
    </row>
    <row r="497" spans="1:26" ht="15" thickBot="1" x14ac:dyDescent="0.4">
      <c r="A497" s="9" t="s">
        <v>631</v>
      </c>
      <c r="B497" s="9" t="s">
        <v>104</v>
      </c>
      <c r="C497" s="9" t="s">
        <v>24</v>
      </c>
      <c r="D497" s="10">
        <v>46098</v>
      </c>
      <c r="E497" s="10">
        <v>46110</v>
      </c>
      <c r="F497" s="9" t="s">
        <v>166</v>
      </c>
      <c r="G497" s="9" t="s">
        <v>26</v>
      </c>
      <c r="H497" s="10">
        <v>30367</v>
      </c>
      <c r="I497" s="9" t="s">
        <v>121</v>
      </c>
      <c r="J497" s="9" t="s">
        <v>38</v>
      </c>
      <c r="K497" s="9" t="s">
        <v>29</v>
      </c>
      <c r="L497" s="9" t="s">
        <v>30</v>
      </c>
      <c r="M497" s="11">
        <v>20</v>
      </c>
      <c r="N497" s="11">
        <v>2200</v>
      </c>
      <c r="O497" s="11">
        <v>0</v>
      </c>
      <c r="P497" s="11">
        <v>44000</v>
      </c>
      <c r="Q497" s="11">
        <v>5</v>
      </c>
      <c r="R497" s="9" t="s">
        <v>31</v>
      </c>
      <c r="S497" s="9" t="s">
        <v>32</v>
      </c>
      <c r="T497" s="9" t="s">
        <v>108</v>
      </c>
      <c r="U497" s="9">
        <v>9329668173</v>
      </c>
      <c r="V497" s="9" t="s">
        <v>53</v>
      </c>
      <c r="W497" s="3"/>
      <c r="X497" s="3"/>
      <c r="Y497" s="3"/>
      <c r="Z497" s="3"/>
    </row>
    <row r="498" spans="1:26" ht="15" thickBot="1" x14ac:dyDescent="0.4">
      <c r="A498" s="4" t="s">
        <v>632</v>
      </c>
      <c r="B498" s="4" t="s">
        <v>63</v>
      </c>
      <c r="C498" s="4" t="s">
        <v>36</v>
      </c>
      <c r="D498" s="5">
        <v>45711</v>
      </c>
      <c r="E498" s="5">
        <v>45723</v>
      </c>
      <c r="F498" s="4" t="s">
        <v>110</v>
      </c>
      <c r="G498" s="4" t="s">
        <v>58</v>
      </c>
      <c r="H498" s="5">
        <v>32307</v>
      </c>
      <c r="I498" s="4" t="s">
        <v>121</v>
      </c>
      <c r="J498" s="4" t="s">
        <v>38</v>
      </c>
      <c r="K498" s="4" t="s">
        <v>39</v>
      </c>
      <c r="L498" s="4" t="s">
        <v>40</v>
      </c>
      <c r="M498" s="6">
        <v>12</v>
      </c>
      <c r="N498" s="6">
        <v>12000</v>
      </c>
      <c r="O498" s="6">
        <v>15</v>
      </c>
      <c r="P498" s="6">
        <v>122400</v>
      </c>
      <c r="Q498" s="6">
        <v>5</v>
      </c>
      <c r="R498" s="4" t="s">
        <v>31</v>
      </c>
      <c r="S498" s="4" t="s">
        <v>96</v>
      </c>
      <c r="T498" s="4" t="s">
        <v>66</v>
      </c>
      <c r="U498" s="4">
        <v>9294740227</v>
      </c>
      <c r="V498" s="8" t="s">
        <v>34</v>
      </c>
      <c r="W498" s="3"/>
      <c r="X498" s="3"/>
      <c r="Y498" s="3"/>
      <c r="Z498" s="3"/>
    </row>
    <row r="499" spans="1:26" ht="15" thickBot="1" x14ac:dyDescent="0.4">
      <c r="A499" s="9" t="s">
        <v>633</v>
      </c>
      <c r="B499" s="9" t="s">
        <v>124</v>
      </c>
      <c r="C499" s="9" t="s">
        <v>56</v>
      </c>
      <c r="D499" s="10">
        <v>46002</v>
      </c>
      <c r="E499" s="10">
        <v>46011</v>
      </c>
      <c r="F499" s="9" t="s">
        <v>126</v>
      </c>
      <c r="G499" s="9" t="s">
        <v>58</v>
      </c>
      <c r="H499" s="10">
        <v>33807</v>
      </c>
      <c r="I499" s="9" t="s">
        <v>37</v>
      </c>
      <c r="J499" s="9" t="s">
        <v>38</v>
      </c>
      <c r="K499" s="9" t="s">
        <v>39</v>
      </c>
      <c r="L499" s="9" t="s">
        <v>59</v>
      </c>
      <c r="M499" s="11">
        <v>3</v>
      </c>
      <c r="N499" s="11">
        <v>1200</v>
      </c>
      <c r="O499" s="11">
        <v>20</v>
      </c>
      <c r="P499" s="11">
        <v>2880</v>
      </c>
      <c r="Q499" s="11">
        <v>2</v>
      </c>
      <c r="R499" s="9" t="s">
        <v>41</v>
      </c>
      <c r="S499" s="9" t="s">
        <v>80</v>
      </c>
      <c r="T499" s="9" t="s">
        <v>298</v>
      </c>
      <c r="U499" s="9">
        <v>9549426303</v>
      </c>
      <c r="V499" s="9" t="s">
        <v>52</v>
      </c>
      <c r="W499" s="3"/>
      <c r="X499" s="3"/>
      <c r="Y499" s="3"/>
      <c r="Z499" s="3"/>
    </row>
    <row r="500" spans="1:26" ht="15" thickBot="1" x14ac:dyDescent="0.4">
      <c r="A500" s="4" t="s">
        <v>634</v>
      </c>
      <c r="B500" s="4" t="s">
        <v>72</v>
      </c>
      <c r="C500" s="4" t="s">
        <v>46</v>
      </c>
      <c r="D500" s="5">
        <v>45842</v>
      </c>
      <c r="E500" s="5">
        <v>45843</v>
      </c>
      <c r="F500" s="4" t="s">
        <v>73</v>
      </c>
      <c r="G500" s="4" t="s">
        <v>26</v>
      </c>
      <c r="H500" s="5">
        <v>29079</v>
      </c>
      <c r="I500" s="4" t="s">
        <v>74</v>
      </c>
      <c r="J500" s="4" t="s">
        <v>75</v>
      </c>
      <c r="K500" s="4" t="s">
        <v>39</v>
      </c>
      <c r="L500" s="4" t="s">
        <v>635</v>
      </c>
      <c r="M500" s="6">
        <v>6</v>
      </c>
      <c r="N500" s="6">
        <v>55000</v>
      </c>
      <c r="O500" s="6">
        <v>20</v>
      </c>
      <c r="P500" s="6">
        <v>264000</v>
      </c>
      <c r="Q500" s="6">
        <v>3</v>
      </c>
      <c r="R500" s="4" t="s">
        <v>31</v>
      </c>
      <c r="S500" s="4" t="s">
        <v>96</v>
      </c>
      <c r="T500" s="4" t="s">
        <v>93</v>
      </c>
      <c r="U500" s="4">
        <v>9374249303</v>
      </c>
      <c r="V500" s="8" t="s">
        <v>34</v>
      </c>
      <c r="W500" s="3"/>
      <c r="X500" s="3"/>
      <c r="Y500" s="3"/>
      <c r="Z500" s="3"/>
    </row>
    <row r="501" spans="1:26" ht="15" thickBot="1" x14ac:dyDescent="0.4">
      <c r="A501" s="16" t="s">
        <v>636</v>
      </c>
      <c r="B501" s="16" t="s">
        <v>72</v>
      </c>
      <c r="C501" s="16" t="s">
        <v>68</v>
      </c>
      <c r="D501" s="17">
        <v>45916</v>
      </c>
      <c r="E501" s="17">
        <v>45923</v>
      </c>
      <c r="F501" s="16" t="s">
        <v>73</v>
      </c>
      <c r="G501" s="16" t="s">
        <v>26</v>
      </c>
      <c r="H501" s="17">
        <v>28088</v>
      </c>
      <c r="I501" s="16" t="s">
        <v>48</v>
      </c>
      <c r="J501" s="16" t="s">
        <v>28</v>
      </c>
      <c r="K501" s="16" t="s">
        <v>29</v>
      </c>
      <c r="L501" s="16" t="s">
        <v>70</v>
      </c>
      <c r="M501" s="18">
        <v>20</v>
      </c>
      <c r="N501" s="18">
        <v>3500</v>
      </c>
      <c r="O501" s="18">
        <v>0</v>
      </c>
      <c r="P501" s="18">
        <v>70000</v>
      </c>
      <c r="Q501" s="18">
        <v>1</v>
      </c>
      <c r="R501" s="16" t="s">
        <v>41</v>
      </c>
      <c r="S501" s="16" t="s">
        <v>96</v>
      </c>
      <c r="T501" s="16" t="s">
        <v>93</v>
      </c>
      <c r="U501" s="16">
        <v>9810334941</v>
      </c>
      <c r="V501" s="16" t="s">
        <v>52</v>
      </c>
      <c r="W501" s="3"/>
      <c r="X501" s="3"/>
      <c r="Y501" s="3"/>
      <c r="Z501" s="3"/>
    </row>
  </sheetData>
  <hyperlinks>
    <hyperlink ref="T2" r:id="rId1" display="mailto:KAvya.nair@company.com" xr:uid="{BB74FDBD-70AA-41FC-B978-296615C5AB04}"/>
    <hyperlink ref="T5" r:id="rId2" display="mailto:kavya.nair@company.com" xr:uid="{5AD7101D-BD30-492C-B05C-7F4072F4089E}"/>
    <hyperlink ref="T9" r:id="rId3" display="mailto:priYa.patel@company.com" xr:uid="{7A509146-085D-4274-B631-D0E69A16CD4D}"/>
    <hyperlink ref="T11" r:id="rId4" display="mailto:PRiya.patel@company.com" xr:uid="{D8FC035B-7EB9-4DA7-AA62-05F952CB9FA3}"/>
    <hyperlink ref="T15" r:id="rId5" display="mailto:rOhit.singh@company.com" xr:uid="{A1DD7097-E63D-4A67-9F93-29B563D40ABE}"/>
    <hyperlink ref="T16" r:id="rId6" display="mailto:kavya.nair@company.com" xr:uid="{8015DBA7-AF4E-4ADC-B289-13DEA4FD91B6}"/>
    <hyperlink ref="T20" r:id="rId7" display="mailto:arjun.Rao@company.com" xr:uid="{62C4A842-E3CB-4A75-8200-133C9F41701D}"/>
    <hyperlink ref="T61" r:id="rId8" display="mailto:Vikas.mehta@company.com" xr:uid="{1FE7BEDF-09F4-4CB8-8777-DB4A8494612D}"/>
    <hyperlink ref="T72" r:id="rId9" display="mailto:Anita.gupta@company.com" xr:uid="{DCE0FE1D-A487-4B3D-AFC6-A3EAF6724DAE}"/>
    <hyperlink ref="T294" r:id="rId10" display="mailto:Pooja.shah@company.com" xr:uid="{63A6869C-B162-4567-9BD9-7E9D096F4265}"/>
    <hyperlink ref="T450" r:id="rId11" display="mailto:amit.SHarma@company.com" xr:uid="{F9C3C821-3893-4B6E-8C47-93DC52830B47}"/>
    <hyperlink ref="T463" r:id="rId12" display="mailto:rohit.sinGh@company.com" xr:uid="{78594FCC-E143-4D95-AE19-8C15D34D68D2}"/>
    <hyperlink ref="T479" r:id="rId13" display="mailto:kavya.Nair@company.com" xr:uid="{D98D0C6F-A699-462E-88DA-5435BBDE99D3}"/>
    <hyperlink ref="T489" r:id="rId14" display="mailto:pOOja.shah@company.com" xr:uid="{A0051FA9-C1A8-45FE-971C-3C93F42300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769C-6076-471F-A851-DB6EAA3EB820}">
  <dimension ref="A1:G11"/>
  <sheetViews>
    <sheetView workbookViewId="0">
      <selection sqref="A1:F1"/>
    </sheetView>
  </sheetViews>
  <sheetFormatPr defaultRowHeight="14.5" x14ac:dyDescent="0.35"/>
  <cols>
    <col min="1" max="1" width="12" customWidth="1"/>
    <col min="2" max="2" width="15.08984375" customWidth="1"/>
    <col min="3" max="3" width="15" bestFit="1" customWidth="1"/>
    <col min="4" max="4" width="12.7265625" bestFit="1" customWidth="1"/>
    <col min="5" max="5" width="11.7265625" customWidth="1"/>
    <col min="6" max="6" width="17.36328125" customWidth="1"/>
  </cols>
  <sheetData>
    <row r="1" spans="1:7" ht="15" thickBot="1" x14ac:dyDescent="0.4">
      <c r="A1" s="53" t="s">
        <v>2</v>
      </c>
      <c r="B1" s="54" t="s">
        <v>11</v>
      </c>
      <c r="C1" s="54" t="s">
        <v>10</v>
      </c>
      <c r="D1" s="54" t="s">
        <v>637</v>
      </c>
      <c r="E1" s="54" t="s">
        <v>638</v>
      </c>
      <c r="F1" s="55" t="s">
        <v>639</v>
      </c>
      <c r="G1" s="3"/>
    </row>
    <row r="2" spans="1:7" ht="15" thickBot="1" x14ac:dyDescent="0.4">
      <c r="A2" s="51" t="s">
        <v>46</v>
      </c>
      <c r="B2" s="3" t="s">
        <v>49</v>
      </c>
      <c r="C2" s="3" t="s">
        <v>39</v>
      </c>
      <c r="D2" s="3" t="s">
        <v>640</v>
      </c>
      <c r="E2" s="19">
        <v>41250</v>
      </c>
      <c r="F2" s="52">
        <v>12</v>
      </c>
      <c r="G2" s="3"/>
    </row>
    <row r="3" spans="1:7" ht="15" thickBot="1" x14ac:dyDescent="0.4">
      <c r="A3" s="51" t="s">
        <v>112</v>
      </c>
      <c r="B3" s="3" t="s">
        <v>114</v>
      </c>
      <c r="C3" s="3" t="s">
        <v>39</v>
      </c>
      <c r="D3" s="3" t="s">
        <v>640</v>
      </c>
      <c r="E3" s="19">
        <v>525</v>
      </c>
      <c r="F3" s="52">
        <v>24</v>
      </c>
      <c r="G3" s="3"/>
    </row>
    <row r="4" spans="1:7" ht="15" thickBot="1" x14ac:dyDescent="0.4">
      <c r="A4" s="51" t="s">
        <v>56</v>
      </c>
      <c r="B4" s="3" t="s">
        <v>59</v>
      </c>
      <c r="C4" s="3" t="s">
        <v>39</v>
      </c>
      <c r="D4" s="3" t="s">
        <v>640</v>
      </c>
      <c r="E4" s="19">
        <v>900</v>
      </c>
      <c r="F4" s="52">
        <v>6</v>
      </c>
      <c r="G4" s="3"/>
    </row>
    <row r="5" spans="1:7" ht="15" thickBot="1" x14ac:dyDescent="0.4">
      <c r="A5" s="51" t="s">
        <v>36</v>
      </c>
      <c r="B5" s="3" t="s">
        <v>40</v>
      </c>
      <c r="C5" s="3" t="s">
        <v>39</v>
      </c>
      <c r="D5" s="3" t="s">
        <v>641</v>
      </c>
      <c r="E5" s="19">
        <v>9000</v>
      </c>
      <c r="F5" s="52">
        <v>24</v>
      </c>
      <c r="G5" s="3"/>
    </row>
    <row r="6" spans="1:7" ht="15" thickBot="1" x14ac:dyDescent="0.4">
      <c r="A6" s="51" t="s">
        <v>68</v>
      </c>
      <c r="B6" s="3" t="s">
        <v>70</v>
      </c>
      <c r="C6" s="3" t="s">
        <v>29</v>
      </c>
      <c r="D6" s="3" t="s">
        <v>641</v>
      </c>
      <c r="E6" s="19">
        <v>2625</v>
      </c>
      <c r="F6" s="52">
        <v>6</v>
      </c>
      <c r="G6" s="3"/>
    </row>
    <row r="7" spans="1:7" ht="15" thickBot="1" x14ac:dyDescent="0.4">
      <c r="A7" s="51" t="s">
        <v>24</v>
      </c>
      <c r="B7" s="3" t="s">
        <v>30</v>
      </c>
      <c r="C7" s="3" t="s">
        <v>29</v>
      </c>
      <c r="D7" s="3" t="s">
        <v>641</v>
      </c>
      <c r="E7" s="19">
        <v>1650</v>
      </c>
      <c r="F7" s="52">
        <v>24</v>
      </c>
      <c r="G7" s="3"/>
    </row>
    <row r="8" spans="1:7" ht="15" thickBot="1" x14ac:dyDescent="0.4">
      <c r="A8" s="51" t="s">
        <v>105</v>
      </c>
      <c r="B8" s="3" t="s">
        <v>107</v>
      </c>
      <c r="C8" s="3" t="s">
        <v>29</v>
      </c>
      <c r="D8" s="3" t="s">
        <v>640</v>
      </c>
      <c r="E8" s="19">
        <v>6375</v>
      </c>
      <c r="F8" s="52">
        <v>24</v>
      </c>
      <c r="G8" s="3"/>
    </row>
    <row r="9" spans="1:7" ht="15" thickBot="1" x14ac:dyDescent="0.4">
      <c r="A9" s="51" t="s">
        <v>82</v>
      </c>
      <c r="B9" s="3" t="s">
        <v>84</v>
      </c>
      <c r="C9" s="3" t="s">
        <v>83</v>
      </c>
      <c r="D9" s="3" t="s">
        <v>642</v>
      </c>
      <c r="E9" s="19">
        <v>45</v>
      </c>
      <c r="F9" s="52">
        <v>12</v>
      </c>
      <c r="G9" s="3"/>
    </row>
    <row r="10" spans="1:7" ht="15" thickBot="1" x14ac:dyDescent="0.4">
      <c r="A10" s="51" t="s">
        <v>125</v>
      </c>
      <c r="B10" s="3" t="s">
        <v>127</v>
      </c>
      <c r="C10" s="3" t="s">
        <v>83</v>
      </c>
      <c r="D10" s="3" t="s">
        <v>643</v>
      </c>
      <c r="E10" s="19">
        <v>15</v>
      </c>
      <c r="F10" s="52">
        <v>12</v>
      </c>
      <c r="G10" s="3"/>
    </row>
    <row r="11" spans="1:7" ht="15" thickBot="1" x14ac:dyDescent="0.4">
      <c r="A11" s="56" t="s">
        <v>138</v>
      </c>
      <c r="B11" s="57" t="s">
        <v>139</v>
      </c>
      <c r="C11" s="57" t="s">
        <v>83</v>
      </c>
      <c r="D11" s="57" t="s">
        <v>640</v>
      </c>
      <c r="E11" s="58">
        <v>33.75</v>
      </c>
      <c r="F11" s="59">
        <v>12</v>
      </c>
      <c r="G11"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353F-EE11-4730-9613-1992DCB085A3}">
  <dimension ref="A1:D11"/>
  <sheetViews>
    <sheetView workbookViewId="0">
      <selection activeCell="D16" sqref="D16"/>
    </sheetView>
  </sheetViews>
  <sheetFormatPr defaultRowHeight="14.5" x14ac:dyDescent="0.35"/>
  <cols>
    <col min="1" max="1" width="11.36328125" bestFit="1" customWidth="1"/>
    <col min="2" max="2" width="14.54296875" bestFit="1" customWidth="1"/>
    <col min="3" max="3" width="10.81640625" bestFit="1" customWidth="1"/>
    <col min="4" max="4" width="5.08984375" bestFit="1" customWidth="1"/>
  </cols>
  <sheetData>
    <row r="1" spans="1:4" ht="15" thickBot="1" x14ac:dyDescent="0.4">
      <c r="A1" s="3" t="s">
        <v>1</v>
      </c>
      <c r="B1" s="3" t="s">
        <v>5</v>
      </c>
      <c r="C1" s="3" t="s">
        <v>644</v>
      </c>
      <c r="D1" s="3" t="s">
        <v>645</v>
      </c>
    </row>
    <row r="2" spans="1:4" ht="15" thickBot="1" x14ac:dyDescent="0.4">
      <c r="A2" s="3" t="s">
        <v>156</v>
      </c>
      <c r="B2" s="3" t="s">
        <v>106</v>
      </c>
      <c r="C2" s="3" t="s">
        <v>646</v>
      </c>
      <c r="D2" s="3" t="s">
        <v>647</v>
      </c>
    </row>
    <row r="3" spans="1:4" ht="15" thickBot="1" x14ac:dyDescent="0.4">
      <c r="A3" s="3" t="s">
        <v>72</v>
      </c>
      <c r="B3" s="3" t="s">
        <v>73</v>
      </c>
      <c r="C3" s="3" t="s">
        <v>648</v>
      </c>
      <c r="D3" s="3" t="s">
        <v>649</v>
      </c>
    </row>
    <row r="4" spans="1:4" ht="15" thickBot="1" x14ac:dyDescent="0.4">
      <c r="A4" s="3" t="s">
        <v>87</v>
      </c>
      <c r="B4" s="3" t="s">
        <v>88</v>
      </c>
      <c r="C4" s="3" t="s">
        <v>650</v>
      </c>
      <c r="D4" s="3" t="s">
        <v>651</v>
      </c>
    </row>
    <row r="5" spans="1:4" ht="15" thickBot="1" x14ac:dyDescent="0.4">
      <c r="A5" s="3" t="s">
        <v>104</v>
      </c>
      <c r="B5" s="3" t="s">
        <v>166</v>
      </c>
      <c r="C5" s="3" t="s">
        <v>650</v>
      </c>
      <c r="D5" s="3" t="s">
        <v>649</v>
      </c>
    </row>
    <row r="6" spans="1:4" ht="15" thickBot="1" x14ac:dyDescent="0.4">
      <c r="A6" s="3" t="s">
        <v>124</v>
      </c>
      <c r="B6" s="3" t="s">
        <v>126</v>
      </c>
      <c r="C6" s="3" t="s">
        <v>650</v>
      </c>
      <c r="D6" s="3" t="s">
        <v>651</v>
      </c>
    </row>
    <row r="7" spans="1:4" ht="15" thickBot="1" x14ac:dyDescent="0.4">
      <c r="A7" s="3" t="s">
        <v>134</v>
      </c>
      <c r="B7" s="3" t="s">
        <v>135</v>
      </c>
      <c r="C7" s="3" t="s">
        <v>650</v>
      </c>
      <c r="D7" s="3" t="s">
        <v>649</v>
      </c>
    </row>
    <row r="8" spans="1:4" ht="15" thickBot="1" x14ac:dyDescent="0.4">
      <c r="A8" s="3" t="s">
        <v>63</v>
      </c>
      <c r="B8" s="3" t="s">
        <v>110</v>
      </c>
      <c r="C8" s="3" t="s">
        <v>646</v>
      </c>
      <c r="D8" s="3" t="s">
        <v>647</v>
      </c>
    </row>
    <row r="9" spans="1:4" ht="15" thickBot="1" x14ac:dyDescent="0.4">
      <c r="A9" s="3" t="s">
        <v>23</v>
      </c>
      <c r="B9" s="3" t="s">
        <v>25</v>
      </c>
      <c r="C9" s="3" t="s">
        <v>646</v>
      </c>
      <c r="D9" s="3" t="s">
        <v>649</v>
      </c>
    </row>
    <row r="10" spans="1:4" ht="15" thickBot="1" x14ac:dyDescent="0.4">
      <c r="A10" s="3" t="s">
        <v>55</v>
      </c>
      <c r="B10" s="3" t="s">
        <v>57</v>
      </c>
      <c r="C10" s="3" t="s">
        <v>648</v>
      </c>
      <c r="D10" s="3" t="s">
        <v>652</v>
      </c>
    </row>
    <row r="11" spans="1:4" ht="15" thickBot="1" x14ac:dyDescent="0.4">
      <c r="A11" s="3" t="s">
        <v>45</v>
      </c>
      <c r="B11" s="3" t="s">
        <v>101</v>
      </c>
      <c r="C11" s="3" t="s">
        <v>646</v>
      </c>
      <c r="D11" s="3" t="s">
        <v>649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D8847-AAA3-49C1-898A-5600E429C906}">
  <dimension ref="A1:W501"/>
  <sheetViews>
    <sheetView topLeftCell="L1" workbookViewId="0">
      <selection activeCell="Q3" sqref="Q3"/>
    </sheetView>
  </sheetViews>
  <sheetFormatPr defaultRowHeight="14.5" x14ac:dyDescent="0.35"/>
  <cols>
    <col min="1" max="1" width="9.54296875" bestFit="1" customWidth="1"/>
    <col min="2" max="2" width="11.6328125" bestFit="1" customWidth="1"/>
    <col min="3" max="3" width="10" bestFit="1" customWidth="1"/>
    <col min="4" max="4" width="10.08984375" bestFit="1" customWidth="1"/>
    <col min="5" max="5" width="12.36328125" bestFit="1" customWidth="1"/>
    <col min="6" max="6" width="14.81640625" bestFit="1" customWidth="1"/>
    <col min="7" max="7" width="6.90625" bestFit="1" customWidth="1"/>
    <col min="8" max="8" width="10.08984375" bestFit="1" customWidth="1"/>
    <col min="9" max="9" width="10.453125" bestFit="1" customWidth="1"/>
    <col min="10" max="10" width="6.54296875" bestFit="1" customWidth="1"/>
    <col min="11" max="11" width="15" bestFit="1" customWidth="1"/>
    <col min="12" max="12" width="13.1796875" bestFit="1" customWidth="1"/>
    <col min="13" max="13" width="8" bestFit="1" customWidth="1"/>
    <col min="14" max="14" width="9.453125" bestFit="1" customWidth="1"/>
    <col min="15" max="15" width="10.7265625" bestFit="1" customWidth="1"/>
    <col min="16" max="16" width="7.81640625" bestFit="1" customWidth="1"/>
    <col min="17" max="17" width="6.1796875" bestFit="1" customWidth="1"/>
    <col min="18" max="18" width="13.6328125" bestFit="1" customWidth="1"/>
    <col min="19" max="19" width="11.08984375" bestFit="1" customWidth="1"/>
    <col min="20" max="20" width="24.81640625" bestFit="1" customWidth="1"/>
    <col min="21" max="21" width="10.81640625" bestFit="1" customWidth="1"/>
    <col min="22" max="22" width="11.6328125" bestFit="1" customWidth="1"/>
    <col min="23" max="23" width="12.453125" bestFit="1" customWidth="1"/>
  </cols>
  <sheetData>
    <row r="1" spans="1:23" ht="29.5" thickBot="1" x14ac:dyDescent="0.4">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0" t="s">
        <v>21</v>
      </c>
      <c r="W1" s="26" t="s">
        <v>653</v>
      </c>
    </row>
    <row r="2" spans="1:23" ht="15.5" thickTop="1" thickBot="1" x14ac:dyDescent="0.4">
      <c r="A2" s="27" t="s">
        <v>22</v>
      </c>
      <c r="B2" s="27" t="s">
        <v>23</v>
      </c>
      <c r="C2" s="27" t="s">
        <v>24</v>
      </c>
      <c r="D2" s="28">
        <v>45918</v>
      </c>
      <c r="E2" s="28">
        <v>45922</v>
      </c>
      <c r="F2" s="27" t="s">
        <v>25</v>
      </c>
      <c r="G2" s="27" t="s">
        <v>26</v>
      </c>
      <c r="H2" s="28">
        <v>27973</v>
      </c>
      <c r="I2" s="27" t="s">
        <v>27</v>
      </c>
      <c r="J2" s="27" t="s">
        <v>28</v>
      </c>
      <c r="K2" s="27" t="s">
        <v>29</v>
      </c>
      <c r="L2" s="27" t="s">
        <v>30</v>
      </c>
      <c r="M2" s="27">
        <v>4</v>
      </c>
      <c r="N2" s="27">
        <v>2200</v>
      </c>
      <c r="O2" s="27">
        <v>10</v>
      </c>
      <c r="P2" s="27">
        <v>7920</v>
      </c>
      <c r="Q2" s="27">
        <v>4</v>
      </c>
      <c r="R2" s="27" t="s">
        <v>31</v>
      </c>
      <c r="S2" s="27" t="s">
        <v>32</v>
      </c>
      <c r="T2" s="29" t="s">
        <v>33</v>
      </c>
      <c r="U2" s="27">
        <v>9431429797</v>
      </c>
      <c r="V2" s="35" t="s">
        <v>34</v>
      </c>
      <c r="W2" s="40" t="str" cm="1">
        <f t="array" ref="W2">_xlfn.IFS(AND(P2&gt;=100000,Q2&gt;=4,O2&lt;=0.1,V2="Completed"),"Platinum",AND(P2&gt;=50000,P2&lt;=99999,Q2&gt;=3,V2="Completed"),"Golde",AND(P2&lt;50000,V2="Completed"),"Silver",OR(Q2&lt;=2,V2="Cancelled"),"BlackListed",TRUE,"Other")</f>
        <v>Silver</v>
      </c>
    </row>
    <row r="3" spans="1:23" ht="15" thickBot="1" x14ac:dyDescent="0.4">
      <c r="A3" s="30" t="s">
        <v>35</v>
      </c>
      <c r="B3" s="30" t="s">
        <v>23</v>
      </c>
      <c r="C3" s="30" t="s">
        <v>36</v>
      </c>
      <c r="D3" s="31">
        <v>45774</v>
      </c>
      <c r="E3" s="31">
        <v>45781</v>
      </c>
      <c r="F3" s="30" t="s">
        <v>25</v>
      </c>
      <c r="G3" s="30" t="s">
        <v>26</v>
      </c>
      <c r="H3" s="31">
        <v>36815</v>
      </c>
      <c r="I3" s="30" t="s">
        <v>37</v>
      </c>
      <c r="J3" s="30" t="s">
        <v>38</v>
      </c>
      <c r="K3" s="30" t="s">
        <v>39</v>
      </c>
      <c r="L3" s="30" t="s">
        <v>40</v>
      </c>
      <c r="M3" s="30">
        <v>17</v>
      </c>
      <c r="N3" s="30">
        <v>12000</v>
      </c>
      <c r="O3" s="30">
        <v>10</v>
      </c>
      <c r="P3" s="30">
        <v>183600</v>
      </c>
      <c r="Q3" s="30">
        <v>1</v>
      </c>
      <c r="R3" s="30" t="s">
        <v>41</v>
      </c>
      <c r="S3" s="30" t="s">
        <v>42</v>
      </c>
      <c r="T3" s="30" t="s">
        <v>43</v>
      </c>
      <c r="U3" s="30">
        <v>9129865339</v>
      </c>
      <c r="V3" s="36" t="s">
        <v>34</v>
      </c>
      <c r="W3" s="40" t="str" cm="1">
        <f t="array" ref="W3">_xlfn.IFS(AND(P3&gt;=100000,Q3&gt;=4,O3&lt;=0.1,V3="Completed"),"Platinum",AND(P3&gt;=50000,P3&lt;=99999,Q3&gt;=3,V3="Completed"),"Golde",AND(P3&lt;50000,V3="Completed"),"Silver",OR(Q3&lt;=2,V3="Cancelled"),"BlackListed",TRUE,"Other")</f>
        <v>BlackListed</v>
      </c>
    </row>
    <row r="4" spans="1:23" ht="15" thickBot="1" x14ac:dyDescent="0.4">
      <c r="A4" s="27" t="s">
        <v>44</v>
      </c>
      <c r="B4" s="27" t="s">
        <v>45</v>
      </c>
      <c r="C4" s="27" t="s">
        <v>46</v>
      </c>
      <c r="D4" s="28">
        <v>45903</v>
      </c>
      <c r="E4" s="28">
        <v>45914</v>
      </c>
      <c r="F4" s="27" t="s">
        <v>47</v>
      </c>
      <c r="G4" s="27" t="s">
        <v>26</v>
      </c>
      <c r="H4" s="28">
        <v>34593</v>
      </c>
      <c r="I4" s="27" t="s">
        <v>48</v>
      </c>
      <c r="J4" s="27" t="s">
        <v>28</v>
      </c>
      <c r="K4" s="27" t="s">
        <v>39</v>
      </c>
      <c r="L4" s="27" t="s">
        <v>49</v>
      </c>
      <c r="M4" s="27">
        <v>5</v>
      </c>
      <c r="N4" s="27">
        <v>55000</v>
      </c>
      <c r="O4" s="27">
        <v>5</v>
      </c>
      <c r="P4" s="27">
        <v>261250</v>
      </c>
      <c r="Q4" s="27">
        <v>3</v>
      </c>
      <c r="R4" s="27" t="s">
        <v>41</v>
      </c>
      <c r="S4" s="27" t="s">
        <v>50</v>
      </c>
      <c r="T4" s="27" t="s">
        <v>51</v>
      </c>
      <c r="U4" s="27">
        <v>9380975626</v>
      </c>
      <c r="V4" s="37" t="s">
        <v>52</v>
      </c>
      <c r="W4" s="40" t="str" cm="1">
        <f t="array" ref="W4">_xlfn.IFS(AND(P4&gt;=100000,Q4&gt;=4,O4&lt;=0.1,V4="Completed"),"Platinum",AND(P4&gt;=50000,P4&lt;=99999,Q4&gt;=3,V4="Completed"),"Golde",AND(P4&lt;50000,V4="Completed"),"Silver",OR(Q4&lt;=2,V4="Cancelled"),"BlackListed",TRUE,"Other")</f>
        <v>Other</v>
      </c>
    </row>
    <row r="5" spans="1:23" ht="15" thickBot="1" x14ac:dyDescent="0.4">
      <c r="A5" s="30" t="s">
        <v>35</v>
      </c>
      <c r="B5" s="30" t="s">
        <v>23</v>
      </c>
      <c r="C5" s="30" t="s">
        <v>24</v>
      </c>
      <c r="D5" s="31">
        <v>46102</v>
      </c>
      <c r="E5" s="31">
        <v>46114</v>
      </c>
      <c r="F5" s="30" t="s">
        <v>25</v>
      </c>
      <c r="G5" s="30" t="s">
        <v>26</v>
      </c>
      <c r="H5" s="31">
        <v>38053</v>
      </c>
      <c r="I5" s="30" t="s">
        <v>48</v>
      </c>
      <c r="J5" s="30" t="s">
        <v>28</v>
      </c>
      <c r="K5" s="30" t="s">
        <v>29</v>
      </c>
      <c r="L5" s="30" t="s">
        <v>30</v>
      </c>
      <c r="M5" s="30">
        <v>5</v>
      </c>
      <c r="N5" s="30">
        <v>2200</v>
      </c>
      <c r="O5" s="30">
        <v>5</v>
      </c>
      <c r="P5" s="30">
        <v>10450</v>
      </c>
      <c r="Q5" s="30">
        <v>5</v>
      </c>
      <c r="R5" s="30" t="s">
        <v>41</v>
      </c>
      <c r="S5" s="30" t="s">
        <v>50</v>
      </c>
      <c r="T5" s="32" t="s">
        <v>43</v>
      </c>
      <c r="U5" s="30">
        <v>9600261125</v>
      </c>
      <c r="V5" s="38" t="s">
        <v>53</v>
      </c>
      <c r="W5" s="40" t="str" cm="1">
        <f t="array" ref="W5">_xlfn.IFS(AND(P5&gt;=100000,Q5&gt;=4,O5&lt;=0.1,V5="Completed"),"Platinum",AND(P5&gt;=50000,P5&lt;=99999,Q5&gt;=3,V5="Completed"),"Golde",AND(P5&lt;50000,V5="Completed"),"Silver",OR(Q5&lt;=2,V5="Cancelled"),"BlackListed",TRUE,"Other")</f>
        <v>BlackListed</v>
      </c>
    </row>
    <row r="6" spans="1:23" ht="15" thickBot="1" x14ac:dyDescent="0.4">
      <c r="A6" s="27" t="s">
        <v>54</v>
      </c>
      <c r="B6" s="27" t="s">
        <v>55</v>
      </c>
      <c r="C6" s="27" t="s">
        <v>56</v>
      </c>
      <c r="D6" s="28">
        <v>45927</v>
      </c>
      <c r="E6" s="28">
        <v>45937</v>
      </c>
      <c r="F6" s="27" t="s">
        <v>57</v>
      </c>
      <c r="G6" s="27" t="s">
        <v>58</v>
      </c>
      <c r="H6" s="28">
        <v>27863</v>
      </c>
      <c r="I6" s="27" t="s">
        <v>37</v>
      </c>
      <c r="J6" s="27" t="s">
        <v>38</v>
      </c>
      <c r="K6" s="27" t="s">
        <v>39</v>
      </c>
      <c r="L6" s="27" t="s">
        <v>59</v>
      </c>
      <c r="M6" s="27">
        <v>8</v>
      </c>
      <c r="N6" s="27">
        <v>1200</v>
      </c>
      <c r="O6" s="27">
        <v>5</v>
      </c>
      <c r="P6" s="27">
        <v>9120</v>
      </c>
      <c r="Q6" s="27">
        <v>2</v>
      </c>
      <c r="R6" s="27" t="s">
        <v>60</v>
      </c>
      <c r="S6" s="27" t="s">
        <v>50</v>
      </c>
      <c r="T6" s="27" t="s">
        <v>61</v>
      </c>
      <c r="U6" s="27">
        <v>9724635978</v>
      </c>
      <c r="V6" s="37" t="s">
        <v>52</v>
      </c>
      <c r="W6" s="40" t="str" cm="1">
        <f t="array" ref="W6">_xlfn.IFS(AND(P6&gt;=100000,Q6&gt;=4,O6&lt;=0.1,V6="Completed"),"Platinum",AND(P6&gt;=50000,P6&lt;=99999,Q6&gt;=3,V6="Completed"),"Golde",AND(P6&lt;50000,V6="Completed"),"Silver",OR(Q6&lt;=2,V6="Cancelled"),"BlackListed",TRUE,"Other")</f>
        <v>BlackListed</v>
      </c>
    </row>
    <row r="7" spans="1:23" ht="15" thickBot="1" x14ac:dyDescent="0.4">
      <c r="A7" s="30" t="s">
        <v>62</v>
      </c>
      <c r="B7" s="30" t="s">
        <v>63</v>
      </c>
      <c r="C7" s="30" t="s">
        <v>24</v>
      </c>
      <c r="D7" s="31">
        <v>46026</v>
      </c>
      <c r="E7" s="31">
        <v>46034</v>
      </c>
      <c r="F7" s="30" t="s">
        <v>64</v>
      </c>
      <c r="G7" s="30" t="s">
        <v>58</v>
      </c>
      <c r="H7" s="31">
        <v>32180</v>
      </c>
      <c r="I7" s="30" t="s">
        <v>27</v>
      </c>
      <c r="J7" s="30" t="s">
        <v>28</v>
      </c>
      <c r="K7" s="30" t="s">
        <v>29</v>
      </c>
      <c r="L7" s="30" t="s">
        <v>30</v>
      </c>
      <c r="M7" s="30">
        <v>4</v>
      </c>
      <c r="N7" s="30">
        <v>2200</v>
      </c>
      <c r="O7" s="30">
        <v>0</v>
      </c>
      <c r="P7" s="30">
        <v>8800</v>
      </c>
      <c r="Q7" s="30">
        <v>1</v>
      </c>
      <c r="R7" s="30" t="s">
        <v>65</v>
      </c>
      <c r="S7" s="30" t="s">
        <v>32</v>
      </c>
      <c r="T7" s="30" t="s">
        <v>66</v>
      </c>
      <c r="U7" s="30">
        <v>9780584905</v>
      </c>
      <c r="V7" s="36" t="s">
        <v>34</v>
      </c>
      <c r="W7" s="40" t="str" cm="1">
        <f t="array" ref="W7">_xlfn.IFS(AND(P7&gt;=100000,Q7&gt;=4,O7&lt;=0.1,V7="Completed"),"Platinum",AND(P7&gt;=50000,P7&lt;=99999,Q7&gt;=3,V7="Completed"),"Golde",AND(P7&lt;50000,V7="Completed"),"Silver",OR(Q7&lt;=2,V7="Cancelled"),"BlackListed",TRUE,"Other")</f>
        <v>Silver</v>
      </c>
    </row>
    <row r="8" spans="1:23" ht="15" thickBot="1" x14ac:dyDescent="0.4">
      <c r="A8" s="27" t="s">
        <v>67</v>
      </c>
      <c r="B8" s="27" t="s">
        <v>23</v>
      </c>
      <c r="C8" s="27" t="s">
        <v>68</v>
      </c>
      <c r="D8" s="27" t="s">
        <v>69</v>
      </c>
      <c r="E8" s="28">
        <v>46078</v>
      </c>
      <c r="F8" s="27" t="s">
        <v>25</v>
      </c>
      <c r="G8" s="27" t="s">
        <v>26</v>
      </c>
      <c r="H8" s="28">
        <v>37700</v>
      </c>
      <c r="I8" s="27" t="s">
        <v>27</v>
      </c>
      <c r="J8" s="27" t="s">
        <v>28</v>
      </c>
      <c r="K8" s="27" t="s">
        <v>29</v>
      </c>
      <c r="L8" s="27" t="s">
        <v>70</v>
      </c>
      <c r="M8" s="27">
        <v>2</v>
      </c>
      <c r="N8" s="27">
        <v>3500</v>
      </c>
      <c r="O8" s="27">
        <v>5</v>
      </c>
      <c r="P8" s="27">
        <v>6650</v>
      </c>
      <c r="Q8" s="27">
        <v>1</v>
      </c>
      <c r="R8" s="27" t="s">
        <v>65</v>
      </c>
      <c r="S8" s="27" t="s">
        <v>32</v>
      </c>
      <c r="T8" s="27" t="s">
        <v>43</v>
      </c>
      <c r="U8" s="27">
        <v>9958252176</v>
      </c>
      <c r="V8" s="35" t="s">
        <v>34</v>
      </c>
      <c r="W8" s="40" t="str" cm="1">
        <f t="array" ref="W8">_xlfn.IFS(AND(P8&gt;=100000,Q8&gt;=4,O8&lt;=0.1,V8="Completed"),"Platinum",AND(P8&gt;=50000,P8&lt;=99999,Q8&gt;=3,V8="Completed"),"Golde",AND(P8&lt;50000,V8="Completed"),"Silver",OR(Q8&lt;=2,V8="Cancelled"),"BlackListed",TRUE,"Other")</f>
        <v>Silver</v>
      </c>
    </row>
    <row r="9" spans="1:23" ht="15" thickBot="1" x14ac:dyDescent="0.4">
      <c r="A9" s="30" t="s">
        <v>71</v>
      </c>
      <c r="B9" s="30" t="s">
        <v>72</v>
      </c>
      <c r="C9" s="30" t="s">
        <v>36</v>
      </c>
      <c r="D9" s="31">
        <v>45760</v>
      </c>
      <c r="E9" s="31">
        <v>45766</v>
      </c>
      <c r="F9" s="30" t="s">
        <v>73</v>
      </c>
      <c r="G9" s="30" t="s">
        <v>26</v>
      </c>
      <c r="H9" s="31">
        <v>34765</v>
      </c>
      <c r="I9" s="30" t="s">
        <v>74</v>
      </c>
      <c r="J9" s="30" t="s">
        <v>75</v>
      </c>
      <c r="K9" s="30" t="s">
        <v>39</v>
      </c>
      <c r="L9" s="30" t="s">
        <v>40</v>
      </c>
      <c r="M9" s="30">
        <v>14</v>
      </c>
      <c r="N9" s="30">
        <v>12000</v>
      </c>
      <c r="O9" s="30">
        <v>15</v>
      </c>
      <c r="P9" s="30">
        <v>142800</v>
      </c>
      <c r="Q9" s="30">
        <v>4</v>
      </c>
      <c r="R9" s="30" t="s">
        <v>41</v>
      </c>
      <c r="S9" s="30" t="s">
        <v>32</v>
      </c>
      <c r="T9" s="32" t="s">
        <v>76</v>
      </c>
      <c r="U9" s="30">
        <v>9705521654</v>
      </c>
      <c r="V9" s="36" t="s">
        <v>34</v>
      </c>
      <c r="W9" s="40" t="str" cm="1">
        <f t="array" ref="W9">_xlfn.IFS(AND(P9&gt;=100000,Q9&gt;=4,O9&lt;=0.1,V9="Completed"),"Platinum",AND(P9&gt;=50000,P9&lt;=99999,Q9&gt;=3,V9="Completed"),"Golde",AND(P9&lt;50000,V9="Completed"),"Silver",OR(Q9&lt;=2,V9="Cancelled"),"BlackListed",TRUE,"Other")</f>
        <v>Other</v>
      </c>
    </row>
    <row r="10" spans="1:23" ht="15" thickBot="1" x14ac:dyDescent="0.4">
      <c r="A10" s="27" t="s">
        <v>77</v>
      </c>
      <c r="B10" s="27" t="s">
        <v>23</v>
      </c>
      <c r="C10" s="27" t="s">
        <v>36</v>
      </c>
      <c r="D10" s="28">
        <v>46053</v>
      </c>
      <c r="E10" s="28">
        <v>46055</v>
      </c>
      <c r="F10" s="27" t="s">
        <v>78</v>
      </c>
      <c r="G10" s="27" t="s">
        <v>26</v>
      </c>
      <c r="H10" s="28">
        <v>35526</v>
      </c>
      <c r="I10" s="27" t="s">
        <v>79</v>
      </c>
      <c r="J10" s="27" t="s">
        <v>75</v>
      </c>
      <c r="K10" s="27" t="s">
        <v>39</v>
      </c>
      <c r="L10" s="27" t="s">
        <v>40</v>
      </c>
      <c r="M10" s="27">
        <v>4</v>
      </c>
      <c r="N10" s="27">
        <v>12000</v>
      </c>
      <c r="O10" s="27">
        <v>15</v>
      </c>
      <c r="P10" s="27">
        <v>40800</v>
      </c>
      <c r="Q10" s="27">
        <v>4</v>
      </c>
      <c r="R10" s="27" t="s">
        <v>65</v>
      </c>
      <c r="S10" s="27" t="s">
        <v>80</v>
      </c>
      <c r="T10" s="27" t="s">
        <v>43</v>
      </c>
      <c r="U10" s="27">
        <v>9588041011</v>
      </c>
      <c r="V10" s="35" t="s">
        <v>34</v>
      </c>
      <c r="W10" s="40" t="str" cm="1">
        <f t="array" ref="W10">_xlfn.IFS(AND(P10&gt;=100000,Q10&gt;=4,O10&lt;=0.1,V10="Completed"),"Platinum",AND(P10&gt;=50000,P10&lt;=99999,Q10&gt;=3,V10="Completed"),"Golde",AND(P10&lt;50000,V10="Completed"),"Silver",OR(Q10&lt;=2,V10="Cancelled"),"BlackListed",TRUE,"Other")</f>
        <v>Silver</v>
      </c>
    </row>
    <row r="11" spans="1:23" ht="15" thickBot="1" x14ac:dyDescent="0.4">
      <c r="A11" s="30" t="s">
        <v>81</v>
      </c>
      <c r="B11" s="30" t="s">
        <v>72</v>
      </c>
      <c r="C11" s="30" t="s">
        <v>82</v>
      </c>
      <c r="D11" s="31">
        <v>45741</v>
      </c>
      <c r="E11" s="31">
        <v>45743</v>
      </c>
      <c r="F11" s="30" t="s">
        <v>73</v>
      </c>
      <c r="G11" s="30" t="s">
        <v>26</v>
      </c>
      <c r="H11" s="31">
        <v>32880</v>
      </c>
      <c r="I11" s="30" t="s">
        <v>74</v>
      </c>
      <c r="J11" s="30" t="s">
        <v>75</v>
      </c>
      <c r="K11" s="30" t="s">
        <v>83</v>
      </c>
      <c r="L11" s="30" t="s">
        <v>84</v>
      </c>
      <c r="M11" s="30">
        <v>6</v>
      </c>
      <c r="N11" s="30">
        <v>60</v>
      </c>
      <c r="O11" s="30">
        <v>0</v>
      </c>
      <c r="P11" s="30">
        <v>360</v>
      </c>
      <c r="Q11" s="30">
        <v>4</v>
      </c>
      <c r="R11" s="30" t="s">
        <v>60</v>
      </c>
      <c r="S11" s="30" t="s">
        <v>80</v>
      </c>
      <c r="T11" s="32" t="s">
        <v>85</v>
      </c>
      <c r="U11" s="30">
        <v>9340540608</v>
      </c>
      <c r="V11" s="36" t="s">
        <v>34</v>
      </c>
      <c r="W11" s="40" t="str" cm="1">
        <f t="array" ref="W11">_xlfn.IFS(AND(P11&gt;=100000,Q11&gt;=4,O11&lt;=0.1,V11="Completed"),"Platinum",AND(P11&gt;=50000,P11&lt;=99999,Q11&gt;=3,V11="Completed"),"Golde",AND(P11&lt;50000,V11="Completed"),"Silver",OR(Q11&lt;=2,V11="Cancelled"),"BlackListed",TRUE,"Other")</f>
        <v>Silver</v>
      </c>
    </row>
    <row r="12" spans="1:23" ht="15" thickBot="1" x14ac:dyDescent="0.4">
      <c r="A12" s="27" t="s">
        <v>86</v>
      </c>
      <c r="B12" s="27" t="s">
        <v>87</v>
      </c>
      <c r="C12" s="27" t="s">
        <v>24</v>
      </c>
      <c r="D12" s="28">
        <v>45919</v>
      </c>
      <c r="E12" s="28">
        <v>45923</v>
      </c>
      <c r="F12" s="27" t="s">
        <v>88</v>
      </c>
      <c r="G12" s="27" t="s">
        <v>58</v>
      </c>
      <c r="H12" s="28">
        <v>30081</v>
      </c>
      <c r="I12" s="27" t="s">
        <v>37</v>
      </c>
      <c r="J12" s="27" t="s">
        <v>38</v>
      </c>
      <c r="K12" s="27" t="s">
        <v>29</v>
      </c>
      <c r="L12" s="27" t="s">
        <v>30</v>
      </c>
      <c r="M12" s="27">
        <v>-3</v>
      </c>
      <c r="N12" s="27">
        <v>2200</v>
      </c>
      <c r="O12" s="27">
        <v>0</v>
      </c>
      <c r="P12" s="27">
        <v>35200</v>
      </c>
      <c r="Q12" s="27">
        <v>2</v>
      </c>
      <c r="R12" s="27" t="s">
        <v>60</v>
      </c>
      <c r="S12" s="27" t="s">
        <v>42</v>
      </c>
      <c r="T12" s="27" t="s">
        <v>89</v>
      </c>
      <c r="U12" s="27">
        <v>9521710321</v>
      </c>
      <c r="V12" s="37" t="s">
        <v>52</v>
      </c>
      <c r="W12" s="40" t="str" cm="1">
        <f t="array" ref="W12">_xlfn.IFS(AND(P12&gt;=100000,Q12&gt;=4,O12&lt;=0.1,V12="Completed"),"Platinum",AND(P12&gt;=50000,P12&lt;=99999,Q12&gt;=3,V12="Completed"),"Golde",AND(P12&lt;50000,V12="Completed"),"Silver",OR(Q12&lt;=2,V12="Cancelled"),"BlackListed",TRUE,"Other")</f>
        <v>BlackListed</v>
      </c>
    </row>
    <row r="13" spans="1:23" ht="15" thickBot="1" x14ac:dyDescent="0.4">
      <c r="A13" s="30" t="s">
        <v>90</v>
      </c>
      <c r="B13" s="30" t="s">
        <v>23</v>
      </c>
      <c r="C13" s="30" t="s">
        <v>68</v>
      </c>
      <c r="D13" s="31">
        <v>45724</v>
      </c>
      <c r="E13" s="31">
        <v>45731</v>
      </c>
      <c r="F13" s="30" t="s">
        <v>25</v>
      </c>
      <c r="G13" s="30" t="s">
        <v>26</v>
      </c>
      <c r="H13" s="31">
        <v>29974</v>
      </c>
      <c r="I13" s="30" t="s">
        <v>91</v>
      </c>
      <c r="J13" s="30" t="s">
        <v>75</v>
      </c>
      <c r="K13" s="30" t="s">
        <v>29</v>
      </c>
      <c r="L13" s="30" t="s">
        <v>70</v>
      </c>
      <c r="M13" s="30">
        <v>10</v>
      </c>
      <c r="N13" s="30">
        <v>3500</v>
      </c>
      <c r="O13" s="30">
        <v>5</v>
      </c>
      <c r="P13" s="30">
        <v>33250</v>
      </c>
      <c r="Q13" s="30">
        <v>5</v>
      </c>
      <c r="R13" s="30" t="s">
        <v>60</v>
      </c>
      <c r="S13" s="30" t="s">
        <v>50</v>
      </c>
      <c r="T13" s="30" t="s">
        <v>43</v>
      </c>
      <c r="U13" s="30">
        <v>9123535241</v>
      </c>
      <c r="V13" s="38" t="s">
        <v>53</v>
      </c>
      <c r="W13" s="40" t="str" cm="1">
        <f t="array" ref="W13">_xlfn.IFS(AND(P13&gt;=100000,Q13&gt;=4,O13&lt;=0.1,V13="Completed"),"Platinum",AND(P13&gt;=50000,P13&lt;=99999,Q13&gt;=3,V13="Completed"),"Golde",AND(P13&lt;50000,V13="Completed"),"Silver",OR(Q13&lt;=2,V13="Cancelled"),"BlackListed",TRUE,"Other")</f>
        <v>BlackListed</v>
      </c>
    </row>
    <row r="14" spans="1:23" ht="15" thickBot="1" x14ac:dyDescent="0.4">
      <c r="A14" s="27" t="s">
        <v>92</v>
      </c>
      <c r="B14" s="27" t="s">
        <v>72</v>
      </c>
      <c r="C14" s="27" t="s">
        <v>24</v>
      </c>
      <c r="D14" s="28">
        <v>45667</v>
      </c>
      <c r="E14" s="28">
        <v>45672</v>
      </c>
      <c r="F14" s="27" t="s">
        <v>73</v>
      </c>
      <c r="G14" s="27" t="s">
        <v>26</v>
      </c>
      <c r="H14" s="28">
        <v>33791</v>
      </c>
      <c r="I14" s="27" t="s">
        <v>79</v>
      </c>
      <c r="J14" s="27" t="s">
        <v>75</v>
      </c>
      <c r="K14" s="27" t="s">
        <v>29</v>
      </c>
      <c r="L14" s="27" t="s">
        <v>30</v>
      </c>
      <c r="M14" s="27">
        <v>15</v>
      </c>
      <c r="N14" s="27">
        <v>2200</v>
      </c>
      <c r="O14" s="27">
        <v>10</v>
      </c>
      <c r="P14" s="27">
        <v>29700</v>
      </c>
      <c r="Q14" s="27">
        <v>1</v>
      </c>
      <c r="R14" s="27" t="s">
        <v>65</v>
      </c>
      <c r="S14" s="27" t="s">
        <v>80</v>
      </c>
      <c r="T14" s="27" t="s">
        <v>93</v>
      </c>
      <c r="U14" s="27">
        <v>9367316892</v>
      </c>
      <c r="V14" s="37" t="s">
        <v>52</v>
      </c>
      <c r="W14" s="40" t="str" cm="1">
        <f t="array" ref="W14">_xlfn.IFS(AND(P14&gt;=100000,Q14&gt;=4,O14&lt;=0.1,V14="Completed"),"Platinum",AND(P14&gt;=50000,P14&lt;=99999,Q14&gt;=3,V14="Completed"),"Golde",AND(P14&lt;50000,V14="Completed"),"Silver",OR(Q14&lt;=2,V14="Cancelled"),"BlackListed",TRUE,"Other")</f>
        <v>BlackListed</v>
      </c>
    </row>
    <row r="15" spans="1:23" ht="15" thickBot="1" x14ac:dyDescent="0.4">
      <c r="A15" s="30" t="s">
        <v>94</v>
      </c>
      <c r="B15" s="30" t="s">
        <v>87</v>
      </c>
      <c r="C15" s="30" t="s">
        <v>24</v>
      </c>
      <c r="D15" s="31">
        <v>45725</v>
      </c>
      <c r="E15" s="31">
        <v>45729</v>
      </c>
      <c r="F15" s="30" t="s">
        <v>95</v>
      </c>
      <c r="G15" s="30" t="s">
        <v>58</v>
      </c>
      <c r="H15" s="31">
        <v>37334</v>
      </c>
      <c r="I15" s="30" t="s">
        <v>74</v>
      </c>
      <c r="J15" s="30" t="s">
        <v>75</v>
      </c>
      <c r="K15" s="30" t="s">
        <v>29</v>
      </c>
      <c r="L15" s="30" t="s">
        <v>30</v>
      </c>
      <c r="M15" s="30">
        <v>17</v>
      </c>
      <c r="N15" s="30">
        <v>2200</v>
      </c>
      <c r="O15" s="30">
        <v>5</v>
      </c>
      <c r="P15" s="30">
        <v>35530</v>
      </c>
      <c r="Q15" s="30">
        <v>1</v>
      </c>
      <c r="R15" s="30" t="s">
        <v>31</v>
      </c>
      <c r="S15" s="30" t="s">
        <v>96</v>
      </c>
      <c r="T15" s="32" t="s">
        <v>97</v>
      </c>
      <c r="U15" s="30">
        <v>9778489803</v>
      </c>
      <c r="V15" s="36" t="s">
        <v>34</v>
      </c>
      <c r="W15" s="40" t="str" cm="1">
        <f t="array" ref="W15">_xlfn.IFS(AND(P15&gt;=100000,Q15&gt;=4,O15&lt;=0.1,V15="Completed"),"Platinum",AND(P15&gt;=50000,P15&lt;=99999,Q15&gt;=3,V15="Completed"),"Golde",AND(P15&lt;50000,V15="Completed"),"Silver",OR(Q15&lt;=2,V15="Cancelled"),"BlackListed",TRUE,"Other")</f>
        <v>Silver</v>
      </c>
    </row>
    <row r="16" spans="1:23" ht="15" thickBot="1" x14ac:dyDescent="0.4">
      <c r="A16" s="27" t="s">
        <v>98</v>
      </c>
      <c r="B16" s="27" t="s">
        <v>23</v>
      </c>
      <c r="C16" s="27" t="s">
        <v>68</v>
      </c>
      <c r="D16" s="28">
        <v>45864</v>
      </c>
      <c r="E16" s="28">
        <v>45876</v>
      </c>
      <c r="F16" s="27" t="s">
        <v>99</v>
      </c>
      <c r="G16" s="27" t="s">
        <v>26</v>
      </c>
      <c r="H16" s="28">
        <v>36908</v>
      </c>
      <c r="I16" s="27" t="s">
        <v>74</v>
      </c>
      <c r="J16" s="27" t="s">
        <v>75</v>
      </c>
      <c r="K16" s="27" t="s">
        <v>29</v>
      </c>
      <c r="L16" s="27" t="s">
        <v>70</v>
      </c>
      <c r="M16" s="27">
        <v>15</v>
      </c>
      <c r="N16" s="27">
        <v>3500</v>
      </c>
      <c r="O16" s="27">
        <v>15</v>
      </c>
      <c r="P16" s="27">
        <v>44625</v>
      </c>
      <c r="Q16" s="27">
        <v>2</v>
      </c>
      <c r="R16" s="27" t="s">
        <v>31</v>
      </c>
      <c r="S16" s="27" t="s">
        <v>80</v>
      </c>
      <c r="T16" s="29" t="s">
        <v>43</v>
      </c>
      <c r="U16" s="27">
        <v>9582960180</v>
      </c>
      <c r="V16" s="37" t="s">
        <v>53</v>
      </c>
      <c r="W16" s="40" t="str" cm="1">
        <f t="array" ref="W16">_xlfn.IFS(AND(P16&gt;=100000,Q16&gt;=4,O16&lt;=0.1,V16="Completed"),"Platinum",AND(P16&gt;=50000,P16&lt;=99999,Q16&gt;=3,V16="Completed"),"Golde",AND(P16&lt;50000,V16="Completed"),"Silver",OR(Q16&lt;=2,V16="Cancelled"),"BlackListed",TRUE,"Other")</f>
        <v>BlackListed</v>
      </c>
    </row>
    <row r="17" spans="1:23" ht="15" thickBot="1" x14ac:dyDescent="0.4">
      <c r="A17" s="30" t="s">
        <v>100</v>
      </c>
      <c r="B17" s="30" t="s">
        <v>45</v>
      </c>
      <c r="C17" s="30" t="s">
        <v>56</v>
      </c>
      <c r="D17" s="31">
        <v>46120</v>
      </c>
      <c r="E17" s="31">
        <v>46123</v>
      </c>
      <c r="F17" s="30" t="s">
        <v>101</v>
      </c>
      <c r="G17" s="30" t="s">
        <v>26</v>
      </c>
      <c r="H17" s="31">
        <v>37357</v>
      </c>
      <c r="I17" s="30" t="s">
        <v>27</v>
      </c>
      <c r="J17" s="30" t="s">
        <v>28</v>
      </c>
      <c r="K17" s="30" t="s">
        <v>39</v>
      </c>
      <c r="L17" s="30" t="s">
        <v>59</v>
      </c>
      <c r="M17" s="30">
        <v>3</v>
      </c>
      <c r="N17" s="30">
        <v>1200</v>
      </c>
      <c r="O17" s="30">
        <v>5</v>
      </c>
      <c r="P17" s="30">
        <v>3420</v>
      </c>
      <c r="Q17" s="30">
        <v>5</v>
      </c>
      <c r="R17" s="30" t="s">
        <v>65</v>
      </c>
      <c r="S17" s="30" t="s">
        <v>32</v>
      </c>
      <c r="T17" s="30" t="s">
        <v>102</v>
      </c>
      <c r="U17" s="30">
        <v>9611394005</v>
      </c>
      <c r="V17" s="36" t="s">
        <v>34</v>
      </c>
      <c r="W17" s="40" t="str" cm="1">
        <f t="array" ref="W17">_xlfn.IFS(AND(P17&gt;=100000,Q17&gt;=4,O17&lt;=0.1,V17="Completed"),"Platinum",AND(P17&gt;=50000,P17&lt;=99999,Q17&gt;=3,V17="Completed"),"Golde",AND(P17&lt;50000,V17="Completed"),"Silver",OR(Q17&lt;=2,V17="Cancelled"),"BlackListed",TRUE,"Other")</f>
        <v>Silver</v>
      </c>
    </row>
    <row r="18" spans="1:23" ht="15" thickBot="1" x14ac:dyDescent="0.4">
      <c r="A18" s="27" t="s">
        <v>103</v>
      </c>
      <c r="B18" s="27" t="s">
        <v>104</v>
      </c>
      <c r="C18" s="27" t="s">
        <v>105</v>
      </c>
      <c r="D18" s="28">
        <v>46075</v>
      </c>
      <c r="E18" s="28">
        <v>46084</v>
      </c>
      <c r="F18" s="27" t="s">
        <v>106</v>
      </c>
      <c r="G18" s="27" t="s">
        <v>26</v>
      </c>
      <c r="H18" s="28">
        <v>37272</v>
      </c>
      <c r="I18" s="27" t="s">
        <v>79</v>
      </c>
      <c r="J18" s="27" t="s">
        <v>75</v>
      </c>
      <c r="K18" s="27" t="s">
        <v>29</v>
      </c>
      <c r="L18" s="27" t="s">
        <v>107</v>
      </c>
      <c r="M18" s="27">
        <v>13</v>
      </c>
      <c r="N18" s="27">
        <v>8500</v>
      </c>
      <c r="O18" s="27">
        <v>20</v>
      </c>
      <c r="P18" s="27">
        <v>88400</v>
      </c>
      <c r="Q18" s="27">
        <v>4</v>
      </c>
      <c r="R18" s="27" t="s">
        <v>60</v>
      </c>
      <c r="S18" s="27" t="s">
        <v>42</v>
      </c>
      <c r="T18" s="27" t="s">
        <v>108</v>
      </c>
      <c r="U18" s="27">
        <v>9692599404</v>
      </c>
      <c r="V18" s="37" t="s">
        <v>52</v>
      </c>
      <c r="W18" s="40" t="str" cm="1">
        <f t="array" ref="W18">_xlfn.IFS(AND(P18&gt;=100000,Q18&gt;=4,O18&lt;=0.1,V18="Completed"),"Platinum",AND(P18&gt;=50000,P18&lt;=99999,Q18&gt;=3,V18="Completed"),"Golde",AND(P18&lt;50000,V18="Completed"),"Silver",OR(Q18&lt;=2,V18="Cancelled"),"BlackListed",TRUE,"Other")</f>
        <v>Other</v>
      </c>
    </row>
    <row r="19" spans="1:23" ht="15" thickBot="1" x14ac:dyDescent="0.4">
      <c r="A19" s="30" t="s">
        <v>109</v>
      </c>
      <c r="B19" s="30" t="s">
        <v>63</v>
      </c>
      <c r="C19" s="30" t="s">
        <v>105</v>
      </c>
      <c r="D19" s="31">
        <v>46081</v>
      </c>
      <c r="E19" s="31">
        <v>46086</v>
      </c>
      <c r="F19" s="30" t="s">
        <v>110</v>
      </c>
      <c r="G19" s="30" t="s">
        <v>58</v>
      </c>
      <c r="H19" s="31">
        <v>32790</v>
      </c>
      <c r="I19" s="30" t="s">
        <v>91</v>
      </c>
      <c r="J19" s="30" t="s">
        <v>75</v>
      </c>
      <c r="K19" s="30" t="s">
        <v>29</v>
      </c>
      <c r="L19" s="30" t="s">
        <v>107</v>
      </c>
      <c r="M19" s="30">
        <v>4</v>
      </c>
      <c r="N19" s="30">
        <v>8500</v>
      </c>
      <c r="O19" s="30">
        <v>20</v>
      </c>
      <c r="P19" s="30">
        <v>27200</v>
      </c>
      <c r="Q19" s="30">
        <v>5</v>
      </c>
      <c r="R19" s="30" t="s">
        <v>60</v>
      </c>
      <c r="S19" s="30" t="s">
        <v>50</v>
      </c>
      <c r="T19" s="30" t="s">
        <v>66</v>
      </c>
      <c r="U19" s="30">
        <v>9426119622</v>
      </c>
      <c r="V19" s="38" t="s">
        <v>52</v>
      </c>
      <c r="W19" s="40" t="str" cm="1">
        <f t="array" ref="W19">_xlfn.IFS(AND(P19&gt;=100000,Q19&gt;=4,O19&lt;=0.1,V19="Completed"),"Platinum",AND(P19&gt;=50000,P19&lt;=99999,Q19&gt;=3,V19="Completed"),"Golde",AND(P19&lt;50000,V19="Completed"),"Silver",OR(Q19&lt;=2,V19="Cancelled"),"BlackListed",TRUE,"Other")</f>
        <v>Other</v>
      </c>
    </row>
    <row r="20" spans="1:23" ht="15" thickBot="1" x14ac:dyDescent="0.4">
      <c r="A20" s="27" t="s">
        <v>111</v>
      </c>
      <c r="B20" s="27" t="s">
        <v>63</v>
      </c>
      <c r="C20" s="27" t="s">
        <v>112</v>
      </c>
      <c r="D20" s="28">
        <v>45992</v>
      </c>
      <c r="E20" s="28">
        <v>45995</v>
      </c>
      <c r="F20" s="27" t="s">
        <v>113</v>
      </c>
      <c r="G20" s="27" t="s">
        <v>58</v>
      </c>
      <c r="H20" s="28">
        <v>33539</v>
      </c>
      <c r="I20" s="27" t="s">
        <v>74</v>
      </c>
      <c r="J20" s="27" t="s">
        <v>75</v>
      </c>
      <c r="K20" s="27" t="s">
        <v>39</v>
      </c>
      <c r="L20" s="27" t="s">
        <v>114</v>
      </c>
      <c r="M20" s="27">
        <v>9</v>
      </c>
      <c r="N20" s="27">
        <v>700</v>
      </c>
      <c r="O20" s="27">
        <v>5</v>
      </c>
      <c r="P20" s="27">
        <v>5985</v>
      </c>
      <c r="Q20" s="27">
        <v>3</v>
      </c>
      <c r="R20" s="27" t="s">
        <v>65</v>
      </c>
      <c r="S20" s="27" t="s">
        <v>32</v>
      </c>
      <c r="T20" s="29" t="s">
        <v>115</v>
      </c>
      <c r="U20" s="27">
        <v>9184436009</v>
      </c>
      <c r="V20" s="37" t="s">
        <v>52</v>
      </c>
      <c r="W20" s="40" t="str" cm="1">
        <f t="array" ref="W20">_xlfn.IFS(AND(P20&gt;=100000,Q20&gt;=4,O20&lt;=0.1,V20="Completed"),"Platinum",AND(P20&gt;=50000,P20&lt;=99999,Q20&gt;=3,V20="Completed"),"Golde",AND(P20&lt;50000,V20="Completed"),"Silver",OR(Q20&lt;=2,V20="Cancelled"),"BlackListed",TRUE,"Other")</f>
        <v>Other</v>
      </c>
    </row>
    <row r="21" spans="1:23" ht="15" thickBot="1" x14ac:dyDescent="0.4">
      <c r="A21" s="30" t="s">
        <v>116</v>
      </c>
      <c r="B21" s="30" t="s">
        <v>23</v>
      </c>
      <c r="C21" s="30" t="s">
        <v>46</v>
      </c>
      <c r="D21" s="31">
        <v>45833</v>
      </c>
      <c r="E21" s="31">
        <v>45841</v>
      </c>
      <c r="F21" s="30" t="s">
        <v>25</v>
      </c>
      <c r="G21" s="30" t="s">
        <v>26</v>
      </c>
      <c r="H21" s="31">
        <v>32933</v>
      </c>
      <c r="I21" s="30" t="s">
        <v>91</v>
      </c>
      <c r="J21" s="30" t="s">
        <v>75</v>
      </c>
      <c r="K21" s="30" t="s">
        <v>39</v>
      </c>
      <c r="L21" s="30" t="s">
        <v>49</v>
      </c>
      <c r="M21" s="30">
        <v>8</v>
      </c>
      <c r="N21" s="30">
        <v>55000</v>
      </c>
      <c r="O21" s="30">
        <v>20</v>
      </c>
      <c r="P21" s="30">
        <v>352000</v>
      </c>
      <c r="Q21" s="30">
        <v>1</v>
      </c>
      <c r="R21" s="30" t="s">
        <v>31</v>
      </c>
      <c r="S21" s="30" t="s">
        <v>96</v>
      </c>
      <c r="T21" s="30" t="s">
        <v>43</v>
      </c>
      <c r="U21" s="30">
        <v>9263774934</v>
      </c>
      <c r="V21" s="36" t="s">
        <v>34</v>
      </c>
      <c r="W21" s="40" t="str" cm="1">
        <f t="array" ref="W21">_xlfn.IFS(AND(P21&gt;=100000,Q21&gt;=4,O21&lt;=0.1,V21="Completed"),"Platinum",AND(P21&gt;=50000,P21&lt;=99999,Q21&gt;=3,V21="Completed"),"Golde",AND(P21&lt;50000,V21="Completed"),"Silver",OR(Q21&lt;=2,V21="Cancelled"),"BlackListed",TRUE,"Other")</f>
        <v>BlackListed</v>
      </c>
    </row>
    <row r="22" spans="1:23" ht="15" thickBot="1" x14ac:dyDescent="0.4">
      <c r="A22" s="27" t="s">
        <v>117</v>
      </c>
      <c r="B22" s="27" t="s">
        <v>87</v>
      </c>
      <c r="C22" s="27" t="s">
        <v>112</v>
      </c>
      <c r="D22" s="28">
        <v>45773</v>
      </c>
      <c r="E22" s="28">
        <v>45782</v>
      </c>
      <c r="F22" s="27" t="s">
        <v>88</v>
      </c>
      <c r="G22" s="27" t="s">
        <v>58</v>
      </c>
      <c r="H22" s="28">
        <v>37455</v>
      </c>
      <c r="I22" s="27" t="s">
        <v>37</v>
      </c>
      <c r="J22" s="27" t="s">
        <v>38</v>
      </c>
      <c r="K22" s="27" t="s">
        <v>118</v>
      </c>
      <c r="L22" s="27" t="s">
        <v>114</v>
      </c>
      <c r="M22" s="27">
        <v>10</v>
      </c>
      <c r="N22" s="27">
        <v>700</v>
      </c>
      <c r="O22" s="27">
        <v>20</v>
      </c>
      <c r="P22" s="27">
        <v>5600</v>
      </c>
      <c r="Q22" s="27">
        <v>4</v>
      </c>
      <c r="R22" s="27" t="s">
        <v>60</v>
      </c>
      <c r="S22" s="27" t="s">
        <v>50</v>
      </c>
      <c r="T22" s="27" t="s">
        <v>89</v>
      </c>
      <c r="U22" s="27">
        <v>9473159572</v>
      </c>
      <c r="V22" s="37" t="s">
        <v>53</v>
      </c>
      <c r="W22" s="40" t="str" cm="1">
        <f t="array" ref="W22">_xlfn.IFS(AND(P22&gt;=100000,Q22&gt;=4,O22&lt;=0.1,V22="Completed"),"Platinum",AND(P22&gt;=50000,P22&lt;=99999,Q22&gt;=3,V22="Completed"),"Golde",AND(P22&lt;50000,V22="Completed"),"Silver",OR(Q22&lt;=2,V22="Cancelled"),"BlackListed",TRUE,"Other")</f>
        <v>BlackListed</v>
      </c>
    </row>
    <row r="23" spans="1:23" ht="15" thickBot="1" x14ac:dyDescent="0.4">
      <c r="A23" s="30" t="s">
        <v>119</v>
      </c>
      <c r="B23" s="30" t="s">
        <v>23</v>
      </c>
      <c r="C23" s="30" t="s">
        <v>68</v>
      </c>
      <c r="D23" s="31">
        <v>45660</v>
      </c>
      <c r="E23" s="31">
        <v>45665</v>
      </c>
      <c r="F23" s="30" t="s">
        <v>78</v>
      </c>
      <c r="G23" s="30" t="s">
        <v>26</v>
      </c>
      <c r="H23" s="31">
        <v>38336</v>
      </c>
      <c r="I23" s="30" t="s">
        <v>48</v>
      </c>
      <c r="J23" s="30" t="s">
        <v>28</v>
      </c>
      <c r="K23" s="30" t="s">
        <v>29</v>
      </c>
      <c r="L23" s="30" t="s">
        <v>70</v>
      </c>
      <c r="M23" s="30">
        <v>1</v>
      </c>
      <c r="N23" s="30">
        <v>3500</v>
      </c>
      <c r="O23" s="30">
        <v>5</v>
      </c>
      <c r="P23" s="30">
        <v>3325</v>
      </c>
      <c r="Q23" s="30">
        <v>3</v>
      </c>
      <c r="R23" s="30" t="s">
        <v>65</v>
      </c>
      <c r="S23" s="30" t="s">
        <v>80</v>
      </c>
      <c r="T23" s="30" t="s">
        <v>43</v>
      </c>
      <c r="U23" s="30">
        <v>9660493688</v>
      </c>
      <c r="V23" s="38" t="s">
        <v>53</v>
      </c>
      <c r="W23" s="40" t="str" cm="1">
        <f t="array" ref="W23">_xlfn.IFS(AND(P23&gt;=100000,Q23&gt;=4,O23&lt;=0.1,V23="Completed"),"Platinum",AND(P23&gt;=50000,P23&lt;=99999,Q23&gt;=3,V23="Completed"),"Golde",AND(P23&lt;50000,V23="Completed"),"Silver",OR(Q23&lt;=2,V23="Cancelled"),"BlackListed",TRUE,"Other")</f>
        <v>BlackListed</v>
      </c>
    </row>
    <row r="24" spans="1:23" ht="15" thickBot="1" x14ac:dyDescent="0.4">
      <c r="A24" s="27" t="s">
        <v>120</v>
      </c>
      <c r="B24" s="27" t="s">
        <v>72</v>
      </c>
      <c r="C24" s="27" t="s">
        <v>112</v>
      </c>
      <c r="D24" s="28">
        <v>45766</v>
      </c>
      <c r="E24" s="28">
        <v>45777</v>
      </c>
      <c r="F24" s="27" t="s">
        <v>73</v>
      </c>
      <c r="G24" s="27" t="s">
        <v>26</v>
      </c>
      <c r="H24" s="28">
        <v>30867</v>
      </c>
      <c r="I24" s="27" t="s">
        <v>121</v>
      </c>
      <c r="J24" s="27" t="s">
        <v>38</v>
      </c>
      <c r="K24" s="27" t="s">
        <v>39</v>
      </c>
      <c r="L24" s="27" t="s">
        <v>114</v>
      </c>
      <c r="M24" s="27">
        <v>19</v>
      </c>
      <c r="N24" s="27">
        <v>700</v>
      </c>
      <c r="O24" s="27">
        <v>15</v>
      </c>
      <c r="P24" s="27">
        <v>11305</v>
      </c>
      <c r="Q24" s="27">
        <v>3</v>
      </c>
      <c r="R24" s="27" t="s">
        <v>41</v>
      </c>
      <c r="S24" s="27" t="s">
        <v>96</v>
      </c>
      <c r="T24" s="27" t="s">
        <v>93</v>
      </c>
      <c r="U24" s="27">
        <v>9513325819</v>
      </c>
      <c r="V24" s="37" t="s">
        <v>52</v>
      </c>
      <c r="W24" s="40" t="str" cm="1">
        <f t="array" ref="W24">_xlfn.IFS(AND(P24&gt;=100000,Q24&gt;=4,O24&lt;=0.1,V24="Completed"),"Platinum",AND(P24&gt;=50000,P24&lt;=99999,Q24&gt;=3,V24="Completed"),"Golde",AND(P24&lt;50000,V24="Completed"),"Silver",OR(Q24&lt;=2,V24="Cancelled"),"BlackListed",TRUE,"Other")</f>
        <v>Other</v>
      </c>
    </row>
    <row r="25" spans="1:23" ht="15" thickBot="1" x14ac:dyDescent="0.4">
      <c r="A25" s="30" t="s">
        <v>122</v>
      </c>
      <c r="B25" s="30" t="s">
        <v>55</v>
      </c>
      <c r="C25" s="30" t="s">
        <v>46</v>
      </c>
      <c r="D25" s="31">
        <v>46013</v>
      </c>
      <c r="E25" s="31">
        <v>46023</v>
      </c>
      <c r="F25" s="30" t="s">
        <v>57</v>
      </c>
      <c r="G25" s="30" t="s">
        <v>58</v>
      </c>
      <c r="H25" s="31">
        <v>28546</v>
      </c>
      <c r="I25" s="30" t="s">
        <v>48</v>
      </c>
      <c r="J25" s="30" t="s">
        <v>28</v>
      </c>
      <c r="K25" s="30" t="s">
        <v>39</v>
      </c>
      <c r="L25" s="30" t="s">
        <v>49</v>
      </c>
      <c r="M25" s="30">
        <v>12</v>
      </c>
      <c r="N25" s="30">
        <v>55000</v>
      </c>
      <c r="O25" s="30">
        <v>0</v>
      </c>
      <c r="P25" s="30">
        <v>660000</v>
      </c>
      <c r="Q25" s="30">
        <v>1</v>
      </c>
      <c r="R25" s="30" t="s">
        <v>60</v>
      </c>
      <c r="S25" s="30" t="s">
        <v>42</v>
      </c>
      <c r="T25" s="30" t="s">
        <v>61</v>
      </c>
      <c r="U25" s="30">
        <v>9641063242</v>
      </c>
      <c r="V25" s="38" t="s">
        <v>52</v>
      </c>
      <c r="W25" s="40" t="str" cm="1">
        <f t="array" ref="W25">_xlfn.IFS(AND(P25&gt;=100000,Q25&gt;=4,O25&lt;=0.1,V25="Completed"),"Platinum",AND(P25&gt;=50000,P25&lt;=99999,Q25&gt;=3,V25="Completed"),"Golde",AND(P25&lt;50000,V25="Completed"),"Silver",OR(Q25&lt;=2,V25="Cancelled"),"BlackListed",TRUE,"Other")</f>
        <v>BlackListed</v>
      </c>
    </row>
    <row r="26" spans="1:23" ht="15" thickBot="1" x14ac:dyDescent="0.4">
      <c r="A26" s="27" t="s">
        <v>123</v>
      </c>
      <c r="B26" s="27" t="s">
        <v>124</v>
      </c>
      <c r="C26" s="27" t="s">
        <v>125</v>
      </c>
      <c r="D26" s="28">
        <v>46121</v>
      </c>
      <c r="E26" s="28">
        <v>46132</v>
      </c>
      <c r="F26" s="27" t="s">
        <v>126</v>
      </c>
      <c r="G26" s="27" t="s">
        <v>58</v>
      </c>
      <c r="H26" s="28">
        <v>33453</v>
      </c>
      <c r="I26" s="27" t="s">
        <v>74</v>
      </c>
      <c r="J26" s="27" t="s">
        <v>75</v>
      </c>
      <c r="K26" s="27" t="s">
        <v>83</v>
      </c>
      <c r="L26" s="27" t="s">
        <v>127</v>
      </c>
      <c r="M26" s="27">
        <v>1</v>
      </c>
      <c r="N26" s="27">
        <v>20</v>
      </c>
      <c r="O26" s="27">
        <v>5</v>
      </c>
      <c r="P26" s="27">
        <v>19</v>
      </c>
      <c r="Q26" s="27">
        <v>5</v>
      </c>
      <c r="R26" s="27" t="s">
        <v>60</v>
      </c>
      <c r="S26" s="27" t="s">
        <v>32</v>
      </c>
      <c r="T26" s="27" t="s">
        <v>128</v>
      </c>
      <c r="U26" s="27">
        <v>9277372518</v>
      </c>
      <c r="V26" s="37" t="s">
        <v>53</v>
      </c>
      <c r="W26" s="40" t="str" cm="1">
        <f t="array" ref="W26">_xlfn.IFS(AND(P26&gt;=100000,Q26&gt;=4,O26&lt;=0.1,V26="Completed"),"Platinum",AND(P26&gt;=50000,P26&lt;=99999,Q26&gt;=3,V26="Completed"),"Golde",AND(P26&lt;50000,V26="Completed"),"Silver",OR(Q26&lt;=2,V26="Cancelled"),"BlackListed",TRUE,"Other")</f>
        <v>BlackListed</v>
      </c>
    </row>
    <row r="27" spans="1:23" ht="15" thickBot="1" x14ac:dyDescent="0.4">
      <c r="A27" s="30" t="s">
        <v>129</v>
      </c>
      <c r="B27" s="30" t="s">
        <v>63</v>
      </c>
      <c r="C27" s="30" t="s">
        <v>125</v>
      </c>
      <c r="D27" s="31">
        <v>45832</v>
      </c>
      <c r="E27" s="31">
        <v>45840</v>
      </c>
      <c r="F27" s="30" t="s">
        <v>110</v>
      </c>
      <c r="G27" s="30" t="s">
        <v>58</v>
      </c>
      <c r="H27" s="31">
        <v>28470</v>
      </c>
      <c r="I27" s="30" t="s">
        <v>74</v>
      </c>
      <c r="J27" s="30" t="s">
        <v>75</v>
      </c>
      <c r="K27" s="30" t="s">
        <v>83</v>
      </c>
      <c r="L27" s="30" t="s">
        <v>127</v>
      </c>
      <c r="M27" s="30">
        <v>2</v>
      </c>
      <c r="N27" s="30">
        <v>20</v>
      </c>
      <c r="O27" s="30">
        <v>15</v>
      </c>
      <c r="P27" s="30">
        <v>34</v>
      </c>
      <c r="Q27" s="30">
        <v>1</v>
      </c>
      <c r="R27" s="30" t="s">
        <v>65</v>
      </c>
      <c r="S27" s="30" t="s">
        <v>32</v>
      </c>
      <c r="T27" s="30" t="s">
        <v>66</v>
      </c>
      <c r="U27" s="30">
        <v>9193154372</v>
      </c>
      <c r="V27" s="38" t="s">
        <v>52</v>
      </c>
      <c r="W27" s="40" t="str" cm="1">
        <f t="array" ref="W27">_xlfn.IFS(AND(P27&gt;=100000,Q27&gt;=4,O27&lt;=0.1,V27="Completed"),"Platinum",AND(P27&gt;=50000,P27&lt;=99999,Q27&gt;=3,V27="Completed"),"Golde",AND(P27&lt;50000,V27="Completed"),"Silver",OR(Q27&lt;=2,V27="Cancelled"),"BlackListed",TRUE,"Other")</f>
        <v>BlackListed</v>
      </c>
    </row>
    <row r="28" spans="1:23" ht="15" thickBot="1" x14ac:dyDescent="0.4">
      <c r="A28" s="27" t="s">
        <v>130</v>
      </c>
      <c r="B28" s="27" t="s">
        <v>55</v>
      </c>
      <c r="C28" s="27" t="s">
        <v>68</v>
      </c>
      <c r="D28" s="28">
        <v>45799</v>
      </c>
      <c r="E28" s="28">
        <v>45802</v>
      </c>
      <c r="F28" s="27" t="s">
        <v>57</v>
      </c>
      <c r="G28" s="27" t="s">
        <v>58</v>
      </c>
      <c r="H28" s="28">
        <v>33642</v>
      </c>
      <c r="I28" s="27" t="s">
        <v>91</v>
      </c>
      <c r="J28" s="27" t="s">
        <v>75</v>
      </c>
      <c r="K28" s="27" t="s">
        <v>29</v>
      </c>
      <c r="L28" s="27" t="s">
        <v>70</v>
      </c>
      <c r="M28" s="27">
        <v>12</v>
      </c>
      <c r="N28" s="27">
        <v>3500</v>
      </c>
      <c r="O28" s="27">
        <v>15</v>
      </c>
      <c r="P28" s="27">
        <v>35700</v>
      </c>
      <c r="Q28" s="27">
        <v>4</v>
      </c>
      <c r="R28" s="27" t="s">
        <v>31</v>
      </c>
      <c r="S28" s="27" t="s">
        <v>42</v>
      </c>
      <c r="T28" s="27" t="s">
        <v>61</v>
      </c>
      <c r="U28" s="27">
        <v>9400073244</v>
      </c>
      <c r="V28" s="37" t="s">
        <v>53</v>
      </c>
      <c r="W28" s="40" t="str" cm="1">
        <f t="array" ref="W28">_xlfn.IFS(AND(P28&gt;=100000,Q28&gt;=4,O28&lt;=0.1,V28="Completed"),"Platinum",AND(P28&gt;=50000,P28&lt;=99999,Q28&gt;=3,V28="Completed"),"Golde",AND(P28&lt;50000,V28="Completed"),"Silver",OR(Q28&lt;=2,V28="Cancelled"),"BlackListed",TRUE,"Other")</f>
        <v>BlackListed</v>
      </c>
    </row>
    <row r="29" spans="1:23" ht="15" thickBot="1" x14ac:dyDescent="0.4">
      <c r="A29" s="30" t="s">
        <v>131</v>
      </c>
      <c r="B29" s="30" t="s">
        <v>23</v>
      </c>
      <c r="C29" s="30" t="s">
        <v>56</v>
      </c>
      <c r="D29" s="31">
        <v>46094</v>
      </c>
      <c r="E29" s="31">
        <v>46101</v>
      </c>
      <c r="F29" s="30" t="s">
        <v>25</v>
      </c>
      <c r="G29" s="30" t="s">
        <v>26</v>
      </c>
      <c r="H29" s="31">
        <v>38143</v>
      </c>
      <c r="I29" s="30" t="s">
        <v>91</v>
      </c>
      <c r="J29" s="30" t="s">
        <v>75</v>
      </c>
      <c r="K29" s="30" t="s">
        <v>39</v>
      </c>
      <c r="L29" s="30" t="s">
        <v>59</v>
      </c>
      <c r="M29" s="30">
        <v>11</v>
      </c>
      <c r="N29" s="30">
        <v>1200</v>
      </c>
      <c r="O29" s="30">
        <v>0</v>
      </c>
      <c r="P29" s="30">
        <v>13200</v>
      </c>
      <c r="Q29" s="30">
        <v>2</v>
      </c>
      <c r="R29" s="30" t="s">
        <v>65</v>
      </c>
      <c r="S29" s="30" t="s">
        <v>96</v>
      </c>
      <c r="T29" s="30" t="s">
        <v>43</v>
      </c>
      <c r="U29" s="30">
        <v>9771556720</v>
      </c>
      <c r="V29" s="36" t="s">
        <v>34</v>
      </c>
      <c r="W29" s="40" t="str" cm="1">
        <f t="array" ref="W29">_xlfn.IFS(AND(P29&gt;=100000,Q29&gt;=4,O29&lt;=0.1,V29="Completed"),"Platinum",AND(P29&gt;=50000,P29&lt;=99999,Q29&gt;=3,V29="Completed"),"Golde",AND(P29&lt;50000,V29="Completed"),"Silver",OR(Q29&lt;=2,V29="Cancelled"),"BlackListed",TRUE,"Other")</f>
        <v>Silver</v>
      </c>
    </row>
    <row r="30" spans="1:23" ht="15" thickBot="1" x14ac:dyDescent="0.4">
      <c r="A30" s="27" t="s">
        <v>132</v>
      </c>
      <c r="B30" s="27" t="s">
        <v>87</v>
      </c>
      <c r="C30" s="27" t="s">
        <v>105</v>
      </c>
      <c r="D30" s="28">
        <v>45908</v>
      </c>
      <c r="E30" s="28">
        <v>45920</v>
      </c>
      <c r="F30" s="27" t="s">
        <v>88</v>
      </c>
      <c r="G30" s="27" t="s">
        <v>58</v>
      </c>
      <c r="H30" s="28">
        <v>37114</v>
      </c>
      <c r="I30" s="27" t="s">
        <v>79</v>
      </c>
      <c r="J30" s="27" t="s">
        <v>75</v>
      </c>
      <c r="K30" s="27" t="s">
        <v>29</v>
      </c>
      <c r="L30" s="27" t="s">
        <v>107</v>
      </c>
      <c r="M30" s="27">
        <v>6</v>
      </c>
      <c r="N30" s="27">
        <v>8500</v>
      </c>
      <c r="O30" s="27">
        <v>65</v>
      </c>
      <c r="P30" s="27">
        <v>51000</v>
      </c>
      <c r="Q30" s="27">
        <v>1</v>
      </c>
      <c r="R30" s="27" t="s">
        <v>60</v>
      </c>
      <c r="S30" s="27" t="s">
        <v>50</v>
      </c>
      <c r="T30" s="27" t="s">
        <v>89</v>
      </c>
      <c r="U30" s="27">
        <v>9127480734</v>
      </c>
      <c r="V30" s="35" t="s">
        <v>34</v>
      </c>
      <c r="W30" s="40" t="str" cm="1">
        <f t="array" ref="W30">_xlfn.IFS(AND(P30&gt;=100000,Q30&gt;=4,O30&lt;=0.1,V30="Completed"),"Platinum",AND(P30&gt;=50000,P30&lt;=99999,Q30&gt;=3,V30="Completed"),"Golde",AND(P30&lt;50000,V30="Completed"),"Silver",OR(Q30&lt;=2,V30="Cancelled"),"BlackListed",TRUE,"Other")</f>
        <v>BlackListed</v>
      </c>
    </row>
    <row r="31" spans="1:23" ht="15" thickBot="1" x14ac:dyDescent="0.4">
      <c r="A31" s="30" t="s">
        <v>133</v>
      </c>
      <c r="B31" s="30" t="s">
        <v>134</v>
      </c>
      <c r="C31" s="30" t="s">
        <v>82</v>
      </c>
      <c r="D31" s="31">
        <v>46033</v>
      </c>
      <c r="E31" s="31">
        <v>46038</v>
      </c>
      <c r="F31" s="30" t="s">
        <v>135</v>
      </c>
      <c r="G31" s="30" t="s">
        <v>26</v>
      </c>
      <c r="H31" s="31">
        <v>29680</v>
      </c>
      <c r="I31" s="30" t="s">
        <v>79</v>
      </c>
      <c r="J31" s="30" t="s">
        <v>75</v>
      </c>
      <c r="K31" s="30" t="s">
        <v>83</v>
      </c>
      <c r="L31" s="30" t="s">
        <v>84</v>
      </c>
      <c r="M31" s="30">
        <v>2</v>
      </c>
      <c r="N31" s="30">
        <v>60</v>
      </c>
      <c r="O31" s="30">
        <v>5</v>
      </c>
      <c r="P31" s="30">
        <v>114</v>
      </c>
      <c r="Q31" s="30">
        <v>3</v>
      </c>
      <c r="R31" s="30" t="s">
        <v>31</v>
      </c>
      <c r="S31" s="30" t="s">
        <v>96</v>
      </c>
      <c r="T31" s="30" t="s">
        <v>136</v>
      </c>
      <c r="U31" s="30">
        <v>9512997042</v>
      </c>
      <c r="V31" s="38" t="s">
        <v>53</v>
      </c>
      <c r="W31" s="40" t="str" cm="1">
        <f t="array" ref="W31">_xlfn.IFS(AND(P31&gt;=100000,Q31&gt;=4,O31&lt;=0.1,V31="Completed"),"Platinum",AND(P31&gt;=50000,P31&lt;=99999,Q31&gt;=3,V31="Completed"),"Golde",AND(P31&lt;50000,V31="Completed"),"Silver",OR(Q31&lt;=2,V31="Cancelled"),"BlackListed",TRUE,"Other")</f>
        <v>BlackListed</v>
      </c>
    </row>
    <row r="32" spans="1:23" ht="15" thickBot="1" x14ac:dyDescent="0.4">
      <c r="A32" s="27" t="s">
        <v>137</v>
      </c>
      <c r="B32" s="27" t="s">
        <v>23</v>
      </c>
      <c r="C32" s="27" t="s">
        <v>138</v>
      </c>
      <c r="D32" s="28">
        <v>45824</v>
      </c>
      <c r="E32" s="28">
        <v>45834</v>
      </c>
      <c r="F32" s="27" t="s">
        <v>25</v>
      </c>
      <c r="G32" s="27" t="s">
        <v>26</v>
      </c>
      <c r="H32" s="28">
        <v>35248</v>
      </c>
      <c r="I32" s="27" t="s">
        <v>48</v>
      </c>
      <c r="J32" s="27" t="s">
        <v>28</v>
      </c>
      <c r="K32" s="27" t="s">
        <v>83</v>
      </c>
      <c r="L32" s="27" t="s">
        <v>139</v>
      </c>
      <c r="M32" s="27">
        <v>19</v>
      </c>
      <c r="N32" s="27">
        <v>45</v>
      </c>
      <c r="O32" s="27">
        <v>20</v>
      </c>
      <c r="P32" s="27">
        <v>684</v>
      </c>
      <c r="Q32" s="27">
        <v>4</v>
      </c>
      <c r="R32" s="27" t="s">
        <v>41</v>
      </c>
      <c r="S32" s="27" t="s">
        <v>50</v>
      </c>
      <c r="T32" s="27" t="s">
        <v>43</v>
      </c>
      <c r="U32" s="27">
        <v>9372748661</v>
      </c>
      <c r="V32" s="37" t="s">
        <v>53</v>
      </c>
      <c r="W32" s="40" t="str" cm="1">
        <f t="array" ref="W32">_xlfn.IFS(AND(P32&gt;=100000,Q32&gt;=4,O32&lt;=0.1,V32="Completed"),"Platinum",AND(P32&gt;=50000,P32&lt;=99999,Q32&gt;=3,V32="Completed"),"Golde",AND(P32&lt;50000,V32="Completed"),"Silver",OR(Q32&lt;=2,V32="Cancelled"),"BlackListed",TRUE,"Other")</f>
        <v>BlackListed</v>
      </c>
    </row>
    <row r="33" spans="1:23" ht="15" thickBot="1" x14ac:dyDescent="0.4">
      <c r="A33" s="30" t="s">
        <v>140</v>
      </c>
      <c r="B33" s="30" t="s">
        <v>72</v>
      </c>
      <c r="C33" s="30" t="s">
        <v>36</v>
      </c>
      <c r="D33" s="31">
        <v>45839</v>
      </c>
      <c r="E33" s="31">
        <v>45851</v>
      </c>
      <c r="F33" s="30" t="s">
        <v>73</v>
      </c>
      <c r="G33" s="30" t="s">
        <v>26</v>
      </c>
      <c r="H33" s="31">
        <v>28079</v>
      </c>
      <c r="I33" s="30" t="s">
        <v>91</v>
      </c>
      <c r="J33" s="30" t="s">
        <v>75</v>
      </c>
      <c r="K33" s="30" t="s">
        <v>39</v>
      </c>
      <c r="L33" s="30" t="s">
        <v>40</v>
      </c>
      <c r="M33" s="30">
        <v>11</v>
      </c>
      <c r="N33" s="30">
        <v>12000</v>
      </c>
      <c r="O33" s="30">
        <v>0</v>
      </c>
      <c r="P33" s="30">
        <v>132000</v>
      </c>
      <c r="Q33" s="30">
        <v>3</v>
      </c>
      <c r="R33" s="30" t="s">
        <v>65</v>
      </c>
      <c r="S33" s="30" t="s">
        <v>32</v>
      </c>
      <c r="T33" s="30" t="s">
        <v>93</v>
      </c>
      <c r="U33" s="30">
        <v>9570437805</v>
      </c>
      <c r="V33" s="38" t="s">
        <v>52</v>
      </c>
      <c r="W33" s="40" t="str" cm="1">
        <f t="array" ref="W33">_xlfn.IFS(AND(P33&gt;=100000,Q33&gt;=4,O33&lt;=0.1,V33="Completed"),"Platinum",AND(P33&gt;=50000,P33&lt;=99999,Q33&gt;=3,V33="Completed"),"Golde",AND(P33&lt;50000,V33="Completed"),"Silver",OR(Q33&lt;=2,V33="Cancelled"),"BlackListed",TRUE,"Other")</f>
        <v>Other</v>
      </c>
    </row>
    <row r="34" spans="1:23" ht="15" thickBot="1" x14ac:dyDescent="0.4">
      <c r="A34" s="27" t="s">
        <v>141</v>
      </c>
      <c r="B34" s="27" t="s">
        <v>134</v>
      </c>
      <c r="C34" s="27" t="s">
        <v>24</v>
      </c>
      <c r="D34" s="28">
        <v>45723</v>
      </c>
      <c r="E34" s="28">
        <v>45731</v>
      </c>
      <c r="F34" s="27" t="s">
        <v>135</v>
      </c>
      <c r="G34" s="27" t="s">
        <v>26</v>
      </c>
      <c r="H34" s="28">
        <v>32444</v>
      </c>
      <c r="I34" s="27" t="s">
        <v>48</v>
      </c>
      <c r="J34" s="27" t="s">
        <v>28</v>
      </c>
      <c r="K34" s="27" t="s">
        <v>29</v>
      </c>
      <c r="L34" s="27" t="s">
        <v>30</v>
      </c>
      <c r="M34" s="27">
        <v>20</v>
      </c>
      <c r="N34" s="27">
        <v>2200</v>
      </c>
      <c r="O34" s="27">
        <v>5</v>
      </c>
      <c r="P34" s="27">
        <v>41800</v>
      </c>
      <c r="Q34" s="27">
        <v>1</v>
      </c>
      <c r="R34" s="27" t="s">
        <v>31</v>
      </c>
      <c r="S34" s="27" t="s">
        <v>42</v>
      </c>
      <c r="T34" s="27" t="s">
        <v>136</v>
      </c>
      <c r="U34" s="27">
        <v>9310669113</v>
      </c>
      <c r="V34" s="37" t="s">
        <v>52</v>
      </c>
      <c r="W34" s="40" t="str" cm="1">
        <f t="array" ref="W34">_xlfn.IFS(AND(P34&gt;=100000,Q34&gt;=4,O34&lt;=0.1,V34="Completed"),"Platinum",AND(P34&gt;=50000,P34&lt;=99999,Q34&gt;=3,V34="Completed"),"Golde",AND(P34&lt;50000,V34="Completed"),"Silver",OR(Q34&lt;=2,V34="Cancelled"),"BlackListed",TRUE,"Other")</f>
        <v>BlackListed</v>
      </c>
    </row>
    <row r="35" spans="1:23" ht="15" thickBot="1" x14ac:dyDescent="0.4">
      <c r="A35" s="30" t="s">
        <v>142</v>
      </c>
      <c r="B35" s="30" t="s">
        <v>63</v>
      </c>
      <c r="C35" s="30" t="s">
        <v>125</v>
      </c>
      <c r="D35" s="31">
        <v>45832</v>
      </c>
      <c r="E35" s="31">
        <v>45842</v>
      </c>
      <c r="F35" s="30" t="s">
        <v>110</v>
      </c>
      <c r="G35" s="30" t="s">
        <v>58</v>
      </c>
      <c r="H35" s="31">
        <v>38161</v>
      </c>
      <c r="I35" s="30" t="s">
        <v>91</v>
      </c>
      <c r="J35" s="30" t="s">
        <v>75</v>
      </c>
      <c r="K35" s="30" t="s">
        <v>83</v>
      </c>
      <c r="L35" s="30" t="s">
        <v>127</v>
      </c>
      <c r="M35" s="30">
        <v>3</v>
      </c>
      <c r="N35" s="30">
        <v>20</v>
      </c>
      <c r="O35" s="30">
        <v>0</v>
      </c>
      <c r="P35" s="30">
        <v>60</v>
      </c>
      <c r="Q35" s="30">
        <v>2</v>
      </c>
      <c r="R35" s="30" t="s">
        <v>60</v>
      </c>
      <c r="S35" s="30" t="s">
        <v>32</v>
      </c>
      <c r="T35" s="30" t="s">
        <v>143</v>
      </c>
      <c r="U35" s="30">
        <v>9437132894</v>
      </c>
      <c r="V35" s="38" t="s">
        <v>53</v>
      </c>
      <c r="W35" s="40" t="str" cm="1">
        <f t="array" ref="W35">_xlfn.IFS(AND(P35&gt;=100000,Q35&gt;=4,O35&lt;=0.1,V35="Completed"),"Platinum",AND(P35&gt;=50000,P35&lt;=99999,Q35&gt;=3,V35="Completed"),"Golde",AND(P35&lt;50000,V35="Completed"),"Silver",OR(Q35&lt;=2,V35="Cancelled"),"BlackListed",TRUE,"Other")</f>
        <v>BlackListed</v>
      </c>
    </row>
    <row r="36" spans="1:23" ht="15" thickBot="1" x14ac:dyDescent="0.4">
      <c r="A36" s="27" t="s">
        <v>144</v>
      </c>
      <c r="B36" s="27" t="s">
        <v>87</v>
      </c>
      <c r="C36" s="27" t="s">
        <v>138</v>
      </c>
      <c r="D36" s="28">
        <v>45939</v>
      </c>
      <c r="E36" s="28">
        <v>45949</v>
      </c>
      <c r="F36" s="27" t="s">
        <v>88</v>
      </c>
      <c r="G36" s="27" t="s">
        <v>58</v>
      </c>
      <c r="H36" s="28">
        <v>35177</v>
      </c>
      <c r="I36" s="27" t="s">
        <v>79</v>
      </c>
      <c r="J36" s="27" t="s">
        <v>75</v>
      </c>
      <c r="K36" s="27" t="s">
        <v>83</v>
      </c>
      <c r="L36" s="27" t="s">
        <v>139</v>
      </c>
      <c r="M36" s="27">
        <v>18</v>
      </c>
      <c r="N36" s="27">
        <v>45</v>
      </c>
      <c r="O36" s="27">
        <v>20</v>
      </c>
      <c r="P36" s="27">
        <v>648</v>
      </c>
      <c r="Q36" s="27">
        <v>4</v>
      </c>
      <c r="R36" s="27" t="s">
        <v>41</v>
      </c>
      <c r="S36" s="27" t="s">
        <v>32</v>
      </c>
      <c r="T36" s="27" t="s">
        <v>89</v>
      </c>
      <c r="U36" s="27">
        <v>9762437243</v>
      </c>
      <c r="V36" s="37" t="s">
        <v>53</v>
      </c>
      <c r="W36" s="40" t="str" cm="1">
        <f t="array" ref="W36">_xlfn.IFS(AND(P36&gt;=100000,Q36&gt;=4,O36&lt;=0.1,V36="Completed"),"Platinum",AND(P36&gt;=50000,P36&lt;=99999,Q36&gt;=3,V36="Completed"),"Golde",AND(P36&lt;50000,V36="Completed"),"Silver",OR(Q36&lt;=2,V36="Cancelled"),"BlackListed",TRUE,"Other")</f>
        <v>BlackListed</v>
      </c>
    </row>
    <row r="37" spans="1:23" ht="15" thickBot="1" x14ac:dyDescent="0.4">
      <c r="A37" s="30" t="s">
        <v>145</v>
      </c>
      <c r="B37" s="30" t="s">
        <v>87</v>
      </c>
      <c r="C37" s="30" t="s">
        <v>56</v>
      </c>
      <c r="D37" s="31">
        <v>45980</v>
      </c>
      <c r="E37" s="31">
        <v>45987</v>
      </c>
      <c r="F37" s="30" t="s">
        <v>88</v>
      </c>
      <c r="G37" s="30" t="s">
        <v>58</v>
      </c>
      <c r="H37" s="31">
        <v>29043</v>
      </c>
      <c r="I37" s="30" t="s">
        <v>48</v>
      </c>
      <c r="J37" s="30" t="s">
        <v>28</v>
      </c>
      <c r="K37" s="30" t="s">
        <v>39</v>
      </c>
      <c r="L37" s="30" t="s">
        <v>59</v>
      </c>
      <c r="M37" s="30">
        <v>4</v>
      </c>
      <c r="N37" s="30">
        <v>1200</v>
      </c>
      <c r="O37" s="30">
        <v>20</v>
      </c>
      <c r="P37" s="30">
        <v>3840</v>
      </c>
      <c r="Q37" s="30">
        <v>3</v>
      </c>
      <c r="R37" s="30" t="s">
        <v>41</v>
      </c>
      <c r="S37" s="30" t="s">
        <v>50</v>
      </c>
      <c r="T37" s="30" t="s">
        <v>89</v>
      </c>
      <c r="U37" s="30">
        <v>9149046970</v>
      </c>
      <c r="V37" s="36" t="s">
        <v>34</v>
      </c>
      <c r="W37" s="40" t="str" cm="1">
        <f t="array" ref="W37">_xlfn.IFS(AND(P37&gt;=100000,Q37&gt;=4,O37&lt;=0.1,V37="Completed"),"Platinum",AND(P37&gt;=50000,P37&lt;=99999,Q37&gt;=3,V37="Completed"),"Golde",AND(P37&lt;50000,V37="Completed"),"Silver",OR(Q37&lt;=2,V37="Cancelled"),"BlackListed",TRUE,"Other")</f>
        <v>Silver</v>
      </c>
    </row>
    <row r="38" spans="1:23" ht="15" thickBot="1" x14ac:dyDescent="0.4">
      <c r="A38" s="27" t="s">
        <v>146</v>
      </c>
      <c r="B38" s="27" t="s">
        <v>55</v>
      </c>
      <c r="C38" s="27" t="s">
        <v>46</v>
      </c>
      <c r="D38" s="28">
        <v>45966</v>
      </c>
      <c r="E38" s="28">
        <v>45975</v>
      </c>
      <c r="F38" s="27" t="s">
        <v>57</v>
      </c>
      <c r="G38" s="27" t="s">
        <v>58</v>
      </c>
      <c r="H38" s="28">
        <v>29491</v>
      </c>
      <c r="I38" s="27" t="s">
        <v>147</v>
      </c>
      <c r="J38" s="27" t="s">
        <v>148</v>
      </c>
      <c r="K38" s="27" t="s">
        <v>39</v>
      </c>
      <c r="L38" s="27" t="s">
        <v>49</v>
      </c>
      <c r="M38" s="27">
        <v>10</v>
      </c>
      <c r="N38" s="27">
        <v>55000</v>
      </c>
      <c r="O38" s="27">
        <v>0</v>
      </c>
      <c r="P38" s="27">
        <v>550000</v>
      </c>
      <c r="Q38" s="27">
        <v>1</v>
      </c>
      <c r="R38" s="27" t="s">
        <v>65</v>
      </c>
      <c r="S38" s="27" t="s">
        <v>42</v>
      </c>
      <c r="T38" s="27" t="s">
        <v>61</v>
      </c>
      <c r="U38" s="27">
        <v>9869182901</v>
      </c>
      <c r="V38" s="37" t="s">
        <v>53</v>
      </c>
      <c r="W38" s="40" t="str" cm="1">
        <f t="array" ref="W38">_xlfn.IFS(AND(P38&gt;=100000,Q38&gt;=4,O38&lt;=0.1,V38="Completed"),"Platinum",AND(P38&gt;=50000,P38&lt;=99999,Q38&gt;=3,V38="Completed"),"Golde",AND(P38&lt;50000,V38="Completed"),"Silver",OR(Q38&lt;=2,V38="Cancelled"),"BlackListed",TRUE,"Other")</f>
        <v>BlackListed</v>
      </c>
    </row>
    <row r="39" spans="1:23" ht="15" thickBot="1" x14ac:dyDescent="0.4">
      <c r="A39" s="30" t="s">
        <v>149</v>
      </c>
      <c r="B39" s="30" t="s">
        <v>134</v>
      </c>
      <c r="C39" s="30" t="s">
        <v>68</v>
      </c>
      <c r="D39" s="31">
        <v>46089</v>
      </c>
      <c r="E39" s="31">
        <v>46101</v>
      </c>
      <c r="F39" s="30" t="s">
        <v>135</v>
      </c>
      <c r="G39" s="30" t="s">
        <v>26</v>
      </c>
      <c r="H39" s="31">
        <v>29393</v>
      </c>
      <c r="I39" s="30" t="s">
        <v>37</v>
      </c>
      <c r="J39" s="30" t="s">
        <v>38</v>
      </c>
      <c r="K39" s="30" t="s">
        <v>29</v>
      </c>
      <c r="L39" s="30" t="s">
        <v>70</v>
      </c>
      <c r="M39" s="30">
        <v>20</v>
      </c>
      <c r="N39" s="30">
        <v>3500</v>
      </c>
      <c r="O39" s="30">
        <v>10</v>
      </c>
      <c r="P39" s="30">
        <v>63000</v>
      </c>
      <c r="Q39" s="30">
        <v>3</v>
      </c>
      <c r="R39" s="30" t="s">
        <v>60</v>
      </c>
      <c r="S39" s="30" t="s">
        <v>42</v>
      </c>
      <c r="T39" s="30" t="s">
        <v>136</v>
      </c>
      <c r="U39" s="30">
        <v>9283578533</v>
      </c>
      <c r="V39" s="38" t="s">
        <v>53</v>
      </c>
      <c r="W39" s="40" t="str" cm="1">
        <f t="array" ref="W39">_xlfn.IFS(AND(P39&gt;=100000,Q39&gt;=4,O39&lt;=0.1,V39="Completed"),"Platinum",AND(P39&gt;=50000,P39&lt;=99999,Q39&gt;=3,V39="Completed"),"Golde",AND(P39&lt;50000,V39="Completed"),"Silver",OR(Q39&lt;=2,V39="Cancelled"),"BlackListed",TRUE,"Other")</f>
        <v>BlackListed</v>
      </c>
    </row>
    <row r="40" spans="1:23" ht="15" thickBot="1" x14ac:dyDescent="0.4">
      <c r="A40" s="27" t="s">
        <v>150</v>
      </c>
      <c r="B40" s="27" t="s">
        <v>23</v>
      </c>
      <c r="C40" s="27" t="s">
        <v>125</v>
      </c>
      <c r="D40" s="28">
        <v>45701</v>
      </c>
      <c r="E40" s="28">
        <v>45707</v>
      </c>
      <c r="F40" s="27" t="s">
        <v>25</v>
      </c>
      <c r="G40" s="27" t="s">
        <v>26</v>
      </c>
      <c r="H40" s="28">
        <v>29023</v>
      </c>
      <c r="I40" s="27" t="s">
        <v>79</v>
      </c>
      <c r="J40" s="27" t="s">
        <v>75</v>
      </c>
      <c r="K40" s="27" t="s">
        <v>83</v>
      </c>
      <c r="L40" s="27" t="s">
        <v>127</v>
      </c>
      <c r="M40" s="27">
        <v>5</v>
      </c>
      <c r="N40" s="27">
        <v>1200</v>
      </c>
      <c r="O40" s="27">
        <v>0</v>
      </c>
      <c r="P40" s="27">
        <v>100</v>
      </c>
      <c r="Q40" s="27">
        <v>1</v>
      </c>
      <c r="R40" s="27" t="s">
        <v>31</v>
      </c>
      <c r="S40" s="27" t="s">
        <v>42</v>
      </c>
      <c r="T40" s="27" t="s">
        <v>43</v>
      </c>
      <c r="U40" s="27">
        <v>9963005771</v>
      </c>
      <c r="V40" s="37" t="s">
        <v>53</v>
      </c>
      <c r="W40" s="40" t="str" cm="1">
        <f t="array" ref="W40">_xlfn.IFS(AND(P40&gt;=100000,Q40&gt;=4,O40&lt;=0.1,V40="Completed"),"Platinum",AND(P40&gt;=50000,P40&lt;=99999,Q40&gt;=3,V40="Completed"),"Golde",AND(P40&lt;50000,V40="Completed"),"Silver",OR(Q40&lt;=2,V40="Cancelled"),"BlackListed",TRUE,"Other")</f>
        <v>BlackListed</v>
      </c>
    </row>
    <row r="41" spans="1:23" ht="15" thickBot="1" x14ac:dyDescent="0.4">
      <c r="A41" s="30" t="s">
        <v>151</v>
      </c>
      <c r="B41" s="30" t="s">
        <v>45</v>
      </c>
      <c r="C41" s="30" t="s">
        <v>105</v>
      </c>
      <c r="D41" s="31">
        <v>45935</v>
      </c>
      <c r="E41" s="31">
        <v>45945</v>
      </c>
      <c r="F41" s="30" t="s">
        <v>101</v>
      </c>
      <c r="G41" s="30" t="s">
        <v>26</v>
      </c>
      <c r="H41" s="31">
        <v>33773</v>
      </c>
      <c r="I41" s="30" t="s">
        <v>74</v>
      </c>
      <c r="J41" s="30" t="s">
        <v>75</v>
      </c>
      <c r="K41" s="30" t="s">
        <v>29</v>
      </c>
      <c r="L41" s="30" t="s">
        <v>107</v>
      </c>
      <c r="M41" s="30">
        <v>20</v>
      </c>
      <c r="N41" s="30">
        <v>8500</v>
      </c>
      <c r="O41" s="30">
        <v>0</v>
      </c>
      <c r="P41" s="30">
        <v>170000</v>
      </c>
      <c r="Q41" s="30">
        <v>1</v>
      </c>
      <c r="R41" s="30" t="s">
        <v>65</v>
      </c>
      <c r="S41" s="30" t="s">
        <v>80</v>
      </c>
      <c r="T41" s="30" t="s">
        <v>51</v>
      </c>
      <c r="U41" s="30">
        <v>9484632635</v>
      </c>
      <c r="V41" s="38" t="s">
        <v>53</v>
      </c>
      <c r="W41" s="40" t="str" cm="1">
        <f t="array" ref="W41">_xlfn.IFS(AND(P41&gt;=100000,Q41&gt;=4,O41&lt;=0.1,V41="Completed"),"Platinum",AND(P41&gt;=50000,P41&lt;=99999,Q41&gt;=3,V41="Completed"),"Golde",AND(P41&lt;50000,V41="Completed"),"Silver",OR(Q41&lt;=2,V41="Cancelled"),"BlackListed",TRUE,"Other")</f>
        <v>BlackListed</v>
      </c>
    </row>
    <row r="42" spans="1:23" ht="15" thickBot="1" x14ac:dyDescent="0.4">
      <c r="A42" s="27" t="s">
        <v>152</v>
      </c>
      <c r="B42" s="27" t="s">
        <v>63</v>
      </c>
      <c r="C42" s="27" t="s">
        <v>82</v>
      </c>
      <c r="D42" s="28">
        <v>46063</v>
      </c>
      <c r="E42" s="28">
        <v>46065</v>
      </c>
      <c r="F42" s="27" t="s">
        <v>110</v>
      </c>
      <c r="G42" s="27" t="s">
        <v>58</v>
      </c>
      <c r="H42" s="28">
        <v>34491</v>
      </c>
      <c r="I42" s="27" t="s">
        <v>48</v>
      </c>
      <c r="J42" s="27" t="s">
        <v>28</v>
      </c>
      <c r="K42" s="27" t="s">
        <v>83</v>
      </c>
      <c r="L42" s="27" t="s">
        <v>84</v>
      </c>
      <c r="M42" s="27">
        <v>8</v>
      </c>
      <c r="N42" s="27">
        <v>60</v>
      </c>
      <c r="O42" s="27">
        <v>15</v>
      </c>
      <c r="P42" s="27">
        <v>408</v>
      </c>
      <c r="Q42" s="27">
        <v>5</v>
      </c>
      <c r="R42" s="27" t="s">
        <v>65</v>
      </c>
      <c r="S42" s="27" t="s">
        <v>42</v>
      </c>
      <c r="T42" s="27" t="s">
        <v>66</v>
      </c>
      <c r="U42" s="27">
        <v>9276319484</v>
      </c>
      <c r="V42" s="37" t="s">
        <v>52</v>
      </c>
      <c r="W42" s="40" t="str" cm="1">
        <f t="array" ref="W42">_xlfn.IFS(AND(P42&gt;=100000,Q42&gt;=4,O42&lt;=0.1,V42="Completed"),"Platinum",AND(P42&gt;=50000,P42&lt;=99999,Q42&gt;=3,V42="Completed"),"Golde",AND(P42&lt;50000,V42="Completed"),"Silver",OR(Q42&lt;=2,V42="Cancelled"),"BlackListed",TRUE,"Other")</f>
        <v>Other</v>
      </c>
    </row>
    <row r="43" spans="1:23" ht="15" thickBot="1" x14ac:dyDescent="0.4">
      <c r="A43" s="30" t="s">
        <v>153</v>
      </c>
      <c r="B43" s="30" t="s">
        <v>45</v>
      </c>
      <c r="C43" s="30" t="s">
        <v>68</v>
      </c>
      <c r="D43" s="31">
        <v>45812</v>
      </c>
      <c r="E43" s="31">
        <v>45824</v>
      </c>
      <c r="F43" s="30" t="s">
        <v>101</v>
      </c>
      <c r="G43" s="30" t="s">
        <v>26</v>
      </c>
      <c r="H43" s="31">
        <v>32408</v>
      </c>
      <c r="I43" s="30" t="s">
        <v>79</v>
      </c>
      <c r="J43" s="30" t="s">
        <v>75</v>
      </c>
      <c r="K43" s="30" t="s">
        <v>29</v>
      </c>
      <c r="L43" s="30" t="s">
        <v>70</v>
      </c>
      <c r="M43" s="30">
        <v>8</v>
      </c>
      <c r="N43" s="30">
        <v>3500</v>
      </c>
      <c r="O43" s="30">
        <v>5</v>
      </c>
      <c r="P43" s="30">
        <v>26600</v>
      </c>
      <c r="Q43" s="30">
        <v>1</v>
      </c>
      <c r="R43" s="30" t="s">
        <v>60</v>
      </c>
      <c r="S43" s="30" t="s">
        <v>80</v>
      </c>
      <c r="T43" s="30" t="s">
        <v>51</v>
      </c>
      <c r="U43" s="30">
        <v>9619034852</v>
      </c>
      <c r="V43" s="38" t="s">
        <v>52</v>
      </c>
      <c r="W43" s="40" t="str" cm="1">
        <f t="array" ref="W43">_xlfn.IFS(AND(P43&gt;=100000,Q43&gt;=4,O43&lt;=0.1,V43="Completed"),"Platinum",AND(P43&gt;=50000,P43&lt;=99999,Q43&gt;=3,V43="Completed"),"Golde",AND(P43&lt;50000,V43="Completed"),"Silver",OR(Q43&lt;=2,V43="Cancelled"),"BlackListed",TRUE,"Other")</f>
        <v>BlackListed</v>
      </c>
    </row>
    <row r="44" spans="1:23" ht="15" thickBot="1" x14ac:dyDescent="0.4">
      <c r="A44" s="27" t="s">
        <v>154</v>
      </c>
      <c r="B44" s="27" t="s">
        <v>55</v>
      </c>
      <c r="C44" s="27" t="s">
        <v>105</v>
      </c>
      <c r="D44" s="28">
        <v>46061</v>
      </c>
      <c r="E44" s="28">
        <v>46067</v>
      </c>
      <c r="F44" s="27" t="s">
        <v>57</v>
      </c>
      <c r="G44" s="27" t="s">
        <v>58</v>
      </c>
      <c r="H44" s="28">
        <v>37086</v>
      </c>
      <c r="I44" s="27" t="s">
        <v>121</v>
      </c>
      <c r="J44" s="27" t="s">
        <v>38</v>
      </c>
      <c r="K44" s="27" t="s">
        <v>29</v>
      </c>
      <c r="L44" s="27" t="s">
        <v>107</v>
      </c>
      <c r="M44" s="27">
        <v>1</v>
      </c>
      <c r="N44" s="27">
        <v>8500</v>
      </c>
      <c r="O44" s="27">
        <v>0</v>
      </c>
      <c r="P44" s="27">
        <v>8500</v>
      </c>
      <c r="Q44" s="27">
        <v>2</v>
      </c>
      <c r="R44" s="27" t="s">
        <v>60</v>
      </c>
      <c r="S44" s="27" t="s">
        <v>80</v>
      </c>
      <c r="T44" s="27" t="s">
        <v>61</v>
      </c>
      <c r="U44" s="27">
        <v>9636416962</v>
      </c>
      <c r="V44" s="37" t="s">
        <v>52</v>
      </c>
      <c r="W44" s="40" t="str" cm="1">
        <f t="array" ref="W44">_xlfn.IFS(AND(P44&gt;=100000,Q44&gt;=4,O44&lt;=0.1,V44="Completed"),"Platinum",AND(P44&gt;=50000,P44&lt;=99999,Q44&gt;=3,V44="Completed"),"Golde",AND(P44&lt;50000,V44="Completed"),"Silver",OR(Q44&lt;=2,V44="Cancelled"),"BlackListed",TRUE,"Other")</f>
        <v>BlackListed</v>
      </c>
    </row>
    <row r="45" spans="1:23" ht="15" thickBot="1" x14ac:dyDescent="0.4">
      <c r="A45" s="30" t="s">
        <v>155</v>
      </c>
      <c r="B45" s="30" t="s">
        <v>156</v>
      </c>
      <c r="C45" s="30" t="s">
        <v>138</v>
      </c>
      <c r="D45" s="31">
        <v>45746</v>
      </c>
      <c r="E45" s="31">
        <v>45747</v>
      </c>
      <c r="F45" s="30" t="s">
        <v>157</v>
      </c>
      <c r="G45" s="30" t="s">
        <v>58</v>
      </c>
      <c r="H45" s="31">
        <v>33459</v>
      </c>
      <c r="I45" s="30" t="s">
        <v>79</v>
      </c>
      <c r="J45" s="30" t="s">
        <v>75</v>
      </c>
      <c r="K45" s="30" t="s">
        <v>83</v>
      </c>
      <c r="L45" s="30" t="s">
        <v>139</v>
      </c>
      <c r="M45" s="30">
        <v>8</v>
      </c>
      <c r="N45" s="30">
        <v>45</v>
      </c>
      <c r="O45" s="30">
        <v>15</v>
      </c>
      <c r="P45" s="30">
        <v>306</v>
      </c>
      <c r="Q45" s="30">
        <v>2</v>
      </c>
      <c r="R45" s="30" t="s">
        <v>60</v>
      </c>
      <c r="S45" s="30" t="s">
        <v>50</v>
      </c>
      <c r="T45" s="30" t="s">
        <v>158</v>
      </c>
      <c r="U45" s="30">
        <v>9357133880</v>
      </c>
      <c r="V45" s="36" t="s">
        <v>34</v>
      </c>
      <c r="W45" s="40" t="str" cm="1">
        <f t="array" ref="W45">_xlfn.IFS(AND(P45&gt;=100000,Q45&gt;=4,O45&lt;=0.1,V45="Completed"),"Platinum",AND(P45&gt;=50000,P45&lt;=99999,Q45&gt;=3,V45="Completed"),"Golde",AND(P45&lt;50000,V45="Completed"),"Silver",OR(Q45&lt;=2,V45="Cancelled"),"BlackListed",TRUE,"Other")</f>
        <v>Silver</v>
      </c>
    </row>
    <row r="46" spans="1:23" ht="15" thickBot="1" x14ac:dyDescent="0.4">
      <c r="A46" s="27" t="s">
        <v>159</v>
      </c>
      <c r="B46" s="27" t="s">
        <v>134</v>
      </c>
      <c r="C46" s="27" t="s">
        <v>24</v>
      </c>
      <c r="D46" s="28">
        <v>45772</v>
      </c>
      <c r="E46" s="28">
        <v>45775</v>
      </c>
      <c r="F46" s="27" t="s">
        <v>135</v>
      </c>
      <c r="G46" s="27" t="s">
        <v>26</v>
      </c>
      <c r="H46" s="28">
        <v>32437</v>
      </c>
      <c r="I46" s="27" t="s">
        <v>79</v>
      </c>
      <c r="J46" s="27" t="s">
        <v>75</v>
      </c>
      <c r="K46" s="27" t="s">
        <v>29</v>
      </c>
      <c r="L46" s="27" t="s">
        <v>30</v>
      </c>
      <c r="M46" s="27">
        <v>16</v>
      </c>
      <c r="N46" s="27">
        <v>2200</v>
      </c>
      <c r="O46" s="27">
        <v>5</v>
      </c>
      <c r="P46" s="27">
        <v>33440</v>
      </c>
      <c r="Q46" s="27">
        <v>5</v>
      </c>
      <c r="R46" s="27" t="s">
        <v>60</v>
      </c>
      <c r="S46" s="27" t="s">
        <v>50</v>
      </c>
      <c r="T46" s="27" t="s">
        <v>136</v>
      </c>
      <c r="U46" s="27">
        <v>9575210324</v>
      </c>
      <c r="V46" s="37" t="s">
        <v>53</v>
      </c>
      <c r="W46" s="40" t="str" cm="1">
        <f t="array" ref="W46">_xlfn.IFS(AND(P46&gt;=100000,Q46&gt;=4,O46&lt;=0.1,V46="Completed"),"Platinum",AND(P46&gt;=50000,P46&lt;=99999,Q46&gt;=3,V46="Completed"),"Golde",AND(P46&lt;50000,V46="Completed"),"Silver",OR(Q46&lt;=2,V46="Cancelled"),"BlackListed",TRUE,"Other")</f>
        <v>BlackListed</v>
      </c>
    </row>
    <row r="47" spans="1:23" ht="15" thickBot="1" x14ac:dyDescent="0.4">
      <c r="A47" s="30" t="s">
        <v>160</v>
      </c>
      <c r="B47" s="30" t="s">
        <v>55</v>
      </c>
      <c r="C47" s="30" t="s">
        <v>68</v>
      </c>
      <c r="D47" s="31">
        <v>45943</v>
      </c>
      <c r="E47" s="31">
        <v>45953</v>
      </c>
      <c r="F47" s="30" t="s">
        <v>57</v>
      </c>
      <c r="G47" s="30" t="s">
        <v>58</v>
      </c>
      <c r="H47" s="31">
        <v>37579</v>
      </c>
      <c r="I47" s="30" t="s">
        <v>48</v>
      </c>
      <c r="J47" s="30" t="s">
        <v>28</v>
      </c>
      <c r="K47" s="30" t="s">
        <v>29</v>
      </c>
      <c r="L47" s="30" t="s">
        <v>70</v>
      </c>
      <c r="M47" s="30">
        <v>19</v>
      </c>
      <c r="N47" s="30">
        <v>3500</v>
      </c>
      <c r="O47" s="30">
        <v>20</v>
      </c>
      <c r="P47" s="30">
        <v>53200</v>
      </c>
      <c r="Q47" s="30">
        <v>3</v>
      </c>
      <c r="R47" s="30" t="s">
        <v>31</v>
      </c>
      <c r="S47" s="30" t="s">
        <v>96</v>
      </c>
      <c r="T47" s="30" t="s">
        <v>61</v>
      </c>
      <c r="U47" s="30">
        <v>9276080204</v>
      </c>
      <c r="V47" s="38" t="s">
        <v>53</v>
      </c>
      <c r="W47" s="40" t="str" cm="1">
        <f t="array" ref="W47">_xlfn.IFS(AND(P47&gt;=100000,Q47&gt;=4,O47&lt;=0.1,V47="Completed"),"Platinum",AND(P47&gt;=50000,P47&lt;=99999,Q47&gt;=3,V47="Completed"),"Golde",AND(P47&lt;50000,V47="Completed"),"Silver",OR(Q47&lt;=2,V47="Cancelled"),"BlackListed",TRUE,"Other")</f>
        <v>BlackListed</v>
      </c>
    </row>
    <row r="48" spans="1:23" ht="15" thickBot="1" x14ac:dyDescent="0.4">
      <c r="A48" s="27" t="s">
        <v>161</v>
      </c>
      <c r="B48" s="27" t="s">
        <v>134</v>
      </c>
      <c r="C48" s="27" t="s">
        <v>112</v>
      </c>
      <c r="D48" s="28">
        <v>45941</v>
      </c>
      <c r="E48" s="28">
        <v>45944</v>
      </c>
      <c r="F48" s="27" t="s">
        <v>135</v>
      </c>
      <c r="G48" s="27" t="s">
        <v>26</v>
      </c>
      <c r="H48" s="28">
        <v>36713</v>
      </c>
      <c r="I48" s="27" t="s">
        <v>79</v>
      </c>
      <c r="J48" s="27" t="s">
        <v>75</v>
      </c>
      <c r="K48" s="27" t="s">
        <v>39</v>
      </c>
      <c r="L48" s="27" t="s">
        <v>114</v>
      </c>
      <c r="M48" s="27">
        <v>15</v>
      </c>
      <c r="N48" s="27">
        <v>700</v>
      </c>
      <c r="O48" s="27">
        <v>15</v>
      </c>
      <c r="P48" s="27">
        <v>8925</v>
      </c>
      <c r="Q48" s="27">
        <v>4</v>
      </c>
      <c r="R48" s="27" t="s">
        <v>65</v>
      </c>
      <c r="S48" s="27" t="s">
        <v>80</v>
      </c>
      <c r="T48" s="27" t="s">
        <v>162</v>
      </c>
      <c r="U48" s="27">
        <v>9856624471</v>
      </c>
      <c r="V48" s="35" t="s">
        <v>34</v>
      </c>
      <c r="W48" s="40" t="str" cm="1">
        <f t="array" ref="W48">_xlfn.IFS(AND(P48&gt;=100000,Q48&gt;=4,O48&lt;=0.1,V48="Completed"),"Platinum",AND(P48&gt;=50000,P48&lt;=99999,Q48&gt;=3,V48="Completed"),"Golde",AND(P48&lt;50000,V48="Completed"),"Silver",OR(Q48&lt;=2,V48="Cancelled"),"BlackListed",TRUE,"Other")</f>
        <v>Silver</v>
      </c>
    </row>
    <row r="49" spans="1:23" ht="15" thickBot="1" x14ac:dyDescent="0.4">
      <c r="A49" s="30" t="s">
        <v>163</v>
      </c>
      <c r="B49" s="30" t="s">
        <v>134</v>
      </c>
      <c r="C49" s="30" t="s">
        <v>112</v>
      </c>
      <c r="D49" s="31">
        <v>45988</v>
      </c>
      <c r="E49" s="31">
        <v>45994</v>
      </c>
      <c r="F49" s="30" t="s">
        <v>135</v>
      </c>
      <c r="G49" s="30" t="s">
        <v>26</v>
      </c>
      <c r="H49" s="31">
        <v>36125</v>
      </c>
      <c r="I49" s="30" t="s">
        <v>121</v>
      </c>
      <c r="J49" s="30" t="s">
        <v>38</v>
      </c>
      <c r="K49" s="30" t="s">
        <v>39</v>
      </c>
      <c r="L49" s="30" t="s">
        <v>114</v>
      </c>
      <c r="M49" s="30">
        <v>19</v>
      </c>
      <c r="N49" s="30">
        <v>700</v>
      </c>
      <c r="O49" s="30">
        <v>20</v>
      </c>
      <c r="P49" s="30">
        <v>10640</v>
      </c>
      <c r="Q49" s="30">
        <v>1</v>
      </c>
      <c r="R49" s="30" t="s">
        <v>31</v>
      </c>
      <c r="S49" s="30" t="s">
        <v>80</v>
      </c>
      <c r="T49" s="30" t="s">
        <v>136</v>
      </c>
      <c r="U49" s="30">
        <v>9238141322</v>
      </c>
      <c r="V49" s="36" t="s">
        <v>34</v>
      </c>
      <c r="W49" s="40" t="str" cm="1">
        <f t="array" ref="W49">_xlfn.IFS(AND(P49&gt;=100000,Q49&gt;=4,O49&lt;=0.1,V49="Completed"),"Platinum",AND(P49&gt;=50000,P49&lt;=99999,Q49&gt;=3,V49="Completed"),"Golde",AND(P49&lt;50000,V49="Completed"),"Silver",OR(Q49&lt;=2,V49="Cancelled"),"BlackListed",TRUE,"Other")</f>
        <v>Silver</v>
      </c>
    </row>
    <row r="50" spans="1:23" ht="15" thickBot="1" x14ac:dyDescent="0.4">
      <c r="A50" s="27" t="s">
        <v>164</v>
      </c>
      <c r="B50" s="27" t="s">
        <v>55</v>
      </c>
      <c r="C50" s="27" t="s">
        <v>36</v>
      </c>
      <c r="D50" s="23">
        <v>46131</v>
      </c>
      <c r="E50" s="27"/>
      <c r="F50" s="27" t="s">
        <v>57</v>
      </c>
      <c r="G50" s="27" t="s">
        <v>58</v>
      </c>
      <c r="H50" s="28">
        <v>35219</v>
      </c>
      <c r="I50" s="27" t="s">
        <v>37</v>
      </c>
      <c r="J50" s="27" t="s">
        <v>38</v>
      </c>
      <c r="K50" s="27" t="s">
        <v>39</v>
      </c>
      <c r="L50" s="27" t="s">
        <v>40</v>
      </c>
      <c r="M50" s="27">
        <v>19</v>
      </c>
      <c r="N50" s="27">
        <v>12000</v>
      </c>
      <c r="O50" s="27">
        <v>0</v>
      </c>
      <c r="P50" s="27">
        <v>228000</v>
      </c>
      <c r="Q50" s="27">
        <v>1</v>
      </c>
      <c r="R50" s="27" t="s">
        <v>41</v>
      </c>
      <c r="S50" s="27" t="s">
        <v>50</v>
      </c>
      <c r="T50" s="27" t="s">
        <v>61</v>
      </c>
      <c r="U50" s="27">
        <v>9890380030</v>
      </c>
      <c r="V50" s="35" t="s">
        <v>34</v>
      </c>
      <c r="W50" s="40" t="str" cm="1">
        <f t="array" ref="W50">_xlfn.IFS(AND(P50&gt;=100000,Q50&gt;=4,O50&lt;=0.1,V50="Completed"),"Platinum",AND(P50&gt;=50000,P50&lt;=99999,Q50&gt;=3,V50="Completed"),"Golde",AND(P50&lt;50000,V50="Completed"),"Silver",OR(Q50&lt;=2,V50="Cancelled"),"BlackListed",TRUE,"Other")</f>
        <v>BlackListed</v>
      </c>
    </row>
    <row r="51" spans="1:23" ht="15" thickBot="1" x14ac:dyDescent="0.4">
      <c r="A51" s="30" t="s">
        <v>165</v>
      </c>
      <c r="B51" s="30" t="s">
        <v>104</v>
      </c>
      <c r="C51" s="30" t="s">
        <v>56</v>
      </c>
      <c r="D51" s="31">
        <v>46131</v>
      </c>
      <c r="E51" s="31">
        <v>46133</v>
      </c>
      <c r="F51" s="30" t="s">
        <v>166</v>
      </c>
      <c r="G51" s="30" t="s">
        <v>26</v>
      </c>
      <c r="H51" s="31">
        <v>31851</v>
      </c>
      <c r="I51" s="30" t="s">
        <v>79</v>
      </c>
      <c r="J51" s="30" t="s">
        <v>75</v>
      </c>
      <c r="K51" s="30" t="s">
        <v>39</v>
      </c>
      <c r="L51" s="30" t="s">
        <v>59</v>
      </c>
      <c r="M51" s="30">
        <v>6</v>
      </c>
      <c r="N51" s="30">
        <v>1200</v>
      </c>
      <c r="O51" s="30">
        <v>5</v>
      </c>
      <c r="P51" s="30">
        <v>6840</v>
      </c>
      <c r="Q51" s="30">
        <v>2</v>
      </c>
      <c r="R51" s="30" t="s">
        <v>31</v>
      </c>
      <c r="S51" s="30" t="s">
        <v>32</v>
      </c>
      <c r="T51" s="30" t="s">
        <v>108</v>
      </c>
      <c r="U51" s="30">
        <v>9495893170</v>
      </c>
      <c r="V51" s="38" t="s">
        <v>52</v>
      </c>
      <c r="W51" s="40" t="str" cm="1">
        <f t="array" ref="W51">_xlfn.IFS(AND(P51&gt;=100000,Q51&gt;=4,O51&lt;=0.1,V51="Completed"),"Platinum",AND(P51&gt;=50000,P51&lt;=99999,Q51&gt;=3,V51="Completed"),"Golde",AND(P51&lt;50000,V51="Completed"),"Silver",OR(Q51&lt;=2,V51="Cancelled"),"BlackListed",TRUE,"Other")</f>
        <v>BlackListed</v>
      </c>
    </row>
    <row r="52" spans="1:23" ht="15" thickBot="1" x14ac:dyDescent="0.4">
      <c r="A52" s="27" t="s">
        <v>167</v>
      </c>
      <c r="B52" s="27" t="s">
        <v>45</v>
      </c>
      <c r="C52" s="27" t="s">
        <v>24</v>
      </c>
      <c r="D52" s="28">
        <v>45744</v>
      </c>
      <c r="E52" s="28">
        <v>45754</v>
      </c>
      <c r="F52" s="27" t="s">
        <v>168</v>
      </c>
      <c r="G52" s="27" t="s">
        <v>26</v>
      </c>
      <c r="H52" s="28">
        <v>28906</v>
      </c>
      <c r="I52" s="27" t="s">
        <v>48</v>
      </c>
      <c r="J52" s="27" t="s">
        <v>28</v>
      </c>
      <c r="K52" s="27" t="s">
        <v>29</v>
      </c>
      <c r="L52" s="27" t="s">
        <v>30</v>
      </c>
      <c r="M52" s="27">
        <v>7</v>
      </c>
      <c r="N52" s="27">
        <v>2200</v>
      </c>
      <c r="O52" s="27">
        <v>15</v>
      </c>
      <c r="P52" s="27">
        <v>13090</v>
      </c>
      <c r="Q52" s="27">
        <v>1</v>
      </c>
      <c r="R52" s="27" t="s">
        <v>65</v>
      </c>
      <c r="S52" s="27" t="s">
        <v>50</v>
      </c>
      <c r="T52" s="27" t="s">
        <v>51</v>
      </c>
      <c r="U52" s="27">
        <v>9485166307</v>
      </c>
      <c r="V52" s="35" t="s">
        <v>34</v>
      </c>
      <c r="W52" s="40" t="str" cm="1">
        <f t="array" ref="W52">_xlfn.IFS(AND(P52&gt;=100000,Q52&gt;=4,O52&lt;=0.1,V52="Completed"),"Platinum",AND(P52&gt;=50000,P52&lt;=99999,Q52&gt;=3,V52="Completed"),"Golde",AND(P52&lt;50000,V52="Completed"),"Silver",OR(Q52&lt;=2,V52="Cancelled"),"BlackListed",TRUE,"Other")</f>
        <v>Silver</v>
      </c>
    </row>
    <row r="53" spans="1:23" ht="15" thickBot="1" x14ac:dyDescent="0.4">
      <c r="A53" s="30" t="s">
        <v>169</v>
      </c>
      <c r="B53" s="30" t="s">
        <v>72</v>
      </c>
      <c r="C53" s="30" t="s">
        <v>82</v>
      </c>
      <c r="D53" s="31">
        <v>45894</v>
      </c>
      <c r="E53" s="31">
        <v>45897</v>
      </c>
      <c r="F53" s="30" t="s">
        <v>73</v>
      </c>
      <c r="G53" s="30" t="s">
        <v>26</v>
      </c>
      <c r="H53" s="31">
        <v>36747</v>
      </c>
      <c r="I53" s="30" t="s">
        <v>121</v>
      </c>
      <c r="J53" s="30" t="s">
        <v>38</v>
      </c>
      <c r="K53" s="30" t="s">
        <v>83</v>
      </c>
      <c r="L53" s="30" t="s">
        <v>84</v>
      </c>
      <c r="M53" s="30">
        <v>8</v>
      </c>
      <c r="N53" s="30">
        <v>60</v>
      </c>
      <c r="O53" s="30">
        <v>10</v>
      </c>
      <c r="P53" s="30">
        <v>432</v>
      </c>
      <c r="Q53" s="30">
        <v>5</v>
      </c>
      <c r="R53" s="30" t="s">
        <v>60</v>
      </c>
      <c r="S53" s="30" t="s">
        <v>50</v>
      </c>
      <c r="T53" s="30" t="s">
        <v>93</v>
      </c>
      <c r="U53" s="30">
        <v>9924709648</v>
      </c>
      <c r="V53" s="38" t="s">
        <v>53</v>
      </c>
      <c r="W53" s="40" t="str" cm="1">
        <f t="array" ref="W53">_xlfn.IFS(AND(P53&gt;=100000,Q53&gt;=4,O53&lt;=0.1,V53="Completed"),"Platinum",AND(P53&gt;=50000,P53&lt;=99999,Q53&gt;=3,V53="Completed"),"Golde",AND(P53&lt;50000,V53="Completed"),"Silver",OR(Q53&lt;=2,V53="Cancelled"),"BlackListed",TRUE,"Other")</f>
        <v>BlackListed</v>
      </c>
    </row>
    <row r="54" spans="1:23" ht="15" thickBot="1" x14ac:dyDescent="0.4">
      <c r="A54" s="27" t="s">
        <v>170</v>
      </c>
      <c r="B54" s="27" t="s">
        <v>124</v>
      </c>
      <c r="C54" s="27" t="s">
        <v>46</v>
      </c>
      <c r="D54" s="28">
        <v>45888</v>
      </c>
      <c r="E54" s="28">
        <v>45892</v>
      </c>
      <c r="F54" s="27" t="s">
        <v>126</v>
      </c>
      <c r="G54" s="27" t="s">
        <v>58</v>
      </c>
      <c r="H54" s="28">
        <v>27776</v>
      </c>
      <c r="I54" s="27" t="s">
        <v>147</v>
      </c>
      <c r="J54" s="27" t="s">
        <v>148</v>
      </c>
      <c r="K54" s="27" t="s">
        <v>39</v>
      </c>
      <c r="L54" s="27" t="s">
        <v>49</v>
      </c>
      <c r="M54" s="27">
        <v>12</v>
      </c>
      <c r="N54" s="27">
        <v>55000</v>
      </c>
      <c r="O54" s="27">
        <v>5</v>
      </c>
      <c r="P54" s="27">
        <v>627000</v>
      </c>
      <c r="Q54" s="27">
        <v>2</v>
      </c>
      <c r="R54" s="27" t="s">
        <v>65</v>
      </c>
      <c r="S54" s="27" t="s">
        <v>42</v>
      </c>
      <c r="T54" s="27" t="s">
        <v>128</v>
      </c>
      <c r="U54" s="27">
        <v>9350554626</v>
      </c>
      <c r="V54" s="37" t="s">
        <v>52</v>
      </c>
      <c r="W54" s="40" t="str" cm="1">
        <f t="array" ref="W54">_xlfn.IFS(AND(P54&gt;=100000,Q54&gt;=4,O54&lt;=0.1,V54="Completed"),"Platinum",AND(P54&gt;=50000,P54&lt;=99999,Q54&gt;=3,V54="Completed"),"Golde",AND(P54&lt;50000,V54="Completed"),"Silver",OR(Q54&lt;=2,V54="Cancelled"),"BlackListed",TRUE,"Other")</f>
        <v>BlackListed</v>
      </c>
    </row>
    <row r="55" spans="1:23" ht="15" thickBot="1" x14ac:dyDescent="0.4">
      <c r="A55" s="30" t="s">
        <v>171</v>
      </c>
      <c r="B55" s="30" t="s">
        <v>23</v>
      </c>
      <c r="C55" s="30" t="s">
        <v>112</v>
      </c>
      <c r="D55" s="31">
        <v>45865</v>
      </c>
      <c r="E55" s="31">
        <v>45874</v>
      </c>
      <c r="F55" s="30" t="s">
        <v>25</v>
      </c>
      <c r="G55" s="30" t="s">
        <v>26</v>
      </c>
      <c r="H55" s="31">
        <v>27488</v>
      </c>
      <c r="I55" s="30" t="s">
        <v>121</v>
      </c>
      <c r="J55" s="30" t="s">
        <v>38</v>
      </c>
      <c r="K55" s="30" t="s">
        <v>39</v>
      </c>
      <c r="L55" s="30" t="s">
        <v>114</v>
      </c>
      <c r="M55" s="30">
        <v>3</v>
      </c>
      <c r="N55" s="30">
        <v>700</v>
      </c>
      <c r="O55" s="30">
        <v>0</v>
      </c>
      <c r="P55" s="30">
        <v>2100</v>
      </c>
      <c r="Q55" s="30">
        <v>3</v>
      </c>
      <c r="R55" s="30" t="s">
        <v>60</v>
      </c>
      <c r="S55" s="30" t="s">
        <v>96</v>
      </c>
      <c r="T55" s="30" t="s">
        <v>43</v>
      </c>
      <c r="U55" s="30">
        <v>9743295580</v>
      </c>
      <c r="V55" s="38" t="s">
        <v>53</v>
      </c>
      <c r="W55" s="40" t="str" cm="1">
        <f t="array" ref="W55">_xlfn.IFS(AND(P55&gt;=100000,Q55&gt;=4,O55&lt;=0.1,V55="Completed"),"Platinum",AND(P55&gt;=50000,P55&lt;=99999,Q55&gt;=3,V55="Completed"),"Golde",AND(P55&lt;50000,V55="Completed"),"Silver",OR(Q55&lt;=2,V55="Cancelled"),"BlackListed",TRUE,"Other")</f>
        <v>BlackListed</v>
      </c>
    </row>
    <row r="56" spans="1:23" ht="15" thickBot="1" x14ac:dyDescent="0.4">
      <c r="A56" s="27" t="s">
        <v>172</v>
      </c>
      <c r="B56" s="27" t="s">
        <v>87</v>
      </c>
      <c r="C56" s="27" t="s">
        <v>82</v>
      </c>
      <c r="D56" s="28">
        <v>45709</v>
      </c>
      <c r="E56" s="28">
        <v>45714</v>
      </c>
      <c r="F56" s="27" t="s">
        <v>173</v>
      </c>
      <c r="G56" s="27" t="s">
        <v>58</v>
      </c>
      <c r="H56" s="28">
        <v>28105</v>
      </c>
      <c r="I56" s="27" t="s">
        <v>91</v>
      </c>
      <c r="J56" s="27" t="s">
        <v>75</v>
      </c>
      <c r="K56" s="27" t="s">
        <v>83</v>
      </c>
      <c r="L56" s="27" t="s">
        <v>84</v>
      </c>
      <c r="M56" s="27">
        <v>19</v>
      </c>
      <c r="N56" s="27">
        <v>60</v>
      </c>
      <c r="O56" s="27">
        <v>15</v>
      </c>
      <c r="P56" s="27">
        <v>969</v>
      </c>
      <c r="Q56" s="27">
        <v>4</v>
      </c>
      <c r="R56" s="27" t="s">
        <v>60</v>
      </c>
      <c r="S56" s="27" t="s">
        <v>42</v>
      </c>
      <c r="T56" s="27" t="s">
        <v>89</v>
      </c>
      <c r="U56" s="27">
        <v>9822926495</v>
      </c>
      <c r="V56" s="37" t="s">
        <v>53</v>
      </c>
      <c r="W56" s="40" t="str" cm="1">
        <f t="array" ref="W56">_xlfn.IFS(AND(P56&gt;=100000,Q56&gt;=4,O56&lt;=0.1,V56="Completed"),"Platinum",AND(P56&gt;=50000,P56&lt;=99999,Q56&gt;=3,V56="Completed"),"Golde",AND(P56&lt;50000,V56="Completed"),"Silver",OR(Q56&lt;=2,V56="Cancelled"),"BlackListed",TRUE,"Other")</f>
        <v>BlackListed</v>
      </c>
    </row>
    <row r="57" spans="1:23" ht="15" thickBot="1" x14ac:dyDescent="0.4">
      <c r="A57" s="30" t="s">
        <v>174</v>
      </c>
      <c r="B57" s="30" t="s">
        <v>156</v>
      </c>
      <c r="C57" s="30" t="s">
        <v>82</v>
      </c>
      <c r="D57" s="31">
        <v>45879</v>
      </c>
      <c r="E57" s="31">
        <v>45880</v>
      </c>
      <c r="F57" s="30" t="s">
        <v>106</v>
      </c>
      <c r="G57" s="30" t="s">
        <v>58</v>
      </c>
      <c r="H57" s="31">
        <v>29192</v>
      </c>
      <c r="I57" s="30" t="s">
        <v>121</v>
      </c>
      <c r="J57" s="30" t="s">
        <v>38</v>
      </c>
      <c r="K57" s="30" t="s">
        <v>83</v>
      </c>
      <c r="L57" s="30" t="s">
        <v>84</v>
      </c>
      <c r="M57" s="30">
        <v>9</v>
      </c>
      <c r="N57" s="30">
        <v>60</v>
      </c>
      <c r="O57" s="30">
        <v>20</v>
      </c>
      <c r="P57" s="30">
        <v>432</v>
      </c>
      <c r="Q57" s="30">
        <v>1</v>
      </c>
      <c r="R57" s="30" t="s">
        <v>41</v>
      </c>
      <c r="S57" s="30" t="s">
        <v>80</v>
      </c>
      <c r="T57" s="30" t="s">
        <v>158</v>
      </c>
      <c r="U57" s="30">
        <v>9518298190</v>
      </c>
      <c r="V57" s="38" t="s">
        <v>52</v>
      </c>
      <c r="W57" s="40" t="str" cm="1">
        <f t="array" ref="W57">_xlfn.IFS(AND(P57&gt;=100000,Q57&gt;=4,O57&lt;=0.1,V57="Completed"),"Platinum",AND(P57&gt;=50000,P57&lt;=99999,Q57&gt;=3,V57="Completed"),"Golde",AND(P57&lt;50000,V57="Completed"),"Silver",OR(Q57&lt;=2,V57="Cancelled"),"BlackListed",TRUE,"Other")</f>
        <v>BlackListed</v>
      </c>
    </row>
    <row r="58" spans="1:23" ht="15" thickBot="1" x14ac:dyDescent="0.4">
      <c r="A58" s="27" t="s">
        <v>175</v>
      </c>
      <c r="B58" s="27" t="s">
        <v>156</v>
      </c>
      <c r="C58" s="27" t="s">
        <v>112</v>
      </c>
      <c r="D58" s="28">
        <v>46105</v>
      </c>
      <c r="E58" s="28">
        <v>46111</v>
      </c>
      <c r="F58" s="27" t="s">
        <v>106</v>
      </c>
      <c r="G58" s="27" t="s">
        <v>58</v>
      </c>
      <c r="H58" s="28">
        <v>28851</v>
      </c>
      <c r="I58" s="27" t="s">
        <v>48</v>
      </c>
      <c r="J58" s="27" t="s">
        <v>28</v>
      </c>
      <c r="K58" s="27" t="s">
        <v>39</v>
      </c>
      <c r="L58" s="27" t="s">
        <v>114</v>
      </c>
      <c r="M58" s="27">
        <v>6</v>
      </c>
      <c r="N58" s="27">
        <v>700</v>
      </c>
      <c r="O58" s="27">
        <v>0</v>
      </c>
      <c r="P58" s="27">
        <v>4200</v>
      </c>
      <c r="Q58" s="27">
        <v>4</v>
      </c>
      <c r="R58" s="27" t="s">
        <v>65</v>
      </c>
      <c r="S58" s="27" t="s">
        <v>42</v>
      </c>
      <c r="T58" s="27" t="s">
        <v>176</v>
      </c>
      <c r="U58" s="27">
        <v>9366223547</v>
      </c>
      <c r="V58" s="37" t="s">
        <v>53</v>
      </c>
      <c r="W58" s="40" t="str" cm="1">
        <f t="array" ref="W58">_xlfn.IFS(AND(P58&gt;=100000,Q58&gt;=4,O58&lt;=0.1,V58="Completed"),"Platinum",AND(P58&gt;=50000,P58&lt;=99999,Q58&gt;=3,V58="Completed"),"Golde",AND(P58&lt;50000,V58="Completed"),"Silver",OR(Q58&lt;=2,V58="Cancelled"),"BlackListed",TRUE,"Other")</f>
        <v>BlackListed</v>
      </c>
    </row>
    <row r="59" spans="1:23" ht="15" thickBot="1" x14ac:dyDescent="0.4">
      <c r="A59" s="30" t="s">
        <v>177</v>
      </c>
      <c r="B59" s="30" t="s">
        <v>87</v>
      </c>
      <c r="C59" s="30" t="s">
        <v>138</v>
      </c>
      <c r="D59" s="31">
        <v>46094</v>
      </c>
      <c r="E59" s="31">
        <v>46100</v>
      </c>
      <c r="F59" s="30" t="s">
        <v>88</v>
      </c>
      <c r="G59" s="30" t="s">
        <v>58</v>
      </c>
      <c r="H59" s="31">
        <v>27499</v>
      </c>
      <c r="I59" s="30" t="s">
        <v>37</v>
      </c>
      <c r="J59" s="30" t="s">
        <v>38</v>
      </c>
      <c r="K59" s="30" t="s">
        <v>83</v>
      </c>
      <c r="L59" s="30" t="s">
        <v>139</v>
      </c>
      <c r="M59" s="30">
        <v>18</v>
      </c>
      <c r="N59" s="30">
        <v>45</v>
      </c>
      <c r="O59" s="30">
        <v>5</v>
      </c>
      <c r="P59" s="30">
        <v>769.5</v>
      </c>
      <c r="Q59" s="30">
        <v>1</v>
      </c>
      <c r="R59" s="30" t="s">
        <v>60</v>
      </c>
      <c r="S59" s="30" t="s">
        <v>50</v>
      </c>
      <c r="T59" s="30" t="s">
        <v>89</v>
      </c>
      <c r="U59" s="30">
        <v>9701988524</v>
      </c>
      <c r="V59" s="38" t="s">
        <v>52</v>
      </c>
      <c r="W59" s="40" t="str" cm="1">
        <f t="array" ref="W59">_xlfn.IFS(AND(P59&gt;=100000,Q59&gt;=4,O59&lt;=0.1,V59="Completed"),"Platinum",AND(P59&gt;=50000,P59&lt;=99999,Q59&gt;=3,V59="Completed"),"Golde",AND(P59&lt;50000,V59="Completed"),"Silver",OR(Q59&lt;=2,V59="Cancelled"),"BlackListed",TRUE,"Other")</f>
        <v>BlackListed</v>
      </c>
    </row>
    <row r="60" spans="1:23" ht="15" thickBot="1" x14ac:dyDescent="0.4">
      <c r="A60" s="27" t="s">
        <v>178</v>
      </c>
      <c r="B60" s="27" t="s">
        <v>63</v>
      </c>
      <c r="C60" s="27" t="s">
        <v>125</v>
      </c>
      <c r="D60" s="28">
        <v>45823</v>
      </c>
      <c r="E60" s="28">
        <v>45834</v>
      </c>
      <c r="F60" s="27" t="s">
        <v>110</v>
      </c>
      <c r="G60" s="27" t="s">
        <v>58</v>
      </c>
      <c r="H60" s="28">
        <v>32496</v>
      </c>
      <c r="I60" s="27" t="s">
        <v>121</v>
      </c>
      <c r="J60" s="27" t="s">
        <v>38</v>
      </c>
      <c r="K60" s="27" t="s">
        <v>83</v>
      </c>
      <c r="L60" s="27" t="s">
        <v>127</v>
      </c>
      <c r="M60" s="27">
        <v>8</v>
      </c>
      <c r="N60" s="27">
        <v>20</v>
      </c>
      <c r="O60" s="27">
        <v>5</v>
      </c>
      <c r="P60" s="27">
        <v>152</v>
      </c>
      <c r="Q60" s="27">
        <v>1</v>
      </c>
      <c r="R60" s="27" t="s">
        <v>60</v>
      </c>
      <c r="S60" s="27" t="s">
        <v>32</v>
      </c>
      <c r="T60" s="27" t="s">
        <v>66</v>
      </c>
      <c r="U60" s="27">
        <v>9836327649</v>
      </c>
      <c r="V60" s="35" t="s">
        <v>179</v>
      </c>
      <c r="W60" s="40" t="str" cm="1">
        <f t="array" ref="W60">_xlfn.IFS(AND(P60&gt;=100000,Q60&gt;=4,O60&lt;=0.1,V60="Completed"),"Platinum",AND(P60&gt;=50000,P60&lt;=99999,Q60&gt;=3,V60="Completed"),"Golde",AND(P60&lt;50000,V60="Completed"),"Silver",OR(Q60&lt;=2,V60="Cancelled"),"BlackListed",TRUE,"Other")</f>
        <v>Silver</v>
      </c>
    </row>
    <row r="61" spans="1:23" ht="15" thickBot="1" x14ac:dyDescent="0.4">
      <c r="A61" s="30" t="s">
        <v>180</v>
      </c>
      <c r="B61" s="30" t="s">
        <v>124</v>
      </c>
      <c r="C61" s="30" t="s">
        <v>112</v>
      </c>
      <c r="D61" s="31">
        <v>45721</v>
      </c>
      <c r="E61" s="31">
        <v>45722</v>
      </c>
      <c r="F61" s="30" t="s">
        <v>126</v>
      </c>
      <c r="G61" s="30" t="s">
        <v>58</v>
      </c>
      <c r="H61" s="31">
        <v>28921</v>
      </c>
      <c r="I61" s="30" t="s">
        <v>121</v>
      </c>
      <c r="J61" s="30" t="s">
        <v>38</v>
      </c>
      <c r="K61" s="30" t="s">
        <v>39</v>
      </c>
      <c r="L61" s="30" t="s">
        <v>114</v>
      </c>
      <c r="M61" s="30">
        <v>8</v>
      </c>
      <c r="N61" s="30">
        <v>700</v>
      </c>
      <c r="O61" s="30">
        <v>10</v>
      </c>
      <c r="P61" s="30">
        <v>5040</v>
      </c>
      <c r="Q61" s="30">
        <v>1</v>
      </c>
      <c r="R61" s="30" t="s">
        <v>41</v>
      </c>
      <c r="S61" s="30" t="s">
        <v>50</v>
      </c>
      <c r="T61" s="32" t="s">
        <v>181</v>
      </c>
      <c r="U61" s="30">
        <v>9261800516</v>
      </c>
      <c r="V61" s="38" t="s">
        <v>53</v>
      </c>
      <c r="W61" s="40" t="str" cm="1">
        <f t="array" ref="W61">_xlfn.IFS(AND(P61&gt;=100000,Q61&gt;=4,O61&lt;=0.1,V61="Completed"),"Platinum",AND(P61&gt;=50000,P61&lt;=99999,Q61&gt;=3,V61="Completed"),"Golde",AND(P61&lt;50000,V61="Completed"),"Silver",OR(Q61&lt;=2,V61="Cancelled"),"BlackListed",TRUE,"Other")</f>
        <v>BlackListed</v>
      </c>
    </row>
    <row r="62" spans="1:23" ht="15" thickBot="1" x14ac:dyDescent="0.4">
      <c r="A62" s="27" t="s">
        <v>182</v>
      </c>
      <c r="B62" s="27" t="s">
        <v>23</v>
      </c>
      <c r="C62" s="27" t="s">
        <v>125</v>
      </c>
      <c r="D62" s="28">
        <v>46121</v>
      </c>
      <c r="E62" s="28">
        <v>46131</v>
      </c>
      <c r="F62" s="27" t="s">
        <v>25</v>
      </c>
      <c r="G62" s="27" t="s">
        <v>26</v>
      </c>
      <c r="H62" s="28">
        <v>37972</v>
      </c>
      <c r="I62" s="27" t="s">
        <v>37</v>
      </c>
      <c r="J62" s="27" t="s">
        <v>38</v>
      </c>
      <c r="K62" s="27" t="s">
        <v>83</v>
      </c>
      <c r="L62" s="27" t="s">
        <v>127</v>
      </c>
      <c r="M62" s="27">
        <v>7</v>
      </c>
      <c r="N62" s="27">
        <v>20</v>
      </c>
      <c r="O62" s="27">
        <v>15</v>
      </c>
      <c r="P62" s="27">
        <v>119</v>
      </c>
      <c r="Q62" s="27">
        <v>5</v>
      </c>
      <c r="R62" s="27" t="s">
        <v>60</v>
      </c>
      <c r="S62" s="27" t="s">
        <v>42</v>
      </c>
      <c r="T62" s="27" t="s">
        <v>43</v>
      </c>
      <c r="U62" s="27">
        <v>9950802015</v>
      </c>
      <c r="V62" s="35" t="s">
        <v>34</v>
      </c>
      <c r="W62" s="40" t="str" cm="1">
        <f t="array" ref="W62">_xlfn.IFS(AND(P62&gt;=100000,Q62&gt;=4,O62&lt;=0.1,V62="Completed"),"Platinum",AND(P62&gt;=50000,P62&lt;=99999,Q62&gt;=3,V62="Completed"),"Golde",AND(P62&lt;50000,V62="Completed"),"Silver",OR(Q62&lt;=2,V62="Cancelled"),"BlackListed",TRUE,"Other")</f>
        <v>Silver</v>
      </c>
    </row>
    <row r="63" spans="1:23" ht="15" thickBot="1" x14ac:dyDescent="0.4">
      <c r="A63" s="30" t="s">
        <v>183</v>
      </c>
      <c r="B63" s="30" t="s">
        <v>72</v>
      </c>
      <c r="C63" s="30" t="s">
        <v>125</v>
      </c>
      <c r="D63" s="31">
        <v>45885</v>
      </c>
      <c r="E63" s="31">
        <v>45894</v>
      </c>
      <c r="F63" s="30" t="s">
        <v>73</v>
      </c>
      <c r="G63" s="30" t="s">
        <v>26</v>
      </c>
      <c r="H63" s="31">
        <v>30777</v>
      </c>
      <c r="I63" s="30" t="s">
        <v>79</v>
      </c>
      <c r="J63" s="30" t="s">
        <v>75</v>
      </c>
      <c r="K63" s="30" t="s">
        <v>83</v>
      </c>
      <c r="L63" s="30" t="s">
        <v>127</v>
      </c>
      <c r="M63" s="30">
        <v>16</v>
      </c>
      <c r="N63" s="30">
        <v>20</v>
      </c>
      <c r="O63" s="30">
        <v>0</v>
      </c>
      <c r="P63" s="30">
        <v>320</v>
      </c>
      <c r="Q63" s="30">
        <v>5</v>
      </c>
      <c r="R63" s="30" t="s">
        <v>41</v>
      </c>
      <c r="S63" s="30" t="s">
        <v>50</v>
      </c>
      <c r="T63" s="30" t="s">
        <v>93</v>
      </c>
      <c r="U63" s="30">
        <v>9595183767</v>
      </c>
      <c r="V63" s="38" t="s">
        <v>52</v>
      </c>
      <c r="W63" s="40" t="str" cm="1">
        <f t="array" ref="W63">_xlfn.IFS(AND(P63&gt;=100000,Q63&gt;=4,O63&lt;=0.1,V63="Completed"),"Platinum",AND(P63&gt;=50000,P63&lt;=99999,Q63&gt;=3,V63="Completed"),"Golde",AND(P63&lt;50000,V63="Completed"),"Silver",OR(Q63&lt;=2,V63="Cancelled"),"BlackListed",TRUE,"Other")</f>
        <v>Other</v>
      </c>
    </row>
    <row r="64" spans="1:23" ht="15" thickBot="1" x14ac:dyDescent="0.4">
      <c r="A64" s="27" t="s">
        <v>184</v>
      </c>
      <c r="B64" s="27" t="s">
        <v>45</v>
      </c>
      <c r="C64" s="27" t="s">
        <v>138</v>
      </c>
      <c r="D64" s="28">
        <v>46155</v>
      </c>
      <c r="E64" s="28">
        <v>46162</v>
      </c>
      <c r="F64" s="27" t="s">
        <v>101</v>
      </c>
      <c r="G64" s="27" t="s">
        <v>26</v>
      </c>
      <c r="H64" s="28">
        <v>35168</v>
      </c>
      <c r="I64" s="27" t="s">
        <v>74</v>
      </c>
      <c r="J64" s="27" t="s">
        <v>75</v>
      </c>
      <c r="K64" s="27" t="s">
        <v>83</v>
      </c>
      <c r="L64" s="27" t="s">
        <v>139</v>
      </c>
      <c r="M64" s="27">
        <v>15</v>
      </c>
      <c r="N64" s="27">
        <v>45</v>
      </c>
      <c r="O64" s="27">
        <v>0</v>
      </c>
      <c r="P64" s="27">
        <v>675</v>
      </c>
      <c r="Q64" s="27">
        <v>4</v>
      </c>
      <c r="R64" s="27" t="s">
        <v>31</v>
      </c>
      <c r="S64" s="27" t="s">
        <v>50</v>
      </c>
      <c r="T64" s="27" t="s">
        <v>51</v>
      </c>
      <c r="U64" s="27">
        <v>9560201307</v>
      </c>
      <c r="V64" s="37" t="s">
        <v>53</v>
      </c>
      <c r="W64" s="40" t="str" cm="1">
        <f t="array" ref="W64">_xlfn.IFS(AND(P64&gt;=100000,Q64&gt;=4,O64&lt;=0.1,V64="Completed"),"Platinum",AND(P64&gt;=50000,P64&lt;=99999,Q64&gt;=3,V64="Completed"),"Golde",AND(P64&lt;50000,V64="Completed"),"Silver",OR(Q64&lt;=2,V64="Cancelled"),"BlackListed",TRUE,"Other")</f>
        <v>BlackListed</v>
      </c>
    </row>
    <row r="65" spans="1:23" ht="15" thickBot="1" x14ac:dyDescent="0.4">
      <c r="A65" s="30" t="s">
        <v>185</v>
      </c>
      <c r="B65" s="30" t="s">
        <v>134</v>
      </c>
      <c r="C65" s="30" t="s">
        <v>112</v>
      </c>
      <c r="D65" s="31">
        <v>45717</v>
      </c>
      <c r="E65" s="31">
        <v>45721</v>
      </c>
      <c r="F65" s="30" t="s">
        <v>135</v>
      </c>
      <c r="G65" s="30" t="s">
        <v>26</v>
      </c>
      <c r="H65" s="31">
        <v>37872</v>
      </c>
      <c r="I65" s="30" t="s">
        <v>91</v>
      </c>
      <c r="J65" s="30" t="s">
        <v>75</v>
      </c>
      <c r="K65" s="30" t="s">
        <v>39</v>
      </c>
      <c r="L65" s="30" t="s">
        <v>114</v>
      </c>
      <c r="M65" s="30">
        <v>15</v>
      </c>
      <c r="N65" s="30">
        <v>700</v>
      </c>
      <c r="O65" s="30">
        <v>10</v>
      </c>
      <c r="P65" s="30">
        <v>9450</v>
      </c>
      <c r="Q65" s="30">
        <v>3</v>
      </c>
      <c r="R65" s="30" t="s">
        <v>41</v>
      </c>
      <c r="S65" s="30" t="s">
        <v>96</v>
      </c>
      <c r="T65" s="30" t="s">
        <v>136</v>
      </c>
      <c r="U65" s="30">
        <v>9826484650</v>
      </c>
      <c r="V65" s="36" t="s">
        <v>34</v>
      </c>
      <c r="W65" s="40" t="str" cm="1">
        <f t="array" ref="W65">_xlfn.IFS(AND(P65&gt;=100000,Q65&gt;=4,O65&lt;=0.1,V65="Completed"),"Platinum",AND(P65&gt;=50000,P65&lt;=99999,Q65&gt;=3,V65="Completed"),"Golde",AND(P65&lt;50000,V65="Completed"),"Silver",OR(Q65&lt;=2,V65="Cancelled"),"BlackListed",TRUE,"Other")</f>
        <v>Silver</v>
      </c>
    </row>
    <row r="66" spans="1:23" ht="15" thickBot="1" x14ac:dyDescent="0.4">
      <c r="A66" s="27" t="s">
        <v>186</v>
      </c>
      <c r="B66" s="27" t="s">
        <v>45</v>
      </c>
      <c r="C66" s="27" t="s">
        <v>138</v>
      </c>
      <c r="D66" s="28">
        <v>45697</v>
      </c>
      <c r="E66" s="28">
        <v>45700</v>
      </c>
      <c r="F66" s="27" t="s">
        <v>101</v>
      </c>
      <c r="G66" s="27" t="s">
        <v>26</v>
      </c>
      <c r="H66" s="28">
        <v>33871</v>
      </c>
      <c r="I66" s="27" t="s">
        <v>147</v>
      </c>
      <c r="J66" s="27" t="s">
        <v>148</v>
      </c>
      <c r="K66" s="27" t="s">
        <v>83</v>
      </c>
      <c r="L66" s="27" t="s">
        <v>139</v>
      </c>
      <c r="M66" s="27">
        <v>3</v>
      </c>
      <c r="N66" s="27">
        <v>45</v>
      </c>
      <c r="O66" s="27">
        <v>15</v>
      </c>
      <c r="P66" s="27">
        <v>114.75</v>
      </c>
      <c r="Q66" s="27">
        <v>2</v>
      </c>
      <c r="R66" s="27" t="s">
        <v>65</v>
      </c>
      <c r="S66" s="27" t="s">
        <v>80</v>
      </c>
      <c r="T66" s="27" t="s">
        <v>51</v>
      </c>
      <c r="U66" s="27">
        <v>9219978007</v>
      </c>
      <c r="V66" s="37" t="s">
        <v>52</v>
      </c>
      <c r="W66" s="40" t="str" cm="1">
        <f t="array" ref="W66">_xlfn.IFS(AND(P66&gt;=100000,Q66&gt;=4,O66&lt;=0.1,V66="Completed"),"Platinum",AND(P66&gt;=50000,P66&lt;=99999,Q66&gt;=3,V66="Completed"),"Golde",AND(P66&lt;50000,V66="Completed"),"Silver",OR(Q66&lt;=2,V66="Cancelled"),"BlackListed",TRUE,"Other")</f>
        <v>BlackListed</v>
      </c>
    </row>
    <row r="67" spans="1:23" ht="15" thickBot="1" x14ac:dyDescent="0.4">
      <c r="A67" s="30" t="s">
        <v>187</v>
      </c>
      <c r="B67" s="30" t="s">
        <v>72</v>
      </c>
      <c r="C67" s="30" t="s">
        <v>24</v>
      </c>
      <c r="D67" s="31">
        <v>46031</v>
      </c>
      <c r="E67" s="31">
        <v>46032</v>
      </c>
      <c r="F67" s="30" t="s">
        <v>73</v>
      </c>
      <c r="G67" s="30" t="s">
        <v>26</v>
      </c>
      <c r="H67" s="31">
        <v>31674</v>
      </c>
      <c r="I67" s="30" t="s">
        <v>147</v>
      </c>
      <c r="J67" s="30" t="s">
        <v>148</v>
      </c>
      <c r="K67" s="30" t="s">
        <v>29</v>
      </c>
      <c r="L67" s="30" t="s">
        <v>30</v>
      </c>
      <c r="M67" s="30">
        <v>7</v>
      </c>
      <c r="N67" s="30">
        <v>2200</v>
      </c>
      <c r="O67" s="30">
        <v>15</v>
      </c>
      <c r="P67" s="30">
        <v>13090</v>
      </c>
      <c r="Q67" s="30">
        <v>5</v>
      </c>
      <c r="R67" s="30" t="s">
        <v>65</v>
      </c>
      <c r="S67" s="30" t="s">
        <v>80</v>
      </c>
      <c r="T67" s="30" t="s">
        <v>93</v>
      </c>
      <c r="U67" s="30">
        <v>9662063276</v>
      </c>
      <c r="V67" s="36" t="s">
        <v>34</v>
      </c>
      <c r="W67" s="40" t="str" cm="1">
        <f t="array" ref="W67">_xlfn.IFS(AND(P67&gt;=100000,Q67&gt;=4,O67&lt;=0.1,V67="Completed"),"Platinum",AND(P67&gt;=50000,P67&lt;=99999,Q67&gt;=3,V67="Completed"),"Golde",AND(P67&lt;50000,V67="Completed"),"Silver",OR(Q67&lt;=2,V67="Cancelled"),"BlackListed",TRUE,"Other")</f>
        <v>Silver</v>
      </c>
    </row>
    <row r="68" spans="1:23" ht="15" thickBot="1" x14ac:dyDescent="0.4">
      <c r="A68" s="27" t="s">
        <v>188</v>
      </c>
      <c r="B68" s="27" t="s">
        <v>23</v>
      </c>
      <c r="C68" s="27" t="s">
        <v>138</v>
      </c>
      <c r="D68" s="28">
        <v>45901</v>
      </c>
      <c r="E68" s="28">
        <v>45905</v>
      </c>
      <c r="F68" s="27" t="s">
        <v>25</v>
      </c>
      <c r="G68" s="27" t="s">
        <v>26</v>
      </c>
      <c r="H68" s="28">
        <v>31195</v>
      </c>
      <c r="I68" s="27" t="s">
        <v>37</v>
      </c>
      <c r="J68" s="27" t="s">
        <v>38</v>
      </c>
      <c r="K68" s="27" t="s">
        <v>83</v>
      </c>
      <c r="L68" s="27" t="s">
        <v>139</v>
      </c>
      <c r="M68" s="27">
        <v>19</v>
      </c>
      <c r="N68" s="27">
        <v>45</v>
      </c>
      <c r="O68" s="27">
        <v>10</v>
      </c>
      <c r="P68" s="27">
        <v>769.5</v>
      </c>
      <c r="Q68" s="27">
        <v>5</v>
      </c>
      <c r="R68" s="27" t="s">
        <v>60</v>
      </c>
      <c r="S68" s="27" t="s">
        <v>80</v>
      </c>
      <c r="T68" s="27" t="s">
        <v>43</v>
      </c>
      <c r="U68" s="27">
        <v>9190393639</v>
      </c>
      <c r="V68" s="37" t="s">
        <v>53</v>
      </c>
      <c r="W68" s="40" t="str" cm="1">
        <f t="array" ref="W68">_xlfn.IFS(AND(P68&gt;=100000,Q68&gt;=4,O68&lt;=0.1,V68="Completed"),"Platinum",AND(P68&gt;=50000,P68&lt;=99999,Q68&gt;=3,V68="Completed"),"Golde",AND(P68&lt;50000,V68="Completed"),"Silver",OR(Q68&lt;=2,V68="Cancelled"),"BlackListed",TRUE,"Other")</f>
        <v>BlackListed</v>
      </c>
    </row>
    <row r="69" spans="1:23" ht="15" thickBot="1" x14ac:dyDescent="0.4">
      <c r="A69" s="30" t="s">
        <v>189</v>
      </c>
      <c r="B69" s="30" t="s">
        <v>134</v>
      </c>
      <c r="C69" s="30" t="s">
        <v>68</v>
      </c>
      <c r="D69" s="31">
        <v>46062</v>
      </c>
      <c r="E69" s="31">
        <v>46067</v>
      </c>
      <c r="F69" s="30" t="s">
        <v>135</v>
      </c>
      <c r="G69" s="30" t="s">
        <v>26</v>
      </c>
      <c r="H69" s="31">
        <v>29094</v>
      </c>
      <c r="I69" s="30" t="s">
        <v>27</v>
      </c>
      <c r="J69" s="30" t="s">
        <v>28</v>
      </c>
      <c r="K69" s="30" t="s">
        <v>29</v>
      </c>
      <c r="L69" s="30" t="s">
        <v>70</v>
      </c>
      <c r="M69" s="30">
        <v>7</v>
      </c>
      <c r="N69" s="30">
        <v>3500</v>
      </c>
      <c r="O69" s="30">
        <v>15</v>
      </c>
      <c r="P69" s="30">
        <v>20825</v>
      </c>
      <c r="Q69" s="30">
        <v>1</v>
      </c>
      <c r="R69" s="30" t="s">
        <v>31</v>
      </c>
      <c r="S69" s="30" t="s">
        <v>96</v>
      </c>
      <c r="T69" s="30" t="s">
        <v>136</v>
      </c>
      <c r="U69" s="30">
        <v>9106328582</v>
      </c>
      <c r="V69" s="38" t="s">
        <v>52</v>
      </c>
      <c r="W69" s="40" t="str" cm="1">
        <f t="array" ref="W69">_xlfn.IFS(AND(P69&gt;=100000,Q69&gt;=4,O69&lt;=0.1,V69="Completed"),"Platinum",AND(P69&gt;=50000,P69&lt;=99999,Q69&gt;=3,V69="Completed"),"Golde",AND(P69&lt;50000,V69="Completed"),"Silver",OR(Q69&lt;=2,V69="Cancelled"),"BlackListed",TRUE,"Other")</f>
        <v>BlackListed</v>
      </c>
    </row>
    <row r="70" spans="1:23" ht="15" thickBot="1" x14ac:dyDescent="0.4">
      <c r="A70" s="27" t="s">
        <v>190</v>
      </c>
      <c r="B70" s="27" t="s">
        <v>45</v>
      </c>
      <c r="C70" s="27" t="s">
        <v>105</v>
      </c>
      <c r="D70" s="28">
        <v>46005</v>
      </c>
      <c r="E70" s="28">
        <v>46010</v>
      </c>
      <c r="F70" s="27" t="s">
        <v>101</v>
      </c>
      <c r="G70" s="27" t="s">
        <v>26</v>
      </c>
      <c r="H70" s="28">
        <v>28116</v>
      </c>
      <c r="I70" s="27" t="s">
        <v>121</v>
      </c>
      <c r="J70" s="27" t="s">
        <v>38</v>
      </c>
      <c r="K70" s="27" t="s">
        <v>29</v>
      </c>
      <c r="L70" s="27" t="s">
        <v>107</v>
      </c>
      <c r="M70" s="27">
        <v>7</v>
      </c>
      <c r="N70" s="27">
        <v>8500</v>
      </c>
      <c r="O70" s="27">
        <v>20</v>
      </c>
      <c r="P70" s="27">
        <v>47600</v>
      </c>
      <c r="Q70" s="27">
        <v>4</v>
      </c>
      <c r="R70" s="27" t="s">
        <v>41</v>
      </c>
      <c r="S70" s="27" t="s">
        <v>80</v>
      </c>
      <c r="T70" s="27" t="s">
        <v>51</v>
      </c>
      <c r="U70" s="27">
        <v>9264401015</v>
      </c>
      <c r="V70" s="35" t="s">
        <v>34</v>
      </c>
      <c r="W70" s="40" t="str" cm="1">
        <f t="array" ref="W70">_xlfn.IFS(AND(P70&gt;=100000,Q70&gt;=4,O70&lt;=0.1,V70="Completed"),"Platinum",AND(P70&gt;=50000,P70&lt;=99999,Q70&gt;=3,V70="Completed"),"Golde",AND(P70&lt;50000,V70="Completed"),"Silver",OR(Q70&lt;=2,V70="Cancelled"),"BlackListed",TRUE,"Other")</f>
        <v>Silver</v>
      </c>
    </row>
    <row r="71" spans="1:23" ht="15" thickBot="1" x14ac:dyDescent="0.4">
      <c r="A71" s="30" t="s">
        <v>191</v>
      </c>
      <c r="B71" s="30" t="s">
        <v>23</v>
      </c>
      <c r="C71" s="30" t="s">
        <v>46</v>
      </c>
      <c r="D71" s="31">
        <v>45754</v>
      </c>
      <c r="E71" s="31">
        <v>45757</v>
      </c>
      <c r="F71" s="30" t="s">
        <v>25</v>
      </c>
      <c r="G71" s="30" t="s">
        <v>26</v>
      </c>
      <c r="H71" s="31">
        <v>36561</v>
      </c>
      <c r="I71" s="30" t="s">
        <v>48</v>
      </c>
      <c r="J71" s="30" t="s">
        <v>28</v>
      </c>
      <c r="K71" s="30" t="s">
        <v>39</v>
      </c>
      <c r="L71" s="30" t="s">
        <v>49</v>
      </c>
      <c r="M71" s="30">
        <v>16</v>
      </c>
      <c r="N71" s="30">
        <v>55000</v>
      </c>
      <c r="O71" s="30">
        <v>10</v>
      </c>
      <c r="P71" s="30">
        <v>792000</v>
      </c>
      <c r="Q71" s="30">
        <v>1</v>
      </c>
      <c r="R71" s="30" t="s">
        <v>60</v>
      </c>
      <c r="S71" s="30" t="s">
        <v>50</v>
      </c>
      <c r="T71" s="30" t="s">
        <v>43</v>
      </c>
      <c r="U71" s="30">
        <v>9959237375</v>
      </c>
      <c r="V71" s="36" t="s">
        <v>34</v>
      </c>
      <c r="W71" s="40" t="str" cm="1">
        <f t="array" ref="W71">_xlfn.IFS(AND(P71&gt;=100000,Q71&gt;=4,O71&lt;=0.1,V71="Completed"),"Platinum",AND(P71&gt;=50000,P71&lt;=99999,Q71&gt;=3,V71="Completed"),"Golde",AND(P71&lt;50000,V71="Completed"),"Silver",OR(Q71&lt;=2,V71="Cancelled"),"BlackListed",TRUE,"Other")</f>
        <v>BlackListed</v>
      </c>
    </row>
    <row r="72" spans="1:23" ht="15" thickBot="1" x14ac:dyDescent="0.4">
      <c r="A72" s="27" t="s">
        <v>192</v>
      </c>
      <c r="B72" s="27" t="s">
        <v>104</v>
      </c>
      <c r="C72" s="27" t="s">
        <v>36</v>
      </c>
      <c r="D72" s="28">
        <v>46015</v>
      </c>
      <c r="E72" s="28">
        <v>46025</v>
      </c>
      <c r="F72" s="27" t="s">
        <v>166</v>
      </c>
      <c r="G72" s="27" t="s">
        <v>26</v>
      </c>
      <c r="H72" s="28">
        <v>31832</v>
      </c>
      <c r="I72" s="27" t="s">
        <v>74</v>
      </c>
      <c r="J72" s="27" t="s">
        <v>75</v>
      </c>
      <c r="K72" s="27" t="s">
        <v>39</v>
      </c>
      <c r="L72" s="27" t="s">
        <v>40</v>
      </c>
      <c r="M72" s="27">
        <v>2</v>
      </c>
      <c r="N72" s="27">
        <v>12000</v>
      </c>
      <c r="O72" s="27">
        <v>20</v>
      </c>
      <c r="P72" s="27">
        <v>19200</v>
      </c>
      <c r="Q72" s="27">
        <v>1</v>
      </c>
      <c r="R72" s="27" t="s">
        <v>31</v>
      </c>
      <c r="S72" s="27" t="s">
        <v>96</v>
      </c>
      <c r="T72" s="29" t="s">
        <v>193</v>
      </c>
      <c r="U72" s="27">
        <v>9561836580</v>
      </c>
      <c r="V72" s="37" t="s">
        <v>52</v>
      </c>
      <c r="W72" s="40" t="str" cm="1">
        <f t="array" ref="W72">_xlfn.IFS(AND(P72&gt;=100000,Q72&gt;=4,O72&lt;=0.1,V72="Completed"),"Platinum",AND(P72&gt;=50000,P72&lt;=99999,Q72&gt;=3,V72="Completed"),"Golde",AND(P72&lt;50000,V72="Completed"),"Silver",OR(Q72&lt;=2,V72="Cancelled"),"BlackListed",TRUE,"Other")</f>
        <v>BlackListed</v>
      </c>
    </row>
    <row r="73" spans="1:23" ht="15" thickBot="1" x14ac:dyDescent="0.4">
      <c r="A73" s="30" t="s">
        <v>194</v>
      </c>
      <c r="B73" s="30" t="s">
        <v>87</v>
      </c>
      <c r="C73" s="30" t="s">
        <v>138</v>
      </c>
      <c r="D73" s="31">
        <v>45899</v>
      </c>
      <c r="E73" s="31">
        <v>45905</v>
      </c>
      <c r="F73" s="30" t="s">
        <v>88</v>
      </c>
      <c r="G73" s="30" t="s">
        <v>58</v>
      </c>
      <c r="H73" s="31">
        <v>30887</v>
      </c>
      <c r="I73" s="30" t="s">
        <v>48</v>
      </c>
      <c r="J73" s="30" t="s">
        <v>28</v>
      </c>
      <c r="K73" s="30" t="s">
        <v>83</v>
      </c>
      <c r="L73" s="30" t="s">
        <v>139</v>
      </c>
      <c r="M73" s="30">
        <v>4</v>
      </c>
      <c r="N73" s="30">
        <v>45</v>
      </c>
      <c r="O73" s="30">
        <v>5</v>
      </c>
      <c r="P73" s="30">
        <v>171</v>
      </c>
      <c r="Q73" s="30">
        <v>1</v>
      </c>
      <c r="R73" s="30" t="s">
        <v>60</v>
      </c>
      <c r="S73" s="30" t="s">
        <v>42</v>
      </c>
      <c r="T73" s="30" t="s">
        <v>89</v>
      </c>
      <c r="U73" s="30">
        <v>9512666401</v>
      </c>
      <c r="V73" s="38" t="s">
        <v>52</v>
      </c>
      <c r="W73" s="40" t="str" cm="1">
        <f t="array" ref="W73">_xlfn.IFS(AND(P73&gt;=100000,Q73&gt;=4,O73&lt;=0.1,V73="Completed"),"Platinum",AND(P73&gt;=50000,P73&lt;=99999,Q73&gt;=3,V73="Completed"),"Golde",AND(P73&lt;50000,V73="Completed"),"Silver",OR(Q73&lt;=2,V73="Cancelled"),"BlackListed",TRUE,"Other")</f>
        <v>BlackListed</v>
      </c>
    </row>
    <row r="74" spans="1:23" ht="15" thickBot="1" x14ac:dyDescent="0.4">
      <c r="A74" s="27" t="s">
        <v>195</v>
      </c>
      <c r="B74" s="27" t="s">
        <v>23</v>
      </c>
      <c r="C74" s="27" t="s">
        <v>56</v>
      </c>
      <c r="D74" s="28">
        <v>46004</v>
      </c>
      <c r="E74" s="28">
        <v>46014</v>
      </c>
      <c r="F74" s="27" t="s">
        <v>25</v>
      </c>
      <c r="G74" s="27" t="s">
        <v>26</v>
      </c>
      <c r="H74" s="28">
        <v>29851</v>
      </c>
      <c r="I74" s="27" t="s">
        <v>121</v>
      </c>
      <c r="J74" s="27" t="s">
        <v>38</v>
      </c>
      <c r="K74" s="27" t="s">
        <v>39</v>
      </c>
      <c r="L74" s="27" t="s">
        <v>59</v>
      </c>
      <c r="M74" s="27">
        <v>1</v>
      </c>
      <c r="N74" s="27">
        <v>1200</v>
      </c>
      <c r="O74" s="27">
        <v>5</v>
      </c>
      <c r="P74" s="27">
        <v>1140</v>
      </c>
      <c r="Q74" s="27">
        <v>3</v>
      </c>
      <c r="R74" s="27" t="s">
        <v>65</v>
      </c>
      <c r="S74" s="27" t="s">
        <v>50</v>
      </c>
      <c r="T74" s="27" t="s">
        <v>43</v>
      </c>
      <c r="U74" s="27">
        <v>9808988530</v>
      </c>
      <c r="V74" s="37" t="s">
        <v>53</v>
      </c>
      <c r="W74" s="40" t="str" cm="1">
        <f t="array" ref="W74">_xlfn.IFS(AND(P74&gt;=100000,Q74&gt;=4,O74&lt;=0.1,V74="Completed"),"Platinum",AND(P74&gt;=50000,P74&lt;=99999,Q74&gt;=3,V74="Completed"),"Golde",AND(P74&lt;50000,V74="Completed"),"Silver",OR(Q74&lt;=2,V74="Cancelled"),"BlackListed",TRUE,"Other")</f>
        <v>BlackListed</v>
      </c>
    </row>
    <row r="75" spans="1:23" ht="15" thickBot="1" x14ac:dyDescent="0.4">
      <c r="A75" s="30" t="s">
        <v>196</v>
      </c>
      <c r="B75" s="30" t="s">
        <v>45</v>
      </c>
      <c r="C75" s="30" t="s">
        <v>24</v>
      </c>
      <c r="D75" s="31">
        <v>46057</v>
      </c>
      <c r="E75" s="31">
        <v>46069</v>
      </c>
      <c r="F75" s="30" t="s">
        <v>101</v>
      </c>
      <c r="G75" s="30" t="s">
        <v>26</v>
      </c>
      <c r="H75" s="24">
        <v>29392</v>
      </c>
      <c r="I75" s="30"/>
      <c r="J75" s="30" t="s">
        <v>28</v>
      </c>
      <c r="K75" s="30" t="s">
        <v>29</v>
      </c>
      <c r="L75" s="30" t="s">
        <v>30</v>
      </c>
      <c r="M75" s="30">
        <v>1</v>
      </c>
      <c r="N75" s="30">
        <v>2200</v>
      </c>
      <c r="O75" s="30">
        <v>15</v>
      </c>
      <c r="P75" s="30">
        <v>1870</v>
      </c>
      <c r="Q75" s="30">
        <v>4</v>
      </c>
      <c r="R75" s="30" t="s">
        <v>60</v>
      </c>
      <c r="S75" s="30" t="s">
        <v>50</v>
      </c>
      <c r="T75" s="30" t="s">
        <v>51</v>
      </c>
      <c r="U75" s="30">
        <v>9286410494</v>
      </c>
      <c r="V75" s="36" t="s">
        <v>34</v>
      </c>
      <c r="W75" s="40" t="str" cm="1">
        <f t="array" ref="W75">_xlfn.IFS(AND(P75&gt;=100000,Q75&gt;=4,O75&lt;=0.1,V75="Completed"),"Platinum",AND(P75&gt;=50000,P75&lt;=99999,Q75&gt;=3,V75="Completed"),"Golde",AND(P75&lt;50000,V75="Completed"),"Silver",OR(Q75&lt;=2,V75="Cancelled"),"BlackListed",TRUE,"Other")</f>
        <v>Silver</v>
      </c>
    </row>
    <row r="76" spans="1:23" ht="15" thickBot="1" x14ac:dyDescent="0.4">
      <c r="A76" s="27" t="s">
        <v>197</v>
      </c>
      <c r="B76" s="27" t="s">
        <v>87</v>
      </c>
      <c r="C76" s="27" t="s">
        <v>56</v>
      </c>
      <c r="D76" s="28">
        <v>46048</v>
      </c>
      <c r="E76" s="28">
        <v>46050</v>
      </c>
      <c r="F76" s="27" t="s">
        <v>88</v>
      </c>
      <c r="G76" s="27" t="s">
        <v>58</v>
      </c>
      <c r="H76" s="28">
        <v>30257</v>
      </c>
      <c r="I76" s="27" t="s">
        <v>79</v>
      </c>
      <c r="J76" s="27" t="s">
        <v>75</v>
      </c>
      <c r="K76" s="27" t="s">
        <v>39</v>
      </c>
      <c r="L76" s="27" t="s">
        <v>59</v>
      </c>
      <c r="M76" s="27">
        <v>3</v>
      </c>
      <c r="N76" s="27">
        <v>1200</v>
      </c>
      <c r="O76" s="27">
        <v>10</v>
      </c>
      <c r="P76" s="27">
        <v>3240</v>
      </c>
      <c r="Q76" s="27">
        <v>5</v>
      </c>
      <c r="R76" s="27" t="s">
        <v>31</v>
      </c>
      <c r="S76" s="27" t="s">
        <v>42</v>
      </c>
      <c r="T76" s="27" t="s">
        <v>89</v>
      </c>
      <c r="U76" s="27">
        <v>9311555196</v>
      </c>
      <c r="V76" s="35" t="s">
        <v>34</v>
      </c>
      <c r="W76" s="40" t="str" cm="1">
        <f t="array" ref="W76">_xlfn.IFS(AND(P76&gt;=100000,Q76&gt;=4,O76&lt;=0.1,V76="Completed"),"Platinum",AND(P76&gt;=50000,P76&lt;=99999,Q76&gt;=3,V76="Completed"),"Golde",AND(P76&lt;50000,V76="Completed"),"Silver",OR(Q76&lt;=2,V76="Cancelled"),"BlackListed",TRUE,"Other")</f>
        <v>Silver</v>
      </c>
    </row>
    <row r="77" spans="1:23" ht="15" thickBot="1" x14ac:dyDescent="0.4">
      <c r="A77" s="30" t="s">
        <v>198</v>
      </c>
      <c r="B77" s="30" t="s">
        <v>23</v>
      </c>
      <c r="C77" s="30" t="s">
        <v>68</v>
      </c>
      <c r="D77" s="31">
        <v>45835</v>
      </c>
      <c r="E77" s="31">
        <v>45845</v>
      </c>
      <c r="F77" s="30" t="s">
        <v>25</v>
      </c>
      <c r="G77" s="30" t="s">
        <v>26</v>
      </c>
      <c r="H77" s="31">
        <v>29230</v>
      </c>
      <c r="I77" s="30" t="s">
        <v>48</v>
      </c>
      <c r="J77" s="30" t="s">
        <v>28</v>
      </c>
      <c r="K77" s="30" t="s">
        <v>29</v>
      </c>
      <c r="L77" s="30" t="s">
        <v>70</v>
      </c>
      <c r="M77" s="30">
        <v>10</v>
      </c>
      <c r="N77" s="30">
        <v>3500</v>
      </c>
      <c r="O77" s="30">
        <v>20</v>
      </c>
      <c r="P77" s="30">
        <v>28000</v>
      </c>
      <c r="Q77" s="30">
        <v>5</v>
      </c>
      <c r="R77" s="30" t="s">
        <v>60</v>
      </c>
      <c r="S77" s="30" t="s">
        <v>32</v>
      </c>
      <c r="T77" s="30" t="s">
        <v>43</v>
      </c>
      <c r="U77" s="30">
        <v>9101810266</v>
      </c>
      <c r="V77" s="36" t="s">
        <v>34</v>
      </c>
      <c r="W77" s="40" t="str" cm="1">
        <f t="array" ref="W77">_xlfn.IFS(AND(P77&gt;=100000,Q77&gt;=4,O77&lt;=0.1,V77="Completed"),"Platinum",AND(P77&gt;=50000,P77&lt;=99999,Q77&gt;=3,V77="Completed"),"Golde",AND(P77&lt;50000,V77="Completed"),"Silver",OR(Q77&lt;=2,V77="Cancelled"),"BlackListed",TRUE,"Other")</f>
        <v>Silver</v>
      </c>
    </row>
    <row r="78" spans="1:23" ht="15" thickBot="1" x14ac:dyDescent="0.4">
      <c r="A78" s="27" t="s">
        <v>199</v>
      </c>
      <c r="B78" s="27" t="s">
        <v>63</v>
      </c>
      <c r="C78" s="27" t="s">
        <v>112</v>
      </c>
      <c r="D78" s="28">
        <v>46098</v>
      </c>
      <c r="E78" s="28">
        <v>46100</v>
      </c>
      <c r="F78" s="27" t="s">
        <v>110</v>
      </c>
      <c r="G78" s="27" t="s">
        <v>58</v>
      </c>
      <c r="H78" s="28">
        <v>29703</v>
      </c>
      <c r="I78" s="27" t="s">
        <v>37</v>
      </c>
      <c r="J78" s="27" t="s">
        <v>38</v>
      </c>
      <c r="K78" s="27" t="s">
        <v>39</v>
      </c>
      <c r="L78" s="27" t="s">
        <v>114</v>
      </c>
      <c r="M78" s="27">
        <v>18</v>
      </c>
      <c r="N78" s="27">
        <v>700</v>
      </c>
      <c r="O78" s="27">
        <v>5</v>
      </c>
      <c r="P78" s="27">
        <v>11970</v>
      </c>
      <c r="Q78" s="27">
        <v>3</v>
      </c>
      <c r="R78" s="27" t="s">
        <v>60</v>
      </c>
      <c r="S78" s="27" t="s">
        <v>80</v>
      </c>
      <c r="T78" s="27" t="s">
        <v>66</v>
      </c>
      <c r="U78" s="27">
        <v>9464556593</v>
      </c>
      <c r="V78" s="37" t="s">
        <v>53</v>
      </c>
      <c r="W78" s="40" t="str" cm="1">
        <f t="array" ref="W78">_xlfn.IFS(AND(P78&gt;=100000,Q78&gt;=4,O78&lt;=0.1,V78="Completed"),"Platinum",AND(P78&gt;=50000,P78&lt;=99999,Q78&gt;=3,V78="Completed"),"Golde",AND(P78&lt;50000,V78="Completed"),"Silver",OR(Q78&lt;=2,V78="Cancelled"),"BlackListed",TRUE,"Other")</f>
        <v>BlackListed</v>
      </c>
    </row>
    <row r="79" spans="1:23" ht="15" thickBot="1" x14ac:dyDescent="0.4">
      <c r="A79" s="30" t="s">
        <v>200</v>
      </c>
      <c r="B79" s="30" t="s">
        <v>124</v>
      </c>
      <c r="C79" s="30" t="s">
        <v>112</v>
      </c>
      <c r="D79" s="31">
        <v>45817</v>
      </c>
      <c r="E79" s="31">
        <v>45826</v>
      </c>
      <c r="F79" s="30" t="s">
        <v>126</v>
      </c>
      <c r="G79" s="30" t="s">
        <v>58</v>
      </c>
      <c r="H79" s="31">
        <v>31118</v>
      </c>
      <c r="I79" s="30" t="s">
        <v>48</v>
      </c>
      <c r="J79" s="30" t="s">
        <v>28</v>
      </c>
      <c r="K79" s="30" t="s">
        <v>39</v>
      </c>
      <c r="L79" s="30" t="s">
        <v>114</v>
      </c>
      <c r="M79" s="30">
        <v>12</v>
      </c>
      <c r="N79" s="30">
        <v>700</v>
      </c>
      <c r="O79" s="30">
        <v>15</v>
      </c>
      <c r="P79" s="30">
        <v>7140</v>
      </c>
      <c r="Q79" s="30">
        <v>2</v>
      </c>
      <c r="R79" s="30" t="s">
        <v>65</v>
      </c>
      <c r="S79" s="30" t="s">
        <v>42</v>
      </c>
      <c r="T79" s="30" t="s">
        <v>128</v>
      </c>
      <c r="U79" s="30">
        <v>9338278358</v>
      </c>
      <c r="V79" s="36" t="s">
        <v>34</v>
      </c>
      <c r="W79" s="40" t="str" cm="1">
        <f t="array" ref="W79">_xlfn.IFS(AND(P79&gt;=100000,Q79&gt;=4,O79&lt;=0.1,V79="Completed"),"Platinum",AND(P79&gt;=50000,P79&lt;=99999,Q79&gt;=3,V79="Completed"),"Golde",AND(P79&lt;50000,V79="Completed"),"Silver",OR(Q79&lt;=2,V79="Cancelled"),"BlackListed",TRUE,"Other")</f>
        <v>Silver</v>
      </c>
    </row>
    <row r="80" spans="1:23" ht="15" thickBot="1" x14ac:dyDescent="0.4">
      <c r="A80" s="27" t="s">
        <v>201</v>
      </c>
      <c r="B80" s="27" t="s">
        <v>55</v>
      </c>
      <c r="C80" s="27" t="s">
        <v>56</v>
      </c>
      <c r="D80" s="28">
        <v>45976</v>
      </c>
      <c r="E80" s="28">
        <v>45977</v>
      </c>
      <c r="F80" s="27" t="s">
        <v>57</v>
      </c>
      <c r="G80" s="27" t="s">
        <v>58</v>
      </c>
      <c r="H80" s="28">
        <v>36234</v>
      </c>
      <c r="I80" s="27" t="s">
        <v>74</v>
      </c>
      <c r="J80" s="27" t="s">
        <v>75</v>
      </c>
      <c r="K80" s="27" t="s">
        <v>39</v>
      </c>
      <c r="L80" s="27" t="s">
        <v>59</v>
      </c>
      <c r="M80" s="27">
        <v>8</v>
      </c>
      <c r="N80" s="27">
        <v>1200</v>
      </c>
      <c r="O80" s="27">
        <v>0</v>
      </c>
      <c r="P80" s="27">
        <v>9600</v>
      </c>
      <c r="Q80" s="27">
        <v>4</v>
      </c>
      <c r="R80" s="27" t="s">
        <v>60</v>
      </c>
      <c r="S80" s="27" t="s">
        <v>42</v>
      </c>
      <c r="T80" s="27" t="s">
        <v>61</v>
      </c>
      <c r="U80" s="27">
        <v>9621410770</v>
      </c>
      <c r="V80" s="37" t="s">
        <v>52</v>
      </c>
      <c r="W80" s="40" t="str" cm="1">
        <f t="array" ref="W80">_xlfn.IFS(AND(P80&gt;=100000,Q80&gt;=4,O80&lt;=0.1,V80="Completed"),"Platinum",AND(P80&gt;=50000,P80&lt;=99999,Q80&gt;=3,V80="Completed"),"Golde",AND(P80&lt;50000,V80="Completed"),"Silver",OR(Q80&lt;=2,V80="Cancelled"),"BlackListed",TRUE,"Other")</f>
        <v>Other</v>
      </c>
    </row>
    <row r="81" spans="1:23" ht="15" thickBot="1" x14ac:dyDescent="0.4">
      <c r="A81" s="30" t="s">
        <v>202</v>
      </c>
      <c r="B81" s="30" t="s">
        <v>87</v>
      </c>
      <c r="C81" s="30" t="s">
        <v>82</v>
      </c>
      <c r="D81" s="31">
        <v>45967</v>
      </c>
      <c r="E81" s="31">
        <v>45971</v>
      </c>
      <c r="F81" s="30" t="s">
        <v>88</v>
      </c>
      <c r="G81" s="30" t="s">
        <v>58</v>
      </c>
      <c r="H81" s="31">
        <v>30504</v>
      </c>
      <c r="I81" s="30" t="s">
        <v>79</v>
      </c>
      <c r="J81" s="30" t="s">
        <v>75</v>
      </c>
      <c r="K81" s="30" t="s">
        <v>83</v>
      </c>
      <c r="L81" s="30" t="s">
        <v>84</v>
      </c>
      <c r="M81" s="30">
        <v>2</v>
      </c>
      <c r="N81" s="30">
        <v>60</v>
      </c>
      <c r="O81" s="30">
        <v>0</v>
      </c>
      <c r="P81" s="30">
        <v>120</v>
      </c>
      <c r="Q81" s="30">
        <v>2</v>
      </c>
      <c r="R81" s="30" t="s">
        <v>65</v>
      </c>
      <c r="S81" s="30" t="s">
        <v>42</v>
      </c>
      <c r="T81" s="30" t="s">
        <v>89</v>
      </c>
      <c r="U81" s="30">
        <v>9981333189</v>
      </c>
      <c r="V81" s="36" t="s">
        <v>34</v>
      </c>
      <c r="W81" s="40" t="str" cm="1">
        <f t="array" ref="W81">_xlfn.IFS(AND(P81&gt;=100000,Q81&gt;=4,O81&lt;=0.1,V81="Completed"),"Platinum",AND(P81&gt;=50000,P81&lt;=99999,Q81&gt;=3,V81="Completed"),"Golde",AND(P81&lt;50000,V81="Completed"),"Silver",OR(Q81&lt;=2,V81="Cancelled"),"BlackListed",TRUE,"Other")</f>
        <v>Silver</v>
      </c>
    </row>
    <row r="82" spans="1:23" ht="15" thickBot="1" x14ac:dyDescent="0.4">
      <c r="A82" s="27" t="s">
        <v>203</v>
      </c>
      <c r="B82" s="27" t="s">
        <v>156</v>
      </c>
      <c r="C82" s="27" t="s">
        <v>138</v>
      </c>
      <c r="D82" s="28">
        <v>45658</v>
      </c>
      <c r="E82" s="28">
        <v>45664</v>
      </c>
      <c r="F82" s="27" t="s">
        <v>106</v>
      </c>
      <c r="G82" s="27" t="s">
        <v>58</v>
      </c>
      <c r="H82" s="28">
        <v>32573</v>
      </c>
      <c r="I82" s="27" t="s">
        <v>79</v>
      </c>
      <c r="J82" s="27" t="s">
        <v>75</v>
      </c>
      <c r="K82" s="27" t="s">
        <v>83</v>
      </c>
      <c r="L82" s="27" t="s">
        <v>139</v>
      </c>
      <c r="M82" s="27">
        <v>10</v>
      </c>
      <c r="N82" s="27">
        <v>45</v>
      </c>
      <c r="O82" s="27">
        <v>15</v>
      </c>
      <c r="P82" s="27">
        <v>382.5</v>
      </c>
      <c r="Q82" s="27">
        <v>3</v>
      </c>
      <c r="R82" s="27" t="s">
        <v>41</v>
      </c>
      <c r="S82" s="27" t="s">
        <v>32</v>
      </c>
      <c r="T82" s="27" t="s">
        <v>158</v>
      </c>
      <c r="U82" s="27">
        <v>9723450355</v>
      </c>
      <c r="V82" s="37" t="s">
        <v>53</v>
      </c>
      <c r="W82" s="40" t="str" cm="1">
        <f t="array" ref="W82">_xlfn.IFS(AND(P82&gt;=100000,Q82&gt;=4,O82&lt;=0.1,V82="Completed"),"Platinum",AND(P82&gt;=50000,P82&lt;=99999,Q82&gt;=3,V82="Completed"),"Golde",AND(P82&lt;50000,V82="Completed"),"Silver",OR(Q82&lt;=2,V82="Cancelled"),"BlackListed",TRUE,"Other")</f>
        <v>BlackListed</v>
      </c>
    </row>
    <row r="83" spans="1:23" ht="15" thickBot="1" x14ac:dyDescent="0.4">
      <c r="A83" s="30" t="s">
        <v>204</v>
      </c>
      <c r="B83" s="30" t="s">
        <v>124</v>
      </c>
      <c r="C83" s="30" t="s">
        <v>68</v>
      </c>
      <c r="D83" s="31">
        <v>46137</v>
      </c>
      <c r="E83" s="31">
        <v>46145</v>
      </c>
      <c r="F83" s="30" t="s">
        <v>126</v>
      </c>
      <c r="G83" s="30" t="s">
        <v>58</v>
      </c>
      <c r="H83" s="31">
        <v>30122</v>
      </c>
      <c r="I83" s="30" t="s">
        <v>147</v>
      </c>
      <c r="J83" s="30" t="s">
        <v>148</v>
      </c>
      <c r="K83" s="30" t="s">
        <v>29</v>
      </c>
      <c r="L83" s="30" t="s">
        <v>70</v>
      </c>
      <c r="M83" s="30">
        <v>12</v>
      </c>
      <c r="N83" s="30">
        <v>3500</v>
      </c>
      <c r="O83" s="30">
        <v>5</v>
      </c>
      <c r="P83" s="30">
        <v>39900</v>
      </c>
      <c r="Q83" s="30">
        <v>3</v>
      </c>
      <c r="R83" s="30" t="s">
        <v>41</v>
      </c>
      <c r="S83" s="30" t="s">
        <v>50</v>
      </c>
      <c r="T83" s="30" t="s">
        <v>128</v>
      </c>
      <c r="U83" s="30">
        <v>9886243907</v>
      </c>
      <c r="V83" s="38" t="s">
        <v>52</v>
      </c>
      <c r="W83" s="40" t="str" cm="1">
        <f t="array" ref="W83">_xlfn.IFS(AND(P83&gt;=100000,Q83&gt;=4,O83&lt;=0.1,V83="Completed"),"Platinum",AND(P83&gt;=50000,P83&lt;=99999,Q83&gt;=3,V83="Completed"),"Golde",AND(P83&lt;50000,V83="Completed"),"Silver",OR(Q83&lt;=2,V83="Cancelled"),"BlackListed",TRUE,"Other")</f>
        <v>Other</v>
      </c>
    </row>
    <row r="84" spans="1:23" ht="15" thickBot="1" x14ac:dyDescent="0.4">
      <c r="A84" s="27" t="s">
        <v>205</v>
      </c>
      <c r="B84" s="27" t="s">
        <v>87</v>
      </c>
      <c r="C84" s="27" t="s">
        <v>82</v>
      </c>
      <c r="D84" s="28">
        <v>45919</v>
      </c>
      <c r="E84" s="28">
        <v>45927</v>
      </c>
      <c r="F84" s="27" t="s">
        <v>88</v>
      </c>
      <c r="G84" s="27" t="s">
        <v>58</v>
      </c>
      <c r="H84" s="28">
        <v>37065</v>
      </c>
      <c r="I84" s="27" t="s">
        <v>74</v>
      </c>
      <c r="J84" s="27" t="s">
        <v>75</v>
      </c>
      <c r="K84" s="27" t="s">
        <v>83</v>
      </c>
      <c r="L84" s="27" t="s">
        <v>84</v>
      </c>
      <c r="M84" s="27">
        <v>2</v>
      </c>
      <c r="N84" s="27">
        <v>60</v>
      </c>
      <c r="O84" s="27">
        <v>15</v>
      </c>
      <c r="P84" s="27">
        <v>102</v>
      </c>
      <c r="Q84" s="27">
        <v>1</v>
      </c>
      <c r="R84" s="27" t="s">
        <v>65</v>
      </c>
      <c r="S84" s="27" t="s">
        <v>80</v>
      </c>
      <c r="T84" s="27" t="s">
        <v>89</v>
      </c>
      <c r="U84" s="27">
        <v>9473931904</v>
      </c>
      <c r="V84" s="35" t="s">
        <v>34</v>
      </c>
      <c r="W84" s="40" t="str" cm="1">
        <f t="array" ref="W84">_xlfn.IFS(AND(P84&gt;=100000,Q84&gt;=4,O84&lt;=0.1,V84="Completed"),"Platinum",AND(P84&gt;=50000,P84&lt;=99999,Q84&gt;=3,V84="Completed"),"Golde",AND(P84&lt;50000,V84="Completed"),"Silver",OR(Q84&lt;=2,V84="Cancelled"),"BlackListed",TRUE,"Other")</f>
        <v>Silver</v>
      </c>
    </row>
    <row r="85" spans="1:23" ht="15" thickBot="1" x14ac:dyDescent="0.4">
      <c r="A85" s="30" t="s">
        <v>206</v>
      </c>
      <c r="B85" s="30" t="s">
        <v>87</v>
      </c>
      <c r="C85" s="30" t="s">
        <v>56</v>
      </c>
      <c r="D85" s="31">
        <v>45734</v>
      </c>
      <c r="E85" s="31">
        <v>45737</v>
      </c>
      <c r="F85" s="30" t="s">
        <v>88</v>
      </c>
      <c r="G85" s="30" t="s">
        <v>58</v>
      </c>
      <c r="H85" s="31">
        <v>30516</v>
      </c>
      <c r="I85" s="30" t="s">
        <v>27</v>
      </c>
      <c r="J85" s="30" t="s">
        <v>28</v>
      </c>
      <c r="K85" s="30" t="s">
        <v>39</v>
      </c>
      <c r="L85" s="30" t="s">
        <v>59</v>
      </c>
      <c r="M85" s="30">
        <v>18</v>
      </c>
      <c r="N85" s="30">
        <v>1200</v>
      </c>
      <c r="O85" s="30">
        <v>15</v>
      </c>
      <c r="P85" s="30">
        <v>18360</v>
      </c>
      <c r="Q85" s="30">
        <v>3</v>
      </c>
      <c r="R85" s="30" t="s">
        <v>60</v>
      </c>
      <c r="S85" s="30" t="s">
        <v>80</v>
      </c>
      <c r="T85" s="30" t="s">
        <v>89</v>
      </c>
      <c r="U85" s="30">
        <v>9287159610</v>
      </c>
      <c r="V85" s="38" t="s">
        <v>52</v>
      </c>
      <c r="W85" s="40" t="str" cm="1">
        <f t="array" ref="W85">_xlfn.IFS(AND(P85&gt;=100000,Q85&gt;=4,O85&lt;=0.1,V85="Completed"),"Platinum",AND(P85&gt;=50000,P85&lt;=99999,Q85&gt;=3,V85="Completed"),"Golde",AND(P85&lt;50000,V85="Completed"),"Silver",OR(Q85&lt;=2,V85="Cancelled"),"BlackListed",TRUE,"Other")</f>
        <v>Other</v>
      </c>
    </row>
    <row r="86" spans="1:23" ht="15" thickBot="1" x14ac:dyDescent="0.4">
      <c r="A86" s="27" t="s">
        <v>207</v>
      </c>
      <c r="B86" s="27" t="s">
        <v>23</v>
      </c>
      <c r="C86" s="27" t="s">
        <v>36</v>
      </c>
      <c r="D86" s="28">
        <v>45960</v>
      </c>
      <c r="E86" s="28">
        <v>45961</v>
      </c>
      <c r="F86" s="27" t="s">
        <v>25</v>
      </c>
      <c r="G86" s="27" t="s">
        <v>26</v>
      </c>
      <c r="H86" s="28">
        <v>34052</v>
      </c>
      <c r="I86" s="27" t="s">
        <v>74</v>
      </c>
      <c r="J86" s="27" t="s">
        <v>75</v>
      </c>
      <c r="K86" s="27" t="s">
        <v>39</v>
      </c>
      <c r="L86" s="27" t="s">
        <v>40</v>
      </c>
      <c r="M86" s="27">
        <v>18</v>
      </c>
      <c r="N86" s="27">
        <v>12000</v>
      </c>
      <c r="O86" s="27">
        <v>15</v>
      </c>
      <c r="P86" s="27">
        <v>183600</v>
      </c>
      <c r="Q86" s="27">
        <v>2</v>
      </c>
      <c r="R86" s="27" t="s">
        <v>31</v>
      </c>
      <c r="S86" s="27" t="s">
        <v>42</v>
      </c>
      <c r="T86" s="27" t="s">
        <v>43</v>
      </c>
      <c r="U86" s="27">
        <v>9876513858</v>
      </c>
      <c r="V86" s="35" t="s">
        <v>34</v>
      </c>
      <c r="W86" s="40" t="str" cm="1">
        <f t="array" ref="W86">_xlfn.IFS(AND(P86&gt;=100000,Q86&gt;=4,O86&lt;=0.1,V86="Completed"),"Platinum",AND(P86&gt;=50000,P86&lt;=99999,Q86&gt;=3,V86="Completed"),"Golde",AND(P86&lt;50000,V86="Completed"),"Silver",OR(Q86&lt;=2,V86="Cancelled"),"BlackListed",TRUE,"Other")</f>
        <v>BlackListed</v>
      </c>
    </row>
    <row r="87" spans="1:23" ht="15" thickBot="1" x14ac:dyDescent="0.4">
      <c r="A87" s="30" t="s">
        <v>208</v>
      </c>
      <c r="B87" s="30" t="s">
        <v>63</v>
      </c>
      <c r="C87" s="30" t="s">
        <v>125</v>
      </c>
      <c r="D87" s="31">
        <v>45961</v>
      </c>
      <c r="E87" s="31">
        <v>45972</v>
      </c>
      <c r="F87" s="30" t="s">
        <v>110</v>
      </c>
      <c r="G87" s="30" t="s">
        <v>58</v>
      </c>
      <c r="H87" s="31">
        <v>34829</v>
      </c>
      <c r="I87" s="30" t="s">
        <v>91</v>
      </c>
      <c r="J87" s="30" t="s">
        <v>75</v>
      </c>
      <c r="K87" s="30" t="s">
        <v>83</v>
      </c>
      <c r="L87" s="30" t="s">
        <v>127</v>
      </c>
      <c r="M87" s="30">
        <v>7</v>
      </c>
      <c r="N87" s="30">
        <v>20</v>
      </c>
      <c r="O87" s="30">
        <v>0</v>
      </c>
      <c r="P87" s="30">
        <v>140</v>
      </c>
      <c r="Q87" s="30">
        <v>2</v>
      </c>
      <c r="R87" s="30" t="s">
        <v>60</v>
      </c>
      <c r="S87" s="30" t="s">
        <v>32</v>
      </c>
      <c r="T87" s="30" t="s">
        <v>66</v>
      </c>
      <c r="U87" s="30">
        <v>9237400853</v>
      </c>
      <c r="V87" s="38" t="s">
        <v>53</v>
      </c>
      <c r="W87" s="40" t="str" cm="1">
        <f t="array" ref="W87">_xlfn.IFS(AND(P87&gt;=100000,Q87&gt;=4,O87&lt;=0.1,V87="Completed"),"Platinum",AND(P87&gt;=50000,P87&lt;=99999,Q87&gt;=3,V87="Completed"),"Golde",AND(P87&lt;50000,V87="Completed"),"Silver",OR(Q87&lt;=2,V87="Cancelled"),"BlackListed",TRUE,"Other")</f>
        <v>BlackListed</v>
      </c>
    </row>
    <row r="88" spans="1:23" ht="15" thickBot="1" x14ac:dyDescent="0.4">
      <c r="A88" s="27" t="s">
        <v>209</v>
      </c>
      <c r="B88" s="27" t="s">
        <v>134</v>
      </c>
      <c r="C88" s="27" t="s">
        <v>68</v>
      </c>
      <c r="D88" s="28">
        <v>45757</v>
      </c>
      <c r="E88" s="28">
        <v>45765</v>
      </c>
      <c r="F88" s="27" t="s">
        <v>135</v>
      </c>
      <c r="G88" s="27" t="s">
        <v>26</v>
      </c>
      <c r="H88" s="28">
        <v>36937</v>
      </c>
      <c r="I88" s="27" t="s">
        <v>79</v>
      </c>
      <c r="J88" s="27" t="s">
        <v>75</v>
      </c>
      <c r="K88" s="27" t="s">
        <v>29</v>
      </c>
      <c r="L88" s="27" t="s">
        <v>70</v>
      </c>
      <c r="M88" s="27">
        <v>20</v>
      </c>
      <c r="N88" s="27">
        <v>3500</v>
      </c>
      <c r="O88" s="27">
        <v>20</v>
      </c>
      <c r="P88" s="27">
        <v>56000</v>
      </c>
      <c r="Q88" s="27">
        <v>4</v>
      </c>
      <c r="R88" s="27" t="s">
        <v>60</v>
      </c>
      <c r="S88" s="27" t="s">
        <v>80</v>
      </c>
      <c r="T88" s="27" t="s">
        <v>136</v>
      </c>
      <c r="U88" s="27">
        <v>9599597595</v>
      </c>
      <c r="V88" s="37" t="s">
        <v>52</v>
      </c>
      <c r="W88" s="40" t="str" cm="1">
        <f t="array" ref="W88">_xlfn.IFS(AND(P88&gt;=100000,Q88&gt;=4,O88&lt;=0.1,V88="Completed"),"Platinum",AND(P88&gt;=50000,P88&lt;=99999,Q88&gt;=3,V88="Completed"),"Golde",AND(P88&lt;50000,V88="Completed"),"Silver",OR(Q88&lt;=2,V88="Cancelled"),"BlackListed",TRUE,"Other")</f>
        <v>Other</v>
      </c>
    </row>
    <row r="89" spans="1:23" ht="15" thickBot="1" x14ac:dyDescent="0.4">
      <c r="A89" s="30" t="s">
        <v>210</v>
      </c>
      <c r="B89" s="30" t="s">
        <v>72</v>
      </c>
      <c r="C89" s="30" t="s">
        <v>105</v>
      </c>
      <c r="D89" s="31">
        <v>46097</v>
      </c>
      <c r="E89" s="31">
        <v>46107</v>
      </c>
      <c r="F89" s="30" t="s">
        <v>73</v>
      </c>
      <c r="G89" s="30" t="s">
        <v>26</v>
      </c>
      <c r="H89" s="31">
        <v>36386</v>
      </c>
      <c r="I89" s="30" t="s">
        <v>91</v>
      </c>
      <c r="J89" s="30" t="s">
        <v>75</v>
      </c>
      <c r="K89" s="30" t="s">
        <v>29</v>
      </c>
      <c r="L89" s="30" t="s">
        <v>107</v>
      </c>
      <c r="M89" s="30">
        <v>8</v>
      </c>
      <c r="N89" s="30">
        <v>8500</v>
      </c>
      <c r="O89" s="30">
        <v>20</v>
      </c>
      <c r="P89" s="30">
        <v>54400</v>
      </c>
      <c r="Q89" s="30">
        <v>3</v>
      </c>
      <c r="R89" s="30" t="s">
        <v>60</v>
      </c>
      <c r="S89" s="30" t="s">
        <v>80</v>
      </c>
      <c r="T89" s="30" t="s">
        <v>93</v>
      </c>
      <c r="U89" s="30">
        <v>9230007509</v>
      </c>
      <c r="V89" s="38" t="s">
        <v>52</v>
      </c>
      <c r="W89" s="40" t="str" cm="1">
        <f t="array" ref="W89">_xlfn.IFS(AND(P89&gt;=100000,Q89&gt;=4,O89&lt;=0.1,V89="Completed"),"Platinum",AND(P89&gt;=50000,P89&lt;=99999,Q89&gt;=3,V89="Completed"),"Golde",AND(P89&lt;50000,V89="Completed"),"Silver",OR(Q89&lt;=2,V89="Cancelled"),"BlackListed",TRUE,"Other")</f>
        <v>Other</v>
      </c>
    </row>
    <row r="90" spans="1:23" ht="15" thickBot="1" x14ac:dyDescent="0.4">
      <c r="A90" s="27" t="s">
        <v>211</v>
      </c>
      <c r="B90" s="27" t="s">
        <v>156</v>
      </c>
      <c r="C90" s="27" t="s">
        <v>36</v>
      </c>
      <c r="D90" s="28">
        <v>45915</v>
      </c>
      <c r="E90" s="28">
        <v>45924</v>
      </c>
      <c r="F90" s="27" t="s">
        <v>106</v>
      </c>
      <c r="G90" s="27" t="s">
        <v>58</v>
      </c>
      <c r="H90" s="28">
        <v>37335</v>
      </c>
      <c r="I90" s="27" t="s">
        <v>91</v>
      </c>
      <c r="J90" s="27" t="s">
        <v>212</v>
      </c>
      <c r="K90" s="27" t="s">
        <v>39</v>
      </c>
      <c r="L90" s="27" t="s">
        <v>40</v>
      </c>
      <c r="M90" s="27">
        <v>6</v>
      </c>
      <c r="N90" s="27">
        <v>12000</v>
      </c>
      <c r="O90" s="27">
        <v>5</v>
      </c>
      <c r="P90" s="27">
        <v>68400</v>
      </c>
      <c r="Q90" s="27">
        <v>4</v>
      </c>
      <c r="R90" s="27" t="s">
        <v>41</v>
      </c>
      <c r="S90" s="27" t="s">
        <v>32</v>
      </c>
      <c r="T90" s="27" t="s">
        <v>158</v>
      </c>
      <c r="U90" s="27">
        <v>9823428025</v>
      </c>
      <c r="V90" s="35" t="s">
        <v>34</v>
      </c>
      <c r="W90" s="40" t="str" cm="1">
        <f t="array" ref="W90">_xlfn.IFS(AND(P90&gt;=100000,Q90&gt;=4,O90&lt;=0.1,V90="Completed"),"Platinum",AND(P90&gt;=50000,P90&lt;=99999,Q90&gt;=3,V90="Completed"),"Golde",AND(P90&lt;50000,V90="Completed"),"Silver",OR(Q90&lt;=2,V90="Cancelled"),"BlackListed",TRUE,"Other")</f>
        <v>Golde</v>
      </c>
    </row>
    <row r="91" spans="1:23" ht="15" thickBot="1" x14ac:dyDescent="0.4">
      <c r="A91" s="30" t="s">
        <v>213</v>
      </c>
      <c r="B91" s="30" t="s">
        <v>23</v>
      </c>
      <c r="C91" s="30" t="s">
        <v>105</v>
      </c>
      <c r="D91" s="31">
        <v>46092</v>
      </c>
      <c r="E91" s="31">
        <v>46100</v>
      </c>
      <c r="F91" s="30" t="s">
        <v>25</v>
      </c>
      <c r="G91" s="30" t="s">
        <v>26</v>
      </c>
      <c r="H91" s="31">
        <v>33768</v>
      </c>
      <c r="I91" s="30" t="s">
        <v>79</v>
      </c>
      <c r="J91" s="30" t="s">
        <v>75</v>
      </c>
      <c r="K91" s="30" t="s">
        <v>29</v>
      </c>
      <c r="L91" s="30" t="s">
        <v>107</v>
      </c>
      <c r="M91" s="30">
        <v>15</v>
      </c>
      <c r="N91" s="30">
        <v>8500</v>
      </c>
      <c r="O91" s="30">
        <v>0</v>
      </c>
      <c r="P91" s="30">
        <v>127500</v>
      </c>
      <c r="Q91" s="30">
        <v>4</v>
      </c>
      <c r="R91" s="30" t="s">
        <v>41</v>
      </c>
      <c r="S91" s="30" t="s">
        <v>32</v>
      </c>
      <c r="T91" s="30" t="s">
        <v>43</v>
      </c>
      <c r="U91" s="30">
        <v>9505048912</v>
      </c>
      <c r="V91" s="38" t="s">
        <v>53</v>
      </c>
      <c r="W91" s="40" t="str" cm="1">
        <f t="array" ref="W91">_xlfn.IFS(AND(P91&gt;=100000,Q91&gt;=4,O91&lt;=0.1,V91="Completed"),"Platinum",AND(P91&gt;=50000,P91&lt;=99999,Q91&gt;=3,V91="Completed"),"Golde",AND(P91&lt;50000,V91="Completed"),"Silver",OR(Q91&lt;=2,V91="Cancelled"),"BlackListed",TRUE,"Other")</f>
        <v>BlackListed</v>
      </c>
    </row>
    <row r="92" spans="1:23" ht="15" thickBot="1" x14ac:dyDescent="0.4">
      <c r="A92" s="27" t="s">
        <v>214</v>
      </c>
      <c r="B92" s="27" t="s">
        <v>45</v>
      </c>
      <c r="C92" s="27" t="s">
        <v>56</v>
      </c>
      <c r="D92" s="28">
        <v>45889</v>
      </c>
      <c r="E92" s="28">
        <v>45892</v>
      </c>
      <c r="F92" s="27" t="s">
        <v>101</v>
      </c>
      <c r="G92" s="27" t="s">
        <v>26</v>
      </c>
      <c r="H92" s="28">
        <v>35234</v>
      </c>
      <c r="I92" s="27" t="s">
        <v>121</v>
      </c>
      <c r="J92" s="27" t="s">
        <v>38</v>
      </c>
      <c r="K92" s="27" t="s">
        <v>39</v>
      </c>
      <c r="L92" s="27" t="s">
        <v>59</v>
      </c>
      <c r="M92" s="27">
        <v>5</v>
      </c>
      <c r="N92" s="27">
        <v>1200</v>
      </c>
      <c r="O92" s="27">
        <v>15</v>
      </c>
      <c r="P92" s="27">
        <v>5100</v>
      </c>
      <c r="Q92" s="27">
        <v>1</v>
      </c>
      <c r="R92" s="27" t="s">
        <v>41</v>
      </c>
      <c r="S92" s="27" t="s">
        <v>32</v>
      </c>
      <c r="T92" s="27" t="s">
        <v>51</v>
      </c>
      <c r="U92" s="27">
        <v>9508068393</v>
      </c>
      <c r="V92" s="37" t="s">
        <v>53</v>
      </c>
      <c r="W92" s="40" t="str" cm="1">
        <f t="array" ref="W92">_xlfn.IFS(AND(P92&gt;=100000,Q92&gt;=4,O92&lt;=0.1,V92="Completed"),"Platinum",AND(P92&gt;=50000,P92&lt;=99999,Q92&gt;=3,V92="Completed"),"Golde",AND(P92&lt;50000,V92="Completed"),"Silver",OR(Q92&lt;=2,V92="Cancelled"),"BlackListed",TRUE,"Other")</f>
        <v>BlackListed</v>
      </c>
    </row>
    <row r="93" spans="1:23" ht="15" thickBot="1" x14ac:dyDescent="0.4">
      <c r="A93" s="30" t="s">
        <v>215</v>
      </c>
      <c r="B93" s="30" t="s">
        <v>45</v>
      </c>
      <c r="C93" s="30" t="s">
        <v>125</v>
      </c>
      <c r="D93" s="31">
        <v>45882</v>
      </c>
      <c r="E93" s="31">
        <v>45883</v>
      </c>
      <c r="F93" s="30" t="s">
        <v>101</v>
      </c>
      <c r="G93" s="30" t="s">
        <v>26</v>
      </c>
      <c r="H93" s="31">
        <v>30263</v>
      </c>
      <c r="I93" s="30" t="s">
        <v>27</v>
      </c>
      <c r="J93" s="30" t="s">
        <v>28</v>
      </c>
      <c r="K93" s="30" t="s">
        <v>83</v>
      </c>
      <c r="L93" s="30" t="s">
        <v>127</v>
      </c>
      <c r="M93" s="30">
        <v>4</v>
      </c>
      <c r="N93" s="30">
        <v>20</v>
      </c>
      <c r="O93" s="30">
        <v>0</v>
      </c>
      <c r="P93" s="30">
        <v>80</v>
      </c>
      <c r="Q93" s="30">
        <v>4</v>
      </c>
      <c r="R93" s="30" t="s">
        <v>41</v>
      </c>
      <c r="S93" s="30" t="s">
        <v>42</v>
      </c>
      <c r="T93" s="30" t="s">
        <v>51</v>
      </c>
      <c r="U93" s="30">
        <v>9785807771</v>
      </c>
      <c r="V93" s="36" t="s">
        <v>34</v>
      </c>
      <c r="W93" s="40" t="str" cm="1">
        <f t="array" ref="W93">_xlfn.IFS(AND(P93&gt;=100000,Q93&gt;=4,O93&lt;=0.1,V93="Completed"),"Platinum",AND(P93&gt;=50000,P93&lt;=99999,Q93&gt;=3,V93="Completed"),"Golde",AND(P93&lt;50000,V93="Completed"),"Silver",OR(Q93&lt;=2,V93="Cancelled"),"BlackListed",TRUE,"Other")</f>
        <v>Silver</v>
      </c>
    </row>
    <row r="94" spans="1:23" ht="15" thickBot="1" x14ac:dyDescent="0.4">
      <c r="A94" s="27" t="s">
        <v>216</v>
      </c>
      <c r="B94" s="27" t="s">
        <v>23</v>
      </c>
      <c r="C94" s="27" t="s">
        <v>125</v>
      </c>
      <c r="D94" s="28">
        <v>45732</v>
      </c>
      <c r="E94" s="28">
        <v>45736</v>
      </c>
      <c r="F94" s="27" t="s">
        <v>25</v>
      </c>
      <c r="G94" s="27" t="s">
        <v>26</v>
      </c>
      <c r="H94" s="28">
        <v>30858</v>
      </c>
      <c r="I94" s="27" t="s">
        <v>48</v>
      </c>
      <c r="J94" s="27" t="s">
        <v>28</v>
      </c>
      <c r="K94" s="27" t="s">
        <v>83</v>
      </c>
      <c r="L94" s="27" t="s">
        <v>127</v>
      </c>
      <c r="M94" s="27">
        <v>10</v>
      </c>
      <c r="N94" s="27">
        <v>20</v>
      </c>
      <c r="O94" s="27">
        <v>0</v>
      </c>
      <c r="P94" s="27">
        <v>200</v>
      </c>
      <c r="Q94" s="27">
        <v>3</v>
      </c>
      <c r="R94" s="27" t="s">
        <v>31</v>
      </c>
      <c r="S94" s="27" t="s">
        <v>96</v>
      </c>
      <c r="T94" s="27" t="s">
        <v>43</v>
      </c>
      <c r="U94" s="27">
        <v>9215250979</v>
      </c>
      <c r="V94" s="37" t="s">
        <v>52</v>
      </c>
      <c r="W94" s="40" t="str" cm="1">
        <f t="array" ref="W94">_xlfn.IFS(AND(P94&gt;=100000,Q94&gt;=4,O94&lt;=0.1,V94="Completed"),"Platinum",AND(P94&gt;=50000,P94&lt;=99999,Q94&gt;=3,V94="Completed"),"Golde",AND(P94&lt;50000,V94="Completed"),"Silver",OR(Q94&lt;=2,V94="Cancelled"),"BlackListed",TRUE,"Other")</f>
        <v>Other</v>
      </c>
    </row>
    <row r="95" spans="1:23" ht="15" thickBot="1" x14ac:dyDescent="0.4">
      <c r="A95" s="30" t="s">
        <v>217</v>
      </c>
      <c r="B95" s="30" t="s">
        <v>104</v>
      </c>
      <c r="C95" s="30" t="s">
        <v>24</v>
      </c>
      <c r="D95" s="31">
        <v>45904</v>
      </c>
      <c r="E95" s="31">
        <v>45910</v>
      </c>
      <c r="F95" s="30" t="s">
        <v>166</v>
      </c>
      <c r="G95" s="30" t="s">
        <v>26</v>
      </c>
      <c r="H95" s="31">
        <v>34506</v>
      </c>
      <c r="I95" s="30" t="s">
        <v>37</v>
      </c>
      <c r="J95" s="30" t="s">
        <v>38</v>
      </c>
      <c r="K95" s="30" t="s">
        <v>29</v>
      </c>
      <c r="L95" s="30" t="s">
        <v>30</v>
      </c>
      <c r="M95" s="30">
        <v>18</v>
      </c>
      <c r="N95" s="30">
        <v>2200</v>
      </c>
      <c r="O95" s="30">
        <v>10</v>
      </c>
      <c r="P95" s="30">
        <v>35640</v>
      </c>
      <c r="Q95" s="30">
        <v>3</v>
      </c>
      <c r="R95" s="30" t="s">
        <v>31</v>
      </c>
      <c r="S95" s="30" t="s">
        <v>32</v>
      </c>
      <c r="T95" s="30" t="s">
        <v>108</v>
      </c>
      <c r="U95" s="30">
        <v>9845884906</v>
      </c>
      <c r="V95" s="38" t="s">
        <v>53</v>
      </c>
      <c r="W95" s="40" t="str" cm="1">
        <f t="array" ref="W95">_xlfn.IFS(AND(P95&gt;=100000,Q95&gt;=4,O95&lt;=0.1,V95="Completed"),"Platinum",AND(P95&gt;=50000,P95&lt;=99999,Q95&gt;=3,V95="Completed"),"Golde",AND(P95&lt;50000,V95="Completed"),"Silver",OR(Q95&lt;=2,V95="Cancelled"),"BlackListed",TRUE,"Other")</f>
        <v>BlackListed</v>
      </c>
    </row>
    <row r="96" spans="1:23" ht="15" thickBot="1" x14ac:dyDescent="0.4">
      <c r="A96" s="27" t="s">
        <v>218</v>
      </c>
      <c r="B96" s="27" t="s">
        <v>156</v>
      </c>
      <c r="C96" s="27" t="s">
        <v>68</v>
      </c>
      <c r="D96" s="28">
        <v>45759</v>
      </c>
      <c r="E96" s="28">
        <v>45762</v>
      </c>
      <c r="F96" s="27" t="s">
        <v>106</v>
      </c>
      <c r="G96" s="27" t="s">
        <v>58</v>
      </c>
      <c r="H96" s="28">
        <v>33163</v>
      </c>
      <c r="I96" s="27" t="s">
        <v>37</v>
      </c>
      <c r="J96" s="27" t="s">
        <v>38</v>
      </c>
      <c r="K96" s="27" t="s">
        <v>29</v>
      </c>
      <c r="L96" s="27" t="s">
        <v>70</v>
      </c>
      <c r="M96" s="27">
        <v>7</v>
      </c>
      <c r="N96" s="27">
        <v>3500</v>
      </c>
      <c r="O96" s="27">
        <v>15</v>
      </c>
      <c r="P96" s="27">
        <v>20825</v>
      </c>
      <c r="Q96" s="27">
        <v>3</v>
      </c>
      <c r="R96" s="27" t="s">
        <v>41</v>
      </c>
      <c r="S96" s="27" t="s">
        <v>42</v>
      </c>
      <c r="T96" s="27" t="s">
        <v>158</v>
      </c>
      <c r="U96" s="27">
        <v>9393097397</v>
      </c>
      <c r="V96" s="35" t="s">
        <v>34</v>
      </c>
      <c r="W96" s="40" t="str" cm="1">
        <f t="array" ref="W96">_xlfn.IFS(AND(P96&gt;=100000,Q96&gt;=4,O96&lt;=0.1,V96="Completed"),"Platinum",AND(P96&gt;=50000,P96&lt;=99999,Q96&gt;=3,V96="Completed"),"Golde",AND(P96&lt;50000,V96="Completed"),"Silver",OR(Q96&lt;=2,V96="Cancelled"),"BlackListed",TRUE,"Other")</f>
        <v>Silver</v>
      </c>
    </row>
    <row r="97" spans="1:23" ht="15" thickBot="1" x14ac:dyDescent="0.4">
      <c r="A97" s="30" t="s">
        <v>219</v>
      </c>
      <c r="B97" s="30" t="s">
        <v>72</v>
      </c>
      <c r="C97" s="30" t="s">
        <v>105</v>
      </c>
      <c r="D97" s="31">
        <v>46146</v>
      </c>
      <c r="E97" s="31">
        <v>46149</v>
      </c>
      <c r="F97" s="30" t="s">
        <v>73</v>
      </c>
      <c r="G97" s="30" t="s">
        <v>26</v>
      </c>
      <c r="H97" s="31">
        <v>31805</v>
      </c>
      <c r="I97" s="30" t="s">
        <v>147</v>
      </c>
      <c r="J97" s="30" t="s">
        <v>148</v>
      </c>
      <c r="K97" s="30" t="s">
        <v>29</v>
      </c>
      <c r="L97" s="30" t="s">
        <v>107</v>
      </c>
      <c r="M97" s="30">
        <v>19</v>
      </c>
      <c r="N97" s="30">
        <v>8500</v>
      </c>
      <c r="O97" s="30">
        <v>15</v>
      </c>
      <c r="P97" s="30">
        <v>137275</v>
      </c>
      <c r="Q97" s="30">
        <v>4</v>
      </c>
      <c r="R97" s="30" t="s">
        <v>60</v>
      </c>
      <c r="S97" s="30" t="s">
        <v>96</v>
      </c>
      <c r="T97" s="30" t="s">
        <v>93</v>
      </c>
      <c r="U97" s="30">
        <v>9958032109</v>
      </c>
      <c r="V97" s="38" t="s">
        <v>52</v>
      </c>
      <c r="W97" s="40" t="str" cm="1">
        <f t="array" ref="W97">_xlfn.IFS(AND(P97&gt;=100000,Q97&gt;=4,O97&lt;=0.1,V97="Completed"),"Platinum",AND(P97&gt;=50000,P97&lt;=99999,Q97&gt;=3,V97="Completed"),"Golde",AND(P97&lt;50000,V97="Completed"),"Silver",OR(Q97&lt;=2,V97="Cancelled"),"BlackListed",TRUE,"Other")</f>
        <v>Other</v>
      </c>
    </row>
    <row r="98" spans="1:23" ht="15" thickBot="1" x14ac:dyDescent="0.4">
      <c r="A98" s="27" t="s">
        <v>220</v>
      </c>
      <c r="B98" s="27" t="s">
        <v>134</v>
      </c>
      <c r="C98" s="27" t="s">
        <v>36</v>
      </c>
      <c r="D98" s="28">
        <v>46040</v>
      </c>
      <c r="E98" s="28">
        <v>46049</v>
      </c>
      <c r="F98" s="27" t="s">
        <v>135</v>
      </c>
      <c r="G98" s="27" t="s">
        <v>26</v>
      </c>
      <c r="H98" s="28">
        <v>30580</v>
      </c>
      <c r="I98" s="27" t="s">
        <v>91</v>
      </c>
      <c r="J98" s="27" t="s">
        <v>75</v>
      </c>
      <c r="K98" s="27" t="s">
        <v>39</v>
      </c>
      <c r="L98" s="27" t="s">
        <v>40</v>
      </c>
      <c r="M98" s="27">
        <v>13</v>
      </c>
      <c r="N98" s="27">
        <v>12000</v>
      </c>
      <c r="O98" s="27">
        <v>15</v>
      </c>
      <c r="P98" s="27">
        <v>132600</v>
      </c>
      <c r="Q98" s="27">
        <v>4</v>
      </c>
      <c r="R98" s="27" t="s">
        <v>31</v>
      </c>
      <c r="S98" s="27" t="s">
        <v>42</v>
      </c>
      <c r="T98" s="27" t="s">
        <v>136</v>
      </c>
      <c r="U98" s="27">
        <v>9755082957</v>
      </c>
      <c r="V98" s="35" t="s">
        <v>34</v>
      </c>
      <c r="W98" s="40" t="str" cm="1">
        <f t="array" ref="W98">_xlfn.IFS(AND(P98&gt;=100000,Q98&gt;=4,O98&lt;=0.1,V98="Completed"),"Platinum",AND(P98&gt;=50000,P98&lt;=99999,Q98&gt;=3,V98="Completed"),"Golde",AND(P98&lt;50000,V98="Completed"),"Silver",OR(Q98&lt;=2,V98="Cancelled"),"BlackListed",TRUE,"Other")</f>
        <v>Other</v>
      </c>
    </row>
    <row r="99" spans="1:23" ht="15" thickBot="1" x14ac:dyDescent="0.4">
      <c r="A99" s="30" t="s">
        <v>221</v>
      </c>
      <c r="B99" s="30" t="s">
        <v>156</v>
      </c>
      <c r="C99" s="30" t="s">
        <v>125</v>
      </c>
      <c r="D99" s="31">
        <v>46095</v>
      </c>
      <c r="E99" s="31">
        <v>46105</v>
      </c>
      <c r="F99" s="30" t="s">
        <v>106</v>
      </c>
      <c r="G99" s="30" t="s">
        <v>58</v>
      </c>
      <c r="H99" s="31">
        <v>32602</v>
      </c>
      <c r="I99" s="30" t="s">
        <v>79</v>
      </c>
      <c r="J99" s="30" t="s">
        <v>75</v>
      </c>
      <c r="K99" s="30" t="s">
        <v>83</v>
      </c>
      <c r="L99" s="30" t="s">
        <v>127</v>
      </c>
      <c r="M99" s="30">
        <v>7</v>
      </c>
      <c r="N99" s="30">
        <v>20</v>
      </c>
      <c r="O99" s="30">
        <v>0</v>
      </c>
      <c r="P99" s="30">
        <v>140</v>
      </c>
      <c r="Q99" s="30">
        <v>1</v>
      </c>
      <c r="R99" s="30" t="s">
        <v>60</v>
      </c>
      <c r="S99" s="30" t="s">
        <v>96</v>
      </c>
      <c r="T99" s="30" t="s">
        <v>158</v>
      </c>
      <c r="U99" s="30">
        <v>9872235856</v>
      </c>
      <c r="V99" s="38" t="s">
        <v>53</v>
      </c>
      <c r="W99" s="40" t="str" cm="1">
        <f t="array" ref="W99">_xlfn.IFS(AND(P99&gt;=100000,Q99&gt;=4,O99&lt;=0.1,V99="Completed"),"Platinum",AND(P99&gt;=50000,P99&lt;=99999,Q99&gt;=3,V99="Completed"),"Golde",AND(P99&lt;50000,V99="Completed"),"Silver",OR(Q99&lt;=2,V99="Cancelled"),"BlackListed",TRUE,"Other")</f>
        <v>BlackListed</v>
      </c>
    </row>
    <row r="100" spans="1:23" ht="15" thickBot="1" x14ac:dyDescent="0.4">
      <c r="A100" s="27" t="s">
        <v>222</v>
      </c>
      <c r="B100" s="27" t="s">
        <v>104</v>
      </c>
      <c r="C100" s="27" t="s">
        <v>112</v>
      </c>
      <c r="D100" s="28">
        <v>45786</v>
      </c>
      <c r="E100" s="28">
        <v>45788</v>
      </c>
      <c r="F100" s="27" t="s">
        <v>166</v>
      </c>
      <c r="G100" s="27" t="s">
        <v>26</v>
      </c>
      <c r="H100" s="28">
        <v>32045</v>
      </c>
      <c r="I100" s="27" t="s">
        <v>37</v>
      </c>
      <c r="J100" s="27" t="s">
        <v>38</v>
      </c>
      <c r="K100" s="27" t="s">
        <v>39</v>
      </c>
      <c r="L100" s="27" t="s">
        <v>114</v>
      </c>
      <c r="M100" s="27">
        <v>5</v>
      </c>
      <c r="N100" s="27">
        <v>700</v>
      </c>
      <c r="O100" s="27">
        <v>15</v>
      </c>
      <c r="P100" s="27">
        <v>999999</v>
      </c>
      <c r="Q100" s="27">
        <v>4</v>
      </c>
      <c r="R100" s="27" t="s">
        <v>60</v>
      </c>
      <c r="S100" s="27" t="s">
        <v>32</v>
      </c>
      <c r="T100" s="27" t="s">
        <v>108</v>
      </c>
      <c r="U100" s="27">
        <v>9335138816</v>
      </c>
      <c r="V100" s="37" t="s">
        <v>52</v>
      </c>
      <c r="W100" s="40" t="str" cm="1">
        <f t="array" ref="W100">_xlfn.IFS(AND(P100&gt;=100000,Q100&gt;=4,O100&lt;=0.1,V100="Completed"),"Platinum",AND(P100&gt;=50000,P100&lt;=99999,Q100&gt;=3,V100="Completed"),"Golde",AND(P100&lt;50000,V100="Completed"),"Silver",OR(Q100&lt;=2,V100="Cancelled"),"BlackListed",TRUE,"Other")</f>
        <v>Other</v>
      </c>
    </row>
    <row r="101" spans="1:23" ht="15" thickBot="1" x14ac:dyDescent="0.4">
      <c r="A101" s="30" t="s">
        <v>223</v>
      </c>
      <c r="B101" s="30" t="s">
        <v>63</v>
      </c>
      <c r="C101" s="30" t="s">
        <v>138</v>
      </c>
      <c r="D101" s="31">
        <v>46149</v>
      </c>
      <c r="E101" s="31">
        <v>46152</v>
      </c>
      <c r="F101" s="30" t="s">
        <v>110</v>
      </c>
      <c r="G101" s="30" t="s">
        <v>58</v>
      </c>
      <c r="H101" s="31">
        <v>30170</v>
      </c>
      <c r="I101" s="30" t="s">
        <v>48</v>
      </c>
      <c r="J101" s="30" t="s">
        <v>28</v>
      </c>
      <c r="K101" s="30" t="s">
        <v>83</v>
      </c>
      <c r="L101" s="30" t="s">
        <v>139</v>
      </c>
      <c r="M101" s="30">
        <v>9</v>
      </c>
      <c r="N101" s="30">
        <v>45</v>
      </c>
      <c r="O101" s="30">
        <v>5</v>
      </c>
      <c r="P101" s="30">
        <v>384.75</v>
      </c>
      <c r="Q101" s="30">
        <v>3</v>
      </c>
      <c r="R101" s="30" t="s">
        <v>31</v>
      </c>
      <c r="S101" s="30" t="s">
        <v>32</v>
      </c>
      <c r="T101" s="30" t="s">
        <v>66</v>
      </c>
      <c r="U101" s="30">
        <v>9750365609</v>
      </c>
      <c r="V101" s="36" t="s">
        <v>34</v>
      </c>
      <c r="W101" s="40" t="str" cm="1">
        <f t="array" ref="W101">_xlfn.IFS(AND(P101&gt;=100000,Q101&gt;=4,O101&lt;=0.1,V101="Completed"),"Platinum",AND(P101&gt;=50000,P101&lt;=99999,Q101&gt;=3,V101="Completed"),"Golde",AND(P101&lt;50000,V101="Completed"),"Silver",OR(Q101&lt;=2,V101="Cancelled"),"BlackListed",TRUE,"Other")</f>
        <v>Silver</v>
      </c>
    </row>
    <row r="102" spans="1:23" ht="15" thickBot="1" x14ac:dyDescent="0.4">
      <c r="A102" s="27" t="s">
        <v>224</v>
      </c>
      <c r="B102" s="27" t="s">
        <v>87</v>
      </c>
      <c r="C102" s="27" t="s">
        <v>82</v>
      </c>
      <c r="D102" s="28">
        <v>45768</v>
      </c>
      <c r="E102" s="28">
        <v>45776</v>
      </c>
      <c r="F102" s="27" t="s">
        <v>88</v>
      </c>
      <c r="G102" s="27" t="s">
        <v>58</v>
      </c>
      <c r="H102" s="28">
        <v>31610</v>
      </c>
      <c r="I102" s="27" t="s">
        <v>147</v>
      </c>
      <c r="J102" s="27" t="s">
        <v>148</v>
      </c>
      <c r="K102" s="27" t="s">
        <v>83</v>
      </c>
      <c r="L102" s="27" t="s">
        <v>84</v>
      </c>
      <c r="M102" s="27">
        <v>19</v>
      </c>
      <c r="N102" s="27">
        <v>60</v>
      </c>
      <c r="O102" s="27">
        <v>10</v>
      </c>
      <c r="P102" s="27">
        <v>1026</v>
      </c>
      <c r="Q102" s="27">
        <v>5</v>
      </c>
      <c r="R102" s="27" t="s">
        <v>41</v>
      </c>
      <c r="S102" s="27" t="s">
        <v>80</v>
      </c>
      <c r="T102" s="27" t="s">
        <v>89</v>
      </c>
      <c r="U102" s="27">
        <v>9736812737</v>
      </c>
      <c r="V102" s="35" t="s">
        <v>34</v>
      </c>
      <c r="W102" s="40" t="str" cm="1">
        <f t="array" ref="W102">_xlfn.IFS(AND(P102&gt;=100000,Q102&gt;=4,O102&lt;=0.1,V102="Completed"),"Platinum",AND(P102&gt;=50000,P102&lt;=99999,Q102&gt;=3,V102="Completed"),"Golde",AND(P102&lt;50000,V102="Completed"),"Silver",OR(Q102&lt;=2,V102="Cancelled"),"BlackListed",TRUE,"Other")</f>
        <v>Silver</v>
      </c>
    </row>
    <row r="103" spans="1:23" ht="15" thickBot="1" x14ac:dyDescent="0.4">
      <c r="A103" s="30" t="s">
        <v>225</v>
      </c>
      <c r="B103" s="30" t="s">
        <v>156</v>
      </c>
      <c r="C103" s="30" t="s">
        <v>112</v>
      </c>
      <c r="D103" s="31">
        <v>46002</v>
      </c>
      <c r="E103" s="31">
        <v>46011</v>
      </c>
      <c r="F103" s="30" t="s">
        <v>106</v>
      </c>
      <c r="G103" s="30" t="s">
        <v>58</v>
      </c>
      <c r="H103" s="31">
        <v>31873</v>
      </c>
      <c r="I103" s="30" t="s">
        <v>91</v>
      </c>
      <c r="J103" s="30" t="s">
        <v>75</v>
      </c>
      <c r="K103" s="30" t="s">
        <v>39</v>
      </c>
      <c r="L103" s="30" t="s">
        <v>114</v>
      </c>
      <c r="M103" s="30">
        <v>4</v>
      </c>
      <c r="N103" s="30">
        <v>700</v>
      </c>
      <c r="O103" s="30">
        <v>5</v>
      </c>
      <c r="P103" s="30">
        <v>2660</v>
      </c>
      <c r="Q103" s="30">
        <v>3</v>
      </c>
      <c r="R103" s="30" t="s">
        <v>41</v>
      </c>
      <c r="S103" s="30" t="s">
        <v>50</v>
      </c>
      <c r="T103" s="30" t="s">
        <v>158</v>
      </c>
      <c r="U103" s="30">
        <v>9271420931</v>
      </c>
      <c r="V103" s="36" t="s">
        <v>34</v>
      </c>
      <c r="W103" s="40" t="str" cm="1">
        <f t="array" ref="W103">_xlfn.IFS(AND(P103&gt;=100000,Q103&gt;=4,O103&lt;=0.1,V103="Completed"),"Platinum",AND(P103&gt;=50000,P103&lt;=99999,Q103&gt;=3,V103="Completed"),"Golde",AND(P103&lt;50000,V103="Completed"),"Silver",OR(Q103&lt;=2,V103="Cancelled"),"BlackListed",TRUE,"Other")</f>
        <v>Silver</v>
      </c>
    </row>
    <row r="104" spans="1:23" ht="15" thickBot="1" x14ac:dyDescent="0.4">
      <c r="A104" s="27" t="s">
        <v>226</v>
      </c>
      <c r="B104" s="27" t="s">
        <v>156</v>
      </c>
      <c r="C104" s="27" t="s">
        <v>68</v>
      </c>
      <c r="D104" s="28">
        <v>46149</v>
      </c>
      <c r="E104" s="28">
        <v>46157</v>
      </c>
      <c r="F104" s="27" t="s">
        <v>106</v>
      </c>
      <c r="G104" s="27" t="s">
        <v>58</v>
      </c>
      <c r="H104" s="28">
        <v>38042</v>
      </c>
      <c r="I104" s="27" t="s">
        <v>79</v>
      </c>
      <c r="J104" s="27" t="s">
        <v>75</v>
      </c>
      <c r="K104" s="27" t="s">
        <v>29</v>
      </c>
      <c r="L104" s="27" t="s">
        <v>70</v>
      </c>
      <c r="M104" s="27">
        <v>16</v>
      </c>
      <c r="N104" s="27">
        <v>3500</v>
      </c>
      <c r="O104" s="27">
        <v>0</v>
      </c>
      <c r="P104" s="27">
        <v>56000</v>
      </c>
      <c r="Q104" s="27">
        <v>2</v>
      </c>
      <c r="R104" s="27" t="s">
        <v>60</v>
      </c>
      <c r="S104" s="27" t="s">
        <v>42</v>
      </c>
      <c r="T104" s="27" t="s">
        <v>158</v>
      </c>
      <c r="U104" s="27">
        <v>9781411370</v>
      </c>
      <c r="V104" s="35" t="s">
        <v>34</v>
      </c>
      <c r="W104" s="40" t="str" cm="1">
        <f t="array" ref="W104">_xlfn.IFS(AND(P104&gt;=100000,Q104&gt;=4,O104&lt;=0.1,V104="Completed"),"Platinum",AND(P104&gt;=50000,P104&lt;=99999,Q104&gt;=3,V104="Completed"),"Golde",AND(P104&lt;50000,V104="Completed"),"Silver",OR(Q104&lt;=2,V104="Cancelled"),"BlackListed",TRUE,"Other")</f>
        <v>BlackListed</v>
      </c>
    </row>
    <row r="105" spans="1:23" ht="15" thickBot="1" x14ac:dyDescent="0.4">
      <c r="A105" s="30" t="s">
        <v>227</v>
      </c>
      <c r="B105" s="30" t="s">
        <v>134</v>
      </c>
      <c r="C105" s="30" t="s">
        <v>138</v>
      </c>
      <c r="D105" s="31">
        <v>45670</v>
      </c>
      <c r="E105" s="31">
        <v>45677</v>
      </c>
      <c r="F105" s="30" t="s">
        <v>135</v>
      </c>
      <c r="G105" s="30" t="s">
        <v>26</v>
      </c>
      <c r="H105" s="31">
        <v>37005</v>
      </c>
      <c r="I105" s="30" t="s">
        <v>48</v>
      </c>
      <c r="J105" s="30" t="s">
        <v>28</v>
      </c>
      <c r="K105" s="30" t="s">
        <v>83</v>
      </c>
      <c r="L105" s="30" t="s">
        <v>139</v>
      </c>
      <c r="M105" s="30">
        <v>5</v>
      </c>
      <c r="N105" s="30">
        <v>45</v>
      </c>
      <c r="O105" s="30">
        <v>20</v>
      </c>
      <c r="P105" s="30">
        <v>180</v>
      </c>
      <c r="Q105" s="30">
        <v>3</v>
      </c>
      <c r="R105" s="30" t="s">
        <v>60</v>
      </c>
      <c r="S105" s="30" t="s">
        <v>32</v>
      </c>
      <c r="T105" s="30" t="s">
        <v>136</v>
      </c>
      <c r="U105" s="30">
        <v>9584152818</v>
      </c>
      <c r="V105" s="36" t="s">
        <v>34</v>
      </c>
      <c r="W105" s="40" t="str" cm="1">
        <f t="array" ref="W105">_xlfn.IFS(AND(P105&gt;=100000,Q105&gt;=4,O105&lt;=0.1,V105="Completed"),"Platinum",AND(P105&gt;=50000,P105&lt;=99999,Q105&gt;=3,V105="Completed"),"Golde",AND(P105&lt;50000,V105="Completed"),"Silver",OR(Q105&lt;=2,V105="Cancelled"),"BlackListed",TRUE,"Other")</f>
        <v>Silver</v>
      </c>
    </row>
    <row r="106" spans="1:23" ht="15" thickBot="1" x14ac:dyDescent="0.4">
      <c r="A106" s="27" t="s">
        <v>228</v>
      </c>
      <c r="B106" s="27" t="s">
        <v>63</v>
      </c>
      <c r="C106" s="27" t="s">
        <v>125</v>
      </c>
      <c r="D106" s="28">
        <v>45733</v>
      </c>
      <c r="E106" s="28">
        <v>45734</v>
      </c>
      <c r="F106" s="27" t="s">
        <v>110</v>
      </c>
      <c r="G106" s="27" t="s">
        <v>58</v>
      </c>
      <c r="H106" s="28">
        <v>35247</v>
      </c>
      <c r="I106" s="27" t="s">
        <v>74</v>
      </c>
      <c r="J106" s="27" t="s">
        <v>75</v>
      </c>
      <c r="K106" s="27" t="s">
        <v>83</v>
      </c>
      <c r="L106" s="27" t="s">
        <v>127</v>
      </c>
      <c r="M106" s="27">
        <v>9</v>
      </c>
      <c r="N106" s="27">
        <v>20</v>
      </c>
      <c r="O106" s="27">
        <v>10</v>
      </c>
      <c r="P106" s="27">
        <v>162</v>
      </c>
      <c r="Q106" s="27">
        <v>4</v>
      </c>
      <c r="R106" s="27" t="s">
        <v>60</v>
      </c>
      <c r="S106" s="27" t="s">
        <v>32</v>
      </c>
      <c r="T106" s="27" t="s">
        <v>66</v>
      </c>
      <c r="U106" s="27">
        <v>9507986836</v>
      </c>
      <c r="V106" s="37" t="s">
        <v>52</v>
      </c>
      <c r="W106" s="40" t="str" cm="1">
        <f t="array" ref="W106">_xlfn.IFS(AND(P106&gt;=100000,Q106&gt;=4,O106&lt;=0.1,V106="Completed"),"Platinum",AND(P106&gt;=50000,P106&lt;=99999,Q106&gt;=3,V106="Completed"),"Golde",AND(P106&lt;50000,V106="Completed"),"Silver",OR(Q106&lt;=2,V106="Cancelled"),"BlackListed",TRUE,"Other")</f>
        <v>Other</v>
      </c>
    </row>
    <row r="107" spans="1:23" ht="15" thickBot="1" x14ac:dyDescent="0.4">
      <c r="A107" s="30" t="s">
        <v>229</v>
      </c>
      <c r="B107" s="30" t="s">
        <v>45</v>
      </c>
      <c r="C107" s="30" t="s">
        <v>56</v>
      </c>
      <c r="D107" s="31">
        <v>45713</v>
      </c>
      <c r="E107" s="31">
        <v>45717</v>
      </c>
      <c r="F107" s="30" t="s">
        <v>101</v>
      </c>
      <c r="G107" s="30" t="s">
        <v>26</v>
      </c>
      <c r="H107" s="31">
        <v>28892</v>
      </c>
      <c r="I107" s="30" t="s">
        <v>37</v>
      </c>
      <c r="J107" s="30" t="s">
        <v>38</v>
      </c>
      <c r="K107" s="30" t="s">
        <v>39</v>
      </c>
      <c r="L107" s="30" t="s">
        <v>59</v>
      </c>
      <c r="M107" s="30">
        <v>9</v>
      </c>
      <c r="N107" s="30">
        <v>1200</v>
      </c>
      <c r="O107" s="30">
        <v>5</v>
      </c>
      <c r="P107" s="30">
        <v>10260</v>
      </c>
      <c r="Q107" s="30">
        <v>3</v>
      </c>
      <c r="R107" s="30" t="s">
        <v>65</v>
      </c>
      <c r="S107" s="30" t="s">
        <v>32</v>
      </c>
      <c r="T107" s="30" t="s">
        <v>51</v>
      </c>
      <c r="U107" s="30">
        <v>9518249687</v>
      </c>
      <c r="V107" s="38" t="s">
        <v>52</v>
      </c>
      <c r="W107" s="40" t="str" cm="1">
        <f t="array" ref="W107">_xlfn.IFS(AND(P107&gt;=100000,Q107&gt;=4,O107&lt;=0.1,V107="Completed"),"Platinum",AND(P107&gt;=50000,P107&lt;=99999,Q107&gt;=3,V107="Completed"),"Golde",AND(P107&lt;50000,V107="Completed"),"Silver",OR(Q107&lt;=2,V107="Cancelled"),"BlackListed",TRUE,"Other")</f>
        <v>Other</v>
      </c>
    </row>
    <row r="108" spans="1:23" ht="15" thickBot="1" x14ac:dyDescent="0.4">
      <c r="A108" s="27" t="s">
        <v>230</v>
      </c>
      <c r="B108" s="27" t="s">
        <v>72</v>
      </c>
      <c r="C108" s="27" t="s">
        <v>68</v>
      </c>
      <c r="D108" s="28">
        <v>45714</v>
      </c>
      <c r="E108" s="28">
        <v>45715</v>
      </c>
      <c r="F108" s="27" t="s">
        <v>73</v>
      </c>
      <c r="G108" s="27" t="s">
        <v>26</v>
      </c>
      <c r="H108" s="28">
        <v>31393</v>
      </c>
      <c r="I108" s="27" t="s">
        <v>37</v>
      </c>
      <c r="J108" s="27" t="s">
        <v>38</v>
      </c>
      <c r="K108" s="27" t="s">
        <v>29</v>
      </c>
      <c r="L108" s="27" t="s">
        <v>70</v>
      </c>
      <c r="M108" s="27">
        <v>3</v>
      </c>
      <c r="N108" s="27">
        <v>3500</v>
      </c>
      <c r="O108" s="27">
        <v>10</v>
      </c>
      <c r="P108" s="27">
        <v>9450</v>
      </c>
      <c r="Q108" s="27">
        <v>2</v>
      </c>
      <c r="R108" s="27" t="s">
        <v>60</v>
      </c>
      <c r="S108" s="27" t="s">
        <v>96</v>
      </c>
      <c r="T108" s="27" t="s">
        <v>93</v>
      </c>
      <c r="U108" s="27">
        <v>9179328207</v>
      </c>
      <c r="V108" s="37" t="s">
        <v>53</v>
      </c>
      <c r="W108" s="40" t="str" cm="1">
        <f t="array" ref="W108">_xlfn.IFS(AND(P108&gt;=100000,Q108&gt;=4,O108&lt;=0.1,V108="Completed"),"Platinum",AND(P108&gt;=50000,P108&lt;=99999,Q108&gt;=3,V108="Completed"),"Golde",AND(P108&lt;50000,V108="Completed"),"Silver",OR(Q108&lt;=2,V108="Cancelled"),"BlackListed",TRUE,"Other")</f>
        <v>BlackListed</v>
      </c>
    </row>
    <row r="109" spans="1:23" ht="15" thickBot="1" x14ac:dyDescent="0.4">
      <c r="A109" s="30" t="s">
        <v>231</v>
      </c>
      <c r="B109" s="30" t="s">
        <v>124</v>
      </c>
      <c r="C109" s="30" t="s">
        <v>56</v>
      </c>
      <c r="D109" s="31">
        <v>46094</v>
      </c>
      <c r="E109" s="31">
        <v>46099</v>
      </c>
      <c r="F109" s="30" t="s">
        <v>126</v>
      </c>
      <c r="G109" s="30" t="s">
        <v>58</v>
      </c>
      <c r="H109" s="31">
        <v>33631</v>
      </c>
      <c r="I109" s="30" t="s">
        <v>74</v>
      </c>
      <c r="J109" s="30" t="s">
        <v>75</v>
      </c>
      <c r="K109" s="30" t="s">
        <v>39</v>
      </c>
      <c r="L109" s="30" t="s">
        <v>59</v>
      </c>
      <c r="M109" s="30">
        <v>6</v>
      </c>
      <c r="N109" s="30">
        <v>1200</v>
      </c>
      <c r="O109" s="30">
        <v>15</v>
      </c>
      <c r="P109" s="30">
        <v>6120</v>
      </c>
      <c r="Q109" s="30">
        <v>4</v>
      </c>
      <c r="R109" s="30" t="s">
        <v>65</v>
      </c>
      <c r="S109" s="30" t="s">
        <v>32</v>
      </c>
      <c r="T109" s="30" t="s">
        <v>128</v>
      </c>
      <c r="U109" s="30">
        <v>9778490728</v>
      </c>
      <c r="V109" s="38" t="s">
        <v>53</v>
      </c>
      <c r="W109" s="40" t="str" cm="1">
        <f t="array" ref="W109">_xlfn.IFS(AND(P109&gt;=100000,Q109&gt;=4,O109&lt;=0.1,V109="Completed"),"Platinum",AND(P109&gt;=50000,P109&lt;=99999,Q109&gt;=3,V109="Completed"),"Golde",AND(P109&lt;50000,V109="Completed"),"Silver",OR(Q109&lt;=2,V109="Cancelled"),"BlackListed",TRUE,"Other")</f>
        <v>BlackListed</v>
      </c>
    </row>
    <row r="110" spans="1:23" ht="15" thickBot="1" x14ac:dyDescent="0.4">
      <c r="A110" s="27" t="s">
        <v>232</v>
      </c>
      <c r="B110" s="27" t="s">
        <v>63</v>
      </c>
      <c r="C110" s="27" t="s">
        <v>56</v>
      </c>
      <c r="D110" s="28">
        <v>45848</v>
      </c>
      <c r="E110" s="28">
        <v>45850</v>
      </c>
      <c r="F110" s="27" t="s">
        <v>110</v>
      </c>
      <c r="G110" s="27" t="s">
        <v>58</v>
      </c>
      <c r="H110" s="28">
        <v>34155</v>
      </c>
      <c r="I110" s="27" t="s">
        <v>121</v>
      </c>
      <c r="J110" s="27" t="s">
        <v>38</v>
      </c>
      <c r="K110" s="27" t="s">
        <v>39</v>
      </c>
      <c r="L110" s="27" t="s">
        <v>59</v>
      </c>
      <c r="M110" s="27">
        <v>17</v>
      </c>
      <c r="N110" s="27">
        <v>1200</v>
      </c>
      <c r="O110" s="27">
        <v>15</v>
      </c>
      <c r="P110" s="27">
        <v>17340</v>
      </c>
      <c r="Q110" s="27">
        <v>1</v>
      </c>
      <c r="R110" s="27" t="s">
        <v>31</v>
      </c>
      <c r="S110" s="27" t="s">
        <v>50</v>
      </c>
      <c r="T110" s="27" t="s">
        <v>66</v>
      </c>
      <c r="U110" s="27">
        <v>9223058722</v>
      </c>
      <c r="V110" s="35" t="s">
        <v>34</v>
      </c>
      <c r="W110" s="40" t="str" cm="1">
        <f t="array" ref="W110">_xlfn.IFS(AND(P110&gt;=100000,Q110&gt;=4,O110&lt;=0.1,V110="Completed"),"Platinum",AND(P110&gt;=50000,P110&lt;=99999,Q110&gt;=3,V110="Completed"),"Golde",AND(P110&lt;50000,V110="Completed"),"Silver",OR(Q110&lt;=2,V110="Cancelled"),"BlackListed",TRUE,"Other")</f>
        <v>Silver</v>
      </c>
    </row>
    <row r="111" spans="1:23" ht="15" thickBot="1" x14ac:dyDescent="0.4">
      <c r="A111" s="30" t="s">
        <v>233</v>
      </c>
      <c r="B111" s="30" t="s">
        <v>124</v>
      </c>
      <c r="C111" s="30" t="s">
        <v>105</v>
      </c>
      <c r="D111" s="31">
        <v>45979</v>
      </c>
      <c r="E111" s="31">
        <v>45987</v>
      </c>
      <c r="F111" s="30" t="s">
        <v>126</v>
      </c>
      <c r="G111" s="30" t="s">
        <v>58</v>
      </c>
      <c r="H111" s="31">
        <v>28381</v>
      </c>
      <c r="I111" s="30" t="s">
        <v>48</v>
      </c>
      <c r="J111" s="30" t="s">
        <v>28</v>
      </c>
      <c r="K111" s="30" t="s">
        <v>29</v>
      </c>
      <c r="L111" s="30" t="s">
        <v>107</v>
      </c>
      <c r="M111" s="30">
        <v>15</v>
      </c>
      <c r="N111" s="30">
        <v>8500</v>
      </c>
      <c r="O111" s="30">
        <v>0</v>
      </c>
      <c r="P111" s="30">
        <v>127500</v>
      </c>
      <c r="Q111" s="30">
        <v>3</v>
      </c>
      <c r="R111" s="30" t="s">
        <v>31</v>
      </c>
      <c r="S111" s="30" t="s">
        <v>80</v>
      </c>
      <c r="T111" s="30" t="s">
        <v>128</v>
      </c>
      <c r="U111" s="30">
        <v>9999889465</v>
      </c>
      <c r="V111" s="38" t="s">
        <v>52</v>
      </c>
      <c r="W111" s="40" t="str" cm="1">
        <f t="array" ref="W111">_xlfn.IFS(AND(P111&gt;=100000,Q111&gt;=4,O111&lt;=0.1,V111="Completed"),"Platinum",AND(P111&gt;=50000,P111&lt;=99999,Q111&gt;=3,V111="Completed"),"Golde",AND(P111&lt;50000,V111="Completed"),"Silver",OR(Q111&lt;=2,V111="Cancelled"),"BlackListed",TRUE,"Other")</f>
        <v>Other</v>
      </c>
    </row>
    <row r="112" spans="1:23" ht="15" thickBot="1" x14ac:dyDescent="0.4">
      <c r="A112" s="27" t="s">
        <v>234</v>
      </c>
      <c r="B112" s="27" t="s">
        <v>87</v>
      </c>
      <c r="C112" s="27" t="s">
        <v>56</v>
      </c>
      <c r="D112" s="28">
        <v>45760</v>
      </c>
      <c r="E112" s="28">
        <v>45766</v>
      </c>
      <c r="F112" s="27" t="s">
        <v>88</v>
      </c>
      <c r="G112" s="27" t="s">
        <v>58</v>
      </c>
      <c r="H112" s="28">
        <v>31331</v>
      </c>
      <c r="I112" s="27" t="s">
        <v>27</v>
      </c>
      <c r="J112" s="27" t="s">
        <v>28</v>
      </c>
      <c r="K112" s="27" t="s">
        <v>39</v>
      </c>
      <c r="L112" s="27" t="s">
        <v>59</v>
      </c>
      <c r="M112" s="27">
        <v>1</v>
      </c>
      <c r="N112" s="27">
        <v>1200</v>
      </c>
      <c r="O112" s="27">
        <v>20</v>
      </c>
      <c r="P112" s="27">
        <v>960</v>
      </c>
      <c r="Q112" s="27">
        <v>1</v>
      </c>
      <c r="R112" s="27" t="s">
        <v>65</v>
      </c>
      <c r="S112" s="27" t="s">
        <v>80</v>
      </c>
      <c r="T112" s="27" t="s">
        <v>89</v>
      </c>
      <c r="U112" s="27">
        <v>9489687402</v>
      </c>
      <c r="V112" s="37" t="s">
        <v>52</v>
      </c>
      <c r="W112" s="40" t="str" cm="1">
        <f t="array" ref="W112">_xlfn.IFS(AND(P112&gt;=100000,Q112&gt;=4,O112&lt;=0.1,V112="Completed"),"Platinum",AND(P112&gt;=50000,P112&lt;=99999,Q112&gt;=3,V112="Completed"),"Golde",AND(P112&lt;50000,V112="Completed"),"Silver",OR(Q112&lt;=2,V112="Cancelled"),"BlackListed",TRUE,"Other")</f>
        <v>BlackListed</v>
      </c>
    </row>
    <row r="113" spans="1:23" ht="15" thickBot="1" x14ac:dyDescent="0.4">
      <c r="A113" s="30" t="s">
        <v>235</v>
      </c>
      <c r="B113" s="30" t="s">
        <v>87</v>
      </c>
      <c r="C113" s="30" t="s">
        <v>105</v>
      </c>
      <c r="D113" s="31">
        <v>45756</v>
      </c>
      <c r="E113" s="31">
        <v>45765</v>
      </c>
      <c r="F113" s="30" t="s">
        <v>88</v>
      </c>
      <c r="G113" s="30" t="s">
        <v>58</v>
      </c>
      <c r="H113" s="31">
        <v>37166</v>
      </c>
      <c r="I113" s="30" t="s">
        <v>147</v>
      </c>
      <c r="J113" s="30" t="s">
        <v>148</v>
      </c>
      <c r="K113" s="30" t="s">
        <v>29</v>
      </c>
      <c r="L113" s="30" t="s">
        <v>107</v>
      </c>
      <c r="M113" s="30">
        <v>5</v>
      </c>
      <c r="N113" s="30">
        <v>8500</v>
      </c>
      <c r="O113" s="30">
        <v>10</v>
      </c>
      <c r="P113" s="30">
        <v>38250</v>
      </c>
      <c r="Q113" s="30">
        <v>1</v>
      </c>
      <c r="R113" s="30" t="s">
        <v>60</v>
      </c>
      <c r="S113" s="30" t="s">
        <v>50</v>
      </c>
      <c r="T113" s="30" t="s">
        <v>89</v>
      </c>
      <c r="U113" s="30">
        <v>9236963301</v>
      </c>
      <c r="V113" s="36" t="s">
        <v>34</v>
      </c>
      <c r="W113" s="40" t="str" cm="1">
        <f t="array" ref="W113">_xlfn.IFS(AND(P113&gt;=100000,Q113&gt;=4,O113&lt;=0.1,V113="Completed"),"Platinum",AND(P113&gt;=50000,P113&lt;=99999,Q113&gt;=3,V113="Completed"),"Golde",AND(P113&lt;50000,V113="Completed"),"Silver",OR(Q113&lt;=2,V113="Cancelled"),"BlackListed",TRUE,"Other")</f>
        <v>Silver</v>
      </c>
    </row>
    <row r="114" spans="1:23" ht="15" thickBot="1" x14ac:dyDescent="0.4">
      <c r="A114" s="27" t="s">
        <v>236</v>
      </c>
      <c r="B114" s="27" t="s">
        <v>45</v>
      </c>
      <c r="C114" s="27" t="s">
        <v>138</v>
      </c>
      <c r="D114" s="28">
        <v>46115</v>
      </c>
      <c r="E114" s="28">
        <v>46122</v>
      </c>
      <c r="F114" s="27" t="s">
        <v>101</v>
      </c>
      <c r="G114" s="27" t="s">
        <v>26</v>
      </c>
      <c r="H114" s="28">
        <v>31510</v>
      </c>
      <c r="I114" s="27" t="s">
        <v>27</v>
      </c>
      <c r="J114" s="27" t="s">
        <v>28</v>
      </c>
      <c r="K114" s="27" t="s">
        <v>83</v>
      </c>
      <c r="L114" s="27" t="s">
        <v>139</v>
      </c>
      <c r="M114" s="27">
        <v>12</v>
      </c>
      <c r="N114" s="27">
        <v>45</v>
      </c>
      <c r="O114" s="27">
        <v>5</v>
      </c>
      <c r="P114" s="27">
        <v>513</v>
      </c>
      <c r="Q114" s="27">
        <v>2</v>
      </c>
      <c r="R114" s="27" t="s">
        <v>41</v>
      </c>
      <c r="S114" s="27" t="s">
        <v>32</v>
      </c>
      <c r="T114" s="27" t="s">
        <v>51</v>
      </c>
      <c r="U114" s="27">
        <v>9653594592</v>
      </c>
      <c r="V114" s="37" t="s">
        <v>53</v>
      </c>
      <c r="W114" s="40" t="str" cm="1">
        <f t="array" ref="W114">_xlfn.IFS(AND(P114&gt;=100000,Q114&gt;=4,O114&lt;=0.1,V114="Completed"),"Platinum",AND(P114&gt;=50000,P114&lt;=99999,Q114&gt;=3,V114="Completed"),"Golde",AND(P114&lt;50000,V114="Completed"),"Silver",OR(Q114&lt;=2,V114="Cancelled"),"BlackListed",TRUE,"Other")</f>
        <v>BlackListed</v>
      </c>
    </row>
    <row r="115" spans="1:23" ht="15" thickBot="1" x14ac:dyDescent="0.4">
      <c r="A115" s="30" t="s">
        <v>237</v>
      </c>
      <c r="B115" s="30" t="s">
        <v>124</v>
      </c>
      <c r="C115" s="30" t="s">
        <v>82</v>
      </c>
      <c r="D115" s="31">
        <v>45953</v>
      </c>
      <c r="E115" s="31">
        <v>45958</v>
      </c>
      <c r="F115" s="30" t="s">
        <v>126</v>
      </c>
      <c r="G115" s="30" t="s">
        <v>58</v>
      </c>
      <c r="H115" s="31">
        <v>33075</v>
      </c>
      <c r="I115" s="30" t="s">
        <v>79</v>
      </c>
      <c r="J115" s="30" t="s">
        <v>75</v>
      </c>
      <c r="K115" s="30" t="s">
        <v>83</v>
      </c>
      <c r="L115" s="30" t="s">
        <v>84</v>
      </c>
      <c r="M115" s="30">
        <v>5</v>
      </c>
      <c r="N115" s="30">
        <v>60</v>
      </c>
      <c r="O115" s="30">
        <v>5</v>
      </c>
      <c r="P115" s="30">
        <v>285</v>
      </c>
      <c r="Q115" s="30">
        <v>2</v>
      </c>
      <c r="R115" s="30" t="s">
        <v>31</v>
      </c>
      <c r="S115" s="30" t="s">
        <v>50</v>
      </c>
      <c r="T115" s="30" t="s">
        <v>128</v>
      </c>
      <c r="U115" s="30">
        <v>9781970426</v>
      </c>
      <c r="V115" s="36" t="s">
        <v>34</v>
      </c>
      <c r="W115" s="40" t="str" cm="1">
        <f t="array" ref="W115">_xlfn.IFS(AND(P115&gt;=100000,Q115&gt;=4,O115&lt;=0.1,V115="Completed"),"Platinum",AND(P115&gt;=50000,P115&lt;=99999,Q115&gt;=3,V115="Completed"),"Golde",AND(P115&lt;50000,V115="Completed"),"Silver",OR(Q115&lt;=2,V115="Cancelled"),"BlackListed",TRUE,"Other")</f>
        <v>Silver</v>
      </c>
    </row>
    <row r="116" spans="1:23" ht="15" thickBot="1" x14ac:dyDescent="0.4">
      <c r="A116" s="27" t="s">
        <v>238</v>
      </c>
      <c r="B116" s="27" t="s">
        <v>45</v>
      </c>
      <c r="C116" s="27" t="s">
        <v>112</v>
      </c>
      <c r="D116" s="28">
        <v>45750</v>
      </c>
      <c r="E116" s="28">
        <v>45761</v>
      </c>
      <c r="F116" s="27" t="s">
        <v>101</v>
      </c>
      <c r="G116" s="27" t="s">
        <v>26</v>
      </c>
      <c r="H116" s="28">
        <v>34435</v>
      </c>
      <c r="I116" s="27" t="s">
        <v>147</v>
      </c>
      <c r="J116" s="27" t="s">
        <v>148</v>
      </c>
      <c r="K116" s="27" t="s">
        <v>39</v>
      </c>
      <c r="L116" s="27" t="s">
        <v>114</v>
      </c>
      <c r="M116" s="27">
        <v>3</v>
      </c>
      <c r="N116" s="27">
        <v>700</v>
      </c>
      <c r="O116" s="27">
        <v>0</v>
      </c>
      <c r="P116" s="27">
        <v>2100</v>
      </c>
      <c r="Q116" s="27">
        <v>4</v>
      </c>
      <c r="R116" s="27" t="s">
        <v>60</v>
      </c>
      <c r="S116" s="27" t="s">
        <v>50</v>
      </c>
      <c r="T116" s="27" t="s">
        <v>51</v>
      </c>
      <c r="U116" s="27">
        <v>9862165194</v>
      </c>
      <c r="V116" s="35" t="s">
        <v>34</v>
      </c>
      <c r="W116" s="40" t="str" cm="1">
        <f t="array" ref="W116">_xlfn.IFS(AND(P116&gt;=100000,Q116&gt;=4,O116&lt;=0.1,V116="Completed"),"Platinum",AND(P116&gt;=50000,P116&lt;=99999,Q116&gt;=3,V116="Completed"),"Golde",AND(P116&lt;50000,V116="Completed"),"Silver",OR(Q116&lt;=2,V116="Cancelled"),"BlackListed",TRUE,"Other")</f>
        <v>Silver</v>
      </c>
    </row>
    <row r="117" spans="1:23" ht="15" thickBot="1" x14ac:dyDescent="0.4">
      <c r="A117" s="30" t="s">
        <v>239</v>
      </c>
      <c r="B117" s="30" t="s">
        <v>104</v>
      </c>
      <c r="C117" s="30" t="s">
        <v>125</v>
      </c>
      <c r="D117" s="31">
        <v>45772</v>
      </c>
      <c r="E117" s="31">
        <v>45776</v>
      </c>
      <c r="F117" s="30" t="s">
        <v>166</v>
      </c>
      <c r="G117" s="30" t="s">
        <v>26</v>
      </c>
      <c r="H117" s="31">
        <v>33728</v>
      </c>
      <c r="I117" s="30" t="s">
        <v>37</v>
      </c>
      <c r="J117" s="30" t="s">
        <v>38</v>
      </c>
      <c r="K117" s="30" t="s">
        <v>83</v>
      </c>
      <c r="L117" s="30" t="s">
        <v>127</v>
      </c>
      <c r="M117" s="30">
        <v>6</v>
      </c>
      <c r="N117" s="30">
        <v>20</v>
      </c>
      <c r="O117" s="30">
        <v>15</v>
      </c>
      <c r="P117" s="30">
        <v>102</v>
      </c>
      <c r="Q117" s="30">
        <v>5</v>
      </c>
      <c r="R117" s="30" t="s">
        <v>60</v>
      </c>
      <c r="S117" s="30" t="s">
        <v>96</v>
      </c>
      <c r="T117" s="30" t="s">
        <v>108</v>
      </c>
      <c r="U117" s="30">
        <v>9661280388</v>
      </c>
      <c r="V117" s="36" t="s">
        <v>34</v>
      </c>
      <c r="W117" s="40" t="str" cm="1">
        <f t="array" ref="W117">_xlfn.IFS(AND(P117&gt;=100000,Q117&gt;=4,O117&lt;=0.1,V117="Completed"),"Platinum",AND(P117&gt;=50000,P117&lt;=99999,Q117&gt;=3,V117="Completed"),"Golde",AND(P117&lt;50000,V117="Completed"),"Silver",OR(Q117&lt;=2,V117="Cancelled"),"BlackListed",TRUE,"Other")</f>
        <v>Silver</v>
      </c>
    </row>
    <row r="118" spans="1:23" ht="15" thickBot="1" x14ac:dyDescent="0.4">
      <c r="A118" s="27" t="s">
        <v>240</v>
      </c>
      <c r="B118" s="27" t="s">
        <v>72</v>
      </c>
      <c r="C118" s="27" t="s">
        <v>112</v>
      </c>
      <c r="D118" s="28">
        <v>45893</v>
      </c>
      <c r="E118" s="28">
        <v>45900</v>
      </c>
      <c r="F118" s="27" t="s">
        <v>73</v>
      </c>
      <c r="G118" s="27" t="s">
        <v>26</v>
      </c>
      <c r="H118" s="28">
        <v>29354</v>
      </c>
      <c r="I118" s="27" t="s">
        <v>48</v>
      </c>
      <c r="J118" s="27" t="s">
        <v>28</v>
      </c>
      <c r="K118" s="27" t="s">
        <v>39</v>
      </c>
      <c r="L118" s="27" t="s">
        <v>114</v>
      </c>
      <c r="M118" s="27">
        <v>2</v>
      </c>
      <c r="N118" s="27">
        <v>700</v>
      </c>
      <c r="O118" s="27">
        <v>15</v>
      </c>
      <c r="P118" s="27">
        <v>1190</v>
      </c>
      <c r="Q118" s="27">
        <v>4</v>
      </c>
      <c r="R118" s="27" t="s">
        <v>31</v>
      </c>
      <c r="S118" s="27" t="s">
        <v>96</v>
      </c>
      <c r="T118" s="27" t="s">
        <v>93</v>
      </c>
      <c r="U118" s="27">
        <v>9896985355</v>
      </c>
      <c r="V118" s="37" t="s">
        <v>52</v>
      </c>
      <c r="W118" s="40" t="str" cm="1">
        <f t="array" ref="W118">_xlfn.IFS(AND(P118&gt;=100000,Q118&gt;=4,O118&lt;=0.1,V118="Completed"),"Platinum",AND(P118&gt;=50000,P118&lt;=99999,Q118&gt;=3,V118="Completed"),"Golde",AND(P118&lt;50000,V118="Completed"),"Silver",OR(Q118&lt;=2,V118="Cancelled"),"BlackListed",TRUE,"Other")</f>
        <v>Other</v>
      </c>
    </row>
    <row r="119" spans="1:23" ht="15" thickBot="1" x14ac:dyDescent="0.4">
      <c r="A119" s="30" t="s">
        <v>241</v>
      </c>
      <c r="B119" s="30" t="s">
        <v>156</v>
      </c>
      <c r="C119" s="30" t="s">
        <v>138</v>
      </c>
      <c r="D119" s="31">
        <v>45808</v>
      </c>
      <c r="E119" s="31">
        <v>45819</v>
      </c>
      <c r="F119" s="30" t="s">
        <v>106</v>
      </c>
      <c r="G119" s="30" t="s">
        <v>58</v>
      </c>
      <c r="H119" s="31">
        <v>34949</v>
      </c>
      <c r="I119" s="30" t="s">
        <v>79</v>
      </c>
      <c r="J119" s="30" t="s">
        <v>75</v>
      </c>
      <c r="K119" s="30" t="s">
        <v>83</v>
      </c>
      <c r="L119" s="30" t="s">
        <v>139</v>
      </c>
      <c r="M119" s="30">
        <v>16</v>
      </c>
      <c r="N119" s="30">
        <v>45</v>
      </c>
      <c r="O119" s="30">
        <v>0</v>
      </c>
      <c r="P119" s="30">
        <v>720</v>
      </c>
      <c r="Q119" s="30">
        <v>1</v>
      </c>
      <c r="R119" s="30" t="s">
        <v>41</v>
      </c>
      <c r="S119" s="30" t="s">
        <v>50</v>
      </c>
      <c r="T119" s="30" t="s">
        <v>158</v>
      </c>
      <c r="U119" s="30">
        <v>9807154421</v>
      </c>
      <c r="V119" s="36" t="s">
        <v>34</v>
      </c>
      <c r="W119" s="40" t="str" cm="1">
        <f t="array" ref="W119">_xlfn.IFS(AND(P119&gt;=100000,Q119&gt;=4,O119&lt;=0.1,V119="Completed"),"Platinum",AND(P119&gt;=50000,P119&lt;=99999,Q119&gt;=3,V119="Completed"),"Golde",AND(P119&lt;50000,V119="Completed"),"Silver",OR(Q119&lt;=2,V119="Cancelled"),"BlackListed",TRUE,"Other")</f>
        <v>Silver</v>
      </c>
    </row>
    <row r="120" spans="1:23" ht="15" thickBot="1" x14ac:dyDescent="0.4">
      <c r="A120" s="27" t="s">
        <v>242</v>
      </c>
      <c r="B120" s="27" t="s">
        <v>55</v>
      </c>
      <c r="C120" s="27" t="s">
        <v>56</v>
      </c>
      <c r="D120" s="28">
        <v>45807</v>
      </c>
      <c r="E120" s="28">
        <v>45810</v>
      </c>
      <c r="F120" s="27" t="s">
        <v>57</v>
      </c>
      <c r="G120" s="27" t="s">
        <v>58</v>
      </c>
      <c r="H120" s="28">
        <v>32210</v>
      </c>
      <c r="I120" s="27" t="s">
        <v>91</v>
      </c>
      <c r="J120" s="27" t="s">
        <v>75</v>
      </c>
      <c r="K120" s="27" t="s">
        <v>39</v>
      </c>
      <c r="L120" s="27" t="s">
        <v>59</v>
      </c>
      <c r="M120" s="27" t="s">
        <v>243</v>
      </c>
      <c r="N120" s="27">
        <v>1200</v>
      </c>
      <c r="O120" s="27">
        <v>15</v>
      </c>
      <c r="P120" s="27">
        <v>7140</v>
      </c>
      <c r="Q120" s="27">
        <v>4</v>
      </c>
      <c r="R120" s="27" t="s">
        <v>65</v>
      </c>
      <c r="S120" s="27" t="s">
        <v>96</v>
      </c>
      <c r="T120" s="27" t="s">
        <v>61</v>
      </c>
      <c r="U120" s="27">
        <v>9919834000</v>
      </c>
      <c r="V120" s="37" t="s">
        <v>52</v>
      </c>
      <c r="W120" s="40" t="str" cm="1">
        <f t="array" ref="W120">_xlfn.IFS(AND(P120&gt;=100000,Q120&gt;=4,O120&lt;=0.1,V120="Completed"),"Platinum",AND(P120&gt;=50000,P120&lt;=99999,Q120&gt;=3,V120="Completed"),"Golde",AND(P120&lt;50000,V120="Completed"),"Silver",OR(Q120&lt;=2,V120="Cancelled"),"BlackListed",TRUE,"Other")</f>
        <v>Other</v>
      </c>
    </row>
    <row r="121" spans="1:23" ht="15" thickBot="1" x14ac:dyDescent="0.4">
      <c r="A121" s="30" t="s">
        <v>244</v>
      </c>
      <c r="B121" s="30" t="s">
        <v>72</v>
      </c>
      <c r="C121" s="30" t="s">
        <v>36</v>
      </c>
      <c r="D121" s="31">
        <v>45888</v>
      </c>
      <c r="E121" s="31">
        <v>45899</v>
      </c>
      <c r="F121" s="30" t="s">
        <v>73</v>
      </c>
      <c r="G121" s="30" t="s">
        <v>26</v>
      </c>
      <c r="H121" s="31">
        <v>32696</v>
      </c>
      <c r="I121" s="30" t="s">
        <v>121</v>
      </c>
      <c r="J121" s="30" t="s">
        <v>38</v>
      </c>
      <c r="K121" s="30" t="s">
        <v>39</v>
      </c>
      <c r="L121" s="30" t="s">
        <v>40</v>
      </c>
      <c r="M121" s="30">
        <v>14</v>
      </c>
      <c r="N121" s="30">
        <v>12000</v>
      </c>
      <c r="O121" s="30">
        <v>15</v>
      </c>
      <c r="P121" s="30">
        <v>142800</v>
      </c>
      <c r="Q121" s="30">
        <v>2</v>
      </c>
      <c r="R121" s="30" t="s">
        <v>41</v>
      </c>
      <c r="S121" s="30" t="s">
        <v>50</v>
      </c>
      <c r="T121" s="30" t="s">
        <v>93</v>
      </c>
      <c r="U121" s="30">
        <v>9739798818</v>
      </c>
      <c r="V121" s="38" t="s">
        <v>52</v>
      </c>
      <c r="W121" s="40" t="str" cm="1">
        <f t="array" ref="W121">_xlfn.IFS(AND(P121&gt;=100000,Q121&gt;=4,O121&lt;=0.1,V121="Completed"),"Platinum",AND(P121&gt;=50000,P121&lt;=99999,Q121&gt;=3,V121="Completed"),"Golde",AND(P121&lt;50000,V121="Completed"),"Silver",OR(Q121&lt;=2,V121="Cancelled"),"BlackListed",TRUE,"Other")</f>
        <v>BlackListed</v>
      </c>
    </row>
    <row r="122" spans="1:23" ht="15" thickBot="1" x14ac:dyDescent="0.4">
      <c r="A122" s="27" t="s">
        <v>245</v>
      </c>
      <c r="B122" s="27" t="s">
        <v>87</v>
      </c>
      <c r="C122" s="27" t="s">
        <v>105</v>
      </c>
      <c r="D122" s="28">
        <v>46005</v>
      </c>
      <c r="E122" s="28">
        <v>46007</v>
      </c>
      <c r="F122" s="27" t="s">
        <v>88</v>
      </c>
      <c r="G122" s="27" t="s">
        <v>58</v>
      </c>
      <c r="H122" s="28">
        <v>34284</v>
      </c>
      <c r="I122" s="27" t="s">
        <v>79</v>
      </c>
      <c r="J122" s="27" t="s">
        <v>75</v>
      </c>
      <c r="K122" s="27" t="s">
        <v>29</v>
      </c>
      <c r="L122" s="27" t="s">
        <v>107</v>
      </c>
      <c r="M122" s="27">
        <v>8</v>
      </c>
      <c r="N122" s="27">
        <v>8500</v>
      </c>
      <c r="O122" s="27">
        <v>20</v>
      </c>
      <c r="P122" s="27">
        <v>54400</v>
      </c>
      <c r="Q122" s="27">
        <v>3</v>
      </c>
      <c r="R122" s="27" t="s">
        <v>60</v>
      </c>
      <c r="S122" s="27" t="s">
        <v>42</v>
      </c>
      <c r="T122" s="27" t="s">
        <v>89</v>
      </c>
      <c r="U122" s="27">
        <v>9208625306</v>
      </c>
      <c r="V122" s="35" t="s">
        <v>34</v>
      </c>
      <c r="W122" s="40" t="str" cm="1">
        <f t="array" ref="W122">_xlfn.IFS(AND(P122&gt;=100000,Q122&gt;=4,O122&lt;=0.1,V122="Completed"),"Platinum",AND(P122&gt;=50000,P122&lt;=99999,Q122&gt;=3,V122="Completed"),"Golde",AND(P122&lt;50000,V122="Completed"),"Silver",OR(Q122&lt;=2,V122="Cancelled"),"BlackListed",TRUE,"Other")</f>
        <v>Golde</v>
      </c>
    </row>
    <row r="123" spans="1:23" ht="15" thickBot="1" x14ac:dyDescent="0.4">
      <c r="A123" s="30" t="s">
        <v>246</v>
      </c>
      <c r="B123" s="30" t="s">
        <v>63</v>
      </c>
      <c r="C123" s="30" t="s">
        <v>138</v>
      </c>
      <c r="D123" s="31">
        <v>46053</v>
      </c>
      <c r="E123" s="31">
        <v>46063</v>
      </c>
      <c r="F123" s="30" t="s">
        <v>110</v>
      </c>
      <c r="G123" s="30" t="s">
        <v>58</v>
      </c>
      <c r="H123" s="31">
        <v>36557</v>
      </c>
      <c r="I123" s="30" t="s">
        <v>48</v>
      </c>
      <c r="J123" s="30" t="s">
        <v>28</v>
      </c>
      <c r="K123" s="30" t="s">
        <v>83</v>
      </c>
      <c r="L123" s="30" t="s">
        <v>139</v>
      </c>
      <c r="M123" s="30">
        <v>3</v>
      </c>
      <c r="N123" s="30">
        <v>45</v>
      </c>
      <c r="O123" s="30">
        <v>0</v>
      </c>
      <c r="P123" s="30">
        <v>135</v>
      </c>
      <c r="Q123" s="30">
        <v>4</v>
      </c>
      <c r="R123" s="30" t="s">
        <v>65</v>
      </c>
      <c r="S123" s="30" t="s">
        <v>50</v>
      </c>
      <c r="T123" s="30" t="s">
        <v>66</v>
      </c>
      <c r="U123" s="30">
        <v>9970178536</v>
      </c>
      <c r="V123" s="38" t="s">
        <v>53</v>
      </c>
      <c r="W123" s="40" t="str" cm="1">
        <f t="array" ref="W123">_xlfn.IFS(AND(P123&gt;=100000,Q123&gt;=4,O123&lt;=0.1,V123="Completed"),"Platinum",AND(P123&gt;=50000,P123&lt;=99999,Q123&gt;=3,V123="Completed"),"Golde",AND(P123&lt;50000,V123="Completed"),"Silver",OR(Q123&lt;=2,V123="Cancelled"),"BlackListed",TRUE,"Other")</f>
        <v>BlackListed</v>
      </c>
    </row>
    <row r="124" spans="1:23" ht="15" thickBot="1" x14ac:dyDescent="0.4">
      <c r="A124" s="27" t="s">
        <v>247</v>
      </c>
      <c r="B124" s="27" t="s">
        <v>156</v>
      </c>
      <c r="C124" s="27" t="s">
        <v>112</v>
      </c>
      <c r="D124" s="28">
        <v>46025</v>
      </c>
      <c r="E124" s="28">
        <v>46026</v>
      </c>
      <c r="F124" s="27" t="s">
        <v>106</v>
      </c>
      <c r="G124" s="27" t="s">
        <v>58</v>
      </c>
      <c r="H124" s="28">
        <v>31585</v>
      </c>
      <c r="I124" s="27" t="s">
        <v>121</v>
      </c>
      <c r="J124" s="27" t="s">
        <v>38</v>
      </c>
      <c r="K124" s="27" t="s">
        <v>39</v>
      </c>
      <c r="L124" s="27" t="s">
        <v>114</v>
      </c>
      <c r="M124" s="27">
        <v>13</v>
      </c>
      <c r="N124" s="27">
        <v>700</v>
      </c>
      <c r="O124" s="27">
        <v>5</v>
      </c>
      <c r="P124" s="27">
        <v>8645</v>
      </c>
      <c r="Q124" s="27">
        <v>3</v>
      </c>
      <c r="R124" s="27" t="s">
        <v>60</v>
      </c>
      <c r="S124" s="27" t="s">
        <v>80</v>
      </c>
      <c r="T124" s="27" t="s">
        <v>158</v>
      </c>
      <c r="U124" s="27">
        <v>9633745195</v>
      </c>
      <c r="V124" s="37" t="s">
        <v>52</v>
      </c>
      <c r="W124" s="40" t="str" cm="1">
        <f t="array" ref="W124">_xlfn.IFS(AND(P124&gt;=100000,Q124&gt;=4,O124&lt;=0.1,V124="Completed"),"Platinum",AND(P124&gt;=50000,P124&lt;=99999,Q124&gt;=3,V124="Completed"),"Golde",AND(P124&lt;50000,V124="Completed"),"Silver",OR(Q124&lt;=2,V124="Cancelled"),"BlackListed",TRUE,"Other")</f>
        <v>Other</v>
      </c>
    </row>
    <row r="125" spans="1:23" ht="15" thickBot="1" x14ac:dyDescent="0.4">
      <c r="A125" s="30" t="s">
        <v>248</v>
      </c>
      <c r="B125" s="30" t="s">
        <v>104</v>
      </c>
      <c r="C125" s="30" t="s">
        <v>56</v>
      </c>
      <c r="D125" s="31">
        <v>45950</v>
      </c>
      <c r="E125" s="31">
        <v>45956</v>
      </c>
      <c r="F125" s="30" t="s">
        <v>166</v>
      </c>
      <c r="G125" s="30" t="s">
        <v>26</v>
      </c>
      <c r="H125" s="31">
        <v>31459</v>
      </c>
      <c r="I125" s="30" t="s">
        <v>74</v>
      </c>
      <c r="J125" s="30" t="s">
        <v>75</v>
      </c>
      <c r="K125" s="30" t="s">
        <v>39</v>
      </c>
      <c r="L125" s="30" t="s">
        <v>59</v>
      </c>
      <c r="M125" s="30">
        <v>14</v>
      </c>
      <c r="N125" s="30">
        <v>1200</v>
      </c>
      <c r="O125" s="30">
        <v>20</v>
      </c>
      <c r="P125" s="30">
        <v>13440</v>
      </c>
      <c r="Q125" s="30">
        <v>5</v>
      </c>
      <c r="R125" s="30" t="s">
        <v>41</v>
      </c>
      <c r="S125" s="30" t="s">
        <v>50</v>
      </c>
      <c r="T125" s="30" t="s">
        <v>108</v>
      </c>
      <c r="U125" s="30">
        <v>9922102053</v>
      </c>
      <c r="V125" s="36" t="s">
        <v>34</v>
      </c>
      <c r="W125" s="40" t="str" cm="1">
        <f t="array" ref="W125">_xlfn.IFS(AND(P125&gt;=100000,Q125&gt;=4,O125&lt;=0.1,V125="Completed"),"Platinum",AND(P125&gt;=50000,P125&lt;=99999,Q125&gt;=3,V125="Completed"),"Golde",AND(P125&lt;50000,V125="Completed"),"Silver",OR(Q125&lt;=2,V125="Cancelled"),"BlackListed",TRUE,"Other")</f>
        <v>Silver</v>
      </c>
    </row>
    <row r="126" spans="1:23" ht="15" thickBot="1" x14ac:dyDescent="0.4">
      <c r="A126" s="27" t="s">
        <v>249</v>
      </c>
      <c r="B126" s="27" t="s">
        <v>72</v>
      </c>
      <c r="C126" s="27" t="s">
        <v>138</v>
      </c>
      <c r="D126" s="28">
        <v>45788</v>
      </c>
      <c r="E126" s="28">
        <v>45798</v>
      </c>
      <c r="F126" s="27" t="s">
        <v>73</v>
      </c>
      <c r="G126" s="27" t="s">
        <v>26</v>
      </c>
      <c r="H126" s="28">
        <v>33499</v>
      </c>
      <c r="I126" s="27" t="s">
        <v>37</v>
      </c>
      <c r="J126" s="27" t="s">
        <v>38</v>
      </c>
      <c r="K126" s="27" t="s">
        <v>83</v>
      </c>
      <c r="L126" s="27" t="s">
        <v>139</v>
      </c>
      <c r="M126" s="27">
        <v>2</v>
      </c>
      <c r="N126" s="27">
        <v>45</v>
      </c>
      <c r="O126" s="27">
        <v>5</v>
      </c>
      <c r="P126" s="27">
        <v>85.5</v>
      </c>
      <c r="Q126" s="27">
        <v>3</v>
      </c>
      <c r="R126" s="27" t="s">
        <v>65</v>
      </c>
      <c r="S126" s="27" t="s">
        <v>32</v>
      </c>
      <c r="T126" s="27" t="s">
        <v>93</v>
      </c>
      <c r="U126" s="27">
        <v>9135963930</v>
      </c>
      <c r="V126" s="37" t="s">
        <v>53</v>
      </c>
      <c r="W126" s="40" t="str" cm="1">
        <f t="array" ref="W126">_xlfn.IFS(AND(P126&gt;=100000,Q126&gt;=4,O126&lt;=0.1,V126="Completed"),"Platinum",AND(P126&gt;=50000,P126&lt;=99999,Q126&gt;=3,V126="Completed"),"Golde",AND(P126&lt;50000,V126="Completed"),"Silver",OR(Q126&lt;=2,V126="Cancelled"),"BlackListed",TRUE,"Other")</f>
        <v>BlackListed</v>
      </c>
    </row>
    <row r="127" spans="1:23" ht="15" thickBot="1" x14ac:dyDescent="0.4">
      <c r="A127" s="30" t="s">
        <v>250</v>
      </c>
      <c r="B127" s="30" t="s">
        <v>104</v>
      </c>
      <c r="C127" s="30" t="s">
        <v>56</v>
      </c>
      <c r="D127" s="31">
        <v>46024</v>
      </c>
      <c r="E127" s="31">
        <v>46028</v>
      </c>
      <c r="F127" s="30" t="s">
        <v>166</v>
      </c>
      <c r="G127" s="30" t="s">
        <v>26</v>
      </c>
      <c r="H127" s="31">
        <v>29590</v>
      </c>
      <c r="I127" s="30" t="s">
        <v>48</v>
      </c>
      <c r="J127" s="30" t="s">
        <v>28</v>
      </c>
      <c r="K127" s="30" t="s">
        <v>39</v>
      </c>
      <c r="L127" s="30" t="s">
        <v>59</v>
      </c>
      <c r="M127" s="30">
        <v>2</v>
      </c>
      <c r="N127" s="30">
        <v>1200</v>
      </c>
      <c r="O127" s="30">
        <v>20</v>
      </c>
      <c r="P127" s="30">
        <v>1920</v>
      </c>
      <c r="Q127" s="30">
        <v>3</v>
      </c>
      <c r="R127" s="30" t="s">
        <v>60</v>
      </c>
      <c r="S127" s="30" t="s">
        <v>80</v>
      </c>
      <c r="T127" s="30" t="s">
        <v>108</v>
      </c>
      <c r="U127" s="30">
        <v>9429405275</v>
      </c>
      <c r="V127" s="36" t="s">
        <v>34</v>
      </c>
      <c r="W127" s="40" t="str" cm="1">
        <f t="array" ref="W127">_xlfn.IFS(AND(P127&gt;=100000,Q127&gt;=4,O127&lt;=0.1,V127="Completed"),"Platinum",AND(P127&gt;=50000,P127&lt;=99999,Q127&gt;=3,V127="Completed"),"Golde",AND(P127&lt;50000,V127="Completed"),"Silver",OR(Q127&lt;=2,V127="Cancelled"),"BlackListed",TRUE,"Other")</f>
        <v>Silver</v>
      </c>
    </row>
    <row r="128" spans="1:23" ht="15" thickBot="1" x14ac:dyDescent="0.4">
      <c r="A128" s="27" t="s">
        <v>251</v>
      </c>
      <c r="B128" s="27" t="s">
        <v>87</v>
      </c>
      <c r="C128" s="27" t="s">
        <v>46</v>
      </c>
      <c r="D128" s="28">
        <v>46132</v>
      </c>
      <c r="E128" s="28">
        <v>46138</v>
      </c>
      <c r="F128" s="27" t="s">
        <v>88</v>
      </c>
      <c r="G128" s="27" t="s">
        <v>58</v>
      </c>
      <c r="H128" s="28">
        <v>38272</v>
      </c>
      <c r="I128" s="27" t="s">
        <v>48</v>
      </c>
      <c r="J128" s="27" t="s">
        <v>28</v>
      </c>
      <c r="K128" s="27" t="s">
        <v>39</v>
      </c>
      <c r="L128" s="27" t="s">
        <v>49</v>
      </c>
      <c r="M128" s="27">
        <v>10</v>
      </c>
      <c r="N128" s="27">
        <v>55000</v>
      </c>
      <c r="O128" s="27">
        <v>5</v>
      </c>
      <c r="P128" s="27">
        <v>522500</v>
      </c>
      <c r="Q128" s="27">
        <v>5</v>
      </c>
      <c r="R128" s="27" t="s">
        <v>65</v>
      </c>
      <c r="S128" s="27" t="s">
        <v>50</v>
      </c>
      <c r="T128" s="27" t="s">
        <v>89</v>
      </c>
      <c r="U128" s="27">
        <v>9521757571</v>
      </c>
      <c r="V128" s="37" t="s">
        <v>52</v>
      </c>
      <c r="W128" s="40" t="str" cm="1">
        <f t="array" ref="W128">_xlfn.IFS(AND(P128&gt;=100000,Q128&gt;=4,O128&lt;=0.1,V128="Completed"),"Platinum",AND(P128&gt;=50000,P128&lt;=99999,Q128&gt;=3,V128="Completed"),"Golde",AND(P128&lt;50000,V128="Completed"),"Silver",OR(Q128&lt;=2,V128="Cancelled"),"BlackListed",TRUE,"Other")</f>
        <v>Other</v>
      </c>
    </row>
    <row r="129" spans="1:23" ht="15" thickBot="1" x14ac:dyDescent="0.4">
      <c r="A129" s="30" t="s">
        <v>252</v>
      </c>
      <c r="B129" s="30" t="s">
        <v>134</v>
      </c>
      <c r="C129" s="30" t="s">
        <v>68</v>
      </c>
      <c r="D129" s="31">
        <v>45873</v>
      </c>
      <c r="E129" s="31">
        <v>45874</v>
      </c>
      <c r="F129" s="30" t="s">
        <v>135</v>
      </c>
      <c r="G129" s="30" t="s">
        <v>26</v>
      </c>
      <c r="H129" s="31">
        <v>30766</v>
      </c>
      <c r="I129" s="30" t="s">
        <v>121</v>
      </c>
      <c r="J129" s="30" t="s">
        <v>38</v>
      </c>
      <c r="K129" s="30" t="s">
        <v>29</v>
      </c>
      <c r="L129" s="30" t="s">
        <v>70</v>
      </c>
      <c r="M129" s="30">
        <v>15</v>
      </c>
      <c r="N129" s="30">
        <v>3500</v>
      </c>
      <c r="O129" s="30">
        <v>10</v>
      </c>
      <c r="P129" s="30">
        <v>47250</v>
      </c>
      <c r="Q129" s="30">
        <v>3</v>
      </c>
      <c r="R129" s="30" t="s">
        <v>41</v>
      </c>
      <c r="S129" s="30" t="s">
        <v>80</v>
      </c>
      <c r="T129" s="30" t="s">
        <v>136</v>
      </c>
      <c r="U129" s="30">
        <v>9467375455</v>
      </c>
      <c r="V129" s="36" t="s">
        <v>34</v>
      </c>
      <c r="W129" s="40" t="str" cm="1">
        <f t="array" ref="W129">_xlfn.IFS(AND(P129&gt;=100000,Q129&gt;=4,O129&lt;=0.1,V129="Completed"),"Platinum",AND(P129&gt;=50000,P129&lt;=99999,Q129&gt;=3,V129="Completed"),"Golde",AND(P129&lt;50000,V129="Completed"),"Silver",OR(Q129&lt;=2,V129="Cancelled"),"BlackListed",TRUE,"Other")</f>
        <v>Silver</v>
      </c>
    </row>
    <row r="130" spans="1:23" ht="15" thickBot="1" x14ac:dyDescent="0.4">
      <c r="A130" s="27" t="s">
        <v>253</v>
      </c>
      <c r="B130" s="27" t="s">
        <v>72</v>
      </c>
      <c r="C130" s="27" t="s">
        <v>24</v>
      </c>
      <c r="D130" s="28">
        <v>45882</v>
      </c>
      <c r="E130" s="28">
        <v>45887</v>
      </c>
      <c r="F130" s="27" t="s">
        <v>73</v>
      </c>
      <c r="G130" s="27" t="s">
        <v>26</v>
      </c>
      <c r="H130" s="28">
        <v>30203</v>
      </c>
      <c r="I130" s="27" t="s">
        <v>48</v>
      </c>
      <c r="J130" s="27" t="s">
        <v>28</v>
      </c>
      <c r="K130" s="27" t="s">
        <v>29</v>
      </c>
      <c r="L130" s="27" t="s">
        <v>30</v>
      </c>
      <c r="M130" s="27">
        <v>10</v>
      </c>
      <c r="N130" s="27">
        <v>2200</v>
      </c>
      <c r="O130" s="27">
        <v>15</v>
      </c>
      <c r="P130" s="27">
        <v>18700</v>
      </c>
      <c r="Q130" s="27">
        <v>4</v>
      </c>
      <c r="R130" s="27" t="s">
        <v>60</v>
      </c>
      <c r="S130" s="27" t="s">
        <v>42</v>
      </c>
      <c r="T130" s="27" t="s">
        <v>93</v>
      </c>
      <c r="U130" s="27">
        <v>9838809695</v>
      </c>
      <c r="V130" s="37" t="s">
        <v>52</v>
      </c>
      <c r="W130" s="40" t="str" cm="1">
        <f t="array" ref="W130">_xlfn.IFS(AND(P130&gt;=100000,Q130&gt;=4,O130&lt;=0.1,V130="Completed"),"Platinum",AND(P130&gt;=50000,P130&lt;=99999,Q130&gt;=3,V130="Completed"),"Golde",AND(P130&lt;50000,V130="Completed"),"Silver",OR(Q130&lt;=2,V130="Cancelled"),"BlackListed",TRUE,"Other")</f>
        <v>Other</v>
      </c>
    </row>
    <row r="131" spans="1:23" ht="15" thickBot="1" x14ac:dyDescent="0.4">
      <c r="A131" s="30" t="s">
        <v>254</v>
      </c>
      <c r="B131" s="30" t="s">
        <v>134</v>
      </c>
      <c r="C131" s="30" t="s">
        <v>68</v>
      </c>
      <c r="D131" s="31">
        <v>45824</v>
      </c>
      <c r="E131" s="31">
        <v>45832</v>
      </c>
      <c r="F131" s="30" t="s">
        <v>135</v>
      </c>
      <c r="G131" s="30" t="s">
        <v>26</v>
      </c>
      <c r="H131" s="31">
        <v>34015</v>
      </c>
      <c r="I131" s="30" t="s">
        <v>79</v>
      </c>
      <c r="J131" s="30" t="s">
        <v>75</v>
      </c>
      <c r="K131" s="30" t="s">
        <v>29</v>
      </c>
      <c r="L131" s="30" t="s">
        <v>70</v>
      </c>
      <c r="M131" s="30">
        <v>11</v>
      </c>
      <c r="N131" s="30">
        <v>3500</v>
      </c>
      <c r="O131" s="30">
        <v>5</v>
      </c>
      <c r="P131" s="30">
        <v>36575</v>
      </c>
      <c r="Q131" s="30">
        <v>5</v>
      </c>
      <c r="R131" s="30" t="s">
        <v>31</v>
      </c>
      <c r="S131" s="30" t="s">
        <v>32</v>
      </c>
      <c r="T131" s="30" t="s">
        <v>136</v>
      </c>
      <c r="U131" s="30">
        <v>9296609782</v>
      </c>
      <c r="V131" s="38" t="s">
        <v>53</v>
      </c>
      <c r="W131" s="40" t="str" cm="1">
        <f t="array" ref="W131">_xlfn.IFS(AND(P131&gt;=100000,Q131&gt;=4,O131&lt;=0.1,V131="Completed"),"Platinum",AND(P131&gt;=50000,P131&lt;=99999,Q131&gt;=3,V131="Completed"),"Golde",AND(P131&lt;50000,V131="Completed"),"Silver",OR(Q131&lt;=2,V131="Cancelled"),"BlackListed",TRUE,"Other")</f>
        <v>BlackListed</v>
      </c>
    </row>
    <row r="132" spans="1:23" ht="15" thickBot="1" x14ac:dyDescent="0.4">
      <c r="A132" s="27" t="s">
        <v>255</v>
      </c>
      <c r="B132" s="27" t="s">
        <v>104</v>
      </c>
      <c r="C132" s="27" t="s">
        <v>56</v>
      </c>
      <c r="D132" s="28">
        <v>46139</v>
      </c>
      <c r="E132" s="28">
        <v>46142</v>
      </c>
      <c r="F132" s="27" t="s">
        <v>166</v>
      </c>
      <c r="G132" s="27" t="s">
        <v>26</v>
      </c>
      <c r="H132" s="28">
        <v>37719</v>
      </c>
      <c r="I132" s="27" t="s">
        <v>48</v>
      </c>
      <c r="J132" s="27" t="s">
        <v>28</v>
      </c>
      <c r="K132" s="27" t="s">
        <v>39</v>
      </c>
      <c r="L132" s="27" t="s">
        <v>59</v>
      </c>
      <c r="M132" s="27">
        <v>14</v>
      </c>
      <c r="N132" s="27">
        <v>1200</v>
      </c>
      <c r="O132" s="27">
        <v>0</v>
      </c>
      <c r="P132" s="27">
        <v>16800</v>
      </c>
      <c r="Q132" s="27">
        <v>5</v>
      </c>
      <c r="R132" s="27" t="s">
        <v>31</v>
      </c>
      <c r="S132" s="27" t="s">
        <v>42</v>
      </c>
      <c r="T132" s="27" t="s">
        <v>108</v>
      </c>
      <c r="U132" s="27">
        <v>9848259992</v>
      </c>
      <c r="V132" s="37" t="s">
        <v>53</v>
      </c>
      <c r="W132" s="40" t="str" cm="1">
        <f t="array" ref="W132">_xlfn.IFS(AND(P132&gt;=100000,Q132&gt;=4,O132&lt;=0.1,V132="Completed"),"Platinum",AND(P132&gt;=50000,P132&lt;=99999,Q132&gt;=3,V132="Completed"),"Golde",AND(P132&lt;50000,V132="Completed"),"Silver",OR(Q132&lt;=2,V132="Cancelled"),"BlackListed",TRUE,"Other")</f>
        <v>BlackListed</v>
      </c>
    </row>
    <row r="133" spans="1:23" ht="15" thickBot="1" x14ac:dyDescent="0.4">
      <c r="A133" s="30" t="s">
        <v>256</v>
      </c>
      <c r="B133" s="30" t="s">
        <v>72</v>
      </c>
      <c r="C133" s="30" t="s">
        <v>125</v>
      </c>
      <c r="D133" s="31">
        <v>46070</v>
      </c>
      <c r="E133" s="31">
        <v>46075</v>
      </c>
      <c r="F133" s="30" t="s">
        <v>73</v>
      </c>
      <c r="G133" s="30" t="s">
        <v>26</v>
      </c>
      <c r="H133" s="31">
        <v>32801</v>
      </c>
      <c r="I133" s="30" t="s">
        <v>37</v>
      </c>
      <c r="J133" s="30" t="s">
        <v>38</v>
      </c>
      <c r="K133" s="30" t="s">
        <v>83</v>
      </c>
      <c r="L133" s="30" t="s">
        <v>127</v>
      </c>
      <c r="M133" s="30">
        <v>11</v>
      </c>
      <c r="N133" s="30">
        <v>20</v>
      </c>
      <c r="O133" s="30">
        <v>20</v>
      </c>
      <c r="P133" s="30">
        <v>176</v>
      </c>
      <c r="Q133" s="30">
        <v>4</v>
      </c>
      <c r="R133" s="30" t="s">
        <v>41</v>
      </c>
      <c r="S133" s="30" t="s">
        <v>32</v>
      </c>
      <c r="T133" s="30" t="s">
        <v>93</v>
      </c>
      <c r="U133" s="30">
        <v>9254082295</v>
      </c>
      <c r="V133" s="36" t="s">
        <v>34</v>
      </c>
      <c r="W133" s="40" t="str" cm="1">
        <f t="array" ref="W133">_xlfn.IFS(AND(P133&gt;=100000,Q133&gt;=4,O133&lt;=0.1,V133="Completed"),"Platinum",AND(P133&gt;=50000,P133&lt;=99999,Q133&gt;=3,V133="Completed"),"Golde",AND(P133&lt;50000,V133="Completed"),"Silver",OR(Q133&lt;=2,V133="Cancelled"),"BlackListed",TRUE,"Other")</f>
        <v>Silver</v>
      </c>
    </row>
    <row r="134" spans="1:23" ht="15" thickBot="1" x14ac:dyDescent="0.4">
      <c r="A134" s="27" t="s">
        <v>257</v>
      </c>
      <c r="B134" s="27" t="s">
        <v>55</v>
      </c>
      <c r="C134" s="27" t="s">
        <v>36</v>
      </c>
      <c r="D134" s="28">
        <v>46116</v>
      </c>
      <c r="E134" s="28">
        <v>46122</v>
      </c>
      <c r="F134" s="27" t="s">
        <v>57</v>
      </c>
      <c r="G134" s="27" t="s">
        <v>58</v>
      </c>
      <c r="H134" s="28">
        <v>34957</v>
      </c>
      <c r="I134" s="27" t="s">
        <v>79</v>
      </c>
      <c r="J134" s="27" t="s">
        <v>75</v>
      </c>
      <c r="K134" s="27" t="s">
        <v>39</v>
      </c>
      <c r="L134" s="27" t="s">
        <v>40</v>
      </c>
      <c r="M134" s="27">
        <v>6</v>
      </c>
      <c r="N134" s="27">
        <v>12000</v>
      </c>
      <c r="O134" s="27">
        <v>10</v>
      </c>
      <c r="P134" s="27">
        <v>64800</v>
      </c>
      <c r="Q134" s="27">
        <v>5</v>
      </c>
      <c r="R134" s="27" t="s">
        <v>65</v>
      </c>
      <c r="S134" s="27" t="s">
        <v>96</v>
      </c>
      <c r="T134" s="27" t="s">
        <v>61</v>
      </c>
      <c r="U134" s="27">
        <v>9687923860</v>
      </c>
      <c r="V134" s="35" t="s">
        <v>34</v>
      </c>
      <c r="W134" s="40" t="str" cm="1">
        <f t="array" ref="W134">_xlfn.IFS(AND(P134&gt;=100000,Q134&gt;=4,O134&lt;=0.1,V134="Completed"),"Platinum",AND(P134&gt;=50000,P134&lt;=99999,Q134&gt;=3,V134="Completed"),"Golde",AND(P134&lt;50000,V134="Completed"),"Silver",OR(Q134&lt;=2,V134="Cancelled"),"BlackListed",TRUE,"Other")</f>
        <v>Golde</v>
      </c>
    </row>
    <row r="135" spans="1:23" ht="15" thickBot="1" x14ac:dyDescent="0.4">
      <c r="A135" s="30" t="s">
        <v>258</v>
      </c>
      <c r="B135" s="30" t="s">
        <v>55</v>
      </c>
      <c r="C135" s="30" t="s">
        <v>24</v>
      </c>
      <c r="D135" s="31">
        <v>45756</v>
      </c>
      <c r="E135" s="31">
        <v>45765</v>
      </c>
      <c r="F135" s="30" t="s">
        <v>57</v>
      </c>
      <c r="G135" s="30" t="s">
        <v>58</v>
      </c>
      <c r="H135" s="31">
        <v>34431</v>
      </c>
      <c r="I135" s="30" t="s">
        <v>27</v>
      </c>
      <c r="J135" s="30" t="s">
        <v>28</v>
      </c>
      <c r="K135" s="30" t="s">
        <v>29</v>
      </c>
      <c r="L135" s="30" t="s">
        <v>30</v>
      </c>
      <c r="M135" s="30">
        <v>6</v>
      </c>
      <c r="N135" s="30">
        <v>2200</v>
      </c>
      <c r="O135" s="30">
        <v>5</v>
      </c>
      <c r="P135" s="30">
        <v>12540</v>
      </c>
      <c r="Q135" s="30">
        <v>4</v>
      </c>
      <c r="R135" s="30" t="s">
        <v>31</v>
      </c>
      <c r="S135" s="30" t="s">
        <v>42</v>
      </c>
      <c r="T135" s="30" t="s">
        <v>61</v>
      </c>
      <c r="U135" s="30">
        <v>9426459149</v>
      </c>
      <c r="V135" s="36" t="s">
        <v>34</v>
      </c>
      <c r="W135" s="40" t="str" cm="1">
        <f t="array" ref="W135">_xlfn.IFS(AND(P135&gt;=100000,Q135&gt;=4,O135&lt;=0.1,V135="Completed"),"Platinum",AND(P135&gt;=50000,P135&lt;=99999,Q135&gt;=3,V135="Completed"),"Golde",AND(P135&lt;50000,V135="Completed"),"Silver",OR(Q135&lt;=2,V135="Cancelled"),"BlackListed",TRUE,"Other")</f>
        <v>Silver</v>
      </c>
    </row>
    <row r="136" spans="1:23" ht="15" thickBot="1" x14ac:dyDescent="0.4">
      <c r="A136" s="27" t="s">
        <v>259</v>
      </c>
      <c r="B136" s="27" t="s">
        <v>45</v>
      </c>
      <c r="C136" s="27" t="s">
        <v>68</v>
      </c>
      <c r="D136" s="28">
        <v>45823</v>
      </c>
      <c r="E136" s="28">
        <v>45835</v>
      </c>
      <c r="F136" s="27" t="s">
        <v>101</v>
      </c>
      <c r="G136" s="27" t="s">
        <v>26</v>
      </c>
      <c r="H136" s="28">
        <v>37896</v>
      </c>
      <c r="I136" s="27" t="s">
        <v>37</v>
      </c>
      <c r="J136" s="27" t="s">
        <v>38</v>
      </c>
      <c r="K136" s="27" t="s">
        <v>29</v>
      </c>
      <c r="L136" s="27" t="s">
        <v>70</v>
      </c>
      <c r="M136" s="27">
        <v>3</v>
      </c>
      <c r="N136" s="27">
        <v>3500</v>
      </c>
      <c r="O136" s="27">
        <v>5</v>
      </c>
      <c r="P136" s="27">
        <v>9975</v>
      </c>
      <c r="Q136" s="27">
        <v>4</v>
      </c>
      <c r="R136" s="27" t="s">
        <v>41</v>
      </c>
      <c r="S136" s="27" t="s">
        <v>42</v>
      </c>
      <c r="T136" s="27" t="s">
        <v>51</v>
      </c>
      <c r="U136" s="27">
        <v>9155925975</v>
      </c>
      <c r="V136" s="37" t="s">
        <v>52</v>
      </c>
      <c r="W136" s="40" t="str" cm="1">
        <f t="array" ref="W136">_xlfn.IFS(AND(P136&gt;=100000,Q136&gt;=4,O136&lt;=0.1,V136="Completed"),"Platinum",AND(P136&gt;=50000,P136&lt;=99999,Q136&gt;=3,V136="Completed"),"Golde",AND(P136&lt;50000,V136="Completed"),"Silver",OR(Q136&lt;=2,V136="Cancelled"),"BlackListed",TRUE,"Other")</f>
        <v>Other</v>
      </c>
    </row>
    <row r="137" spans="1:23" ht="15" thickBot="1" x14ac:dyDescent="0.4">
      <c r="A137" s="30" t="s">
        <v>260</v>
      </c>
      <c r="B137" s="30" t="s">
        <v>55</v>
      </c>
      <c r="C137" s="30" t="s">
        <v>105</v>
      </c>
      <c r="D137" s="31">
        <v>45816</v>
      </c>
      <c r="E137" s="31">
        <v>45818</v>
      </c>
      <c r="F137" s="30" t="s">
        <v>57</v>
      </c>
      <c r="G137" s="30" t="s">
        <v>58</v>
      </c>
      <c r="H137" s="31">
        <v>35625</v>
      </c>
      <c r="I137" s="30" t="s">
        <v>27</v>
      </c>
      <c r="J137" s="30" t="s">
        <v>28</v>
      </c>
      <c r="K137" s="30" t="s">
        <v>29</v>
      </c>
      <c r="L137" s="30" t="s">
        <v>107</v>
      </c>
      <c r="M137" s="30">
        <v>5</v>
      </c>
      <c r="N137" s="30">
        <v>8500</v>
      </c>
      <c r="O137" s="30">
        <v>20</v>
      </c>
      <c r="P137" s="30">
        <v>34000</v>
      </c>
      <c r="Q137" s="30">
        <v>5</v>
      </c>
      <c r="R137" s="30" t="s">
        <v>31</v>
      </c>
      <c r="S137" s="30" t="s">
        <v>50</v>
      </c>
      <c r="T137" s="30" t="s">
        <v>61</v>
      </c>
      <c r="U137" s="30">
        <v>9945247701</v>
      </c>
      <c r="V137" s="38" t="s">
        <v>52</v>
      </c>
      <c r="W137" s="40" t="str" cm="1">
        <f t="array" ref="W137">_xlfn.IFS(AND(P137&gt;=100000,Q137&gt;=4,O137&lt;=0.1,V137="Completed"),"Platinum",AND(P137&gt;=50000,P137&lt;=99999,Q137&gt;=3,V137="Completed"),"Golde",AND(P137&lt;50000,V137="Completed"),"Silver",OR(Q137&lt;=2,V137="Cancelled"),"BlackListed",TRUE,"Other")</f>
        <v>Other</v>
      </c>
    </row>
    <row r="138" spans="1:23" ht="15" thickBot="1" x14ac:dyDescent="0.4">
      <c r="A138" s="27" t="s">
        <v>261</v>
      </c>
      <c r="B138" s="27" t="s">
        <v>23</v>
      </c>
      <c r="C138" s="27" t="s">
        <v>68</v>
      </c>
      <c r="D138" s="28">
        <v>45863</v>
      </c>
      <c r="E138" s="28">
        <v>45870</v>
      </c>
      <c r="F138" s="27" t="s">
        <v>25</v>
      </c>
      <c r="G138" s="27" t="s">
        <v>26</v>
      </c>
      <c r="H138" s="28">
        <v>29076</v>
      </c>
      <c r="I138" s="27" t="s">
        <v>48</v>
      </c>
      <c r="J138" s="27" t="s">
        <v>28</v>
      </c>
      <c r="K138" s="27" t="s">
        <v>29</v>
      </c>
      <c r="L138" s="27" t="s">
        <v>70</v>
      </c>
      <c r="M138" s="27">
        <v>14</v>
      </c>
      <c r="N138" s="27">
        <v>3500</v>
      </c>
      <c r="O138" s="27">
        <v>10</v>
      </c>
      <c r="P138" s="27">
        <v>44100</v>
      </c>
      <c r="Q138" s="27">
        <v>4</v>
      </c>
      <c r="R138" s="27" t="s">
        <v>65</v>
      </c>
      <c r="S138" s="27" t="s">
        <v>32</v>
      </c>
      <c r="T138" s="27" t="s">
        <v>43</v>
      </c>
      <c r="U138" s="27">
        <v>9597378398</v>
      </c>
      <c r="V138" s="37" t="s">
        <v>53</v>
      </c>
      <c r="W138" s="40" t="str" cm="1">
        <f t="array" ref="W138">_xlfn.IFS(AND(P138&gt;=100000,Q138&gt;=4,O138&lt;=0.1,V138="Completed"),"Platinum",AND(P138&gt;=50000,P138&lt;=99999,Q138&gt;=3,V138="Completed"),"Golde",AND(P138&lt;50000,V138="Completed"),"Silver",OR(Q138&lt;=2,V138="Cancelled"),"BlackListed",TRUE,"Other")</f>
        <v>BlackListed</v>
      </c>
    </row>
    <row r="139" spans="1:23" ht="15" thickBot="1" x14ac:dyDescent="0.4">
      <c r="A139" s="30" t="s">
        <v>262</v>
      </c>
      <c r="B139" s="30" t="s">
        <v>156</v>
      </c>
      <c r="C139" s="30" t="s">
        <v>138</v>
      </c>
      <c r="D139" s="31">
        <v>45673</v>
      </c>
      <c r="E139" s="31">
        <v>45678</v>
      </c>
      <c r="F139" s="30" t="s">
        <v>106</v>
      </c>
      <c r="G139" s="30" t="s">
        <v>58</v>
      </c>
      <c r="H139" s="31">
        <v>37549</v>
      </c>
      <c r="I139" s="30" t="s">
        <v>91</v>
      </c>
      <c r="J139" s="30" t="s">
        <v>75</v>
      </c>
      <c r="K139" s="30" t="s">
        <v>83</v>
      </c>
      <c r="L139" s="30" t="s">
        <v>139</v>
      </c>
      <c r="M139" s="30">
        <v>8</v>
      </c>
      <c r="N139" s="30">
        <v>45</v>
      </c>
      <c r="O139" s="30">
        <v>0</v>
      </c>
      <c r="P139" s="30">
        <v>360</v>
      </c>
      <c r="Q139" s="30">
        <v>1</v>
      </c>
      <c r="R139" s="30" t="s">
        <v>60</v>
      </c>
      <c r="S139" s="30" t="s">
        <v>96</v>
      </c>
      <c r="T139" s="30" t="s">
        <v>158</v>
      </c>
      <c r="U139" s="30">
        <v>9343963736</v>
      </c>
      <c r="V139" s="38" t="s">
        <v>53</v>
      </c>
      <c r="W139" s="40" t="str" cm="1">
        <f t="array" ref="W139">_xlfn.IFS(AND(P139&gt;=100000,Q139&gt;=4,O139&lt;=0.1,V139="Completed"),"Platinum",AND(P139&gt;=50000,P139&lt;=99999,Q139&gt;=3,V139="Completed"),"Golde",AND(P139&lt;50000,V139="Completed"),"Silver",OR(Q139&lt;=2,V139="Cancelled"),"BlackListed",TRUE,"Other")</f>
        <v>BlackListed</v>
      </c>
    </row>
    <row r="140" spans="1:23" ht="15" thickBot="1" x14ac:dyDescent="0.4">
      <c r="A140" s="27" t="s">
        <v>263</v>
      </c>
      <c r="B140" s="27" t="s">
        <v>124</v>
      </c>
      <c r="C140" s="27" t="s">
        <v>138</v>
      </c>
      <c r="D140" s="28">
        <v>45692</v>
      </c>
      <c r="E140" s="28">
        <v>45693</v>
      </c>
      <c r="F140" s="27" t="s">
        <v>126</v>
      </c>
      <c r="G140" s="27" t="s">
        <v>58</v>
      </c>
      <c r="H140" s="28">
        <v>31252</v>
      </c>
      <c r="I140" s="27" t="s">
        <v>37</v>
      </c>
      <c r="J140" s="27" t="s">
        <v>38</v>
      </c>
      <c r="K140" s="27" t="s">
        <v>83</v>
      </c>
      <c r="L140" s="27" t="s">
        <v>139</v>
      </c>
      <c r="M140" s="27">
        <v>11</v>
      </c>
      <c r="N140" s="27">
        <v>45</v>
      </c>
      <c r="O140" s="27">
        <v>5</v>
      </c>
      <c r="P140" s="27">
        <v>470.25</v>
      </c>
      <c r="Q140" s="27">
        <v>3</v>
      </c>
      <c r="R140" s="27" t="s">
        <v>60</v>
      </c>
      <c r="S140" s="27" t="s">
        <v>42</v>
      </c>
      <c r="T140" s="27" t="s">
        <v>128</v>
      </c>
      <c r="U140" s="27">
        <v>9548742147</v>
      </c>
      <c r="V140" s="35" t="s">
        <v>34</v>
      </c>
      <c r="W140" s="40" t="str" cm="1">
        <f t="array" ref="W140">_xlfn.IFS(AND(P140&gt;=100000,Q140&gt;=4,O140&lt;=0.1,V140="Completed"),"Platinum",AND(P140&gt;=50000,P140&lt;=99999,Q140&gt;=3,V140="Completed"),"Golde",AND(P140&lt;50000,V140="Completed"),"Silver",OR(Q140&lt;=2,V140="Cancelled"),"BlackListed",TRUE,"Other")</f>
        <v>Silver</v>
      </c>
    </row>
    <row r="141" spans="1:23" ht="15" thickBot="1" x14ac:dyDescent="0.4">
      <c r="A141" s="30" t="s">
        <v>264</v>
      </c>
      <c r="B141" s="30" t="s">
        <v>63</v>
      </c>
      <c r="C141" s="30" t="s">
        <v>46</v>
      </c>
      <c r="D141" s="31">
        <v>45679</v>
      </c>
      <c r="E141" s="31">
        <v>45687</v>
      </c>
      <c r="F141" s="30" t="s">
        <v>110</v>
      </c>
      <c r="G141" s="30" t="s">
        <v>58</v>
      </c>
      <c r="H141" s="31">
        <v>32378</v>
      </c>
      <c r="I141" s="30" t="s">
        <v>91</v>
      </c>
      <c r="J141" s="30" t="s">
        <v>75</v>
      </c>
      <c r="K141" s="30" t="s">
        <v>39</v>
      </c>
      <c r="L141" s="30" t="s">
        <v>49</v>
      </c>
      <c r="M141" s="30">
        <v>19</v>
      </c>
      <c r="N141" s="30">
        <v>55000</v>
      </c>
      <c r="O141" s="30">
        <v>0</v>
      </c>
      <c r="P141" s="30">
        <v>1045000</v>
      </c>
      <c r="Q141" s="30">
        <v>2</v>
      </c>
      <c r="R141" s="30" t="s">
        <v>60</v>
      </c>
      <c r="S141" s="30" t="s">
        <v>32</v>
      </c>
      <c r="T141" s="30" t="s">
        <v>66</v>
      </c>
      <c r="U141" s="30">
        <v>9912945471</v>
      </c>
      <c r="V141" s="38" t="s">
        <v>53</v>
      </c>
      <c r="W141" s="40" t="str" cm="1">
        <f t="array" ref="W141">_xlfn.IFS(AND(P141&gt;=100000,Q141&gt;=4,O141&lt;=0.1,V141="Completed"),"Platinum",AND(P141&gt;=50000,P141&lt;=99999,Q141&gt;=3,V141="Completed"),"Golde",AND(P141&lt;50000,V141="Completed"),"Silver",OR(Q141&lt;=2,V141="Cancelled"),"BlackListed",TRUE,"Other")</f>
        <v>BlackListed</v>
      </c>
    </row>
    <row r="142" spans="1:23" ht="15" thickBot="1" x14ac:dyDescent="0.4">
      <c r="A142" s="27" t="s">
        <v>265</v>
      </c>
      <c r="B142" s="27" t="s">
        <v>45</v>
      </c>
      <c r="C142" s="27" t="s">
        <v>68</v>
      </c>
      <c r="D142" s="28">
        <v>45758</v>
      </c>
      <c r="E142" s="28">
        <v>45765</v>
      </c>
      <c r="F142" s="27" t="s">
        <v>101</v>
      </c>
      <c r="G142" s="27" t="s">
        <v>26</v>
      </c>
      <c r="H142" s="28">
        <v>28864</v>
      </c>
      <c r="I142" s="27" t="s">
        <v>79</v>
      </c>
      <c r="J142" s="27" t="s">
        <v>75</v>
      </c>
      <c r="K142" s="27" t="s">
        <v>29</v>
      </c>
      <c r="L142" s="27" t="s">
        <v>70</v>
      </c>
      <c r="M142" s="27">
        <v>20</v>
      </c>
      <c r="N142" s="27">
        <v>3500</v>
      </c>
      <c r="O142" s="27">
        <v>20</v>
      </c>
      <c r="P142" s="27">
        <v>56000</v>
      </c>
      <c r="Q142" s="27">
        <v>4</v>
      </c>
      <c r="R142" s="27" t="s">
        <v>41</v>
      </c>
      <c r="S142" s="27" t="s">
        <v>42</v>
      </c>
      <c r="T142" s="27" t="s">
        <v>51</v>
      </c>
      <c r="U142" s="27">
        <v>9912630684</v>
      </c>
      <c r="V142" s="35" t="s">
        <v>34</v>
      </c>
      <c r="W142" s="40" t="str" cm="1">
        <f t="array" ref="W142">_xlfn.IFS(AND(P142&gt;=100000,Q142&gt;=4,O142&lt;=0.1,V142="Completed"),"Platinum",AND(P142&gt;=50000,P142&lt;=99999,Q142&gt;=3,V142="Completed"),"Golde",AND(P142&lt;50000,V142="Completed"),"Silver",OR(Q142&lt;=2,V142="Cancelled"),"BlackListed",TRUE,"Other")</f>
        <v>Golde</v>
      </c>
    </row>
    <row r="143" spans="1:23" ht="15" thickBot="1" x14ac:dyDescent="0.4">
      <c r="A143" s="30" t="s">
        <v>266</v>
      </c>
      <c r="B143" s="30" t="s">
        <v>63</v>
      </c>
      <c r="C143" s="30" t="s">
        <v>24</v>
      </c>
      <c r="D143" s="31">
        <v>45842</v>
      </c>
      <c r="E143" s="31">
        <v>45852</v>
      </c>
      <c r="F143" s="30" t="s">
        <v>110</v>
      </c>
      <c r="G143" s="30" t="s">
        <v>58</v>
      </c>
      <c r="H143" s="31">
        <v>31649</v>
      </c>
      <c r="I143" s="30" t="s">
        <v>79</v>
      </c>
      <c r="J143" s="30" t="s">
        <v>75</v>
      </c>
      <c r="K143" s="30" t="s">
        <v>29</v>
      </c>
      <c r="L143" s="30" t="s">
        <v>30</v>
      </c>
      <c r="M143" s="30">
        <v>17</v>
      </c>
      <c r="N143" s="30">
        <v>2200</v>
      </c>
      <c r="O143" s="30">
        <v>0</v>
      </c>
      <c r="P143" s="30">
        <v>37400</v>
      </c>
      <c r="Q143" s="30">
        <v>5</v>
      </c>
      <c r="R143" s="30" t="s">
        <v>41</v>
      </c>
      <c r="S143" s="30" t="s">
        <v>32</v>
      </c>
      <c r="T143" s="30" t="s">
        <v>66</v>
      </c>
      <c r="U143" s="30">
        <v>9114017237</v>
      </c>
      <c r="V143" s="38" t="s">
        <v>52</v>
      </c>
      <c r="W143" s="40" t="str" cm="1">
        <f t="array" ref="W143">_xlfn.IFS(AND(P143&gt;=100000,Q143&gt;=4,O143&lt;=0.1,V143="Completed"),"Platinum",AND(P143&gt;=50000,P143&lt;=99999,Q143&gt;=3,V143="Completed"),"Golde",AND(P143&lt;50000,V143="Completed"),"Silver",OR(Q143&lt;=2,V143="Cancelled"),"BlackListed",TRUE,"Other")</f>
        <v>Other</v>
      </c>
    </row>
    <row r="144" spans="1:23" ht="15" thickBot="1" x14ac:dyDescent="0.4">
      <c r="A144" s="27" t="s">
        <v>267</v>
      </c>
      <c r="B144" s="27" t="s">
        <v>63</v>
      </c>
      <c r="C144" s="27" t="s">
        <v>56</v>
      </c>
      <c r="D144" s="28">
        <v>45679</v>
      </c>
      <c r="E144" s="28">
        <v>45686</v>
      </c>
      <c r="F144" s="27" t="s">
        <v>110</v>
      </c>
      <c r="G144" s="27" t="s">
        <v>58</v>
      </c>
      <c r="H144" s="28">
        <v>28216</v>
      </c>
      <c r="I144" s="27" t="s">
        <v>79</v>
      </c>
      <c r="J144" s="27" t="s">
        <v>75</v>
      </c>
      <c r="K144" s="27" t="s">
        <v>39</v>
      </c>
      <c r="L144" s="27" t="s">
        <v>59</v>
      </c>
      <c r="M144" s="27">
        <v>10</v>
      </c>
      <c r="N144" s="27">
        <v>1200</v>
      </c>
      <c r="O144" s="27">
        <v>5</v>
      </c>
      <c r="P144" s="27">
        <v>11400</v>
      </c>
      <c r="Q144" s="27">
        <v>2</v>
      </c>
      <c r="R144" s="27" t="s">
        <v>31</v>
      </c>
      <c r="S144" s="27" t="s">
        <v>42</v>
      </c>
      <c r="T144" s="27" t="s">
        <v>66</v>
      </c>
      <c r="U144" s="27">
        <v>9872471236</v>
      </c>
      <c r="V144" s="37" t="s">
        <v>53</v>
      </c>
      <c r="W144" s="40" t="str" cm="1">
        <f t="array" ref="W144">_xlfn.IFS(AND(P144&gt;=100000,Q144&gt;=4,O144&lt;=0.1,V144="Completed"),"Platinum",AND(P144&gt;=50000,P144&lt;=99999,Q144&gt;=3,V144="Completed"),"Golde",AND(P144&lt;50000,V144="Completed"),"Silver",OR(Q144&lt;=2,V144="Cancelled"),"BlackListed",TRUE,"Other")</f>
        <v>BlackListed</v>
      </c>
    </row>
    <row r="145" spans="1:23" ht="15" thickBot="1" x14ac:dyDescent="0.4">
      <c r="A145" s="30" t="s">
        <v>268</v>
      </c>
      <c r="B145" s="30" t="s">
        <v>124</v>
      </c>
      <c r="C145" s="30" t="s">
        <v>82</v>
      </c>
      <c r="D145" s="31">
        <v>46008</v>
      </c>
      <c r="E145" s="31">
        <v>46009</v>
      </c>
      <c r="F145" s="30" t="s">
        <v>126</v>
      </c>
      <c r="G145" s="30" t="s">
        <v>58</v>
      </c>
      <c r="H145" s="31">
        <v>30532</v>
      </c>
      <c r="I145" s="30" t="s">
        <v>27</v>
      </c>
      <c r="J145" s="30" t="s">
        <v>28</v>
      </c>
      <c r="K145" s="30" t="s">
        <v>83</v>
      </c>
      <c r="L145" s="30" t="s">
        <v>84</v>
      </c>
      <c r="M145" s="30">
        <v>3</v>
      </c>
      <c r="N145" s="30">
        <v>60</v>
      </c>
      <c r="O145" s="30">
        <v>0</v>
      </c>
      <c r="P145" s="30">
        <v>180</v>
      </c>
      <c r="Q145" s="30">
        <v>4</v>
      </c>
      <c r="R145" s="30" t="s">
        <v>41</v>
      </c>
      <c r="S145" s="30" t="s">
        <v>96</v>
      </c>
      <c r="T145" s="30" t="s">
        <v>128</v>
      </c>
      <c r="U145" s="30">
        <v>9461383824</v>
      </c>
      <c r="V145" s="36" t="s">
        <v>34</v>
      </c>
      <c r="W145" s="40" t="str" cm="1">
        <f t="array" ref="W145">_xlfn.IFS(AND(P145&gt;=100000,Q145&gt;=4,O145&lt;=0.1,V145="Completed"),"Platinum",AND(P145&gt;=50000,P145&lt;=99999,Q145&gt;=3,V145="Completed"),"Golde",AND(P145&lt;50000,V145="Completed"),"Silver",OR(Q145&lt;=2,V145="Cancelled"),"BlackListed",TRUE,"Other")</f>
        <v>Silver</v>
      </c>
    </row>
    <row r="146" spans="1:23" ht="15" thickBot="1" x14ac:dyDescent="0.4">
      <c r="A146" s="27" t="s">
        <v>269</v>
      </c>
      <c r="B146" s="27" t="s">
        <v>45</v>
      </c>
      <c r="C146" s="27" t="s">
        <v>24</v>
      </c>
      <c r="D146" s="28">
        <v>45940</v>
      </c>
      <c r="E146" s="28">
        <v>45951</v>
      </c>
      <c r="F146" s="27" t="s">
        <v>101</v>
      </c>
      <c r="G146" s="27" t="s">
        <v>26</v>
      </c>
      <c r="H146" s="28">
        <v>28587</v>
      </c>
      <c r="I146" s="27" t="s">
        <v>74</v>
      </c>
      <c r="J146" s="27" t="s">
        <v>75</v>
      </c>
      <c r="K146" s="27" t="s">
        <v>29</v>
      </c>
      <c r="L146" s="27" t="s">
        <v>30</v>
      </c>
      <c r="M146" s="27">
        <v>18</v>
      </c>
      <c r="N146" s="27">
        <v>2200</v>
      </c>
      <c r="O146" s="27">
        <v>10</v>
      </c>
      <c r="P146" s="27">
        <v>35640</v>
      </c>
      <c r="Q146" s="27">
        <v>1</v>
      </c>
      <c r="R146" s="27" t="s">
        <v>60</v>
      </c>
      <c r="S146" s="27" t="s">
        <v>96</v>
      </c>
      <c r="T146" s="27" t="s">
        <v>51</v>
      </c>
      <c r="U146" s="27">
        <v>9243407457</v>
      </c>
      <c r="V146" s="37" t="s">
        <v>53</v>
      </c>
      <c r="W146" s="40" t="str" cm="1">
        <f t="array" ref="W146">_xlfn.IFS(AND(P146&gt;=100000,Q146&gt;=4,O146&lt;=0.1,V146="Completed"),"Platinum",AND(P146&gt;=50000,P146&lt;=99999,Q146&gt;=3,V146="Completed"),"Golde",AND(P146&lt;50000,V146="Completed"),"Silver",OR(Q146&lt;=2,V146="Cancelled"),"BlackListed",TRUE,"Other")</f>
        <v>BlackListed</v>
      </c>
    </row>
    <row r="147" spans="1:23" ht="15" thickBot="1" x14ac:dyDescent="0.4">
      <c r="A147" s="30" t="s">
        <v>270</v>
      </c>
      <c r="B147" s="30" t="s">
        <v>55</v>
      </c>
      <c r="C147" s="30" t="s">
        <v>82</v>
      </c>
      <c r="D147" s="31">
        <v>46088</v>
      </c>
      <c r="E147" s="31">
        <v>46091</v>
      </c>
      <c r="F147" s="30" t="s">
        <v>57</v>
      </c>
      <c r="G147" s="30" t="s">
        <v>58</v>
      </c>
      <c r="H147" s="31">
        <v>30379</v>
      </c>
      <c r="I147" s="30" t="s">
        <v>37</v>
      </c>
      <c r="J147" s="30" t="s">
        <v>38</v>
      </c>
      <c r="K147" s="30" t="s">
        <v>83</v>
      </c>
      <c r="L147" s="30" t="s">
        <v>84</v>
      </c>
      <c r="M147" s="30">
        <v>18</v>
      </c>
      <c r="N147" s="30">
        <v>60</v>
      </c>
      <c r="O147" s="30">
        <v>5</v>
      </c>
      <c r="P147" s="30">
        <v>1026</v>
      </c>
      <c r="Q147" s="30">
        <v>3</v>
      </c>
      <c r="R147" s="30" t="s">
        <v>60</v>
      </c>
      <c r="S147" s="30" t="s">
        <v>42</v>
      </c>
      <c r="T147" s="30" t="s">
        <v>61</v>
      </c>
      <c r="U147" s="30">
        <v>9418672379</v>
      </c>
      <c r="V147" s="38" t="s">
        <v>52</v>
      </c>
      <c r="W147" s="40" t="str" cm="1">
        <f t="array" ref="W147">_xlfn.IFS(AND(P147&gt;=100000,Q147&gt;=4,O147&lt;=0.1,V147="Completed"),"Platinum",AND(P147&gt;=50000,P147&lt;=99999,Q147&gt;=3,V147="Completed"),"Golde",AND(P147&lt;50000,V147="Completed"),"Silver",OR(Q147&lt;=2,V147="Cancelled"),"BlackListed",TRUE,"Other")</f>
        <v>Other</v>
      </c>
    </row>
    <row r="148" spans="1:23" ht="15" thickBot="1" x14ac:dyDescent="0.4">
      <c r="A148" s="27" t="s">
        <v>271</v>
      </c>
      <c r="B148" s="27" t="s">
        <v>87</v>
      </c>
      <c r="C148" s="27" t="s">
        <v>46</v>
      </c>
      <c r="D148" s="28">
        <v>45885</v>
      </c>
      <c r="E148" s="28">
        <v>45892</v>
      </c>
      <c r="F148" s="27" t="s">
        <v>88</v>
      </c>
      <c r="G148" s="27" t="s">
        <v>58</v>
      </c>
      <c r="H148" s="28">
        <v>32077</v>
      </c>
      <c r="I148" s="27" t="s">
        <v>79</v>
      </c>
      <c r="J148" s="27" t="s">
        <v>75</v>
      </c>
      <c r="K148" s="27" t="s">
        <v>39</v>
      </c>
      <c r="L148" s="27" t="s">
        <v>49</v>
      </c>
      <c r="M148" s="27">
        <v>11</v>
      </c>
      <c r="N148" s="27">
        <v>55000</v>
      </c>
      <c r="O148" s="27">
        <v>15</v>
      </c>
      <c r="P148" s="27">
        <v>514250</v>
      </c>
      <c r="Q148" s="27">
        <v>4</v>
      </c>
      <c r="R148" s="27" t="s">
        <v>65</v>
      </c>
      <c r="S148" s="27" t="s">
        <v>80</v>
      </c>
      <c r="T148" s="27" t="s">
        <v>89</v>
      </c>
      <c r="U148" s="27">
        <v>9222733065</v>
      </c>
      <c r="V148" s="37" t="s">
        <v>53</v>
      </c>
      <c r="W148" s="40" t="str" cm="1">
        <f t="array" ref="W148">_xlfn.IFS(AND(P148&gt;=100000,Q148&gt;=4,O148&lt;=0.1,V148="Completed"),"Platinum",AND(P148&gt;=50000,P148&lt;=99999,Q148&gt;=3,V148="Completed"),"Golde",AND(P148&lt;50000,V148="Completed"),"Silver",OR(Q148&lt;=2,V148="Cancelled"),"BlackListed",TRUE,"Other")</f>
        <v>BlackListed</v>
      </c>
    </row>
    <row r="149" spans="1:23" ht="15" thickBot="1" x14ac:dyDescent="0.4">
      <c r="A149" s="30" t="s">
        <v>272</v>
      </c>
      <c r="B149" s="30" t="s">
        <v>134</v>
      </c>
      <c r="C149" s="30" t="s">
        <v>105</v>
      </c>
      <c r="D149" s="31">
        <v>46014</v>
      </c>
      <c r="E149" s="31">
        <v>46025</v>
      </c>
      <c r="F149" s="30" t="s">
        <v>135</v>
      </c>
      <c r="G149" s="30" t="s">
        <v>26</v>
      </c>
      <c r="H149" s="31">
        <v>37730</v>
      </c>
      <c r="I149" s="30" t="s">
        <v>147</v>
      </c>
      <c r="J149" s="30" t="s">
        <v>148</v>
      </c>
      <c r="K149" s="30" t="s">
        <v>29</v>
      </c>
      <c r="L149" s="30" t="s">
        <v>107</v>
      </c>
      <c r="M149" s="30">
        <v>5</v>
      </c>
      <c r="N149" s="30">
        <v>8500</v>
      </c>
      <c r="O149" s="30">
        <v>5</v>
      </c>
      <c r="P149" s="30">
        <v>40375</v>
      </c>
      <c r="Q149" s="30">
        <v>4</v>
      </c>
      <c r="R149" s="30" t="s">
        <v>31</v>
      </c>
      <c r="S149" s="30" t="s">
        <v>96</v>
      </c>
      <c r="T149" s="30" t="s">
        <v>136</v>
      </c>
      <c r="U149" s="30">
        <v>9684246902</v>
      </c>
      <c r="V149" s="36" t="s">
        <v>34</v>
      </c>
      <c r="W149" s="40" t="str" cm="1">
        <f t="array" ref="W149">_xlfn.IFS(AND(P149&gt;=100000,Q149&gt;=4,O149&lt;=0.1,V149="Completed"),"Platinum",AND(P149&gt;=50000,P149&lt;=99999,Q149&gt;=3,V149="Completed"),"Golde",AND(P149&lt;50000,V149="Completed"),"Silver",OR(Q149&lt;=2,V149="Cancelled"),"BlackListed",TRUE,"Other")</f>
        <v>Silver</v>
      </c>
    </row>
    <row r="150" spans="1:23" ht="15" thickBot="1" x14ac:dyDescent="0.4">
      <c r="A150" s="27" t="s">
        <v>116</v>
      </c>
      <c r="B150" s="27" t="s">
        <v>72</v>
      </c>
      <c r="C150" s="27" t="s">
        <v>112</v>
      </c>
      <c r="D150" s="28">
        <v>45908</v>
      </c>
      <c r="E150" s="28">
        <v>45919</v>
      </c>
      <c r="F150" s="27" t="s">
        <v>73</v>
      </c>
      <c r="G150" s="27" t="s">
        <v>26</v>
      </c>
      <c r="H150" s="28">
        <v>37301</v>
      </c>
      <c r="I150" s="27" t="s">
        <v>121</v>
      </c>
      <c r="J150" s="27" t="s">
        <v>38</v>
      </c>
      <c r="K150" s="27" t="s">
        <v>39</v>
      </c>
      <c r="L150" s="27" t="s">
        <v>114</v>
      </c>
      <c r="M150" s="27">
        <v>16</v>
      </c>
      <c r="N150" s="27">
        <v>700</v>
      </c>
      <c r="O150" s="27">
        <v>15</v>
      </c>
      <c r="P150" s="27">
        <v>9520</v>
      </c>
      <c r="Q150" s="27">
        <v>4</v>
      </c>
      <c r="R150" s="27" t="s">
        <v>60</v>
      </c>
      <c r="S150" s="27" t="s">
        <v>50</v>
      </c>
      <c r="T150" s="27" t="s">
        <v>93</v>
      </c>
      <c r="U150" s="27">
        <v>9989580228</v>
      </c>
      <c r="V150" s="35" t="s">
        <v>34</v>
      </c>
      <c r="W150" s="40" t="str" cm="1">
        <f t="array" ref="W150">_xlfn.IFS(AND(P150&gt;=100000,Q150&gt;=4,O150&lt;=0.1,V150="Completed"),"Platinum",AND(P150&gt;=50000,P150&lt;=99999,Q150&gt;=3,V150="Completed"),"Golde",AND(P150&lt;50000,V150="Completed"),"Silver",OR(Q150&lt;=2,V150="Cancelled"),"BlackListed",TRUE,"Other")</f>
        <v>Silver</v>
      </c>
    </row>
    <row r="151" spans="1:23" ht="15" thickBot="1" x14ac:dyDescent="0.4">
      <c r="A151" s="30" t="s">
        <v>273</v>
      </c>
      <c r="B151" s="30" t="s">
        <v>87</v>
      </c>
      <c r="C151" s="30" t="s">
        <v>112</v>
      </c>
      <c r="D151" s="31">
        <v>45845</v>
      </c>
      <c r="E151" s="31">
        <v>45851</v>
      </c>
      <c r="F151" s="30" t="s">
        <v>88</v>
      </c>
      <c r="G151" s="30" t="s">
        <v>58</v>
      </c>
      <c r="H151" s="31">
        <v>27580</v>
      </c>
      <c r="I151" s="30" t="s">
        <v>79</v>
      </c>
      <c r="J151" s="30" t="s">
        <v>75</v>
      </c>
      <c r="K151" s="30" t="s">
        <v>39</v>
      </c>
      <c r="L151" s="30" t="s">
        <v>114</v>
      </c>
      <c r="M151" s="30">
        <v>6</v>
      </c>
      <c r="N151" s="30">
        <v>700</v>
      </c>
      <c r="O151" s="30">
        <v>10</v>
      </c>
      <c r="P151" s="30">
        <v>3780</v>
      </c>
      <c r="Q151" s="30">
        <v>4</v>
      </c>
      <c r="R151" s="30" t="s">
        <v>31</v>
      </c>
      <c r="S151" s="30" t="s">
        <v>42</v>
      </c>
      <c r="T151" s="30" t="s">
        <v>89</v>
      </c>
      <c r="U151" s="30">
        <v>9110269572</v>
      </c>
      <c r="V151" s="38" t="s">
        <v>53</v>
      </c>
      <c r="W151" s="40" t="str" cm="1">
        <f t="array" ref="W151">_xlfn.IFS(AND(P151&gt;=100000,Q151&gt;=4,O151&lt;=0.1,V151="Completed"),"Platinum",AND(P151&gt;=50000,P151&lt;=99999,Q151&gt;=3,V151="Completed"),"Golde",AND(P151&lt;50000,V151="Completed"),"Silver",OR(Q151&lt;=2,V151="Cancelled"),"BlackListed",TRUE,"Other")</f>
        <v>BlackListed</v>
      </c>
    </row>
    <row r="152" spans="1:23" ht="15" thickBot="1" x14ac:dyDescent="0.4">
      <c r="A152" s="27" t="s">
        <v>274</v>
      </c>
      <c r="B152" s="27" t="s">
        <v>45</v>
      </c>
      <c r="C152" s="27" t="s">
        <v>68</v>
      </c>
      <c r="D152" s="28">
        <v>46145</v>
      </c>
      <c r="E152" s="28">
        <v>46157</v>
      </c>
      <c r="F152" s="27" t="s">
        <v>101</v>
      </c>
      <c r="G152" s="27" t="s">
        <v>26</v>
      </c>
      <c r="H152" s="28">
        <v>33668</v>
      </c>
      <c r="I152" s="27" t="s">
        <v>37</v>
      </c>
      <c r="J152" s="27" t="s">
        <v>38</v>
      </c>
      <c r="K152" s="27" t="s">
        <v>29</v>
      </c>
      <c r="L152" s="27" t="s">
        <v>70</v>
      </c>
      <c r="M152" s="27">
        <v>20</v>
      </c>
      <c r="N152" s="27">
        <v>3500</v>
      </c>
      <c r="O152" s="27">
        <v>10</v>
      </c>
      <c r="P152" s="27">
        <v>63000</v>
      </c>
      <c r="Q152" s="27">
        <v>4</v>
      </c>
      <c r="R152" s="27" t="s">
        <v>65</v>
      </c>
      <c r="S152" s="27" t="s">
        <v>42</v>
      </c>
      <c r="T152" s="27" t="s">
        <v>51</v>
      </c>
      <c r="U152" s="27">
        <v>9745972422</v>
      </c>
      <c r="V152" s="37" t="s">
        <v>52</v>
      </c>
      <c r="W152" s="40" t="str" cm="1">
        <f t="array" ref="W152">_xlfn.IFS(AND(P152&gt;=100000,Q152&gt;=4,O152&lt;=0.1,V152="Completed"),"Platinum",AND(P152&gt;=50000,P152&lt;=99999,Q152&gt;=3,V152="Completed"),"Golde",AND(P152&lt;50000,V152="Completed"),"Silver",OR(Q152&lt;=2,V152="Cancelled"),"BlackListed",TRUE,"Other")</f>
        <v>Other</v>
      </c>
    </row>
    <row r="153" spans="1:23" ht="15" thickBot="1" x14ac:dyDescent="0.4">
      <c r="A153" s="30" t="s">
        <v>275</v>
      </c>
      <c r="B153" s="30" t="s">
        <v>23</v>
      </c>
      <c r="C153" s="30" t="s">
        <v>125</v>
      </c>
      <c r="D153" s="31">
        <v>45990</v>
      </c>
      <c r="E153" s="31">
        <v>45998</v>
      </c>
      <c r="F153" s="30" t="s">
        <v>25</v>
      </c>
      <c r="G153" s="30" t="s">
        <v>26</v>
      </c>
      <c r="H153" s="31">
        <v>35949</v>
      </c>
      <c r="I153" s="30" t="s">
        <v>48</v>
      </c>
      <c r="J153" s="30" t="s">
        <v>28</v>
      </c>
      <c r="K153" s="30" t="s">
        <v>83</v>
      </c>
      <c r="L153" s="30" t="s">
        <v>127</v>
      </c>
      <c r="M153" s="30">
        <v>2</v>
      </c>
      <c r="N153" s="30">
        <v>20</v>
      </c>
      <c r="O153" s="30">
        <v>10</v>
      </c>
      <c r="P153" s="30">
        <v>36</v>
      </c>
      <c r="Q153" s="30">
        <v>1</v>
      </c>
      <c r="R153" s="30" t="s">
        <v>41</v>
      </c>
      <c r="S153" s="30" t="s">
        <v>80</v>
      </c>
      <c r="T153" s="30" t="s">
        <v>43</v>
      </c>
      <c r="U153" s="30">
        <v>9123712257</v>
      </c>
      <c r="V153" s="38" t="s">
        <v>52</v>
      </c>
      <c r="W153" s="40" t="str" cm="1">
        <f t="array" ref="W153">_xlfn.IFS(AND(P153&gt;=100000,Q153&gt;=4,O153&lt;=0.1,V153="Completed"),"Platinum",AND(P153&gt;=50000,P153&lt;=99999,Q153&gt;=3,V153="Completed"),"Golde",AND(P153&lt;50000,V153="Completed"),"Silver",OR(Q153&lt;=2,V153="Cancelled"),"BlackListed",TRUE,"Other")</f>
        <v>BlackListed</v>
      </c>
    </row>
    <row r="154" spans="1:23" ht="15" thickBot="1" x14ac:dyDescent="0.4">
      <c r="A154" s="27" t="s">
        <v>276</v>
      </c>
      <c r="B154" s="27" t="s">
        <v>72</v>
      </c>
      <c r="C154" s="27" t="s">
        <v>24</v>
      </c>
      <c r="D154" s="28">
        <v>45852</v>
      </c>
      <c r="E154" s="28">
        <v>45857</v>
      </c>
      <c r="F154" s="27" t="s">
        <v>73</v>
      </c>
      <c r="G154" s="27" t="s">
        <v>26</v>
      </c>
      <c r="H154" s="28">
        <v>35336</v>
      </c>
      <c r="I154" s="27" t="s">
        <v>79</v>
      </c>
      <c r="J154" s="27" t="s">
        <v>75</v>
      </c>
      <c r="K154" s="27" t="s">
        <v>29</v>
      </c>
      <c r="L154" s="27" t="s">
        <v>30</v>
      </c>
      <c r="M154" s="27">
        <v>16</v>
      </c>
      <c r="N154" s="27">
        <v>2200</v>
      </c>
      <c r="O154" s="27">
        <v>20</v>
      </c>
      <c r="P154" s="27">
        <v>28160</v>
      </c>
      <c r="Q154" s="27">
        <v>2</v>
      </c>
      <c r="R154" s="27" t="s">
        <v>65</v>
      </c>
      <c r="S154" s="27" t="s">
        <v>96</v>
      </c>
      <c r="T154" s="27" t="s">
        <v>93</v>
      </c>
      <c r="U154" s="27">
        <v>9665525431</v>
      </c>
      <c r="V154" s="37" t="s">
        <v>52</v>
      </c>
      <c r="W154" s="40" t="str" cm="1">
        <f t="array" ref="W154">_xlfn.IFS(AND(P154&gt;=100000,Q154&gt;=4,O154&lt;=0.1,V154="Completed"),"Platinum",AND(P154&gt;=50000,P154&lt;=99999,Q154&gt;=3,V154="Completed"),"Golde",AND(P154&lt;50000,V154="Completed"),"Silver",OR(Q154&lt;=2,V154="Cancelled"),"BlackListed",TRUE,"Other")</f>
        <v>BlackListed</v>
      </c>
    </row>
    <row r="155" spans="1:23" ht="15" thickBot="1" x14ac:dyDescent="0.4">
      <c r="A155" s="30" t="s">
        <v>277</v>
      </c>
      <c r="B155" s="30" t="s">
        <v>124</v>
      </c>
      <c r="C155" s="30" t="s">
        <v>36</v>
      </c>
      <c r="D155" s="31">
        <v>45729</v>
      </c>
      <c r="E155" s="31">
        <v>45739</v>
      </c>
      <c r="F155" s="30" t="s">
        <v>126</v>
      </c>
      <c r="G155" s="30" t="s">
        <v>58</v>
      </c>
      <c r="H155" s="31">
        <v>35048</v>
      </c>
      <c r="I155" s="30" t="s">
        <v>79</v>
      </c>
      <c r="J155" s="30" t="s">
        <v>75</v>
      </c>
      <c r="K155" s="30" t="s">
        <v>39</v>
      </c>
      <c r="L155" s="30" t="s">
        <v>40</v>
      </c>
      <c r="M155" s="30">
        <v>15</v>
      </c>
      <c r="N155" s="30">
        <v>12000</v>
      </c>
      <c r="O155" s="30">
        <v>0</v>
      </c>
      <c r="P155" s="30">
        <v>180000</v>
      </c>
      <c r="Q155" s="30">
        <v>1</v>
      </c>
      <c r="R155" s="30" t="s">
        <v>60</v>
      </c>
      <c r="S155" s="30" t="s">
        <v>50</v>
      </c>
      <c r="T155" s="30" t="s">
        <v>128</v>
      </c>
      <c r="U155" s="30">
        <v>9682415134</v>
      </c>
      <c r="V155" s="38" t="s">
        <v>52</v>
      </c>
      <c r="W155" s="40" t="str" cm="1">
        <f t="array" ref="W155">_xlfn.IFS(AND(P155&gt;=100000,Q155&gt;=4,O155&lt;=0.1,V155="Completed"),"Platinum",AND(P155&gt;=50000,P155&lt;=99999,Q155&gt;=3,V155="Completed"),"Golde",AND(P155&lt;50000,V155="Completed"),"Silver",OR(Q155&lt;=2,V155="Cancelled"),"BlackListed",TRUE,"Other")</f>
        <v>BlackListed</v>
      </c>
    </row>
    <row r="156" spans="1:23" ht="15" thickBot="1" x14ac:dyDescent="0.4">
      <c r="A156" s="27" t="s">
        <v>278</v>
      </c>
      <c r="B156" s="27" t="s">
        <v>23</v>
      </c>
      <c r="C156" s="27" t="s">
        <v>82</v>
      </c>
      <c r="D156" s="28">
        <v>45860</v>
      </c>
      <c r="E156" s="28">
        <v>45861</v>
      </c>
      <c r="F156" s="27" t="s">
        <v>25</v>
      </c>
      <c r="G156" s="27" t="s">
        <v>26</v>
      </c>
      <c r="H156" s="28">
        <v>27965</v>
      </c>
      <c r="I156" s="27" t="s">
        <v>37</v>
      </c>
      <c r="J156" s="27" t="s">
        <v>38</v>
      </c>
      <c r="K156" s="27" t="s">
        <v>83</v>
      </c>
      <c r="L156" s="27" t="s">
        <v>84</v>
      </c>
      <c r="M156" s="27">
        <v>14</v>
      </c>
      <c r="N156" s="27">
        <v>60</v>
      </c>
      <c r="O156" s="27">
        <v>15</v>
      </c>
      <c r="P156" s="27">
        <v>714</v>
      </c>
      <c r="Q156" s="27">
        <v>4</v>
      </c>
      <c r="R156" s="27" t="s">
        <v>65</v>
      </c>
      <c r="S156" s="27" t="s">
        <v>42</v>
      </c>
      <c r="T156" s="27" t="s">
        <v>43</v>
      </c>
      <c r="U156" s="27">
        <v>9808223872</v>
      </c>
      <c r="V156" s="35" t="s">
        <v>34</v>
      </c>
      <c r="W156" s="40" t="str" cm="1">
        <f t="array" ref="W156">_xlfn.IFS(AND(P156&gt;=100000,Q156&gt;=4,O156&lt;=0.1,V156="Completed"),"Platinum",AND(P156&gt;=50000,P156&lt;=99999,Q156&gt;=3,V156="Completed"),"Golde",AND(P156&lt;50000,V156="Completed"),"Silver",OR(Q156&lt;=2,V156="Cancelled"),"BlackListed",TRUE,"Other")</f>
        <v>Silver</v>
      </c>
    </row>
    <row r="157" spans="1:23" ht="15" thickBot="1" x14ac:dyDescent="0.4">
      <c r="A157" s="30" t="s">
        <v>279</v>
      </c>
      <c r="B157" s="30" t="s">
        <v>45</v>
      </c>
      <c r="C157" s="30" t="s">
        <v>56</v>
      </c>
      <c r="D157" s="31">
        <v>45859</v>
      </c>
      <c r="E157" s="31">
        <v>45862</v>
      </c>
      <c r="F157" s="30" t="s">
        <v>101</v>
      </c>
      <c r="G157" s="30" t="s">
        <v>26</v>
      </c>
      <c r="H157" s="31">
        <v>30855</v>
      </c>
      <c r="I157" s="30" t="s">
        <v>27</v>
      </c>
      <c r="J157" s="30" t="s">
        <v>28</v>
      </c>
      <c r="K157" s="30" t="s">
        <v>39</v>
      </c>
      <c r="L157" s="30" t="s">
        <v>59</v>
      </c>
      <c r="M157" s="30">
        <v>9</v>
      </c>
      <c r="N157" s="30">
        <v>1200</v>
      </c>
      <c r="O157" s="30">
        <v>5</v>
      </c>
      <c r="P157" s="30">
        <v>10260</v>
      </c>
      <c r="Q157" s="30">
        <v>5</v>
      </c>
      <c r="R157" s="30" t="s">
        <v>41</v>
      </c>
      <c r="S157" s="30" t="s">
        <v>50</v>
      </c>
      <c r="T157" s="30" t="s">
        <v>51</v>
      </c>
      <c r="U157" s="30">
        <v>9193549730</v>
      </c>
      <c r="V157" s="38" t="s">
        <v>52</v>
      </c>
      <c r="W157" s="40" t="str" cm="1">
        <f t="array" ref="W157">_xlfn.IFS(AND(P157&gt;=100000,Q157&gt;=4,O157&lt;=0.1,V157="Completed"),"Platinum",AND(P157&gt;=50000,P157&lt;=99999,Q157&gt;=3,V157="Completed"),"Golde",AND(P157&lt;50000,V157="Completed"),"Silver",OR(Q157&lt;=2,V157="Cancelled"),"BlackListed",TRUE,"Other")</f>
        <v>Other</v>
      </c>
    </row>
    <row r="158" spans="1:23" ht="15" thickBot="1" x14ac:dyDescent="0.4">
      <c r="A158" s="27" t="s">
        <v>280</v>
      </c>
      <c r="B158" s="27" t="s">
        <v>124</v>
      </c>
      <c r="C158" s="27" t="s">
        <v>56</v>
      </c>
      <c r="D158" s="28">
        <v>45857</v>
      </c>
      <c r="E158" s="28">
        <v>45867</v>
      </c>
      <c r="F158" s="27" t="s">
        <v>126</v>
      </c>
      <c r="G158" s="27" t="s">
        <v>58</v>
      </c>
      <c r="H158" s="28">
        <v>36013</v>
      </c>
      <c r="I158" s="27" t="s">
        <v>147</v>
      </c>
      <c r="J158" s="27" t="s">
        <v>148</v>
      </c>
      <c r="K158" s="27" t="s">
        <v>39</v>
      </c>
      <c r="L158" s="27" t="s">
        <v>59</v>
      </c>
      <c r="M158" s="27">
        <v>3</v>
      </c>
      <c r="N158" s="27">
        <v>1200</v>
      </c>
      <c r="O158" s="27">
        <v>10</v>
      </c>
      <c r="P158" s="27">
        <v>3240</v>
      </c>
      <c r="Q158" s="27">
        <v>2</v>
      </c>
      <c r="R158" s="27" t="s">
        <v>60</v>
      </c>
      <c r="S158" s="27" t="s">
        <v>96</v>
      </c>
      <c r="T158" s="27" t="s">
        <v>128</v>
      </c>
      <c r="U158" s="27">
        <v>9520617130</v>
      </c>
      <c r="V158" s="37" t="s">
        <v>53</v>
      </c>
      <c r="W158" s="40" t="str" cm="1">
        <f t="array" ref="W158">_xlfn.IFS(AND(P158&gt;=100000,Q158&gt;=4,O158&lt;=0.1,V158="Completed"),"Platinum",AND(P158&gt;=50000,P158&lt;=99999,Q158&gt;=3,V158="Completed"),"Golde",AND(P158&lt;50000,V158="Completed"),"Silver",OR(Q158&lt;=2,V158="Cancelled"),"BlackListed",TRUE,"Other")</f>
        <v>BlackListed</v>
      </c>
    </row>
    <row r="159" spans="1:23" ht="15" thickBot="1" x14ac:dyDescent="0.4">
      <c r="A159" s="30" t="s">
        <v>281</v>
      </c>
      <c r="B159" s="30" t="s">
        <v>156</v>
      </c>
      <c r="C159" s="30" t="s">
        <v>82</v>
      </c>
      <c r="D159" s="31">
        <v>45757</v>
      </c>
      <c r="E159" s="31">
        <v>45759</v>
      </c>
      <c r="F159" s="30" t="s">
        <v>106</v>
      </c>
      <c r="G159" s="30" t="s">
        <v>58</v>
      </c>
      <c r="H159" s="31">
        <v>37060</v>
      </c>
      <c r="I159" s="30" t="s">
        <v>27</v>
      </c>
      <c r="J159" s="30" t="s">
        <v>28</v>
      </c>
      <c r="K159" s="30" t="s">
        <v>83</v>
      </c>
      <c r="L159" s="30" t="s">
        <v>84</v>
      </c>
      <c r="M159" s="30">
        <v>2</v>
      </c>
      <c r="N159" s="30">
        <v>60</v>
      </c>
      <c r="O159" s="30">
        <v>10</v>
      </c>
      <c r="P159" s="30">
        <v>108</v>
      </c>
      <c r="Q159" s="30">
        <v>2</v>
      </c>
      <c r="R159" s="30" t="s">
        <v>65</v>
      </c>
      <c r="S159" s="30" t="s">
        <v>50</v>
      </c>
      <c r="T159" s="30" t="s">
        <v>158</v>
      </c>
      <c r="U159" s="30">
        <v>9264578122</v>
      </c>
      <c r="V159" s="36" t="s">
        <v>34</v>
      </c>
      <c r="W159" s="40" t="str" cm="1">
        <f t="array" ref="W159">_xlfn.IFS(AND(P159&gt;=100000,Q159&gt;=4,O159&lt;=0.1,V159="Completed"),"Platinum",AND(P159&gt;=50000,P159&lt;=99999,Q159&gt;=3,V159="Completed"),"Golde",AND(P159&lt;50000,V159="Completed"),"Silver",OR(Q159&lt;=2,V159="Cancelled"),"BlackListed",TRUE,"Other")</f>
        <v>Silver</v>
      </c>
    </row>
    <row r="160" spans="1:23" ht="15" thickBot="1" x14ac:dyDescent="0.4">
      <c r="A160" s="27" t="s">
        <v>282</v>
      </c>
      <c r="B160" s="27" t="s">
        <v>55</v>
      </c>
      <c r="C160" s="27" t="s">
        <v>68</v>
      </c>
      <c r="D160" s="28">
        <v>46155</v>
      </c>
      <c r="E160" s="28">
        <v>46165</v>
      </c>
      <c r="F160" s="27" t="s">
        <v>57</v>
      </c>
      <c r="G160" s="27" t="s">
        <v>58</v>
      </c>
      <c r="H160" s="28">
        <v>36414</v>
      </c>
      <c r="I160" s="27" t="s">
        <v>37</v>
      </c>
      <c r="J160" s="27" t="s">
        <v>38</v>
      </c>
      <c r="K160" s="27" t="s">
        <v>29</v>
      </c>
      <c r="L160" s="27" t="s">
        <v>70</v>
      </c>
      <c r="M160" s="27">
        <v>9</v>
      </c>
      <c r="N160" s="27">
        <v>3500</v>
      </c>
      <c r="O160" s="27">
        <v>20</v>
      </c>
      <c r="P160" s="27">
        <v>25200</v>
      </c>
      <c r="Q160" s="27">
        <v>1</v>
      </c>
      <c r="R160" s="27" t="s">
        <v>41</v>
      </c>
      <c r="S160" s="27" t="s">
        <v>32</v>
      </c>
      <c r="T160" s="27" t="s">
        <v>61</v>
      </c>
      <c r="U160" s="27">
        <v>9275071213</v>
      </c>
      <c r="V160" s="35" t="s">
        <v>34</v>
      </c>
      <c r="W160" s="40" t="str" cm="1">
        <f t="array" ref="W160">_xlfn.IFS(AND(P160&gt;=100000,Q160&gt;=4,O160&lt;=0.1,V160="Completed"),"Platinum",AND(P160&gt;=50000,P160&lt;=99999,Q160&gt;=3,V160="Completed"),"Golde",AND(P160&lt;50000,V160="Completed"),"Silver",OR(Q160&lt;=2,V160="Cancelled"),"BlackListed",TRUE,"Other")</f>
        <v>Silver</v>
      </c>
    </row>
    <row r="161" spans="1:23" ht="15" thickBot="1" x14ac:dyDescent="0.4">
      <c r="A161" s="30" t="s">
        <v>283</v>
      </c>
      <c r="B161" s="30" t="s">
        <v>124</v>
      </c>
      <c r="C161" s="30" t="s">
        <v>46</v>
      </c>
      <c r="D161" s="31">
        <v>46094</v>
      </c>
      <c r="E161" s="31">
        <v>46097</v>
      </c>
      <c r="F161" s="30" t="s">
        <v>126</v>
      </c>
      <c r="G161" s="30" t="s">
        <v>58</v>
      </c>
      <c r="H161" s="31">
        <v>35040</v>
      </c>
      <c r="I161" s="30" t="s">
        <v>121</v>
      </c>
      <c r="J161" s="30" t="s">
        <v>38</v>
      </c>
      <c r="K161" s="30" t="s">
        <v>39</v>
      </c>
      <c r="L161" s="30" t="s">
        <v>49</v>
      </c>
      <c r="M161" s="30">
        <v>4</v>
      </c>
      <c r="N161" s="30">
        <v>55000</v>
      </c>
      <c r="O161" s="30">
        <v>5</v>
      </c>
      <c r="P161" s="30">
        <v>209000</v>
      </c>
      <c r="Q161" s="30">
        <v>2</v>
      </c>
      <c r="R161" s="30" t="s">
        <v>31</v>
      </c>
      <c r="S161" s="30" t="s">
        <v>96</v>
      </c>
      <c r="T161" s="30" t="s">
        <v>128</v>
      </c>
      <c r="U161" s="30">
        <v>9715222543</v>
      </c>
      <c r="V161" s="38" t="s">
        <v>52</v>
      </c>
      <c r="W161" s="40" t="str" cm="1">
        <f t="array" ref="W161">_xlfn.IFS(AND(P161&gt;=100000,Q161&gt;=4,O161&lt;=0.1,V161="Completed"),"Platinum",AND(P161&gt;=50000,P161&lt;=99999,Q161&gt;=3,V161="Completed"),"Golde",AND(P161&lt;50000,V161="Completed"),"Silver",OR(Q161&lt;=2,V161="Cancelled"),"BlackListed",TRUE,"Other")</f>
        <v>BlackListed</v>
      </c>
    </row>
    <row r="162" spans="1:23" ht="15" thickBot="1" x14ac:dyDescent="0.4">
      <c r="A162" s="27" t="s">
        <v>284</v>
      </c>
      <c r="B162" s="27" t="s">
        <v>156</v>
      </c>
      <c r="C162" s="27" t="s">
        <v>112</v>
      </c>
      <c r="D162" s="28">
        <v>45835</v>
      </c>
      <c r="E162" s="28">
        <v>45839</v>
      </c>
      <c r="F162" s="27" t="s">
        <v>106</v>
      </c>
      <c r="G162" s="27" t="s">
        <v>58</v>
      </c>
      <c r="H162" s="28">
        <v>36363</v>
      </c>
      <c r="I162" s="27" t="s">
        <v>37</v>
      </c>
      <c r="J162" s="27" t="s">
        <v>38</v>
      </c>
      <c r="K162" s="27" t="s">
        <v>39</v>
      </c>
      <c r="L162" s="27" t="s">
        <v>114</v>
      </c>
      <c r="M162" s="27">
        <v>11</v>
      </c>
      <c r="N162" s="27">
        <v>700</v>
      </c>
      <c r="O162" s="27">
        <v>20</v>
      </c>
      <c r="P162" s="27">
        <v>6160</v>
      </c>
      <c r="Q162" s="27">
        <v>4</v>
      </c>
      <c r="R162" s="27" t="s">
        <v>31</v>
      </c>
      <c r="S162" s="27" t="s">
        <v>96</v>
      </c>
      <c r="T162" s="27" t="s">
        <v>158</v>
      </c>
      <c r="U162" s="27">
        <v>9942010833</v>
      </c>
      <c r="V162" s="37" t="s">
        <v>53</v>
      </c>
      <c r="W162" s="40" t="str" cm="1">
        <f t="array" ref="W162">_xlfn.IFS(AND(P162&gt;=100000,Q162&gt;=4,O162&lt;=0.1,V162="Completed"),"Platinum",AND(P162&gt;=50000,P162&lt;=99999,Q162&gt;=3,V162="Completed"),"Golde",AND(P162&lt;50000,V162="Completed"),"Silver",OR(Q162&lt;=2,V162="Cancelled"),"BlackListed",TRUE,"Other")</f>
        <v>BlackListed</v>
      </c>
    </row>
    <row r="163" spans="1:23" ht="15" thickBot="1" x14ac:dyDescent="0.4">
      <c r="A163" s="30" t="s">
        <v>285</v>
      </c>
      <c r="B163" s="30" t="s">
        <v>104</v>
      </c>
      <c r="C163" s="30" t="s">
        <v>56</v>
      </c>
      <c r="D163" s="31">
        <v>45980</v>
      </c>
      <c r="E163" s="31">
        <v>45990</v>
      </c>
      <c r="F163" s="30" t="s">
        <v>166</v>
      </c>
      <c r="G163" s="30" t="s">
        <v>26</v>
      </c>
      <c r="H163" s="31">
        <v>36844</v>
      </c>
      <c r="I163" s="30" t="s">
        <v>147</v>
      </c>
      <c r="J163" s="30" t="s">
        <v>148</v>
      </c>
      <c r="K163" s="30" t="s">
        <v>39</v>
      </c>
      <c r="L163" s="30" t="s">
        <v>59</v>
      </c>
      <c r="M163" s="30">
        <v>16</v>
      </c>
      <c r="N163" s="30">
        <v>1200</v>
      </c>
      <c r="O163" s="30">
        <v>5</v>
      </c>
      <c r="P163" s="30">
        <v>18240</v>
      </c>
      <c r="Q163" s="30">
        <v>1</v>
      </c>
      <c r="R163" s="30" t="s">
        <v>60</v>
      </c>
      <c r="S163" s="30" t="s">
        <v>32</v>
      </c>
      <c r="T163" s="30" t="s">
        <v>108</v>
      </c>
      <c r="U163" s="30">
        <v>9347718932</v>
      </c>
      <c r="V163" s="38" t="s">
        <v>52</v>
      </c>
      <c r="W163" s="40" t="str" cm="1">
        <f t="array" ref="W163">_xlfn.IFS(AND(P163&gt;=100000,Q163&gt;=4,O163&lt;=0.1,V163="Completed"),"Platinum",AND(P163&gt;=50000,P163&lt;=99999,Q163&gt;=3,V163="Completed"),"Golde",AND(P163&lt;50000,V163="Completed"),"Silver",OR(Q163&lt;=2,V163="Cancelled"),"BlackListed",TRUE,"Other")</f>
        <v>BlackListed</v>
      </c>
    </row>
    <row r="164" spans="1:23" ht="15" thickBot="1" x14ac:dyDescent="0.4">
      <c r="A164" s="27" t="s">
        <v>286</v>
      </c>
      <c r="B164" s="27" t="s">
        <v>104</v>
      </c>
      <c r="C164" s="27" t="s">
        <v>56</v>
      </c>
      <c r="D164" s="28">
        <v>45915</v>
      </c>
      <c r="E164" s="28">
        <v>45917</v>
      </c>
      <c r="F164" s="27" t="s">
        <v>166</v>
      </c>
      <c r="G164" s="27" t="s">
        <v>26</v>
      </c>
      <c r="H164" s="28">
        <v>37461</v>
      </c>
      <c r="I164" s="27" t="s">
        <v>79</v>
      </c>
      <c r="J164" s="27" t="s">
        <v>75</v>
      </c>
      <c r="K164" s="27" t="s">
        <v>39</v>
      </c>
      <c r="L164" s="27" t="s">
        <v>59</v>
      </c>
      <c r="M164" s="27">
        <v>1</v>
      </c>
      <c r="N164" s="27">
        <v>1200</v>
      </c>
      <c r="O164" s="27">
        <v>5</v>
      </c>
      <c r="P164" s="27">
        <v>1140</v>
      </c>
      <c r="Q164" s="27">
        <v>4</v>
      </c>
      <c r="R164" s="27" t="s">
        <v>60</v>
      </c>
      <c r="S164" s="27" t="s">
        <v>32</v>
      </c>
      <c r="T164" s="27" t="s">
        <v>108</v>
      </c>
      <c r="U164" s="27">
        <v>9274808844</v>
      </c>
      <c r="V164" s="35" t="s">
        <v>34</v>
      </c>
      <c r="W164" s="40" t="str" cm="1">
        <f t="array" ref="W164">_xlfn.IFS(AND(P164&gt;=100000,Q164&gt;=4,O164&lt;=0.1,V164="Completed"),"Platinum",AND(P164&gt;=50000,P164&lt;=99999,Q164&gt;=3,V164="Completed"),"Golde",AND(P164&lt;50000,V164="Completed"),"Silver",OR(Q164&lt;=2,V164="Cancelled"),"BlackListed",TRUE,"Other")</f>
        <v>Silver</v>
      </c>
    </row>
    <row r="165" spans="1:23" ht="15" thickBot="1" x14ac:dyDescent="0.4">
      <c r="A165" s="30" t="s">
        <v>287</v>
      </c>
      <c r="B165" s="30" t="s">
        <v>156</v>
      </c>
      <c r="C165" s="30" t="s">
        <v>82</v>
      </c>
      <c r="D165" s="31">
        <v>45965</v>
      </c>
      <c r="E165" s="31">
        <v>45974</v>
      </c>
      <c r="F165" s="30" t="s">
        <v>106</v>
      </c>
      <c r="G165" s="30" t="s">
        <v>58</v>
      </c>
      <c r="H165" s="31">
        <v>37312</v>
      </c>
      <c r="I165" s="30" t="s">
        <v>121</v>
      </c>
      <c r="J165" s="30" t="s">
        <v>38</v>
      </c>
      <c r="K165" s="30" t="s">
        <v>83</v>
      </c>
      <c r="L165" s="30" t="s">
        <v>84</v>
      </c>
      <c r="M165" s="30">
        <v>7</v>
      </c>
      <c r="N165" s="30">
        <v>60</v>
      </c>
      <c r="O165" s="30">
        <v>0</v>
      </c>
      <c r="P165" s="30">
        <v>420</v>
      </c>
      <c r="Q165" s="30">
        <v>2</v>
      </c>
      <c r="R165" s="30" t="s">
        <v>65</v>
      </c>
      <c r="S165" s="30" t="s">
        <v>96</v>
      </c>
      <c r="T165" s="30" t="s">
        <v>158</v>
      </c>
      <c r="U165" s="30">
        <v>9798996063</v>
      </c>
      <c r="V165" s="36" t="s">
        <v>34</v>
      </c>
      <c r="W165" s="40" t="str" cm="1">
        <f t="array" ref="W165">_xlfn.IFS(AND(P165&gt;=100000,Q165&gt;=4,O165&lt;=0.1,V165="Completed"),"Platinum",AND(P165&gt;=50000,P165&lt;=99999,Q165&gt;=3,V165="Completed"),"Golde",AND(P165&lt;50000,V165="Completed"),"Silver",OR(Q165&lt;=2,V165="Cancelled"),"BlackListed",TRUE,"Other")</f>
        <v>Silver</v>
      </c>
    </row>
    <row r="166" spans="1:23" ht="15" thickBot="1" x14ac:dyDescent="0.4">
      <c r="A166" s="27" t="s">
        <v>288</v>
      </c>
      <c r="B166" s="27" t="s">
        <v>104</v>
      </c>
      <c r="C166" s="27" t="s">
        <v>24</v>
      </c>
      <c r="D166" s="28">
        <v>45660</v>
      </c>
      <c r="E166" s="28">
        <v>45664</v>
      </c>
      <c r="F166" s="27" t="s">
        <v>166</v>
      </c>
      <c r="G166" s="27" t="s">
        <v>26</v>
      </c>
      <c r="H166" s="28">
        <v>29418</v>
      </c>
      <c r="I166" s="27" t="s">
        <v>79</v>
      </c>
      <c r="J166" s="27" t="s">
        <v>75</v>
      </c>
      <c r="K166" s="27" t="s">
        <v>29</v>
      </c>
      <c r="L166" s="27" t="s">
        <v>30</v>
      </c>
      <c r="M166" s="27">
        <v>14</v>
      </c>
      <c r="N166" s="27">
        <v>2200</v>
      </c>
      <c r="O166" s="27">
        <v>0</v>
      </c>
      <c r="P166" s="27">
        <v>30800</v>
      </c>
      <c r="Q166" s="27">
        <v>2</v>
      </c>
      <c r="R166" s="27" t="s">
        <v>65</v>
      </c>
      <c r="S166" s="27" t="s">
        <v>32</v>
      </c>
      <c r="T166" s="27" t="s">
        <v>108</v>
      </c>
      <c r="U166" s="27">
        <v>9145200936</v>
      </c>
      <c r="V166" s="37" t="s">
        <v>53</v>
      </c>
      <c r="W166" s="40" t="str" cm="1">
        <f t="array" ref="W166">_xlfn.IFS(AND(P166&gt;=100000,Q166&gt;=4,O166&lt;=0.1,V166="Completed"),"Platinum",AND(P166&gt;=50000,P166&lt;=99999,Q166&gt;=3,V166="Completed"),"Golde",AND(P166&lt;50000,V166="Completed"),"Silver",OR(Q166&lt;=2,V166="Cancelled"),"BlackListed",TRUE,"Other")</f>
        <v>BlackListed</v>
      </c>
    </row>
    <row r="167" spans="1:23" ht="15" thickBot="1" x14ac:dyDescent="0.4">
      <c r="A167" s="30" t="s">
        <v>289</v>
      </c>
      <c r="B167" s="30" t="s">
        <v>104</v>
      </c>
      <c r="C167" s="30" t="s">
        <v>68</v>
      </c>
      <c r="D167" s="31">
        <v>45827</v>
      </c>
      <c r="E167" s="31">
        <v>45835</v>
      </c>
      <c r="F167" s="30" t="s">
        <v>166</v>
      </c>
      <c r="G167" s="30" t="s">
        <v>26</v>
      </c>
      <c r="H167" s="31">
        <v>35210</v>
      </c>
      <c r="I167" s="30" t="s">
        <v>91</v>
      </c>
      <c r="J167" s="30" t="s">
        <v>75</v>
      </c>
      <c r="K167" s="30" t="s">
        <v>29</v>
      </c>
      <c r="L167" s="30" t="s">
        <v>70</v>
      </c>
      <c r="M167" s="30">
        <v>15</v>
      </c>
      <c r="N167" s="30">
        <v>3500</v>
      </c>
      <c r="O167" s="30">
        <v>15</v>
      </c>
      <c r="P167" s="30">
        <v>44625</v>
      </c>
      <c r="Q167" s="30">
        <v>2</v>
      </c>
      <c r="R167" s="30" t="s">
        <v>65</v>
      </c>
      <c r="S167" s="30" t="s">
        <v>50</v>
      </c>
      <c r="T167" s="30" t="s">
        <v>108</v>
      </c>
      <c r="U167" s="30">
        <v>9697654418</v>
      </c>
      <c r="V167" s="38" t="s">
        <v>52</v>
      </c>
      <c r="W167" s="40" t="str" cm="1">
        <f t="array" ref="W167">_xlfn.IFS(AND(P167&gt;=100000,Q167&gt;=4,O167&lt;=0.1,V167="Completed"),"Platinum",AND(P167&gt;=50000,P167&lt;=99999,Q167&gt;=3,V167="Completed"),"Golde",AND(P167&lt;50000,V167="Completed"),"Silver",OR(Q167&lt;=2,V167="Cancelled"),"BlackListed",TRUE,"Other")</f>
        <v>BlackListed</v>
      </c>
    </row>
    <row r="168" spans="1:23" ht="15" thickBot="1" x14ac:dyDescent="0.4">
      <c r="A168" s="27" t="s">
        <v>290</v>
      </c>
      <c r="B168" s="27" t="s">
        <v>87</v>
      </c>
      <c r="C168" s="27" t="s">
        <v>68</v>
      </c>
      <c r="D168" s="28">
        <v>45742</v>
      </c>
      <c r="E168" s="28">
        <v>45753</v>
      </c>
      <c r="F168" s="27" t="s">
        <v>88</v>
      </c>
      <c r="G168" s="27" t="s">
        <v>58</v>
      </c>
      <c r="H168" s="28">
        <v>31543</v>
      </c>
      <c r="I168" s="27" t="s">
        <v>147</v>
      </c>
      <c r="J168" s="27" t="s">
        <v>148</v>
      </c>
      <c r="K168" s="27" t="s">
        <v>29</v>
      </c>
      <c r="L168" s="27" t="s">
        <v>70</v>
      </c>
      <c r="M168" s="27">
        <v>19</v>
      </c>
      <c r="N168" s="27">
        <v>3500</v>
      </c>
      <c r="O168" s="27">
        <v>5</v>
      </c>
      <c r="P168" s="27">
        <v>63175</v>
      </c>
      <c r="Q168" s="27">
        <v>2</v>
      </c>
      <c r="R168" s="27" t="s">
        <v>31</v>
      </c>
      <c r="S168" s="27" t="s">
        <v>80</v>
      </c>
      <c r="T168" s="27" t="s">
        <v>89</v>
      </c>
      <c r="U168" s="27">
        <v>9457923119</v>
      </c>
      <c r="V168" s="37" t="s">
        <v>53</v>
      </c>
      <c r="W168" s="40" t="str" cm="1">
        <f t="array" ref="W168">_xlfn.IFS(AND(P168&gt;=100000,Q168&gt;=4,O168&lt;=0.1,V168="Completed"),"Platinum",AND(P168&gt;=50000,P168&lt;=99999,Q168&gt;=3,V168="Completed"),"Golde",AND(P168&lt;50000,V168="Completed"),"Silver",OR(Q168&lt;=2,V168="Cancelled"),"BlackListed",TRUE,"Other")</f>
        <v>BlackListed</v>
      </c>
    </row>
    <row r="169" spans="1:23" ht="15" thickBot="1" x14ac:dyDescent="0.4">
      <c r="A169" s="30" t="s">
        <v>291</v>
      </c>
      <c r="B169" s="30" t="s">
        <v>156</v>
      </c>
      <c r="C169" s="30" t="s">
        <v>46</v>
      </c>
      <c r="D169" s="31">
        <v>45844</v>
      </c>
      <c r="E169" s="31">
        <v>45848</v>
      </c>
      <c r="F169" s="30" t="s">
        <v>106</v>
      </c>
      <c r="G169" s="30" t="s">
        <v>58</v>
      </c>
      <c r="H169" s="31">
        <v>32653</v>
      </c>
      <c r="I169" s="30" t="s">
        <v>48</v>
      </c>
      <c r="J169" s="30" t="s">
        <v>28</v>
      </c>
      <c r="K169" s="30" t="s">
        <v>39</v>
      </c>
      <c r="L169" s="30" t="s">
        <v>49</v>
      </c>
      <c r="M169" s="30">
        <v>12</v>
      </c>
      <c r="N169" s="30">
        <v>55000</v>
      </c>
      <c r="O169" s="30">
        <v>5</v>
      </c>
      <c r="P169" s="30">
        <v>627000</v>
      </c>
      <c r="Q169" s="30">
        <v>4</v>
      </c>
      <c r="R169" s="30" t="s">
        <v>60</v>
      </c>
      <c r="S169" s="30" t="s">
        <v>50</v>
      </c>
      <c r="T169" s="30" t="s">
        <v>158</v>
      </c>
      <c r="U169" s="30">
        <v>9236111271</v>
      </c>
      <c r="V169" s="38" t="s">
        <v>53</v>
      </c>
      <c r="W169" s="40" t="str" cm="1">
        <f t="array" ref="W169">_xlfn.IFS(AND(P169&gt;=100000,Q169&gt;=4,O169&lt;=0.1,V169="Completed"),"Platinum",AND(P169&gt;=50000,P169&lt;=99999,Q169&gt;=3,V169="Completed"),"Golde",AND(P169&lt;50000,V169="Completed"),"Silver",OR(Q169&lt;=2,V169="Cancelled"),"BlackListed",TRUE,"Other")</f>
        <v>BlackListed</v>
      </c>
    </row>
    <row r="170" spans="1:23" ht="15" thickBot="1" x14ac:dyDescent="0.4">
      <c r="A170" s="27" t="s">
        <v>292</v>
      </c>
      <c r="B170" s="27" t="s">
        <v>45</v>
      </c>
      <c r="C170" s="27" t="s">
        <v>56</v>
      </c>
      <c r="D170" s="28">
        <v>46040</v>
      </c>
      <c r="E170" s="28">
        <v>46048</v>
      </c>
      <c r="F170" s="27" t="s">
        <v>101</v>
      </c>
      <c r="G170" s="27" t="s">
        <v>26</v>
      </c>
      <c r="H170" s="28">
        <v>32745</v>
      </c>
      <c r="I170" s="27" t="s">
        <v>74</v>
      </c>
      <c r="J170" s="27" t="s">
        <v>75</v>
      </c>
      <c r="K170" s="27" t="s">
        <v>39</v>
      </c>
      <c r="L170" s="27" t="s">
        <v>59</v>
      </c>
      <c r="M170" s="27">
        <v>6</v>
      </c>
      <c r="N170" s="27">
        <v>1200</v>
      </c>
      <c r="O170" s="27">
        <v>10</v>
      </c>
      <c r="P170" s="27">
        <v>6480</v>
      </c>
      <c r="Q170" s="27">
        <v>5</v>
      </c>
      <c r="R170" s="27" t="s">
        <v>41</v>
      </c>
      <c r="S170" s="27" t="s">
        <v>80</v>
      </c>
      <c r="T170" s="27" t="s">
        <v>51</v>
      </c>
      <c r="U170" s="27">
        <v>9402569141</v>
      </c>
      <c r="V170" s="37" t="s">
        <v>53</v>
      </c>
      <c r="W170" s="40" t="str" cm="1">
        <f t="array" ref="W170">_xlfn.IFS(AND(P170&gt;=100000,Q170&gt;=4,O170&lt;=0.1,V170="Completed"),"Platinum",AND(P170&gt;=50000,P170&lt;=99999,Q170&gt;=3,V170="Completed"),"Golde",AND(P170&lt;50000,V170="Completed"),"Silver",OR(Q170&lt;=2,V170="Cancelled"),"BlackListed",TRUE,"Other")</f>
        <v>BlackListed</v>
      </c>
    </row>
    <row r="171" spans="1:23" ht="15" thickBot="1" x14ac:dyDescent="0.4">
      <c r="A171" s="30" t="s">
        <v>293</v>
      </c>
      <c r="B171" s="30" t="s">
        <v>134</v>
      </c>
      <c r="C171" s="30" t="s">
        <v>105</v>
      </c>
      <c r="D171" s="31">
        <v>45919</v>
      </c>
      <c r="E171" s="31">
        <v>45920</v>
      </c>
      <c r="F171" s="30" t="s">
        <v>135</v>
      </c>
      <c r="G171" s="30" t="s">
        <v>26</v>
      </c>
      <c r="H171" s="31">
        <v>35570</v>
      </c>
      <c r="I171" s="30" t="s">
        <v>27</v>
      </c>
      <c r="J171" s="30" t="s">
        <v>28</v>
      </c>
      <c r="K171" s="30" t="s">
        <v>29</v>
      </c>
      <c r="L171" s="30" t="s">
        <v>107</v>
      </c>
      <c r="M171" s="30">
        <v>1</v>
      </c>
      <c r="N171" s="30">
        <v>8500</v>
      </c>
      <c r="O171" s="30">
        <v>0</v>
      </c>
      <c r="P171" s="30">
        <v>8500</v>
      </c>
      <c r="Q171" s="30">
        <v>1</v>
      </c>
      <c r="R171" s="30" t="s">
        <v>65</v>
      </c>
      <c r="S171" s="30" t="s">
        <v>96</v>
      </c>
      <c r="T171" s="30" t="s">
        <v>136</v>
      </c>
      <c r="U171" s="30">
        <v>9138184056</v>
      </c>
      <c r="V171" s="38" t="s">
        <v>53</v>
      </c>
      <c r="W171" s="40" t="str" cm="1">
        <f t="array" ref="W171">_xlfn.IFS(AND(P171&gt;=100000,Q171&gt;=4,O171&lt;=0.1,V171="Completed"),"Platinum",AND(P171&gt;=50000,P171&lt;=99999,Q171&gt;=3,V171="Completed"),"Golde",AND(P171&lt;50000,V171="Completed"),"Silver",OR(Q171&lt;=2,V171="Cancelled"),"BlackListed",TRUE,"Other")</f>
        <v>BlackListed</v>
      </c>
    </row>
    <row r="172" spans="1:23" ht="15" thickBot="1" x14ac:dyDescent="0.4">
      <c r="A172" s="27" t="s">
        <v>294</v>
      </c>
      <c r="B172" s="27" t="s">
        <v>87</v>
      </c>
      <c r="C172" s="27" t="s">
        <v>46</v>
      </c>
      <c r="D172" s="28">
        <v>46113</v>
      </c>
      <c r="E172" s="28">
        <v>46119</v>
      </c>
      <c r="F172" s="27" t="s">
        <v>88</v>
      </c>
      <c r="G172" s="27" t="s">
        <v>58</v>
      </c>
      <c r="H172" s="28">
        <v>31900</v>
      </c>
      <c r="I172" s="27" t="s">
        <v>91</v>
      </c>
      <c r="J172" s="27" t="s">
        <v>75</v>
      </c>
      <c r="K172" s="27" t="s">
        <v>39</v>
      </c>
      <c r="L172" s="27" t="s">
        <v>49</v>
      </c>
      <c r="M172" s="27">
        <v>20</v>
      </c>
      <c r="N172" s="27">
        <v>55000</v>
      </c>
      <c r="O172" s="27">
        <v>10</v>
      </c>
      <c r="P172" s="27">
        <v>990000</v>
      </c>
      <c r="Q172" s="27">
        <v>5</v>
      </c>
      <c r="R172" s="27" t="s">
        <v>41</v>
      </c>
      <c r="S172" s="27" t="s">
        <v>96</v>
      </c>
      <c r="T172" s="27" t="s">
        <v>89</v>
      </c>
      <c r="U172" s="27">
        <v>9609598700</v>
      </c>
      <c r="V172" s="35" t="s">
        <v>34</v>
      </c>
      <c r="W172" s="40" t="str" cm="1">
        <f t="array" ref="W172">_xlfn.IFS(AND(P172&gt;=100000,Q172&gt;=4,O172&lt;=0.1,V172="Completed"),"Platinum",AND(P172&gt;=50000,P172&lt;=99999,Q172&gt;=3,V172="Completed"),"Golde",AND(P172&lt;50000,V172="Completed"),"Silver",OR(Q172&lt;=2,V172="Cancelled"),"BlackListed",TRUE,"Other")</f>
        <v>Other</v>
      </c>
    </row>
    <row r="173" spans="1:23" ht="15" thickBot="1" x14ac:dyDescent="0.4">
      <c r="A173" s="30" t="s">
        <v>295</v>
      </c>
      <c r="B173" s="30" t="s">
        <v>124</v>
      </c>
      <c r="C173" s="30" t="s">
        <v>56</v>
      </c>
      <c r="D173" s="31">
        <v>45958</v>
      </c>
      <c r="E173" s="31">
        <v>45959</v>
      </c>
      <c r="F173" s="30" t="s">
        <v>126</v>
      </c>
      <c r="G173" s="30" t="s">
        <v>58</v>
      </c>
      <c r="H173" s="31">
        <v>37592</v>
      </c>
      <c r="I173" s="30" t="s">
        <v>91</v>
      </c>
      <c r="J173" s="30" t="s">
        <v>75</v>
      </c>
      <c r="K173" s="30" t="s">
        <v>39</v>
      </c>
      <c r="L173" s="30" t="s">
        <v>59</v>
      </c>
      <c r="M173" s="30">
        <v>8</v>
      </c>
      <c r="N173" s="30">
        <v>1200</v>
      </c>
      <c r="O173" s="30">
        <v>15</v>
      </c>
      <c r="P173" s="30">
        <v>8160</v>
      </c>
      <c r="Q173" s="30">
        <v>2</v>
      </c>
      <c r="R173" s="30" t="s">
        <v>65</v>
      </c>
      <c r="S173" s="30" t="s">
        <v>80</v>
      </c>
      <c r="T173" s="30" t="s">
        <v>128</v>
      </c>
      <c r="U173" s="30">
        <v>9385894399</v>
      </c>
      <c r="V173" s="38" t="s">
        <v>53</v>
      </c>
      <c r="W173" s="40" t="str" cm="1">
        <f t="array" ref="W173">_xlfn.IFS(AND(P173&gt;=100000,Q173&gt;=4,O173&lt;=0.1,V173="Completed"),"Platinum",AND(P173&gt;=50000,P173&lt;=99999,Q173&gt;=3,V173="Completed"),"Golde",AND(P173&lt;50000,V173="Completed"),"Silver",OR(Q173&lt;=2,V173="Cancelled"),"BlackListed",TRUE,"Other")</f>
        <v>BlackListed</v>
      </c>
    </row>
    <row r="174" spans="1:23" ht="15" thickBot="1" x14ac:dyDescent="0.4">
      <c r="A174" s="27" t="s">
        <v>296</v>
      </c>
      <c r="B174" s="27" t="s">
        <v>23</v>
      </c>
      <c r="C174" s="27" t="s">
        <v>68</v>
      </c>
      <c r="D174" s="28">
        <v>45694</v>
      </c>
      <c r="E174" s="28">
        <v>45705</v>
      </c>
      <c r="F174" s="27" t="s">
        <v>25</v>
      </c>
      <c r="G174" s="27" t="s">
        <v>26</v>
      </c>
      <c r="H174" s="28">
        <v>31557</v>
      </c>
      <c r="I174" s="27" t="s">
        <v>121</v>
      </c>
      <c r="J174" s="27" t="s">
        <v>38</v>
      </c>
      <c r="K174" s="27" t="s">
        <v>29</v>
      </c>
      <c r="L174" s="27" t="s">
        <v>70</v>
      </c>
      <c r="M174" s="27">
        <v>19</v>
      </c>
      <c r="N174" s="27">
        <v>3500</v>
      </c>
      <c r="O174" s="27">
        <v>5</v>
      </c>
      <c r="P174" s="27">
        <v>63175</v>
      </c>
      <c r="Q174" s="27">
        <v>4</v>
      </c>
      <c r="R174" s="27" t="s">
        <v>65</v>
      </c>
      <c r="S174" s="27" t="s">
        <v>42</v>
      </c>
      <c r="T174" s="27" t="s">
        <v>43</v>
      </c>
      <c r="U174" s="27">
        <v>9329448011</v>
      </c>
      <c r="V174" s="37" t="s">
        <v>52</v>
      </c>
      <c r="W174" s="40" t="str" cm="1">
        <f t="array" ref="W174">_xlfn.IFS(AND(P174&gt;=100000,Q174&gt;=4,O174&lt;=0.1,V174="Completed"),"Platinum",AND(P174&gt;=50000,P174&lt;=99999,Q174&gt;=3,V174="Completed"),"Golde",AND(P174&lt;50000,V174="Completed"),"Silver",OR(Q174&lt;=2,V174="Cancelled"),"BlackListed",TRUE,"Other")</f>
        <v>Other</v>
      </c>
    </row>
    <row r="175" spans="1:23" ht="15" thickBot="1" x14ac:dyDescent="0.4">
      <c r="A175" s="30" t="s">
        <v>297</v>
      </c>
      <c r="B175" s="30" t="s">
        <v>124</v>
      </c>
      <c r="C175" s="30" t="s">
        <v>138</v>
      </c>
      <c r="D175" s="31">
        <v>45774</v>
      </c>
      <c r="E175" s="31">
        <v>45776</v>
      </c>
      <c r="F175" s="30" t="s">
        <v>126</v>
      </c>
      <c r="G175" s="30" t="s">
        <v>58</v>
      </c>
      <c r="H175" s="31">
        <v>31465</v>
      </c>
      <c r="I175" s="30" t="s">
        <v>121</v>
      </c>
      <c r="J175" s="30" t="s">
        <v>38</v>
      </c>
      <c r="K175" s="30" t="s">
        <v>83</v>
      </c>
      <c r="L175" s="30" t="s">
        <v>139</v>
      </c>
      <c r="M175" s="30">
        <v>6</v>
      </c>
      <c r="N175" s="30">
        <v>45</v>
      </c>
      <c r="O175" s="30">
        <v>20</v>
      </c>
      <c r="P175" s="30">
        <v>216</v>
      </c>
      <c r="Q175" s="30">
        <v>1</v>
      </c>
      <c r="R175" s="30" t="s">
        <v>60</v>
      </c>
      <c r="S175" s="30" t="s">
        <v>42</v>
      </c>
      <c r="T175" s="30" t="s">
        <v>298</v>
      </c>
      <c r="U175" s="30">
        <v>9889544104</v>
      </c>
      <c r="V175" s="38" t="s">
        <v>52</v>
      </c>
      <c r="W175" s="40" t="str" cm="1">
        <f t="array" ref="W175">_xlfn.IFS(AND(P175&gt;=100000,Q175&gt;=4,O175&lt;=0.1,V175="Completed"),"Platinum",AND(P175&gt;=50000,P175&lt;=99999,Q175&gt;=3,V175="Completed"),"Golde",AND(P175&lt;50000,V175="Completed"),"Silver",OR(Q175&lt;=2,V175="Cancelled"),"BlackListed",TRUE,"Other")</f>
        <v>BlackListed</v>
      </c>
    </row>
    <row r="176" spans="1:23" ht="15" thickBot="1" x14ac:dyDescent="0.4">
      <c r="A176" s="27" t="s">
        <v>299</v>
      </c>
      <c r="B176" s="27" t="s">
        <v>134</v>
      </c>
      <c r="C176" s="27" t="s">
        <v>138</v>
      </c>
      <c r="D176" s="28">
        <v>45730</v>
      </c>
      <c r="E176" s="28">
        <v>45741</v>
      </c>
      <c r="F176" s="27" t="s">
        <v>135</v>
      </c>
      <c r="G176" s="27" t="s">
        <v>26</v>
      </c>
      <c r="H176" s="28">
        <v>32240</v>
      </c>
      <c r="I176" s="27" t="s">
        <v>79</v>
      </c>
      <c r="J176" s="27" t="s">
        <v>75</v>
      </c>
      <c r="K176" s="27" t="s">
        <v>83</v>
      </c>
      <c r="L176" s="27" t="s">
        <v>139</v>
      </c>
      <c r="M176" s="27">
        <v>17</v>
      </c>
      <c r="N176" s="27">
        <v>45</v>
      </c>
      <c r="O176" s="27">
        <v>15</v>
      </c>
      <c r="P176" s="27">
        <v>650.25</v>
      </c>
      <c r="Q176" s="27">
        <v>5</v>
      </c>
      <c r="R176" s="27" t="s">
        <v>31</v>
      </c>
      <c r="S176" s="27" t="s">
        <v>80</v>
      </c>
      <c r="T176" s="27" t="s">
        <v>136</v>
      </c>
      <c r="U176" s="27">
        <v>9101861045</v>
      </c>
      <c r="V176" s="37" t="s">
        <v>52</v>
      </c>
      <c r="W176" s="40" t="str" cm="1">
        <f t="array" ref="W176">_xlfn.IFS(AND(P176&gt;=100000,Q176&gt;=4,O176&lt;=0.1,V176="Completed"),"Platinum",AND(P176&gt;=50000,P176&lt;=99999,Q176&gt;=3,V176="Completed"),"Golde",AND(P176&lt;50000,V176="Completed"),"Silver",OR(Q176&lt;=2,V176="Cancelled"),"BlackListed",TRUE,"Other")</f>
        <v>Other</v>
      </c>
    </row>
    <row r="177" spans="1:23" ht="15" thickBot="1" x14ac:dyDescent="0.4">
      <c r="A177" s="30" t="s">
        <v>300</v>
      </c>
      <c r="B177" s="30" t="s">
        <v>23</v>
      </c>
      <c r="C177" s="30" t="s">
        <v>125</v>
      </c>
      <c r="D177" s="31">
        <v>45842</v>
      </c>
      <c r="E177" s="31">
        <v>45854</v>
      </c>
      <c r="F177" s="30" t="s">
        <v>25</v>
      </c>
      <c r="G177" s="30" t="s">
        <v>26</v>
      </c>
      <c r="H177" s="31">
        <v>34147</v>
      </c>
      <c r="I177" s="30" t="s">
        <v>79</v>
      </c>
      <c r="J177" s="30" t="s">
        <v>75</v>
      </c>
      <c r="K177" s="30" t="s">
        <v>83</v>
      </c>
      <c r="L177" s="30" t="s">
        <v>127</v>
      </c>
      <c r="M177" s="30">
        <v>19</v>
      </c>
      <c r="N177" s="30">
        <v>20</v>
      </c>
      <c r="O177" s="30">
        <v>5</v>
      </c>
      <c r="P177" s="30">
        <v>361</v>
      </c>
      <c r="Q177" s="30">
        <v>4</v>
      </c>
      <c r="R177" s="30" t="s">
        <v>31</v>
      </c>
      <c r="S177" s="30" t="s">
        <v>32</v>
      </c>
      <c r="T177" s="30" t="s">
        <v>43</v>
      </c>
      <c r="U177" s="30">
        <v>9364712105</v>
      </c>
      <c r="V177" s="38" t="s">
        <v>52</v>
      </c>
      <c r="W177" s="40" t="str" cm="1">
        <f t="array" ref="W177">_xlfn.IFS(AND(P177&gt;=100000,Q177&gt;=4,O177&lt;=0.1,V177="Completed"),"Platinum",AND(P177&gt;=50000,P177&lt;=99999,Q177&gt;=3,V177="Completed"),"Golde",AND(P177&lt;50000,V177="Completed"),"Silver",OR(Q177&lt;=2,V177="Cancelled"),"BlackListed",TRUE,"Other")</f>
        <v>Other</v>
      </c>
    </row>
    <row r="178" spans="1:23" ht="15" thickBot="1" x14ac:dyDescent="0.4">
      <c r="A178" s="27" t="s">
        <v>301</v>
      </c>
      <c r="B178" s="27" t="s">
        <v>134</v>
      </c>
      <c r="C178" s="27" t="s">
        <v>125</v>
      </c>
      <c r="D178" s="28">
        <v>45993</v>
      </c>
      <c r="E178" s="28">
        <v>45994</v>
      </c>
      <c r="F178" s="27" t="s">
        <v>135</v>
      </c>
      <c r="G178" s="27" t="s">
        <v>26</v>
      </c>
      <c r="H178" s="28">
        <v>38156</v>
      </c>
      <c r="I178" s="27" t="s">
        <v>91</v>
      </c>
      <c r="J178" s="27" t="s">
        <v>75</v>
      </c>
      <c r="K178" s="27" t="s">
        <v>83</v>
      </c>
      <c r="L178" s="27" t="s">
        <v>127</v>
      </c>
      <c r="M178" s="27">
        <v>11</v>
      </c>
      <c r="N178" s="27">
        <v>20</v>
      </c>
      <c r="O178" s="27">
        <v>0</v>
      </c>
      <c r="P178" s="27">
        <v>220</v>
      </c>
      <c r="Q178" s="27">
        <v>3</v>
      </c>
      <c r="R178" s="27" t="s">
        <v>41</v>
      </c>
      <c r="S178" s="27" t="s">
        <v>42</v>
      </c>
      <c r="T178" s="27" t="s">
        <v>136</v>
      </c>
      <c r="U178" s="27">
        <v>9950206376</v>
      </c>
      <c r="V178" s="35" t="s">
        <v>34</v>
      </c>
      <c r="W178" s="40" t="str" cm="1">
        <f t="array" ref="W178">_xlfn.IFS(AND(P178&gt;=100000,Q178&gt;=4,O178&lt;=0.1,V178="Completed"),"Platinum",AND(P178&gt;=50000,P178&lt;=99999,Q178&gt;=3,V178="Completed"),"Golde",AND(P178&lt;50000,V178="Completed"),"Silver",OR(Q178&lt;=2,V178="Cancelled"),"BlackListed",TRUE,"Other")</f>
        <v>Silver</v>
      </c>
    </row>
    <row r="179" spans="1:23" ht="15" thickBot="1" x14ac:dyDescent="0.4">
      <c r="A179" s="30" t="s">
        <v>302</v>
      </c>
      <c r="B179" s="30" t="s">
        <v>104</v>
      </c>
      <c r="C179" s="30" t="s">
        <v>82</v>
      </c>
      <c r="D179" s="31">
        <v>46067</v>
      </c>
      <c r="E179" s="31">
        <v>46074</v>
      </c>
      <c r="F179" s="30" t="s">
        <v>166</v>
      </c>
      <c r="G179" s="30" t="s">
        <v>26</v>
      </c>
      <c r="H179" s="31">
        <v>34221</v>
      </c>
      <c r="I179" s="30" t="s">
        <v>37</v>
      </c>
      <c r="J179" s="30" t="s">
        <v>38</v>
      </c>
      <c r="K179" s="30" t="s">
        <v>83</v>
      </c>
      <c r="L179" s="30" t="s">
        <v>84</v>
      </c>
      <c r="M179" s="30">
        <v>12</v>
      </c>
      <c r="N179" s="30">
        <v>60</v>
      </c>
      <c r="O179" s="30">
        <v>0</v>
      </c>
      <c r="P179" s="30">
        <v>720</v>
      </c>
      <c r="Q179" s="30">
        <v>2</v>
      </c>
      <c r="R179" s="30" t="s">
        <v>41</v>
      </c>
      <c r="S179" s="30" t="s">
        <v>42</v>
      </c>
      <c r="T179" s="30" t="s">
        <v>108</v>
      </c>
      <c r="U179" s="30">
        <v>9235822094</v>
      </c>
      <c r="V179" s="36" t="s">
        <v>34</v>
      </c>
      <c r="W179" s="40" t="str" cm="1">
        <f t="array" ref="W179">_xlfn.IFS(AND(P179&gt;=100000,Q179&gt;=4,O179&lt;=0.1,V179="Completed"),"Platinum",AND(P179&gt;=50000,P179&lt;=99999,Q179&gt;=3,V179="Completed"),"Golde",AND(P179&lt;50000,V179="Completed"),"Silver",OR(Q179&lt;=2,V179="Cancelled"),"BlackListed",TRUE,"Other")</f>
        <v>Silver</v>
      </c>
    </row>
    <row r="180" spans="1:23" ht="15" thickBot="1" x14ac:dyDescent="0.4">
      <c r="A180" s="27" t="s">
        <v>303</v>
      </c>
      <c r="B180" s="27" t="s">
        <v>124</v>
      </c>
      <c r="C180" s="27" t="s">
        <v>138</v>
      </c>
      <c r="D180" s="28">
        <v>45970</v>
      </c>
      <c r="E180" s="28">
        <v>45974</v>
      </c>
      <c r="F180" s="27" t="s">
        <v>73</v>
      </c>
      <c r="G180" s="27" t="s">
        <v>58</v>
      </c>
      <c r="H180" s="28">
        <v>37147</v>
      </c>
      <c r="I180" s="27" t="s">
        <v>147</v>
      </c>
      <c r="J180" s="27" t="s">
        <v>148</v>
      </c>
      <c r="K180" s="27" t="s">
        <v>83</v>
      </c>
      <c r="L180" s="27" t="s">
        <v>139</v>
      </c>
      <c r="M180" s="27">
        <v>14</v>
      </c>
      <c r="N180" s="27">
        <v>45</v>
      </c>
      <c r="O180" s="27">
        <v>15</v>
      </c>
      <c r="P180" s="27">
        <v>535.5</v>
      </c>
      <c r="Q180" s="27">
        <v>5</v>
      </c>
      <c r="R180" s="27" t="s">
        <v>65</v>
      </c>
      <c r="S180" s="27" t="s">
        <v>80</v>
      </c>
      <c r="T180" s="27" t="s">
        <v>128</v>
      </c>
      <c r="U180" s="27">
        <v>9311021344</v>
      </c>
      <c r="V180" s="37" t="s">
        <v>52</v>
      </c>
      <c r="W180" s="40" t="str" cm="1">
        <f t="array" ref="W180">_xlfn.IFS(AND(P180&gt;=100000,Q180&gt;=4,O180&lt;=0.1,V180="Completed"),"Platinum",AND(P180&gt;=50000,P180&lt;=99999,Q180&gt;=3,V180="Completed"),"Golde",AND(P180&lt;50000,V180="Completed"),"Silver",OR(Q180&lt;=2,V180="Cancelled"),"BlackListed",TRUE,"Other")</f>
        <v>Other</v>
      </c>
    </row>
    <row r="181" spans="1:23" ht="15" thickBot="1" x14ac:dyDescent="0.4">
      <c r="A181" s="30" t="s">
        <v>304</v>
      </c>
      <c r="B181" s="30" t="s">
        <v>23</v>
      </c>
      <c r="C181" s="30" t="s">
        <v>112</v>
      </c>
      <c r="D181" s="31">
        <v>45695</v>
      </c>
      <c r="E181" s="31">
        <v>45707</v>
      </c>
      <c r="F181" s="30" t="s">
        <v>25</v>
      </c>
      <c r="G181" s="30" t="s">
        <v>26</v>
      </c>
      <c r="H181" s="31">
        <v>29905</v>
      </c>
      <c r="I181" s="30" t="s">
        <v>27</v>
      </c>
      <c r="J181" s="30" t="s">
        <v>28</v>
      </c>
      <c r="K181" s="30" t="s">
        <v>39</v>
      </c>
      <c r="L181" s="30" t="s">
        <v>114</v>
      </c>
      <c r="M181" s="30">
        <v>15</v>
      </c>
      <c r="N181" s="30">
        <v>700</v>
      </c>
      <c r="O181" s="30">
        <v>10</v>
      </c>
      <c r="P181" s="30">
        <v>9450</v>
      </c>
      <c r="Q181" s="30">
        <v>3</v>
      </c>
      <c r="R181" s="30" t="s">
        <v>41</v>
      </c>
      <c r="S181" s="30" t="s">
        <v>42</v>
      </c>
      <c r="T181" s="30" t="s">
        <v>43</v>
      </c>
      <c r="U181" s="30">
        <v>9891358505</v>
      </c>
      <c r="V181" s="38" t="s">
        <v>52</v>
      </c>
      <c r="W181" s="40" t="str" cm="1">
        <f t="array" ref="W181">_xlfn.IFS(AND(P181&gt;=100000,Q181&gt;=4,O181&lt;=0.1,V181="Completed"),"Platinum",AND(P181&gt;=50000,P181&lt;=99999,Q181&gt;=3,V181="Completed"),"Golde",AND(P181&lt;50000,V181="Completed"),"Silver",OR(Q181&lt;=2,V181="Cancelled"),"BlackListed",TRUE,"Other")</f>
        <v>Other</v>
      </c>
    </row>
    <row r="182" spans="1:23" ht="15" thickBot="1" x14ac:dyDescent="0.4">
      <c r="A182" s="27" t="s">
        <v>305</v>
      </c>
      <c r="B182" s="27" t="s">
        <v>72</v>
      </c>
      <c r="C182" s="27" t="s">
        <v>105</v>
      </c>
      <c r="D182" s="28">
        <v>45803</v>
      </c>
      <c r="E182" s="28">
        <v>45807</v>
      </c>
      <c r="F182" s="27" t="s">
        <v>73</v>
      </c>
      <c r="G182" s="27" t="s">
        <v>26</v>
      </c>
      <c r="H182" s="28">
        <v>29476</v>
      </c>
      <c r="I182" s="27" t="s">
        <v>91</v>
      </c>
      <c r="J182" s="27" t="s">
        <v>75</v>
      </c>
      <c r="K182" s="27" t="s">
        <v>29</v>
      </c>
      <c r="L182" s="27" t="s">
        <v>107</v>
      </c>
      <c r="M182" s="27">
        <v>19</v>
      </c>
      <c r="N182" s="27">
        <v>8500</v>
      </c>
      <c r="O182" s="27">
        <v>15</v>
      </c>
      <c r="P182" s="27">
        <v>137275</v>
      </c>
      <c r="Q182" s="27">
        <v>2</v>
      </c>
      <c r="R182" s="27" t="s">
        <v>31</v>
      </c>
      <c r="S182" s="27" t="s">
        <v>32</v>
      </c>
      <c r="T182" s="27" t="s">
        <v>93</v>
      </c>
      <c r="U182" s="27">
        <v>9910085332</v>
      </c>
      <c r="V182" s="37" t="s">
        <v>53</v>
      </c>
      <c r="W182" s="40" t="str" cm="1">
        <f t="array" ref="W182">_xlfn.IFS(AND(P182&gt;=100000,Q182&gt;=4,O182&lt;=0.1,V182="Completed"),"Platinum",AND(P182&gt;=50000,P182&lt;=99999,Q182&gt;=3,V182="Completed"),"Golde",AND(P182&lt;50000,V182="Completed"),"Silver",OR(Q182&lt;=2,V182="Cancelled"),"BlackListed",TRUE,"Other")</f>
        <v>BlackListed</v>
      </c>
    </row>
    <row r="183" spans="1:23" ht="15" thickBot="1" x14ac:dyDescent="0.4">
      <c r="A183" s="30" t="s">
        <v>306</v>
      </c>
      <c r="B183" s="30" t="s">
        <v>134</v>
      </c>
      <c r="C183" s="30" t="s">
        <v>82</v>
      </c>
      <c r="D183" s="31">
        <v>45934</v>
      </c>
      <c r="E183" s="31">
        <v>45936</v>
      </c>
      <c r="F183" s="30" t="s">
        <v>135</v>
      </c>
      <c r="G183" s="30" t="s">
        <v>26</v>
      </c>
      <c r="H183" s="31">
        <v>32240</v>
      </c>
      <c r="I183" s="30" t="s">
        <v>121</v>
      </c>
      <c r="J183" s="30" t="s">
        <v>38</v>
      </c>
      <c r="K183" s="30" t="s">
        <v>83</v>
      </c>
      <c r="L183" s="30" t="s">
        <v>84</v>
      </c>
      <c r="M183" s="30">
        <v>19</v>
      </c>
      <c r="N183" s="30">
        <v>60</v>
      </c>
      <c r="O183" s="30">
        <v>20</v>
      </c>
      <c r="P183" s="30">
        <v>912</v>
      </c>
      <c r="Q183" s="30">
        <v>4</v>
      </c>
      <c r="R183" s="30" t="s">
        <v>60</v>
      </c>
      <c r="S183" s="30" t="s">
        <v>42</v>
      </c>
      <c r="T183" s="30" t="s">
        <v>136</v>
      </c>
      <c r="U183" s="30">
        <v>9756908023</v>
      </c>
      <c r="V183" s="38" t="s">
        <v>52</v>
      </c>
      <c r="W183" s="40" t="str" cm="1">
        <f t="array" ref="W183">_xlfn.IFS(AND(P183&gt;=100000,Q183&gt;=4,O183&lt;=0.1,V183="Completed"),"Platinum",AND(P183&gt;=50000,P183&lt;=99999,Q183&gt;=3,V183="Completed"),"Golde",AND(P183&lt;50000,V183="Completed"),"Silver",OR(Q183&lt;=2,V183="Cancelled"),"BlackListed",TRUE,"Other")</f>
        <v>Other</v>
      </c>
    </row>
    <row r="184" spans="1:23" ht="15" thickBot="1" x14ac:dyDescent="0.4">
      <c r="A184" s="27" t="s">
        <v>307</v>
      </c>
      <c r="B184" s="27" t="s">
        <v>72</v>
      </c>
      <c r="C184" s="27" t="s">
        <v>138</v>
      </c>
      <c r="D184" s="28">
        <v>45792</v>
      </c>
      <c r="E184" s="28">
        <v>45803</v>
      </c>
      <c r="F184" s="27" t="s">
        <v>73</v>
      </c>
      <c r="G184" s="27" t="s">
        <v>26</v>
      </c>
      <c r="H184" s="28">
        <v>32192</v>
      </c>
      <c r="I184" s="27" t="s">
        <v>48</v>
      </c>
      <c r="J184" s="27" t="s">
        <v>28</v>
      </c>
      <c r="K184" s="27" t="s">
        <v>83</v>
      </c>
      <c r="L184" s="27" t="s">
        <v>139</v>
      </c>
      <c r="M184" s="27">
        <v>10</v>
      </c>
      <c r="N184" s="27">
        <v>45</v>
      </c>
      <c r="O184" s="27">
        <v>15</v>
      </c>
      <c r="P184" s="27">
        <v>382.5</v>
      </c>
      <c r="Q184" s="27">
        <v>4</v>
      </c>
      <c r="R184" s="27" t="s">
        <v>31</v>
      </c>
      <c r="S184" s="27" t="s">
        <v>96</v>
      </c>
      <c r="T184" s="27" t="s">
        <v>93</v>
      </c>
      <c r="U184" s="27">
        <v>9645913247</v>
      </c>
      <c r="V184" s="35" t="s">
        <v>34</v>
      </c>
      <c r="W184" s="40" t="str" cm="1">
        <f t="array" ref="W184">_xlfn.IFS(AND(P184&gt;=100000,Q184&gt;=4,O184&lt;=0.1,V184="Completed"),"Platinum",AND(P184&gt;=50000,P184&lt;=99999,Q184&gt;=3,V184="Completed"),"Golde",AND(P184&lt;50000,V184="Completed"),"Silver",OR(Q184&lt;=2,V184="Cancelled"),"BlackListed",TRUE,"Other")</f>
        <v>Silver</v>
      </c>
    </row>
    <row r="185" spans="1:23" ht="15" thickBot="1" x14ac:dyDescent="0.4">
      <c r="A185" s="30" t="s">
        <v>308</v>
      </c>
      <c r="B185" s="30" t="s">
        <v>55</v>
      </c>
      <c r="C185" s="30" t="s">
        <v>24</v>
      </c>
      <c r="D185" s="31">
        <v>45822</v>
      </c>
      <c r="E185" s="31">
        <v>45831</v>
      </c>
      <c r="F185" s="30" t="s">
        <v>57</v>
      </c>
      <c r="G185" s="30" t="s">
        <v>58</v>
      </c>
      <c r="H185" s="31">
        <v>29923</v>
      </c>
      <c r="I185" s="30" t="s">
        <v>37</v>
      </c>
      <c r="J185" s="30" t="s">
        <v>38</v>
      </c>
      <c r="K185" s="30" t="s">
        <v>29</v>
      </c>
      <c r="L185" s="30" t="s">
        <v>30</v>
      </c>
      <c r="M185" s="30">
        <v>7</v>
      </c>
      <c r="N185" s="30">
        <v>2200</v>
      </c>
      <c r="O185" s="30">
        <v>20</v>
      </c>
      <c r="P185" s="30">
        <v>12320</v>
      </c>
      <c r="Q185" s="30">
        <v>5</v>
      </c>
      <c r="R185" s="30" t="s">
        <v>65</v>
      </c>
      <c r="S185" s="30" t="s">
        <v>42</v>
      </c>
      <c r="T185" s="30" t="s">
        <v>61</v>
      </c>
      <c r="U185" s="30">
        <v>9806914795</v>
      </c>
      <c r="V185" s="38" t="s">
        <v>52</v>
      </c>
      <c r="W185" s="40" t="str" cm="1">
        <f t="array" ref="W185">_xlfn.IFS(AND(P185&gt;=100000,Q185&gt;=4,O185&lt;=0.1,V185="Completed"),"Platinum",AND(P185&gt;=50000,P185&lt;=99999,Q185&gt;=3,V185="Completed"),"Golde",AND(P185&lt;50000,V185="Completed"),"Silver",OR(Q185&lt;=2,V185="Cancelled"),"BlackListed",TRUE,"Other")</f>
        <v>Other</v>
      </c>
    </row>
    <row r="186" spans="1:23" ht="15" thickBot="1" x14ac:dyDescent="0.4">
      <c r="A186" s="27" t="s">
        <v>309</v>
      </c>
      <c r="B186" s="27" t="s">
        <v>72</v>
      </c>
      <c r="C186" s="27" t="s">
        <v>105</v>
      </c>
      <c r="D186" s="28">
        <v>45769</v>
      </c>
      <c r="E186" s="28">
        <v>45781</v>
      </c>
      <c r="F186" s="27" t="s">
        <v>73</v>
      </c>
      <c r="G186" s="27" t="s">
        <v>26</v>
      </c>
      <c r="H186" s="28">
        <v>30723</v>
      </c>
      <c r="I186" s="27" t="s">
        <v>147</v>
      </c>
      <c r="J186" s="27" t="s">
        <v>148</v>
      </c>
      <c r="K186" s="27" t="s">
        <v>29</v>
      </c>
      <c r="L186" s="27" t="s">
        <v>107</v>
      </c>
      <c r="M186" s="27">
        <v>20</v>
      </c>
      <c r="N186" s="27">
        <v>8500</v>
      </c>
      <c r="O186" s="27">
        <v>20</v>
      </c>
      <c r="P186" s="27">
        <v>136000</v>
      </c>
      <c r="Q186" s="27">
        <v>4</v>
      </c>
      <c r="R186" s="27" t="s">
        <v>41</v>
      </c>
      <c r="S186" s="27" t="s">
        <v>32</v>
      </c>
      <c r="T186" s="27" t="s">
        <v>93</v>
      </c>
      <c r="U186" s="27">
        <v>9276222829</v>
      </c>
      <c r="V186" s="35" t="s">
        <v>34</v>
      </c>
      <c r="W186" s="40" t="str" cm="1">
        <f t="array" ref="W186">_xlfn.IFS(AND(P186&gt;=100000,Q186&gt;=4,O186&lt;=0.1,V186="Completed"),"Platinum",AND(P186&gt;=50000,P186&lt;=99999,Q186&gt;=3,V186="Completed"),"Golde",AND(P186&lt;50000,V186="Completed"),"Silver",OR(Q186&lt;=2,V186="Cancelled"),"BlackListed",TRUE,"Other")</f>
        <v>Other</v>
      </c>
    </row>
    <row r="187" spans="1:23" ht="15" thickBot="1" x14ac:dyDescent="0.4">
      <c r="A187" s="30" t="s">
        <v>310</v>
      </c>
      <c r="B187" s="30" t="s">
        <v>134</v>
      </c>
      <c r="C187" s="30" t="s">
        <v>24</v>
      </c>
      <c r="D187" s="31">
        <v>45679</v>
      </c>
      <c r="E187" s="31">
        <v>45681</v>
      </c>
      <c r="F187" s="30" t="s">
        <v>135</v>
      </c>
      <c r="G187" s="30" t="s">
        <v>26</v>
      </c>
      <c r="H187" s="31">
        <v>33579</v>
      </c>
      <c r="I187" s="30" t="s">
        <v>27</v>
      </c>
      <c r="J187" s="30" t="s">
        <v>28</v>
      </c>
      <c r="K187" s="30" t="s">
        <v>29</v>
      </c>
      <c r="L187" s="30" t="s">
        <v>30</v>
      </c>
      <c r="M187" s="30">
        <v>10</v>
      </c>
      <c r="N187" s="30">
        <v>2200</v>
      </c>
      <c r="O187" s="30">
        <v>5</v>
      </c>
      <c r="P187" s="30">
        <v>20900</v>
      </c>
      <c r="Q187" s="30">
        <v>2</v>
      </c>
      <c r="R187" s="30" t="s">
        <v>41</v>
      </c>
      <c r="S187" s="30" t="s">
        <v>42</v>
      </c>
      <c r="T187" s="30" t="s">
        <v>136</v>
      </c>
      <c r="U187" s="30">
        <v>9533835528</v>
      </c>
      <c r="V187" s="36" t="s">
        <v>34</v>
      </c>
      <c r="W187" s="40" t="str" cm="1">
        <f t="array" ref="W187">_xlfn.IFS(AND(P187&gt;=100000,Q187&gt;=4,O187&lt;=0.1,V187="Completed"),"Platinum",AND(P187&gt;=50000,P187&lt;=99999,Q187&gt;=3,V187="Completed"),"Golde",AND(P187&lt;50000,V187="Completed"),"Silver",OR(Q187&lt;=2,V187="Cancelled"),"BlackListed",TRUE,"Other")</f>
        <v>Silver</v>
      </c>
    </row>
    <row r="188" spans="1:23" ht="15" thickBot="1" x14ac:dyDescent="0.4">
      <c r="A188" s="27" t="s">
        <v>311</v>
      </c>
      <c r="B188" s="27" t="s">
        <v>87</v>
      </c>
      <c r="C188" s="27" t="s">
        <v>82</v>
      </c>
      <c r="D188" s="28">
        <v>46007</v>
      </c>
      <c r="E188" s="28">
        <v>46017</v>
      </c>
      <c r="F188" s="27" t="s">
        <v>88</v>
      </c>
      <c r="G188" s="27" t="s">
        <v>58</v>
      </c>
      <c r="H188" s="28">
        <v>27811</v>
      </c>
      <c r="I188" s="27" t="s">
        <v>79</v>
      </c>
      <c r="J188" s="27" t="s">
        <v>75</v>
      </c>
      <c r="K188" s="27" t="s">
        <v>83</v>
      </c>
      <c r="L188" s="27" t="s">
        <v>84</v>
      </c>
      <c r="M188" s="27">
        <v>15</v>
      </c>
      <c r="N188" s="27">
        <v>60</v>
      </c>
      <c r="O188" s="27">
        <v>20</v>
      </c>
      <c r="P188" s="27">
        <v>720</v>
      </c>
      <c r="Q188" s="27">
        <v>1</v>
      </c>
      <c r="R188" s="27" t="s">
        <v>60</v>
      </c>
      <c r="S188" s="27" t="s">
        <v>32</v>
      </c>
      <c r="T188" s="27" t="s">
        <v>89</v>
      </c>
      <c r="U188" s="27">
        <v>9654885820</v>
      </c>
      <c r="V188" s="35" t="s">
        <v>34</v>
      </c>
      <c r="W188" s="40" t="str" cm="1">
        <f t="array" ref="W188">_xlfn.IFS(AND(P188&gt;=100000,Q188&gt;=4,O188&lt;=0.1,V188="Completed"),"Platinum",AND(P188&gt;=50000,P188&lt;=99999,Q188&gt;=3,V188="Completed"),"Golde",AND(P188&lt;50000,V188="Completed"),"Silver",OR(Q188&lt;=2,V188="Cancelled"),"BlackListed",TRUE,"Other")</f>
        <v>Silver</v>
      </c>
    </row>
    <row r="189" spans="1:23" ht="15" thickBot="1" x14ac:dyDescent="0.4">
      <c r="A189" s="30" t="s">
        <v>312</v>
      </c>
      <c r="B189" s="30" t="s">
        <v>124</v>
      </c>
      <c r="C189" s="30" t="s">
        <v>68</v>
      </c>
      <c r="D189" s="31">
        <v>45832</v>
      </c>
      <c r="E189" s="31">
        <v>45836</v>
      </c>
      <c r="F189" s="30" t="s">
        <v>126</v>
      </c>
      <c r="G189" s="30" t="s">
        <v>58</v>
      </c>
      <c r="H189" s="31">
        <v>27634</v>
      </c>
      <c r="I189" s="30" t="s">
        <v>27</v>
      </c>
      <c r="J189" s="30" t="s">
        <v>28</v>
      </c>
      <c r="K189" s="30" t="s">
        <v>29</v>
      </c>
      <c r="L189" s="30" t="s">
        <v>70</v>
      </c>
      <c r="M189" s="30">
        <v>18</v>
      </c>
      <c r="N189" s="30">
        <v>3500</v>
      </c>
      <c r="O189" s="30">
        <v>5</v>
      </c>
      <c r="P189" s="30">
        <v>59850</v>
      </c>
      <c r="Q189" s="30">
        <v>1</v>
      </c>
      <c r="R189" s="30" t="s">
        <v>60</v>
      </c>
      <c r="S189" s="30" t="s">
        <v>42</v>
      </c>
      <c r="T189" s="30" t="s">
        <v>128</v>
      </c>
      <c r="U189" s="30">
        <v>9456029544</v>
      </c>
      <c r="V189" s="38" t="s">
        <v>53</v>
      </c>
      <c r="W189" s="40" t="str" cm="1">
        <f t="array" ref="W189">_xlfn.IFS(AND(P189&gt;=100000,Q189&gt;=4,O189&lt;=0.1,V189="Completed"),"Platinum",AND(P189&gt;=50000,P189&lt;=99999,Q189&gt;=3,V189="Completed"),"Golde",AND(P189&lt;50000,V189="Completed"),"Silver",OR(Q189&lt;=2,V189="Cancelled"),"BlackListed",TRUE,"Other")</f>
        <v>BlackListed</v>
      </c>
    </row>
    <row r="190" spans="1:23" ht="15" thickBot="1" x14ac:dyDescent="0.4">
      <c r="A190" s="27" t="s">
        <v>313</v>
      </c>
      <c r="B190" s="27" t="s">
        <v>156</v>
      </c>
      <c r="C190" s="27" t="s">
        <v>36</v>
      </c>
      <c r="D190" s="28">
        <v>46154</v>
      </c>
      <c r="E190" s="28">
        <v>46164</v>
      </c>
      <c r="F190" s="27" t="s">
        <v>106</v>
      </c>
      <c r="G190" s="27" t="s">
        <v>58</v>
      </c>
      <c r="H190" s="28">
        <v>32116</v>
      </c>
      <c r="I190" s="27" t="s">
        <v>79</v>
      </c>
      <c r="J190" s="27" t="s">
        <v>75</v>
      </c>
      <c r="K190" s="27" t="s">
        <v>39</v>
      </c>
      <c r="L190" s="27" t="s">
        <v>40</v>
      </c>
      <c r="M190" s="27">
        <v>6</v>
      </c>
      <c r="N190" s="27">
        <v>12000</v>
      </c>
      <c r="O190" s="27">
        <v>5</v>
      </c>
      <c r="P190" s="27">
        <v>68400</v>
      </c>
      <c r="Q190" s="27">
        <v>1</v>
      </c>
      <c r="R190" s="27" t="s">
        <v>41</v>
      </c>
      <c r="S190" s="27" t="s">
        <v>42</v>
      </c>
      <c r="T190" s="27" t="s">
        <v>158</v>
      </c>
      <c r="U190" s="27">
        <v>9914571493</v>
      </c>
      <c r="V190" s="37" t="s">
        <v>53</v>
      </c>
      <c r="W190" s="40" t="str" cm="1">
        <f t="array" ref="W190">_xlfn.IFS(AND(P190&gt;=100000,Q190&gt;=4,O190&lt;=0.1,V190="Completed"),"Platinum",AND(P190&gt;=50000,P190&lt;=99999,Q190&gt;=3,V190="Completed"),"Golde",AND(P190&lt;50000,V190="Completed"),"Silver",OR(Q190&lt;=2,V190="Cancelled"),"BlackListed",TRUE,"Other")</f>
        <v>BlackListed</v>
      </c>
    </row>
    <row r="191" spans="1:23" ht="15" thickBot="1" x14ac:dyDescent="0.4">
      <c r="A191" s="30" t="s">
        <v>314</v>
      </c>
      <c r="B191" s="30" t="s">
        <v>156</v>
      </c>
      <c r="C191" s="30" t="s">
        <v>125</v>
      </c>
      <c r="D191" s="31">
        <v>46067</v>
      </c>
      <c r="E191" s="31">
        <v>46069</v>
      </c>
      <c r="F191" s="30" t="s">
        <v>106</v>
      </c>
      <c r="G191" s="30" t="s">
        <v>58</v>
      </c>
      <c r="H191" s="31">
        <v>38225</v>
      </c>
      <c r="I191" s="30" t="s">
        <v>48</v>
      </c>
      <c r="J191" s="30" t="s">
        <v>28</v>
      </c>
      <c r="K191" s="30" t="s">
        <v>83</v>
      </c>
      <c r="L191" s="30" t="s">
        <v>127</v>
      </c>
      <c r="M191" s="30">
        <v>19</v>
      </c>
      <c r="N191" s="30">
        <v>20</v>
      </c>
      <c r="O191" s="30">
        <v>10</v>
      </c>
      <c r="P191" s="30">
        <v>342</v>
      </c>
      <c r="Q191" s="30">
        <v>2</v>
      </c>
      <c r="R191" s="30" t="s">
        <v>41</v>
      </c>
      <c r="S191" s="30" t="s">
        <v>32</v>
      </c>
      <c r="T191" s="30" t="s">
        <v>158</v>
      </c>
      <c r="U191" s="30">
        <v>9270726986</v>
      </c>
      <c r="V191" s="38" t="s">
        <v>52</v>
      </c>
      <c r="W191" s="40" t="str" cm="1">
        <f t="array" ref="W191">_xlfn.IFS(AND(P191&gt;=100000,Q191&gt;=4,O191&lt;=0.1,V191="Completed"),"Platinum",AND(P191&gt;=50000,P191&lt;=99999,Q191&gt;=3,V191="Completed"),"Golde",AND(P191&lt;50000,V191="Completed"),"Silver",OR(Q191&lt;=2,V191="Cancelled"),"BlackListed",TRUE,"Other")</f>
        <v>BlackListed</v>
      </c>
    </row>
    <row r="192" spans="1:23" ht="15" thickBot="1" x14ac:dyDescent="0.4">
      <c r="A192" s="27" t="s">
        <v>315</v>
      </c>
      <c r="B192" s="27" t="s">
        <v>124</v>
      </c>
      <c r="C192" s="27" t="s">
        <v>24</v>
      </c>
      <c r="D192" s="28">
        <v>46155</v>
      </c>
      <c r="E192" s="28">
        <v>46162</v>
      </c>
      <c r="F192" s="27" t="s">
        <v>126</v>
      </c>
      <c r="G192" s="27" t="s">
        <v>58</v>
      </c>
      <c r="H192" s="28">
        <v>34350</v>
      </c>
      <c r="I192" s="27" t="s">
        <v>79</v>
      </c>
      <c r="J192" s="27" t="s">
        <v>75</v>
      </c>
      <c r="K192" s="27" t="s">
        <v>29</v>
      </c>
      <c r="L192" s="27" t="s">
        <v>30</v>
      </c>
      <c r="M192" s="27">
        <v>7</v>
      </c>
      <c r="N192" s="27">
        <v>2200</v>
      </c>
      <c r="O192" s="27">
        <v>0</v>
      </c>
      <c r="P192" s="27">
        <v>15400</v>
      </c>
      <c r="Q192" s="27">
        <v>1</v>
      </c>
      <c r="R192" s="27" t="s">
        <v>60</v>
      </c>
      <c r="S192" s="27" t="s">
        <v>80</v>
      </c>
      <c r="T192" s="27" t="s">
        <v>128</v>
      </c>
      <c r="U192" s="27">
        <v>9570080664</v>
      </c>
      <c r="V192" s="37" t="s">
        <v>53</v>
      </c>
      <c r="W192" s="40" t="str" cm="1">
        <f t="array" ref="W192">_xlfn.IFS(AND(P192&gt;=100000,Q192&gt;=4,O192&lt;=0.1,V192="Completed"),"Platinum",AND(P192&gt;=50000,P192&lt;=99999,Q192&gt;=3,V192="Completed"),"Golde",AND(P192&lt;50000,V192="Completed"),"Silver",OR(Q192&lt;=2,V192="Cancelled"),"BlackListed",TRUE,"Other")</f>
        <v>BlackListed</v>
      </c>
    </row>
    <row r="193" spans="1:23" ht="15" thickBot="1" x14ac:dyDescent="0.4">
      <c r="A193" s="30" t="s">
        <v>316</v>
      </c>
      <c r="B193" s="30" t="s">
        <v>156</v>
      </c>
      <c r="C193" s="30" t="s">
        <v>36</v>
      </c>
      <c r="D193" s="31">
        <v>45977</v>
      </c>
      <c r="E193" s="31">
        <v>45981</v>
      </c>
      <c r="F193" s="30" t="s">
        <v>106</v>
      </c>
      <c r="G193" s="30" t="s">
        <v>58</v>
      </c>
      <c r="H193" s="31">
        <v>37922</v>
      </c>
      <c r="I193" s="30" t="s">
        <v>121</v>
      </c>
      <c r="J193" s="30" t="s">
        <v>38</v>
      </c>
      <c r="K193" s="30" t="s">
        <v>39</v>
      </c>
      <c r="L193" s="30" t="s">
        <v>40</v>
      </c>
      <c r="M193" s="30">
        <v>3</v>
      </c>
      <c r="N193" s="30">
        <v>12000</v>
      </c>
      <c r="O193" s="30">
        <v>5</v>
      </c>
      <c r="P193" s="30">
        <v>34200</v>
      </c>
      <c r="Q193" s="30">
        <v>3</v>
      </c>
      <c r="R193" s="30" t="s">
        <v>60</v>
      </c>
      <c r="S193" s="30" t="s">
        <v>50</v>
      </c>
      <c r="T193" s="30" t="s">
        <v>158</v>
      </c>
      <c r="U193" s="30">
        <v>9109009524</v>
      </c>
      <c r="V193" s="38" t="s">
        <v>53</v>
      </c>
      <c r="W193" s="40" t="str" cm="1">
        <f t="array" ref="W193">_xlfn.IFS(AND(P193&gt;=100000,Q193&gt;=4,O193&lt;=0.1,V193="Completed"),"Platinum",AND(P193&gt;=50000,P193&lt;=99999,Q193&gt;=3,V193="Completed"),"Golde",AND(P193&lt;50000,V193="Completed"),"Silver",OR(Q193&lt;=2,V193="Cancelled"),"BlackListed",TRUE,"Other")</f>
        <v>BlackListed</v>
      </c>
    </row>
    <row r="194" spans="1:23" ht="15" thickBot="1" x14ac:dyDescent="0.4">
      <c r="A194" s="27" t="s">
        <v>317</v>
      </c>
      <c r="B194" s="27" t="s">
        <v>104</v>
      </c>
      <c r="C194" s="27" t="s">
        <v>24</v>
      </c>
      <c r="D194" s="28">
        <v>45953</v>
      </c>
      <c r="E194" s="28">
        <v>45965</v>
      </c>
      <c r="F194" s="27" t="s">
        <v>166</v>
      </c>
      <c r="G194" s="27" t="s">
        <v>26</v>
      </c>
      <c r="H194" s="28">
        <v>36662</v>
      </c>
      <c r="I194" s="27" t="s">
        <v>121</v>
      </c>
      <c r="J194" s="27" t="s">
        <v>38</v>
      </c>
      <c r="K194" s="27" t="s">
        <v>29</v>
      </c>
      <c r="L194" s="27" t="s">
        <v>30</v>
      </c>
      <c r="M194" s="27">
        <v>16</v>
      </c>
      <c r="N194" s="27">
        <v>2200</v>
      </c>
      <c r="O194" s="27">
        <v>0</v>
      </c>
      <c r="P194" s="27">
        <v>35200</v>
      </c>
      <c r="Q194" s="27">
        <v>5</v>
      </c>
      <c r="R194" s="27" t="s">
        <v>60</v>
      </c>
      <c r="S194" s="27" t="s">
        <v>32</v>
      </c>
      <c r="T194" s="27" t="s">
        <v>108</v>
      </c>
      <c r="U194" s="27">
        <v>9701276770</v>
      </c>
      <c r="V194" s="37" t="s">
        <v>52</v>
      </c>
      <c r="W194" s="40" t="str" cm="1">
        <f t="array" ref="W194">_xlfn.IFS(AND(P194&gt;=100000,Q194&gt;=4,O194&lt;=0.1,V194="Completed"),"Platinum",AND(P194&gt;=50000,P194&lt;=99999,Q194&gt;=3,V194="Completed"),"Golde",AND(P194&lt;50000,V194="Completed"),"Silver",OR(Q194&lt;=2,V194="Cancelled"),"BlackListed",TRUE,"Other")</f>
        <v>Other</v>
      </c>
    </row>
    <row r="195" spans="1:23" ht="15" thickBot="1" x14ac:dyDescent="0.4">
      <c r="A195" s="30" t="s">
        <v>318</v>
      </c>
      <c r="B195" s="30" t="s">
        <v>134</v>
      </c>
      <c r="C195" s="30" t="s">
        <v>24</v>
      </c>
      <c r="D195" s="31">
        <v>45704</v>
      </c>
      <c r="E195" s="31">
        <v>45706</v>
      </c>
      <c r="F195" s="30" t="s">
        <v>135</v>
      </c>
      <c r="G195" s="30" t="s">
        <v>26</v>
      </c>
      <c r="H195" s="31">
        <v>32693</v>
      </c>
      <c r="I195" s="30" t="s">
        <v>37</v>
      </c>
      <c r="J195" s="30" t="s">
        <v>38</v>
      </c>
      <c r="K195" s="30" t="s">
        <v>29</v>
      </c>
      <c r="L195" s="30" t="s">
        <v>30</v>
      </c>
      <c r="M195" s="30">
        <v>8</v>
      </c>
      <c r="N195" s="30">
        <v>2200</v>
      </c>
      <c r="O195" s="30">
        <v>5</v>
      </c>
      <c r="P195" s="30">
        <v>16720</v>
      </c>
      <c r="Q195" s="30">
        <v>2</v>
      </c>
      <c r="R195" s="30" t="s">
        <v>65</v>
      </c>
      <c r="S195" s="30" t="s">
        <v>96</v>
      </c>
      <c r="T195" s="30" t="s">
        <v>136</v>
      </c>
      <c r="U195" s="30">
        <v>9298278507</v>
      </c>
      <c r="V195" s="36" t="s">
        <v>34</v>
      </c>
      <c r="W195" s="40" t="str" cm="1">
        <f t="array" ref="W195">_xlfn.IFS(AND(P195&gt;=100000,Q195&gt;=4,O195&lt;=0.1,V195="Completed"),"Platinum",AND(P195&gt;=50000,P195&lt;=99999,Q195&gt;=3,V195="Completed"),"Golde",AND(P195&lt;50000,V195="Completed"),"Silver",OR(Q195&lt;=2,V195="Cancelled"),"BlackListed",TRUE,"Other")</f>
        <v>Silver</v>
      </c>
    </row>
    <row r="196" spans="1:23" ht="15" thickBot="1" x14ac:dyDescent="0.4">
      <c r="A196" s="27" t="s">
        <v>319</v>
      </c>
      <c r="B196" s="27" t="s">
        <v>134</v>
      </c>
      <c r="C196" s="27" t="s">
        <v>24</v>
      </c>
      <c r="D196" s="28">
        <v>46002</v>
      </c>
      <c r="E196" s="28">
        <v>46005</v>
      </c>
      <c r="F196" s="27" t="s">
        <v>135</v>
      </c>
      <c r="G196" s="27" t="s">
        <v>26</v>
      </c>
      <c r="H196" s="28">
        <v>35863</v>
      </c>
      <c r="I196" s="27" t="s">
        <v>91</v>
      </c>
      <c r="J196" s="27" t="s">
        <v>75</v>
      </c>
      <c r="K196" s="27" t="s">
        <v>29</v>
      </c>
      <c r="L196" s="27" t="s">
        <v>30</v>
      </c>
      <c r="M196" s="27">
        <v>10</v>
      </c>
      <c r="N196" s="27">
        <v>2200</v>
      </c>
      <c r="O196" s="27">
        <v>10</v>
      </c>
      <c r="P196" s="27">
        <v>19800</v>
      </c>
      <c r="Q196" s="27">
        <v>5</v>
      </c>
      <c r="R196" s="27" t="s">
        <v>41</v>
      </c>
      <c r="S196" s="27" t="s">
        <v>80</v>
      </c>
      <c r="T196" s="27" t="s">
        <v>136</v>
      </c>
      <c r="U196" s="27">
        <v>9895908093</v>
      </c>
      <c r="V196" s="37" t="s">
        <v>52</v>
      </c>
      <c r="W196" s="40" t="str" cm="1">
        <f t="array" ref="W196">_xlfn.IFS(AND(P196&gt;=100000,Q196&gt;=4,O196&lt;=0.1,V196="Completed"),"Platinum",AND(P196&gt;=50000,P196&lt;=99999,Q196&gt;=3,V196="Completed"),"Golde",AND(P196&lt;50000,V196="Completed"),"Silver",OR(Q196&lt;=2,V196="Cancelled"),"BlackListed",TRUE,"Other")</f>
        <v>Other</v>
      </c>
    </row>
    <row r="197" spans="1:23" ht="15" thickBot="1" x14ac:dyDescent="0.4">
      <c r="A197" s="30" t="s">
        <v>320</v>
      </c>
      <c r="B197" s="30" t="s">
        <v>63</v>
      </c>
      <c r="C197" s="30" t="s">
        <v>125</v>
      </c>
      <c r="D197" s="31">
        <v>45775</v>
      </c>
      <c r="E197" s="31">
        <v>45786</v>
      </c>
      <c r="F197" s="30" t="s">
        <v>110</v>
      </c>
      <c r="G197" s="30" t="s">
        <v>58</v>
      </c>
      <c r="H197" s="31">
        <v>32284</v>
      </c>
      <c r="I197" s="30" t="s">
        <v>37</v>
      </c>
      <c r="J197" s="30" t="s">
        <v>38</v>
      </c>
      <c r="K197" s="30" t="s">
        <v>83</v>
      </c>
      <c r="L197" s="30" t="s">
        <v>127</v>
      </c>
      <c r="M197" s="30">
        <v>7</v>
      </c>
      <c r="N197" s="30">
        <v>20</v>
      </c>
      <c r="O197" s="30">
        <v>10</v>
      </c>
      <c r="P197" s="30">
        <v>126</v>
      </c>
      <c r="Q197" s="30">
        <v>4</v>
      </c>
      <c r="R197" s="30" t="s">
        <v>60</v>
      </c>
      <c r="S197" s="30" t="s">
        <v>50</v>
      </c>
      <c r="T197" s="30" t="s">
        <v>66</v>
      </c>
      <c r="U197" s="30">
        <v>9734108795</v>
      </c>
      <c r="V197" s="36" t="s">
        <v>34</v>
      </c>
      <c r="W197" s="40" t="str" cm="1">
        <f t="array" ref="W197">_xlfn.IFS(AND(P197&gt;=100000,Q197&gt;=4,O197&lt;=0.1,V197="Completed"),"Platinum",AND(P197&gt;=50000,P197&lt;=99999,Q197&gt;=3,V197="Completed"),"Golde",AND(P197&lt;50000,V197="Completed"),"Silver",OR(Q197&lt;=2,V197="Cancelled"),"BlackListed",TRUE,"Other")</f>
        <v>Silver</v>
      </c>
    </row>
    <row r="198" spans="1:23" ht="15" thickBot="1" x14ac:dyDescent="0.4">
      <c r="A198" s="27" t="s">
        <v>321</v>
      </c>
      <c r="B198" s="27" t="s">
        <v>124</v>
      </c>
      <c r="C198" s="27" t="s">
        <v>105</v>
      </c>
      <c r="D198" s="28">
        <v>46033</v>
      </c>
      <c r="E198" s="28">
        <v>46036</v>
      </c>
      <c r="F198" s="27" t="s">
        <v>126</v>
      </c>
      <c r="G198" s="27" t="s">
        <v>58</v>
      </c>
      <c r="H198" s="28">
        <v>34533</v>
      </c>
      <c r="I198" s="27" t="s">
        <v>27</v>
      </c>
      <c r="J198" s="27" t="s">
        <v>28</v>
      </c>
      <c r="K198" s="27" t="s">
        <v>29</v>
      </c>
      <c r="L198" s="27" t="s">
        <v>107</v>
      </c>
      <c r="M198" s="27">
        <v>19</v>
      </c>
      <c r="N198" s="27">
        <v>8500</v>
      </c>
      <c r="O198" s="27">
        <v>20</v>
      </c>
      <c r="P198" s="27">
        <v>129200</v>
      </c>
      <c r="Q198" s="27">
        <v>3</v>
      </c>
      <c r="R198" s="27" t="s">
        <v>41</v>
      </c>
      <c r="S198" s="27" t="s">
        <v>50</v>
      </c>
      <c r="T198" s="27" t="s">
        <v>128</v>
      </c>
      <c r="U198" s="27">
        <v>9799597413</v>
      </c>
      <c r="V198" s="37" t="s">
        <v>52</v>
      </c>
      <c r="W198" s="40" t="str" cm="1">
        <f t="array" ref="W198">_xlfn.IFS(AND(P198&gt;=100000,Q198&gt;=4,O198&lt;=0.1,V198="Completed"),"Platinum",AND(P198&gt;=50000,P198&lt;=99999,Q198&gt;=3,V198="Completed"),"Golde",AND(P198&lt;50000,V198="Completed"),"Silver",OR(Q198&lt;=2,V198="Cancelled"),"BlackListed",TRUE,"Other")</f>
        <v>Other</v>
      </c>
    </row>
    <row r="199" spans="1:23" ht="15" thickBot="1" x14ac:dyDescent="0.4">
      <c r="A199" s="30" t="s">
        <v>322</v>
      </c>
      <c r="B199" s="30" t="s">
        <v>72</v>
      </c>
      <c r="C199" s="30" t="s">
        <v>82</v>
      </c>
      <c r="D199" s="31">
        <v>45717</v>
      </c>
      <c r="E199" s="31">
        <v>45722</v>
      </c>
      <c r="F199" s="30" t="s">
        <v>73</v>
      </c>
      <c r="G199" s="30" t="s">
        <v>26</v>
      </c>
      <c r="H199" s="31">
        <v>28444</v>
      </c>
      <c r="I199" s="30" t="s">
        <v>79</v>
      </c>
      <c r="J199" s="30" t="s">
        <v>75</v>
      </c>
      <c r="K199" s="30" t="s">
        <v>83</v>
      </c>
      <c r="L199" s="30" t="s">
        <v>84</v>
      </c>
      <c r="M199" s="30">
        <v>16</v>
      </c>
      <c r="N199" s="30">
        <v>60</v>
      </c>
      <c r="O199" s="30">
        <v>0</v>
      </c>
      <c r="P199" s="30">
        <v>960</v>
      </c>
      <c r="Q199" s="30">
        <v>2</v>
      </c>
      <c r="R199" s="30" t="s">
        <v>41</v>
      </c>
      <c r="S199" s="30" t="s">
        <v>80</v>
      </c>
      <c r="T199" s="30" t="s">
        <v>93</v>
      </c>
      <c r="U199" s="30">
        <v>9688987266</v>
      </c>
      <c r="V199" s="36" t="s">
        <v>34</v>
      </c>
      <c r="W199" s="40" t="str" cm="1">
        <f t="array" ref="W199">_xlfn.IFS(AND(P199&gt;=100000,Q199&gt;=4,O199&lt;=0.1,V199="Completed"),"Platinum",AND(P199&gt;=50000,P199&lt;=99999,Q199&gt;=3,V199="Completed"),"Golde",AND(P199&lt;50000,V199="Completed"),"Silver",OR(Q199&lt;=2,V199="Cancelled"),"BlackListed",TRUE,"Other")</f>
        <v>Silver</v>
      </c>
    </row>
    <row r="200" spans="1:23" ht="15" thickBot="1" x14ac:dyDescent="0.4">
      <c r="A200" s="27" t="s">
        <v>323</v>
      </c>
      <c r="B200" s="27" t="s">
        <v>124</v>
      </c>
      <c r="C200" s="27" t="s">
        <v>68</v>
      </c>
      <c r="D200" s="28">
        <v>46127</v>
      </c>
      <c r="E200" s="28">
        <v>46139</v>
      </c>
      <c r="F200" s="27" t="s">
        <v>126</v>
      </c>
      <c r="G200" s="27" t="s">
        <v>58</v>
      </c>
      <c r="H200" s="28">
        <v>30216</v>
      </c>
      <c r="I200" s="27" t="s">
        <v>48</v>
      </c>
      <c r="J200" s="27" t="s">
        <v>28</v>
      </c>
      <c r="K200" s="27" t="s">
        <v>324</v>
      </c>
      <c r="L200" s="27" t="s">
        <v>70</v>
      </c>
      <c r="M200" s="27">
        <v>18</v>
      </c>
      <c r="N200" s="27">
        <v>3500</v>
      </c>
      <c r="O200" s="27">
        <v>5</v>
      </c>
      <c r="P200" s="27">
        <v>59850</v>
      </c>
      <c r="Q200" s="27">
        <v>1</v>
      </c>
      <c r="R200" s="27" t="s">
        <v>65</v>
      </c>
      <c r="S200" s="27" t="s">
        <v>80</v>
      </c>
      <c r="T200" s="27" t="s">
        <v>128</v>
      </c>
      <c r="U200" s="27">
        <v>9867169037</v>
      </c>
      <c r="V200" s="37" t="s">
        <v>52</v>
      </c>
      <c r="W200" s="40" t="str" cm="1">
        <f t="array" ref="W200">_xlfn.IFS(AND(P200&gt;=100000,Q200&gt;=4,O200&lt;=0.1,V200="Completed"),"Platinum",AND(P200&gt;=50000,P200&lt;=99999,Q200&gt;=3,V200="Completed"),"Golde",AND(P200&lt;50000,V200="Completed"),"Silver",OR(Q200&lt;=2,V200="Cancelled"),"BlackListed",TRUE,"Other")</f>
        <v>BlackListed</v>
      </c>
    </row>
    <row r="201" spans="1:23" ht="15" thickBot="1" x14ac:dyDescent="0.4">
      <c r="A201" s="30" t="s">
        <v>325</v>
      </c>
      <c r="B201" s="30" t="s">
        <v>72</v>
      </c>
      <c r="C201" s="30" t="s">
        <v>46</v>
      </c>
      <c r="D201" s="31">
        <v>45708</v>
      </c>
      <c r="E201" s="31">
        <v>45717</v>
      </c>
      <c r="F201" s="30" t="s">
        <v>73</v>
      </c>
      <c r="G201" s="30" t="s">
        <v>26</v>
      </c>
      <c r="H201" s="31">
        <v>34591</v>
      </c>
      <c r="I201" s="30" t="s">
        <v>121</v>
      </c>
      <c r="J201" s="30" t="s">
        <v>38</v>
      </c>
      <c r="K201" s="30" t="s">
        <v>39</v>
      </c>
      <c r="L201" s="30" t="s">
        <v>49</v>
      </c>
      <c r="M201" s="30">
        <v>16</v>
      </c>
      <c r="N201" s="30">
        <v>55000</v>
      </c>
      <c r="O201" s="30">
        <v>0</v>
      </c>
      <c r="P201" s="30">
        <v>880000</v>
      </c>
      <c r="Q201" s="30">
        <v>1</v>
      </c>
      <c r="R201" s="30" t="s">
        <v>60</v>
      </c>
      <c r="S201" s="30" t="s">
        <v>50</v>
      </c>
      <c r="T201" s="30" t="s">
        <v>93</v>
      </c>
      <c r="U201" s="30">
        <v>9485547425</v>
      </c>
      <c r="V201" s="38" t="s">
        <v>53</v>
      </c>
      <c r="W201" s="40" t="str" cm="1">
        <f t="array" ref="W201">_xlfn.IFS(AND(P201&gt;=100000,Q201&gt;=4,O201&lt;=0.1,V201="Completed"),"Platinum",AND(P201&gt;=50000,P201&lt;=99999,Q201&gt;=3,V201="Completed"),"Golde",AND(P201&lt;50000,V201="Completed"),"Silver",OR(Q201&lt;=2,V201="Cancelled"),"BlackListed",TRUE,"Other")</f>
        <v>BlackListed</v>
      </c>
    </row>
    <row r="202" spans="1:23" ht="15" thickBot="1" x14ac:dyDescent="0.4">
      <c r="A202" s="27" t="s">
        <v>326</v>
      </c>
      <c r="B202" s="27" t="s">
        <v>124</v>
      </c>
      <c r="C202" s="27" t="s">
        <v>56</v>
      </c>
      <c r="D202" s="28">
        <v>45694</v>
      </c>
      <c r="E202" s="28">
        <v>45697</v>
      </c>
      <c r="F202" s="27" t="s">
        <v>126</v>
      </c>
      <c r="G202" s="27" t="s">
        <v>58</v>
      </c>
      <c r="H202" s="28">
        <v>35035</v>
      </c>
      <c r="I202" s="27" t="s">
        <v>91</v>
      </c>
      <c r="J202" s="27" t="s">
        <v>75</v>
      </c>
      <c r="K202" s="27" t="s">
        <v>39</v>
      </c>
      <c r="L202" s="27" t="s">
        <v>59</v>
      </c>
      <c r="M202" s="27">
        <v>18</v>
      </c>
      <c r="N202" s="27">
        <v>1200</v>
      </c>
      <c r="O202" s="27">
        <v>15</v>
      </c>
      <c r="P202" s="27">
        <v>18360</v>
      </c>
      <c r="Q202" s="27">
        <v>2</v>
      </c>
      <c r="R202" s="27" t="s">
        <v>41</v>
      </c>
      <c r="S202" s="27" t="s">
        <v>32</v>
      </c>
      <c r="T202" s="27" t="s">
        <v>128</v>
      </c>
      <c r="U202" s="27">
        <v>9889733076</v>
      </c>
      <c r="V202" s="37" t="s">
        <v>53</v>
      </c>
      <c r="W202" s="40" t="str" cm="1">
        <f t="array" ref="W202">_xlfn.IFS(AND(P202&gt;=100000,Q202&gt;=4,O202&lt;=0.1,V202="Completed"),"Platinum",AND(P202&gt;=50000,P202&lt;=99999,Q202&gt;=3,V202="Completed"),"Golde",AND(P202&lt;50000,V202="Completed"),"Silver",OR(Q202&lt;=2,V202="Cancelled"),"BlackListed",TRUE,"Other")</f>
        <v>BlackListed</v>
      </c>
    </row>
    <row r="203" spans="1:23" ht="15" thickBot="1" x14ac:dyDescent="0.4">
      <c r="A203" s="30" t="s">
        <v>327</v>
      </c>
      <c r="B203" s="30" t="s">
        <v>55</v>
      </c>
      <c r="C203" s="30" t="s">
        <v>138</v>
      </c>
      <c r="D203" s="31">
        <v>45801</v>
      </c>
      <c r="E203" s="31">
        <v>45804</v>
      </c>
      <c r="F203" s="30" t="s">
        <v>57</v>
      </c>
      <c r="G203" s="30" t="s">
        <v>58</v>
      </c>
      <c r="H203" s="31">
        <v>31238</v>
      </c>
      <c r="I203" s="30" t="s">
        <v>27</v>
      </c>
      <c r="J203" s="30" t="s">
        <v>28</v>
      </c>
      <c r="K203" s="30" t="s">
        <v>83</v>
      </c>
      <c r="L203" s="30" t="s">
        <v>139</v>
      </c>
      <c r="M203" s="30">
        <v>2</v>
      </c>
      <c r="N203" s="30">
        <v>45</v>
      </c>
      <c r="O203" s="30">
        <v>15</v>
      </c>
      <c r="P203" s="30">
        <v>76.5</v>
      </c>
      <c r="Q203" s="30">
        <v>5</v>
      </c>
      <c r="R203" s="30" t="s">
        <v>31</v>
      </c>
      <c r="S203" s="30" t="s">
        <v>50</v>
      </c>
      <c r="T203" s="30" t="s">
        <v>61</v>
      </c>
      <c r="U203" s="30">
        <v>9145434449</v>
      </c>
      <c r="V203" s="38" t="s">
        <v>53</v>
      </c>
      <c r="W203" s="40" t="str" cm="1">
        <f t="array" ref="W203">_xlfn.IFS(AND(P203&gt;=100000,Q203&gt;=4,O203&lt;=0.1,V203="Completed"),"Platinum",AND(P203&gt;=50000,P203&lt;=99999,Q203&gt;=3,V203="Completed"),"Golde",AND(P203&lt;50000,V203="Completed"),"Silver",OR(Q203&lt;=2,V203="Cancelled"),"BlackListed",TRUE,"Other")</f>
        <v>BlackListed</v>
      </c>
    </row>
    <row r="204" spans="1:23" ht="15" thickBot="1" x14ac:dyDescent="0.4">
      <c r="A204" s="27" t="s">
        <v>328</v>
      </c>
      <c r="B204" s="27" t="s">
        <v>45</v>
      </c>
      <c r="C204" s="27" t="s">
        <v>105</v>
      </c>
      <c r="D204" s="28">
        <v>46028</v>
      </c>
      <c r="E204" s="28">
        <v>46034</v>
      </c>
      <c r="F204" s="27" t="s">
        <v>101</v>
      </c>
      <c r="G204" s="27" t="s">
        <v>26</v>
      </c>
      <c r="H204" s="28">
        <v>36975</v>
      </c>
      <c r="I204" s="27" t="s">
        <v>48</v>
      </c>
      <c r="J204" s="27" t="s">
        <v>28</v>
      </c>
      <c r="K204" s="27" t="s">
        <v>29</v>
      </c>
      <c r="L204" s="27" t="s">
        <v>107</v>
      </c>
      <c r="M204" s="27">
        <v>20</v>
      </c>
      <c r="N204" s="27">
        <v>8500</v>
      </c>
      <c r="O204" s="27">
        <v>0</v>
      </c>
      <c r="P204" s="27">
        <v>170000</v>
      </c>
      <c r="Q204" s="27">
        <v>4</v>
      </c>
      <c r="R204" s="27" t="s">
        <v>41</v>
      </c>
      <c r="S204" s="27" t="s">
        <v>50</v>
      </c>
      <c r="T204" s="27" t="s">
        <v>51</v>
      </c>
      <c r="U204" s="27">
        <v>9598942148</v>
      </c>
      <c r="V204" s="37" t="s">
        <v>53</v>
      </c>
      <c r="W204" s="40" t="str" cm="1">
        <f t="array" ref="W204">_xlfn.IFS(AND(P204&gt;=100000,Q204&gt;=4,O204&lt;=0.1,V204="Completed"),"Platinum",AND(P204&gt;=50000,P204&lt;=99999,Q204&gt;=3,V204="Completed"),"Golde",AND(P204&lt;50000,V204="Completed"),"Silver",OR(Q204&lt;=2,V204="Cancelled"),"BlackListed",TRUE,"Other")</f>
        <v>BlackListed</v>
      </c>
    </row>
    <row r="205" spans="1:23" ht="15" thickBot="1" x14ac:dyDescent="0.4">
      <c r="A205" s="30" t="s">
        <v>329</v>
      </c>
      <c r="B205" s="30" t="s">
        <v>87</v>
      </c>
      <c r="C205" s="30" t="s">
        <v>68</v>
      </c>
      <c r="D205" s="31">
        <v>46089</v>
      </c>
      <c r="E205" s="31">
        <v>46090</v>
      </c>
      <c r="F205" s="30" t="s">
        <v>88</v>
      </c>
      <c r="G205" s="30" t="s">
        <v>58</v>
      </c>
      <c r="H205" s="31">
        <v>29703</v>
      </c>
      <c r="I205" s="30" t="s">
        <v>121</v>
      </c>
      <c r="J205" s="30" t="s">
        <v>38</v>
      </c>
      <c r="K205" s="30" t="s">
        <v>29</v>
      </c>
      <c r="L205" s="30" t="s">
        <v>70</v>
      </c>
      <c r="M205" s="30">
        <v>6</v>
      </c>
      <c r="N205" s="30">
        <v>3500</v>
      </c>
      <c r="O205" s="30">
        <v>5</v>
      </c>
      <c r="P205" s="30">
        <v>19950</v>
      </c>
      <c r="Q205" s="30">
        <v>1</v>
      </c>
      <c r="R205" s="30" t="s">
        <v>31</v>
      </c>
      <c r="S205" s="30" t="s">
        <v>96</v>
      </c>
      <c r="T205" s="30" t="s">
        <v>89</v>
      </c>
      <c r="U205" s="30">
        <v>9599252705</v>
      </c>
      <c r="V205" s="36" t="s">
        <v>34</v>
      </c>
      <c r="W205" s="40" t="str" cm="1">
        <f t="array" ref="W205">_xlfn.IFS(AND(P205&gt;=100000,Q205&gt;=4,O205&lt;=0.1,V205="Completed"),"Platinum",AND(P205&gt;=50000,P205&lt;=99999,Q205&gt;=3,V205="Completed"),"Golde",AND(P205&lt;50000,V205="Completed"),"Silver",OR(Q205&lt;=2,V205="Cancelled"),"BlackListed",TRUE,"Other")</f>
        <v>Silver</v>
      </c>
    </row>
    <row r="206" spans="1:23" ht="15" thickBot="1" x14ac:dyDescent="0.4">
      <c r="A206" s="27" t="s">
        <v>330</v>
      </c>
      <c r="B206" s="27" t="s">
        <v>104</v>
      </c>
      <c r="C206" s="27" t="s">
        <v>138</v>
      </c>
      <c r="D206" s="28">
        <v>45935</v>
      </c>
      <c r="E206" s="28">
        <v>45939</v>
      </c>
      <c r="F206" s="27" t="s">
        <v>166</v>
      </c>
      <c r="G206" s="27" t="s">
        <v>26</v>
      </c>
      <c r="H206" s="28">
        <v>37635</v>
      </c>
      <c r="I206" s="27" t="s">
        <v>79</v>
      </c>
      <c r="J206" s="27" t="s">
        <v>75</v>
      </c>
      <c r="K206" s="27" t="s">
        <v>83</v>
      </c>
      <c r="L206" s="27" t="s">
        <v>139</v>
      </c>
      <c r="M206" s="27">
        <v>8</v>
      </c>
      <c r="N206" s="27">
        <v>45</v>
      </c>
      <c r="O206" s="27">
        <v>5</v>
      </c>
      <c r="P206" s="27">
        <v>342</v>
      </c>
      <c r="Q206" s="27">
        <v>2</v>
      </c>
      <c r="R206" s="27" t="s">
        <v>31</v>
      </c>
      <c r="S206" s="27" t="s">
        <v>42</v>
      </c>
      <c r="T206" s="27" t="s">
        <v>108</v>
      </c>
      <c r="U206" s="27">
        <v>9626843681</v>
      </c>
      <c r="V206" s="37" t="s">
        <v>52</v>
      </c>
      <c r="W206" s="40" t="str" cm="1">
        <f t="array" ref="W206">_xlfn.IFS(AND(P206&gt;=100000,Q206&gt;=4,O206&lt;=0.1,V206="Completed"),"Platinum",AND(P206&gt;=50000,P206&lt;=99999,Q206&gt;=3,V206="Completed"),"Golde",AND(P206&lt;50000,V206="Completed"),"Silver",OR(Q206&lt;=2,V206="Cancelled"),"BlackListed",TRUE,"Other")</f>
        <v>BlackListed</v>
      </c>
    </row>
    <row r="207" spans="1:23" ht="15" thickBot="1" x14ac:dyDescent="0.4">
      <c r="A207" s="30" t="s">
        <v>331</v>
      </c>
      <c r="B207" s="30" t="s">
        <v>156</v>
      </c>
      <c r="C207" s="30" t="s">
        <v>24</v>
      </c>
      <c r="D207" s="31">
        <v>45722</v>
      </c>
      <c r="E207" s="31">
        <v>45728</v>
      </c>
      <c r="F207" s="30" t="s">
        <v>106</v>
      </c>
      <c r="G207" s="30" t="s">
        <v>58</v>
      </c>
      <c r="H207" s="31">
        <v>29496</v>
      </c>
      <c r="I207" s="30" t="s">
        <v>74</v>
      </c>
      <c r="J207" s="30" t="s">
        <v>75</v>
      </c>
      <c r="K207" s="30" t="s">
        <v>29</v>
      </c>
      <c r="L207" s="30" t="s">
        <v>30</v>
      </c>
      <c r="M207" s="30">
        <v>18</v>
      </c>
      <c r="N207" s="30">
        <v>2200</v>
      </c>
      <c r="O207" s="30">
        <v>15</v>
      </c>
      <c r="P207" s="30">
        <v>33660</v>
      </c>
      <c r="Q207" s="30">
        <v>4</v>
      </c>
      <c r="R207" s="30" t="s">
        <v>60</v>
      </c>
      <c r="S207" s="30" t="s">
        <v>50</v>
      </c>
      <c r="T207" s="30" t="s">
        <v>158</v>
      </c>
      <c r="U207" s="30">
        <v>9934933215</v>
      </c>
      <c r="V207" s="38" t="s">
        <v>52</v>
      </c>
      <c r="W207" s="40" t="str" cm="1">
        <f t="array" ref="W207">_xlfn.IFS(AND(P207&gt;=100000,Q207&gt;=4,O207&lt;=0.1,V207="Completed"),"Platinum",AND(P207&gt;=50000,P207&lt;=99999,Q207&gt;=3,V207="Completed"),"Golde",AND(P207&lt;50000,V207="Completed"),"Silver",OR(Q207&lt;=2,V207="Cancelled"),"BlackListed",TRUE,"Other")</f>
        <v>Other</v>
      </c>
    </row>
    <row r="208" spans="1:23" ht="15" thickBot="1" x14ac:dyDescent="0.4">
      <c r="A208" s="27" t="s">
        <v>332</v>
      </c>
      <c r="B208" s="27" t="s">
        <v>124</v>
      </c>
      <c r="C208" s="27" t="s">
        <v>112</v>
      </c>
      <c r="D208" s="28">
        <v>46118</v>
      </c>
      <c r="E208" s="28">
        <v>46127</v>
      </c>
      <c r="F208" s="27" t="s">
        <v>126</v>
      </c>
      <c r="G208" s="27" t="s">
        <v>58</v>
      </c>
      <c r="H208" s="28">
        <v>33170</v>
      </c>
      <c r="I208" s="27" t="s">
        <v>27</v>
      </c>
      <c r="J208" s="27" t="s">
        <v>28</v>
      </c>
      <c r="K208" s="27" t="s">
        <v>39</v>
      </c>
      <c r="L208" s="27" t="s">
        <v>114</v>
      </c>
      <c r="M208" s="27">
        <v>18</v>
      </c>
      <c r="N208" s="27">
        <v>700</v>
      </c>
      <c r="O208" s="27">
        <v>15</v>
      </c>
      <c r="P208" s="27">
        <v>10710</v>
      </c>
      <c r="Q208" s="27">
        <v>3</v>
      </c>
      <c r="R208" s="27" t="s">
        <v>60</v>
      </c>
      <c r="S208" s="27" t="s">
        <v>96</v>
      </c>
      <c r="T208" s="27" t="s">
        <v>128</v>
      </c>
      <c r="U208" s="27">
        <v>9508025585</v>
      </c>
      <c r="V208" s="37" t="s">
        <v>53</v>
      </c>
      <c r="W208" s="40" t="str" cm="1">
        <f t="array" ref="W208">_xlfn.IFS(AND(P208&gt;=100000,Q208&gt;=4,O208&lt;=0.1,V208="Completed"),"Platinum",AND(P208&gt;=50000,P208&lt;=99999,Q208&gt;=3,V208="Completed"),"Golde",AND(P208&lt;50000,V208="Completed"),"Silver",OR(Q208&lt;=2,V208="Cancelled"),"BlackListed",TRUE,"Other")</f>
        <v>BlackListed</v>
      </c>
    </row>
    <row r="209" spans="1:23" ht="15" thickBot="1" x14ac:dyDescent="0.4">
      <c r="A209" s="30" t="s">
        <v>333</v>
      </c>
      <c r="B209" s="30" t="s">
        <v>156</v>
      </c>
      <c r="C209" s="30" t="s">
        <v>46</v>
      </c>
      <c r="D209" s="31">
        <v>46039</v>
      </c>
      <c r="E209" s="31">
        <v>46042</v>
      </c>
      <c r="F209" s="30" t="s">
        <v>106</v>
      </c>
      <c r="G209" s="30" t="s">
        <v>58</v>
      </c>
      <c r="H209" s="31">
        <v>28392</v>
      </c>
      <c r="I209" s="30" t="s">
        <v>79</v>
      </c>
      <c r="J209" s="30" t="s">
        <v>75</v>
      </c>
      <c r="K209" s="30" t="s">
        <v>39</v>
      </c>
      <c r="L209" s="30" t="s">
        <v>49</v>
      </c>
      <c r="M209" s="30">
        <v>12</v>
      </c>
      <c r="N209" s="30">
        <v>55000</v>
      </c>
      <c r="O209" s="30">
        <v>0</v>
      </c>
      <c r="P209" s="30">
        <v>660000</v>
      </c>
      <c r="Q209" s="30">
        <v>2</v>
      </c>
      <c r="R209" s="30" t="s">
        <v>65</v>
      </c>
      <c r="S209" s="30" t="s">
        <v>42</v>
      </c>
      <c r="T209" s="30" t="s">
        <v>158</v>
      </c>
      <c r="U209" s="30">
        <v>9364681052</v>
      </c>
      <c r="V209" s="38" t="s">
        <v>53</v>
      </c>
      <c r="W209" s="40" t="str" cm="1">
        <f t="array" ref="W209">_xlfn.IFS(AND(P209&gt;=100000,Q209&gt;=4,O209&lt;=0.1,V209="Completed"),"Platinum",AND(P209&gt;=50000,P209&lt;=99999,Q209&gt;=3,V209="Completed"),"Golde",AND(P209&lt;50000,V209="Completed"),"Silver",OR(Q209&lt;=2,V209="Cancelled"),"BlackListed",TRUE,"Other")</f>
        <v>BlackListed</v>
      </c>
    </row>
    <row r="210" spans="1:23" ht="15" thickBot="1" x14ac:dyDescent="0.4">
      <c r="A210" s="27" t="s">
        <v>334</v>
      </c>
      <c r="B210" s="27" t="s">
        <v>23</v>
      </c>
      <c r="C210" s="27" t="s">
        <v>36</v>
      </c>
      <c r="D210" s="28">
        <v>45976</v>
      </c>
      <c r="E210" s="28">
        <v>45985</v>
      </c>
      <c r="F210" s="27" t="s">
        <v>25</v>
      </c>
      <c r="G210" s="27" t="s">
        <v>26</v>
      </c>
      <c r="H210" s="28">
        <v>35340</v>
      </c>
      <c r="I210" s="27" t="s">
        <v>74</v>
      </c>
      <c r="J210" s="27" t="s">
        <v>75</v>
      </c>
      <c r="K210" s="27" t="s">
        <v>39</v>
      </c>
      <c r="L210" s="27" t="s">
        <v>40</v>
      </c>
      <c r="M210" s="27">
        <v>7</v>
      </c>
      <c r="N210" s="27">
        <v>12000</v>
      </c>
      <c r="O210" s="27">
        <v>5</v>
      </c>
      <c r="P210" s="27">
        <v>79800</v>
      </c>
      <c r="Q210" s="27">
        <v>3</v>
      </c>
      <c r="R210" s="27" t="s">
        <v>60</v>
      </c>
      <c r="S210" s="27" t="s">
        <v>96</v>
      </c>
      <c r="T210" s="27" t="s">
        <v>43</v>
      </c>
      <c r="U210" s="27">
        <v>9117102884</v>
      </c>
      <c r="V210" s="37" t="s">
        <v>52</v>
      </c>
      <c r="W210" s="40" t="str" cm="1">
        <f t="array" ref="W210">_xlfn.IFS(AND(P210&gt;=100000,Q210&gt;=4,O210&lt;=0.1,V210="Completed"),"Platinum",AND(P210&gt;=50000,P210&lt;=99999,Q210&gt;=3,V210="Completed"),"Golde",AND(P210&lt;50000,V210="Completed"),"Silver",OR(Q210&lt;=2,V210="Cancelled"),"BlackListed",TRUE,"Other")</f>
        <v>Other</v>
      </c>
    </row>
    <row r="211" spans="1:23" ht="15" thickBot="1" x14ac:dyDescent="0.4">
      <c r="A211" s="30" t="s">
        <v>335</v>
      </c>
      <c r="B211" s="30" t="s">
        <v>134</v>
      </c>
      <c r="C211" s="30" t="s">
        <v>36</v>
      </c>
      <c r="D211" s="31">
        <v>45921</v>
      </c>
      <c r="E211" s="31">
        <v>45923</v>
      </c>
      <c r="F211" s="30" t="s">
        <v>135</v>
      </c>
      <c r="G211" s="30" t="s">
        <v>26</v>
      </c>
      <c r="H211" s="31">
        <v>27897</v>
      </c>
      <c r="I211" s="30" t="s">
        <v>74</v>
      </c>
      <c r="J211" s="30" t="s">
        <v>75</v>
      </c>
      <c r="K211" s="30" t="s">
        <v>39</v>
      </c>
      <c r="L211" s="30" t="s">
        <v>40</v>
      </c>
      <c r="M211" s="30">
        <v>8</v>
      </c>
      <c r="N211" s="30">
        <v>12000</v>
      </c>
      <c r="O211" s="30">
        <v>15</v>
      </c>
      <c r="P211" s="30">
        <v>81600</v>
      </c>
      <c r="Q211" s="30">
        <v>4</v>
      </c>
      <c r="R211" s="30" t="s">
        <v>60</v>
      </c>
      <c r="S211" s="30" t="s">
        <v>42</v>
      </c>
      <c r="T211" s="30" t="s">
        <v>136</v>
      </c>
      <c r="U211" s="30">
        <v>9819453185</v>
      </c>
      <c r="V211" s="36" t="s">
        <v>34</v>
      </c>
      <c r="W211" s="40" t="str" cm="1">
        <f t="array" ref="W211">_xlfn.IFS(AND(P211&gt;=100000,Q211&gt;=4,O211&lt;=0.1,V211="Completed"),"Platinum",AND(P211&gt;=50000,P211&lt;=99999,Q211&gt;=3,V211="Completed"),"Golde",AND(P211&lt;50000,V211="Completed"),"Silver",OR(Q211&lt;=2,V211="Cancelled"),"BlackListed",TRUE,"Other")</f>
        <v>Golde</v>
      </c>
    </row>
    <row r="212" spans="1:23" ht="15" thickBot="1" x14ac:dyDescent="0.4">
      <c r="A212" s="27" t="s">
        <v>336</v>
      </c>
      <c r="B212" s="27" t="s">
        <v>156</v>
      </c>
      <c r="C212" s="27" t="s">
        <v>68</v>
      </c>
      <c r="D212" s="28">
        <v>46009</v>
      </c>
      <c r="E212" s="28">
        <v>46018</v>
      </c>
      <c r="F212" s="27" t="s">
        <v>106</v>
      </c>
      <c r="G212" s="27" t="s">
        <v>58</v>
      </c>
      <c r="H212" s="28">
        <v>32120</v>
      </c>
      <c r="I212" s="27" t="s">
        <v>74</v>
      </c>
      <c r="J212" s="27" t="s">
        <v>75</v>
      </c>
      <c r="K212" s="27" t="s">
        <v>29</v>
      </c>
      <c r="L212" s="27" t="s">
        <v>70</v>
      </c>
      <c r="M212" s="27">
        <v>19</v>
      </c>
      <c r="N212" s="27">
        <v>3500</v>
      </c>
      <c r="O212" s="27">
        <v>5</v>
      </c>
      <c r="P212" s="27">
        <v>63175</v>
      </c>
      <c r="Q212" s="27">
        <v>3</v>
      </c>
      <c r="R212" s="27" t="s">
        <v>60</v>
      </c>
      <c r="S212" s="27" t="s">
        <v>50</v>
      </c>
      <c r="T212" s="27" t="s">
        <v>158</v>
      </c>
      <c r="U212" s="27">
        <v>9511806701</v>
      </c>
      <c r="V212" s="37" t="s">
        <v>52</v>
      </c>
      <c r="W212" s="40" t="str" cm="1">
        <f t="array" ref="W212">_xlfn.IFS(AND(P212&gt;=100000,Q212&gt;=4,O212&lt;=0.1,V212="Completed"),"Platinum",AND(P212&gt;=50000,P212&lt;=99999,Q212&gt;=3,V212="Completed"),"Golde",AND(P212&lt;50000,V212="Completed"),"Silver",OR(Q212&lt;=2,V212="Cancelled"),"BlackListed",TRUE,"Other")</f>
        <v>Other</v>
      </c>
    </row>
    <row r="213" spans="1:23" ht="15" thickBot="1" x14ac:dyDescent="0.4">
      <c r="A213" s="30" t="s">
        <v>337</v>
      </c>
      <c r="B213" s="30" t="s">
        <v>134</v>
      </c>
      <c r="C213" s="30" t="s">
        <v>138</v>
      </c>
      <c r="D213" s="31">
        <v>45694</v>
      </c>
      <c r="E213" s="31">
        <v>45704</v>
      </c>
      <c r="F213" s="30" t="s">
        <v>135</v>
      </c>
      <c r="G213" s="30" t="s">
        <v>26</v>
      </c>
      <c r="H213" s="31">
        <v>33070</v>
      </c>
      <c r="I213" s="30" t="s">
        <v>91</v>
      </c>
      <c r="J213" s="30" t="s">
        <v>75</v>
      </c>
      <c r="K213" s="30" t="s">
        <v>83</v>
      </c>
      <c r="L213" s="30" t="s">
        <v>139</v>
      </c>
      <c r="M213" s="30">
        <v>7</v>
      </c>
      <c r="N213" s="30">
        <v>45</v>
      </c>
      <c r="O213" s="30">
        <v>5</v>
      </c>
      <c r="P213" s="30">
        <v>299.25</v>
      </c>
      <c r="Q213" s="30">
        <v>3</v>
      </c>
      <c r="R213" s="30" t="s">
        <v>60</v>
      </c>
      <c r="S213" s="30" t="s">
        <v>32</v>
      </c>
      <c r="T213" s="30" t="s">
        <v>136</v>
      </c>
      <c r="U213" s="30">
        <v>9875249891</v>
      </c>
      <c r="V213" s="38" t="s">
        <v>53</v>
      </c>
      <c r="W213" s="40" t="str" cm="1">
        <f t="array" ref="W213">_xlfn.IFS(AND(P213&gt;=100000,Q213&gt;=4,O213&lt;=0.1,V213="Completed"),"Platinum",AND(P213&gt;=50000,P213&lt;=99999,Q213&gt;=3,V213="Completed"),"Golde",AND(P213&lt;50000,V213="Completed"),"Silver",OR(Q213&lt;=2,V213="Cancelled"),"BlackListed",TRUE,"Other")</f>
        <v>BlackListed</v>
      </c>
    </row>
    <row r="214" spans="1:23" ht="15" thickBot="1" x14ac:dyDescent="0.4">
      <c r="A214" s="27" t="s">
        <v>338</v>
      </c>
      <c r="B214" s="27" t="s">
        <v>23</v>
      </c>
      <c r="C214" s="27" t="s">
        <v>82</v>
      </c>
      <c r="D214" s="28">
        <v>45810</v>
      </c>
      <c r="E214" s="28">
        <v>45816</v>
      </c>
      <c r="F214" s="27" t="s">
        <v>25</v>
      </c>
      <c r="G214" s="27" t="s">
        <v>26</v>
      </c>
      <c r="H214" s="28">
        <v>33459</v>
      </c>
      <c r="I214" s="27" t="s">
        <v>27</v>
      </c>
      <c r="J214" s="27" t="s">
        <v>28</v>
      </c>
      <c r="K214" s="27" t="s">
        <v>83</v>
      </c>
      <c r="L214" s="27" t="s">
        <v>84</v>
      </c>
      <c r="M214" s="27">
        <v>3</v>
      </c>
      <c r="N214" s="27">
        <v>60</v>
      </c>
      <c r="O214" s="27">
        <v>15</v>
      </c>
      <c r="P214" s="27">
        <v>153</v>
      </c>
      <c r="Q214" s="27">
        <v>3</v>
      </c>
      <c r="R214" s="27" t="s">
        <v>41</v>
      </c>
      <c r="S214" s="27" t="s">
        <v>42</v>
      </c>
      <c r="T214" s="27" t="s">
        <v>43</v>
      </c>
      <c r="U214" s="27">
        <v>9438232503</v>
      </c>
      <c r="V214" s="37" t="s">
        <v>53</v>
      </c>
      <c r="W214" s="40" t="str" cm="1">
        <f t="array" ref="W214">_xlfn.IFS(AND(P214&gt;=100000,Q214&gt;=4,O214&lt;=0.1,V214="Completed"),"Platinum",AND(P214&gt;=50000,P214&lt;=99999,Q214&gt;=3,V214="Completed"),"Golde",AND(P214&lt;50000,V214="Completed"),"Silver",OR(Q214&lt;=2,V214="Cancelled"),"BlackListed",TRUE,"Other")</f>
        <v>BlackListed</v>
      </c>
    </row>
    <row r="215" spans="1:23" ht="15" thickBot="1" x14ac:dyDescent="0.4">
      <c r="A215" s="30" t="s">
        <v>339</v>
      </c>
      <c r="B215" s="30" t="s">
        <v>45</v>
      </c>
      <c r="C215" s="30" t="s">
        <v>138</v>
      </c>
      <c r="D215" s="31">
        <v>46134</v>
      </c>
      <c r="E215" s="31">
        <v>46146</v>
      </c>
      <c r="F215" s="30" t="s">
        <v>101</v>
      </c>
      <c r="G215" s="30" t="s">
        <v>26</v>
      </c>
      <c r="H215" s="31">
        <v>28485</v>
      </c>
      <c r="I215" s="30" t="s">
        <v>79</v>
      </c>
      <c r="J215" s="30" t="s">
        <v>75</v>
      </c>
      <c r="K215" s="30" t="s">
        <v>83</v>
      </c>
      <c r="L215" s="30" t="s">
        <v>139</v>
      </c>
      <c r="M215" s="30">
        <v>19</v>
      </c>
      <c r="N215" s="30">
        <v>45</v>
      </c>
      <c r="O215" s="30">
        <v>0</v>
      </c>
      <c r="P215" s="30">
        <v>855</v>
      </c>
      <c r="Q215" s="30">
        <v>2</v>
      </c>
      <c r="R215" s="30" t="s">
        <v>31</v>
      </c>
      <c r="S215" s="30" t="s">
        <v>50</v>
      </c>
      <c r="T215" s="30" t="s">
        <v>51</v>
      </c>
      <c r="U215" s="30">
        <v>9449953754</v>
      </c>
      <c r="V215" s="36" t="s">
        <v>34</v>
      </c>
      <c r="W215" s="40" t="str" cm="1">
        <f t="array" ref="W215">_xlfn.IFS(AND(P215&gt;=100000,Q215&gt;=4,O215&lt;=0.1,V215="Completed"),"Platinum",AND(P215&gt;=50000,P215&lt;=99999,Q215&gt;=3,V215="Completed"),"Golde",AND(P215&lt;50000,V215="Completed"),"Silver",OR(Q215&lt;=2,V215="Cancelled"),"BlackListed",TRUE,"Other")</f>
        <v>Silver</v>
      </c>
    </row>
    <row r="216" spans="1:23" ht="15" thickBot="1" x14ac:dyDescent="0.4">
      <c r="A216" s="27" t="s">
        <v>340</v>
      </c>
      <c r="B216" s="27" t="s">
        <v>72</v>
      </c>
      <c r="C216" s="27" t="s">
        <v>36</v>
      </c>
      <c r="D216" s="28">
        <v>46087</v>
      </c>
      <c r="E216" s="28">
        <v>46097</v>
      </c>
      <c r="F216" s="27" t="s">
        <v>73</v>
      </c>
      <c r="G216" s="27" t="s">
        <v>26</v>
      </c>
      <c r="H216" s="28">
        <v>34854</v>
      </c>
      <c r="I216" s="27" t="s">
        <v>48</v>
      </c>
      <c r="J216" s="27" t="s">
        <v>28</v>
      </c>
      <c r="K216" s="27" t="s">
        <v>39</v>
      </c>
      <c r="L216" s="27" t="s">
        <v>40</v>
      </c>
      <c r="M216" s="27">
        <v>10</v>
      </c>
      <c r="N216" s="27">
        <v>12000</v>
      </c>
      <c r="O216" s="27">
        <v>5</v>
      </c>
      <c r="P216" s="27">
        <v>114000</v>
      </c>
      <c r="Q216" s="27">
        <v>1</v>
      </c>
      <c r="R216" s="27" t="s">
        <v>60</v>
      </c>
      <c r="S216" s="27" t="s">
        <v>80</v>
      </c>
      <c r="T216" s="27" t="s">
        <v>93</v>
      </c>
      <c r="U216" s="27">
        <v>9833801891</v>
      </c>
      <c r="V216" s="37" t="s">
        <v>53</v>
      </c>
      <c r="W216" s="40" t="str" cm="1">
        <f t="array" ref="W216">_xlfn.IFS(AND(P216&gt;=100000,Q216&gt;=4,O216&lt;=0.1,V216="Completed"),"Platinum",AND(P216&gt;=50000,P216&lt;=99999,Q216&gt;=3,V216="Completed"),"Golde",AND(P216&lt;50000,V216="Completed"),"Silver",OR(Q216&lt;=2,V216="Cancelled"),"BlackListed",TRUE,"Other")</f>
        <v>BlackListed</v>
      </c>
    </row>
    <row r="217" spans="1:23" ht="15" thickBot="1" x14ac:dyDescent="0.4">
      <c r="A217" s="30" t="s">
        <v>341</v>
      </c>
      <c r="B217" s="30" t="s">
        <v>23</v>
      </c>
      <c r="C217" s="30" t="s">
        <v>56</v>
      </c>
      <c r="D217" s="31">
        <v>45716</v>
      </c>
      <c r="E217" s="31">
        <v>45728</v>
      </c>
      <c r="F217" s="30" t="s">
        <v>25</v>
      </c>
      <c r="G217" s="30" t="s">
        <v>26</v>
      </c>
      <c r="H217" s="31">
        <v>30636</v>
      </c>
      <c r="I217" s="30" t="s">
        <v>147</v>
      </c>
      <c r="J217" s="30" t="s">
        <v>148</v>
      </c>
      <c r="K217" s="30" t="s">
        <v>39</v>
      </c>
      <c r="L217" s="30" t="s">
        <v>59</v>
      </c>
      <c r="M217" s="30">
        <v>4</v>
      </c>
      <c r="N217" s="30">
        <v>1200</v>
      </c>
      <c r="O217" s="30">
        <v>0</v>
      </c>
      <c r="P217" s="30">
        <v>4800</v>
      </c>
      <c r="Q217" s="30">
        <v>4</v>
      </c>
      <c r="R217" s="30" t="s">
        <v>31</v>
      </c>
      <c r="S217" s="30" t="s">
        <v>50</v>
      </c>
      <c r="T217" s="30" t="s">
        <v>43</v>
      </c>
      <c r="U217" s="30">
        <v>9183949273</v>
      </c>
      <c r="V217" s="36" t="s">
        <v>34</v>
      </c>
      <c r="W217" s="40" t="str" cm="1">
        <f t="array" ref="W217">_xlfn.IFS(AND(P217&gt;=100000,Q217&gt;=4,O217&lt;=0.1,V217="Completed"),"Platinum",AND(P217&gt;=50000,P217&lt;=99999,Q217&gt;=3,V217="Completed"),"Golde",AND(P217&lt;50000,V217="Completed"),"Silver",OR(Q217&lt;=2,V217="Cancelled"),"BlackListed",TRUE,"Other")</f>
        <v>Silver</v>
      </c>
    </row>
    <row r="218" spans="1:23" ht="15" thickBot="1" x14ac:dyDescent="0.4">
      <c r="A218" s="27" t="s">
        <v>342</v>
      </c>
      <c r="B218" s="27" t="s">
        <v>124</v>
      </c>
      <c r="C218" s="27" t="s">
        <v>105</v>
      </c>
      <c r="D218" s="28">
        <v>45961</v>
      </c>
      <c r="E218" s="28">
        <v>45968</v>
      </c>
      <c r="F218" s="27" t="s">
        <v>126</v>
      </c>
      <c r="G218" s="27" t="s">
        <v>58</v>
      </c>
      <c r="H218" s="28">
        <v>31330</v>
      </c>
      <c r="I218" s="27" t="s">
        <v>48</v>
      </c>
      <c r="J218" s="27" t="s">
        <v>28</v>
      </c>
      <c r="K218" s="27" t="s">
        <v>29</v>
      </c>
      <c r="L218" s="27" t="s">
        <v>107</v>
      </c>
      <c r="M218" s="27">
        <v>2</v>
      </c>
      <c r="N218" s="27">
        <v>8500</v>
      </c>
      <c r="O218" s="27">
        <v>20</v>
      </c>
      <c r="P218" s="27">
        <v>13600</v>
      </c>
      <c r="Q218" s="27">
        <v>3</v>
      </c>
      <c r="R218" s="27" t="s">
        <v>60</v>
      </c>
      <c r="S218" s="27" t="s">
        <v>96</v>
      </c>
      <c r="T218" s="27" t="s">
        <v>128</v>
      </c>
      <c r="U218" s="27">
        <v>9168257367</v>
      </c>
      <c r="V218" s="35" t="s">
        <v>34</v>
      </c>
      <c r="W218" s="40" t="str" cm="1">
        <f t="array" ref="W218">_xlfn.IFS(AND(P218&gt;=100000,Q218&gt;=4,O218&lt;=0.1,V218="Completed"),"Platinum",AND(P218&gt;=50000,P218&lt;=99999,Q218&gt;=3,V218="Completed"),"Golde",AND(P218&lt;50000,V218="Completed"),"Silver",OR(Q218&lt;=2,V218="Cancelled"),"BlackListed",TRUE,"Other")</f>
        <v>Silver</v>
      </c>
    </row>
    <row r="219" spans="1:23" ht="15" thickBot="1" x14ac:dyDescent="0.4">
      <c r="A219" s="30" t="s">
        <v>343</v>
      </c>
      <c r="B219" s="30" t="s">
        <v>63</v>
      </c>
      <c r="C219" s="30" t="s">
        <v>112</v>
      </c>
      <c r="D219" s="31">
        <v>46052</v>
      </c>
      <c r="E219" s="31">
        <v>46061</v>
      </c>
      <c r="F219" s="30" t="s">
        <v>110</v>
      </c>
      <c r="G219" s="30" t="s">
        <v>58</v>
      </c>
      <c r="H219" s="31">
        <v>37263</v>
      </c>
      <c r="I219" s="30" t="s">
        <v>147</v>
      </c>
      <c r="J219" s="30" t="s">
        <v>148</v>
      </c>
      <c r="K219" s="30" t="s">
        <v>39</v>
      </c>
      <c r="L219" s="30" t="s">
        <v>114</v>
      </c>
      <c r="M219" s="30">
        <v>7</v>
      </c>
      <c r="N219" s="30">
        <v>700</v>
      </c>
      <c r="O219" s="30">
        <v>20</v>
      </c>
      <c r="P219" s="30">
        <v>3920</v>
      </c>
      <c r="Q219" s="30">
        <v>2</v>
      </c>
      <c r="R219" s="30" t="s">
        <v>60</v>
      </c>
      <c r="S219" s="30" t="s">
        <v>96</v>
      </c>
      <c r="T219" s="30" t="s">
        <v>66</v>
      </c>
      <c r="U219" s="30">
        <v>9580903210</v>
      </c>
      <c r="V219" s="38" t="s">
        <v>52</v>
      </c>
      <c r="W219" s="40" t="str" cm="1">
        <f t="array" ref="W219">_xlfn.IFS(AND(P219&gt;=100000,Q219&gt;=4,O219&lt;=0.1,V219="Completed"),"Platinum",AND(P219&gt;=50000,P219&lt;=99999,Q219&gt;=3,V219="Completed"),"Golde",AND(P219&lt;50000,V219="Completed"),"Silver",OR(Q219&lt;=2,V219="Cancelled"),"BlackListed",TRUE,"Other")</f>
        <v>BlackListed</v>
      </c>
    </row>
    <row r="220" spans="1:23" ht="15" thickBot="1" x14ac:dyDescent="0.4">
      <c r="A220" s="27" t="s">
        <v>344</v>
      </c>
      <c r="B220" s="27" t="s">
        <v>45</v>
      </c>
      <c r="C220" s="27" t="s">
        <v>125</v>
      </c>
      <c r="D220" s="28">
        <v>46141</v>
      </c>
      <c r="E220" s="28">
        <v>46145</v>
      </c>
      <c r="F220" s="27" t="s">
        <v>101</v>
      </c>
      <c r="G220" s="27" t="s">
        <v>26</v>
      </c>
      <c r="H220" s="28">
        <v>36359</v>
      </c>
      <c r="I220" s="27" t="s">
        <v>79</v>
      </c>
      <c r="J220" s="27" t="s">
        <v>75</v>
      </c>
      <c r="K220" s="27" t="s">
        <v>83</v>
      </c>
      <c r="L220" s="27" t="s">
        <v>127</v>
      </c>
      <c r="M220" s="27">
        <v>9</v>
      </c>
      <c r="N220" s="27">
        <v>20</v>
      </c>
      <c r="O220" s="27">
        <v>15</v>
      </c>
      <c r="P220" s="27">
        <v>153</v>
      </c>
      <c r="Q220" s="27">
        <v>3</v>
      </c>
      <c r="R220" s="27" t="s">
        <v>41</v>
      </c>
      <c r="S220" s="27" t="s">
        <v>80</v>
      </c>
      <c r="T220" s="27" t="s">
        <v>51</v>
      </c>
      <c r="U220" s="27">
        <v>9602152945</v>
      </c>
      <c r="V220" s="35" t="s">
        <v>34</v>
      </c>
      <c r="W220" s="40" t="str" cm="1">
        <f t="array" ref="W220">_xlfn.IFS(AND(P220&gt;=100000,Q220&gt;=4,O220&lt;=0.1,V220="Completed"),"Platinum",AND(P220&gt;=50000,P220&lt;=99999,Q220&gt;=3,V220="Completed"),"Golde",AND(P220&lt;50000,V220="Completed"),"Silver",OR(Q220&lt;=2,V220="Cancelled"),"BlackListed",TRUE,"Other")</f>
        <v>Silver</v>
      </c>
    </row>
    <row r="221" spans="1:23" ht="15" thickBot="1" x14ac:dyDescent="0.4">
      <c r="A221" s="30" t="s">
        <v>345</v>
      </c>
      <c r="B221" s="30" t="s">
        <v>72</v>
      </c>
      <c r="C221" s="30" t="s">
        <v>105</v>
      </c>
      <c r="D221" s="31">
        <v>45795</v>
      </c>
      <c r="E221" s="31">
        <v>45797</v>
      </c>
      <c r="F221" s="30" t="s">
        <v>73</v>
      </c>
      <c r="G221" s="30" t="s">
        <v>26</v>
      </c>
      <c r="H221" s="31">
        <v>33118</v>
      </c>
      <c r="I221" s="30" t="s">
        <v>147</v>
      </c>
      <c r="J221" s="30" t="s">
        <v>148</v>
      </c>
      <c r="K221" s="30" t="s">
        <v>29</v>
      </c>
      <c r="L221" s="30" t="s">
        <v>107</v>
      </c>
      <c r="M221" s="30">
        <v>16</v>
      </c>
      <c r="N221" s="30">
        <v>8500</v>
      </c>
      <c r="O221" s="30">
        <v>0</v>
      </c>
      <c r="P221" s="30">
        <v>136000</v>
      </c>
      <c r="Q221" s="30">
        <v>4</v>
      </c>
      <c r="R221" s="30" t="s">
        <v>41</v>
      </c>
      <c r="S221" s="30" t="s">
        <v>32</v>
      </c>
      <c r="T221" s="30" t="s">
        <v>93</v>
      </c>
      <c r="U221" s="30">
        <v>9646917552</v>
      </c>
      <c r="V221" s="36" t="s">
        <v>34</v>
      </c>
      <c r="W221" s="40" t="str" cm="1">
        <f t="array" ref="W221">_xlfn.IFS(AND(P221&gt;=100000,Q221&gt;=4,O221&lt;=0.1,V221="Completed"),"Platinum",AND(P221&gt;=50000,P221&lt;=99999,Q221&gt;=3,V221="Completed"),"Golde",AND(P221&lt;50000,V221="Completed"),"Silver",OR(Q221&lt;=2,V221="Cancelled"),"BlackListed",TRUE,"Other")</f>
        <v>Platinum</v>
      </c>
    </row>
    <row r="222" spans="1:23" ht="15" thickBot="1" x14ac:dyDescent="0.4">
      <c r="A222" s="27" t="s">
        <v>346</v>
      </c>
      <c r="B222" s="27" t="s">
        <v>134</v>
      </c>
      <c r="C222" s="27" t="s">
        <v>68</v>
      </c>
      <c r="D222" s="28">
        <v>46107</v>
      </c>
      <c r="E222" s="28">
        <v>46109</v>
      </c>
      <c r="F222" s="27" t="s">
        <v>135</v>
      </c>
      <c r="G222" s="27" t="s">
        <v>26</v>
      </c>
      <c r="H222" s="28">
        <v>33818</v>
      </c>
      <c r="I222" s="27" t="s">
        <v>37</v>
      </c>
      <c r="J222" s="27" t="s">
        <v>38</v>
      </c>
      <c r="K222" s="27" t="s">
        <v>29</v>
      </c>
      <c r="L222" s="27" t="s">
        <v>70</v>
      </c>
      <c r="M222" s="27">
        <v>10</v>
      </c>
      <c r="N222" s="27">
        <v>3500</v>
      </c>
      <c r="O222" s="27">
        <v>5</v>
      </c>
      <c r="P222" s="27">
        <v>33250</v>
      </c>
      <c r="Q222" s="27">
        <v>3</v>
      </c>
      <c r="R222" s="27" t="s">
        <v>41</v>
      </c>
      <c r="S222" s="27" t="s">
        <v>80</v>
      </c>
      <c r="T222" s="27" t="s">
        <v>136</v>
      </c>
      <c r="U222" s="27">
        <v>9127548552</v>
      </c>
      <c r="V222" s="35" t="s">
        <v>34</v>
      </c>
      <c r="W222" s="40" t="str" cm="1">
        <f t="array" ref="W222">_xlfn.IFS(AND(P222&gt;=100000,Q222&gt;=4,O222&lt;=0.1,V222="Completed"),"Platinum",AND(P222&gt;=50000,P222&lt;=99999,Q222&gt;=3,V222="Completed"),"Golde",AND(P222&lt;50000,V222="Completed"),"Silver",OR(Q222&lt;=2,V222="Cancelled"),"BlackListed",TRUE,"Other")</f>
        <v>Silver</v>
      </c>
    </row>
    <row r="223" spans="1:23" ht="15" thickBot="1" x14ac:dyDescent="0.4">
      <c r="A223" s="30" t="s">
        <v>347</v>
      </c>
      <c r="B223" s="30" t="s">
        <v>45</v>
      </c>
      <c r="C223" s="30" t="s">
        <v>36</v>
      </c>
      <c r="D223" s="31">
        <v>46041</v>
      </c>
      <c r="E223" s="31">
        <v>46049</v>
      </c>
      <c r="F223" s="30" t="s">
        <v>101</v>
      </c>
      <c r="G223" s="30" t="s">
        <v>26</v>
      </c>
      <c r="H223" s="31">
        <v>29260</v>
      </c>
      <c r="I223" s="30" t="s">
        <v>147</v>
      </c>
      <c r="J223" s="30" t="s">
        <v>148</v>
      </c>
      <c r="K223" s="30" t="s">
        <v>39</v>
      </c>
      <c r="L223" s="30" t="s">
        <v>40</v>
      </c>
      <c r="M223" s="30">
        <v>1</v>
      </c>
      <c r="N223" s="30">
        <v>12000</v>
      </c>
      <c r="O223" s="30">
        <v>0</v>
      </c>
      <c r="P223" s="30">
        <v>12000</v>
      </c>
      <c r="Q223" s="30">
        <v>5</v>
      </c>
      <c r="R223" s="30" t="s">
        <v>65</v>
      </c>
      <c r="S223" s="30" t="s">
        <v>80</v>
      </c>
      <c r="T223" s="30" t="s">
        <v>51</v>
      </c>
      <c r="U223" s="30">
        <v>9712805603</v>
      </c>
      <c r="V223" s="38" t="s">
        <v>52</v>
      </c>
      <c r="W223" s="40" t="str" cm="1">
        <f t="array" ref="W223">_xlfn.IFS(AND(P223&gt;=100000,Q223&gt;=4,O223&lt;=0.1,V223="Completed"),"Platinum",AND(P223&gt;=50000,P223&lt;=99999,Q223&gt;=3,V223="Completed"),"Golde",AND(P223&lt;50000,V223="Completed"),"Silver",OR(Q223&lt;=2,V223="Cancelled"),"BlackListed",TRUE,"Other")</f>
        <v>Other</v>
      </c>
    </row>
    <row r="224" spans="1:23" ht="15" thickBot="1" x14ac:dyDescent="0.4">
      <c r="A224" s="27" t="s">
        <v>348</v>
      </c>
      <c r="B224" s="27" t="s">
        <v>156</v>
      </c>
      <c r="C224" s="27" t="s">
        <v>138</v>
      </c>
      <c r="D224" s="28">
        <v>46144</v>
      </c>
      <c r="E224" s="28">
        <v>46152</v>
      </c>
      <c r="F224" s="27" t="s">
        <v>106</v>
      </c>
      <c r="G224" s="27" t="s">
        <v>58</v>
      </c>
      <c r="H224" s="28">
        <v>32557</v>
      </c>
      <c r="I224" s="27" t="s">
        <v>147</v>
      </c>
      <c r="J224" s="27" t="s">
        <v>148</v>
      </c>
      <c r="K224" s="27" t="s">
        <v>83</v>
      </c>
      <c r="L224" s="27" t="s">
        <v>139</v>
      </c>
      <c r="M224" s="27">
        <v>19</v>
      </c>
      <c r="N224" s="27">
        <v>45</v>
      </c>
      <c r="O224" s="27">
        <v>15</v>
      </c>
      <c r="P224" s="27">
        <v>726.75</v>
      </c>
      <c r="Q224" s="27">
        <v>2</v>
      </c>
      <c r="R224" s="27" t="s">
        <v>65</v>
      </c>
      <c r="S224" s="27" t="s">
        <v>96</v>
      </c>
      <c r="T224" s="27" t="s">
        <v>158</v>
      </c>
      <c r="U224" s="27">
        <v>9798313682</v>
      </c>
      <c r="V224" s="37" t="s">
        <v>52</v>
      </c>
      <c r="W224" s="40" t="str" cm="1">
        <f t="array" ref="W224">_xlfn.IFS(AND(P224&gt;=100000,Q224&gt;=4,O224&lt;=0.1,V224="Completed"),"Platinum",AND(P224&gt;=50000,P224&lt;=99999,Q224&gt;=3,V224="Completed"),"Golde",AND(P224&lt;50000,V224="Completed"),"Silver",OR(Q224&lt;=2,V224="Cancelled"),"BlackListed",TRUE,"Other")</f>
        <v>BlackListed</v>
      </c>
    </row>
    <row r="225" spans="1:23" ht="15" thickBot="1" x14ac:dyDescent="0.4">
      <c r="A225" s="30" t="s">
        <v>349</v>
      </c>
      <c r="B225" s="30" t="s">
        <v>23</v>
      </c>
      <c r="C225" s="30" t="s">
        <v>46</v>
      </c>
      <c r="D225" s="31">
        <v>45961</v>
      </c>
      <c r="E225" s="31">
        <v>45963</v>
      </c>
      <c r="F225" s="30" t="s">
        <v>25</v>
      </c>
      <c r="G225" s="30" t="s">
        <v>26</v>
      </c>
      <c r="H225" s="31">
        <v>34222</v>
      </c>
      <c r="I225" s="30" t="s">
        <v>37</v>
      </c>
      <c r="J225" s="30" t="s">
        <v>38</v>
      </c>
      <c r="K225" s="30" t="s">
        <v>39</v>
      </c>
      <c r="L225" s="30" t="s">
        <v>49</v>
      </c>
      <c r="M225" s="30">
        <v>13</v>
      </c>
      <c r="N225" s="30">
        <v>55000</v>
      </c>
      <c r="O225" s="30">
        <v>5</v>
      </c>
      <c r="P225" s="30">
        <v>679250</v>
      </c>
      <c r="Q225" s="30">
        <v>4</v>
      </c>
      <c r="R225" s="30" t="s">
        <v>60</v>
      </c>
      <c r="S225" s="30" t="s">
        <v>42</v>
      </c>
      <c r="T225" s="30" t="s">
        <v>43</v>
      </c>
      <c r="U225" s="30">
        <v>9642822397</v>
      </c>
      <c r="V225" s="38" t="s">
        <v>53</v>
      </c>
      <c r="W225" s="40" t="str" cm="1">
        <f t="array" ref="W225">_xlfn.IFS(AND(P225&gt;=100000,Q225&gt;=4,O225&lt;=0.1,V225="Completed"),"Platinum",AND(P225&gt;=50000,P225&lt;=99999,Q225&gt;=3,V225="Completed"),"Golde",AND(P225&lt;50000,V225="Completed"),"Silver",OR(Q225&lt;=2,V225="Cancelled"),"BlackListed",TRUE,"Other")</f>
        <v>BlackListed</v>
      </c>
    </row>
    <row r="226" spans="1:23" ht="15" thickBot="1" x14ac:dyDescent="0.4">
      <c r="A226" s="27" t="s">
        <v>350</v>
      </c>
      <c r="B226" s="27" t="s">
        <v>63</v>
      </c>
      <c r="C226" s="27" t="s">
        <v>138</v>
      </c>
      <c r="D226" s="28">
        <v>45858</v>
      </c>
      <c r="E226" s="28">
        <v>45864</v>
      </c>
      <c r="F226" s="27" t="s">
        <v>110</v>
      </c>
      <c r="G226" s="27" t="s">
        <v>58</v>
      </c>
      <c r="H226" s="28">
        <v>29907</v>
      </c>
      <c r="I226" s="27" t="s">
        <v>74</v>
      </c>
      <c r="J226" s="27" t="s">
        <v>75</v>
      </c>
      <c r="K226" s="27" t="s">
        <v>83</v>
      </c>
      <c r="L226" s="27" t="s">
        <v>139</v>
      </c>
      <c r="M226" s="27">
        <v>2</v>
      </c>
      <c r="N226" s="27">
        <v>45</v>
      </c>
      <c r="O226" s="27">
        <v>15</v>
      </c>
      <c r="P226" s="27">
        <v>76.5</v>
      </c>
      <c r="Q226" s="27">
        <v>1</v>
      </c>
      <c r="R226" s="27" t="s">
        <v>41</v>
      </c>
      <c r="S226" s="27" t="s">
        <v>80</v>
      </c>
      <c r="T226" s="27" t="s">
        <v>66</v>
      </c>
      <c r="U226" s="27">
        <v>9490067655</v>
      </c>
      <c r="V226" s="35" t="s">
        <v>34</v>
      </c>
      <c r="W226" s="40" t="str" cm="1">
        <f t="array" ref="W226">_xlfn.IFS(AND(P226&gt;=100000,Q226&gt;=4,O226&lt;=0.1,V226="Completed"),"Platinum",AND(P226&gt;=50000,P226&lt;=99999,Q226&gt;=3,V226="Completed"),"Golde",AND(P226&lt;50000,V226="Completed"),"Silver",OR(Q226&lt;=2,V226="Cancelled"),"BlackListed",TRUE,"Other")</f>
        <v>Silver</v>
      </c>
    </row>
    <row r="227" spans="1:23" ht="15" thickBot="1" x14ac:dyDescent="0.4">
      <c r="A227" s="30" t="s">
        <v>351</v>
      </c>
      <c r="B227" s="30" t="s">
        <v>72</v>
      </c>
      <c r="C227" s="30" t="s">
        <v>125</v>
      </c>
      <c r="D227" s="31">
        <v>45707</v>
      </c>
      <c r="E227" s="31">
        <v>45712</v>
      </c>
      <c r="F227" s="30" t="s">
        <v>73</v>
      </c>
      <c r="G227" s="30" t="s">
        <v>26</v>
      </c>
      <c r="H227" s="31">
        <v>37857</v>
      </c>
      <c r="I227" s="30" t="s">
        <v>27</v>
      </c>
      <c r="J227" s="30" t="s">
        <v>28</v>
      </c>
      <c r="K227" s="30" t="s">
        <v>83</v>
      </c>
      <c r="L227" s="30" t="s">
        <v>127</v>
      </c>
      <c r="M227" s="30">
        <v>8</v>
      </c>
      <c r="N227" s="30">
        <v>20</v>
      </c>
      <c r="O227" s="30">
        <v>15</v>
      </c>
      <c r="P227" s="30">
        <v>136</v>
      </c>
      <c r="Q227" s="30">
        <v>1</v>
      </c>
      <c r="R227" s="30" t="s">
        <v>60</v>
      </c>
      <c r="S227" s="30" t="s">
        <v>32</v>
      </c>
      <c r="T227" s="30" t="s">
        <v>93</v>
      </c>
      <c r="U227" s="30">
        <v>9389792144</v>
      </c>
      <c r="V227" s="38" t="s">
        <v>52</v>
      </c>
      <c r="W227" s="40" t="str" cm="1">
        <f t="array" ref="W227">_xlfn.IFS(AND(P227&gt;=100000,Q227&gt;=4,O227&lt;=0.1,V227="Completed"),"Platinum",AND(P227&gt;=50000,P227&lt;=99999,Q227&gt;=3,V227="Completed"),"Golde",AND(P227&lt;50000,V227="Completed"),"Silver",OR(Q227&lt;=2,V227="Cancelled"),"BlackListed",TRUE,"Other")</f>
        <v>BlackListed</v>
      </c>
    </row>
    <row r="228" spans="1:23" ht="15" thickBot="1" x14ac:dyDescent="0.4">
      <c r="A228" s="27" t="s">
        <v>352</v>
      </c>
      <c r="B228" s="27" t="s">
        <v>104</v>
      </c>
      <c r="C228" s="27" t="s">
        <v>36</v>
      </c>
      <c r="D228" s="28">
        <v>45767</v>
      </c>
      <c r="E228" s="28">
        <v>45778</v>
      </c>
      <c r="F228" s="27" t="s">
        <v>166</v>
      </c>
      <c r="G228" s="27" t="s">
        <v>26</v>
      </c>
      <c r="H228" s="28">
        <v>31247</v>
      </c>
      <c r="I228" s="27" t="s">
        <v>27</v>
      </c>
      <c r="J228" s="27" t="s">
        <v>28</v>
      </c>
      <c r="K228" s="27" t="s">
        <v>39</v>
      </c>
      <c r="L228" s="27" t="s">
        <v>40</v>
      </c>
      <c r="M228" s="27">
        <v>9</v>
      </c>
      <c r="N228" s="27">
        <v>12000</v>
      </c>
      <c r="O228" s="27">
        <v>5</v>
      </c>
      <c r="P228" s="27">
        <v>102600</v>
      </c>
      <c r="Q228" s="27">
        <v>2</v>
      </c>
      <c r="R228" s="27" t="s">
        <v>60</v>
      </c>
      <c r="S228" s="27" t="s">
        <v>32</v>
      </c>
      <c r="T228" s="27" t="s">
        <v>108</v>
      </c>
      <c r="U228" s="27">
        <v>9736113863</v>
      </c>
      <c r="V228" s="37" t="s">
        <v>53</v>
      </c>
      <c r="W228" s="40" t="str" cm="1">
        <f t="array" ref="W228">_xlfn.IFS(AND(P228&gt;=100000,Q228&gt;=4,O228&lt;=0.1,V228="Completed"),"Platinum",AND(P228&gt;=50000,P228&lt;=99999,Q228&gt;=3,V228="Completed"),"Golde",AND(P228&lt;50000,V228="Completed"),"Silver",OR(Q228&lt;=2,V228="Cancelled"),"BlackListed",TRUE,"Other")</f>
        <v>BlackListed</v>
      </c>
    </row>
    <row r="229" spans="1:23" ht="15" thickBot="1" x14ac:dyDescent="0.4">
      <c r="A229" s="30" t="s">
        <v>353</v>
      </c>
      <c r="B229" s="30" t="s">
        <v>55</v>
      </c>
      <c r="C229" s="30" t="s">
        <v>68</v>
      </c>
      <c r="D229" s="31">
        <v>45813</v>
      </c>
      <c r="E229" s="31">
        <v>45821</v>
      </c>
      <c r="F229" s="30" t="s">
        <v>57</v>
      </c>
      <c r="G229" s="30" t="s">
        <v>58</v>
      </c>
      <c r="H229" s="31">
        <v>34464</v>
      </c>
      <c r="I229" s="30" t="s">
        <v>147</v>
      </c>
      <c r="J229" s="30" t="s">
        <v>148</v>
      </c>
      <c r="K229" s="30" t="s">
        <v>29</v>
      </c>
      <c r="L229" s="30" t="s">
        <v>70</v>
      </c>
      <c r="M229" s="30">
        <v>3</v>
      </c>
      <c r="N229" s="30">
        <v>3500</v>
      </c>
      <c r="O229" s="30">
        <v>15</v>
      </c>
      <c r="P229" s="30">
        <v>8925</v>
      </c>
      <c r="Q229" s="30">
        <v>1</v>
      </c>
      <c r="R229" s="30" t="s">
        <v>31</v>
      </c>
      <c r="S229" s="30" t="s">
        <v>42</v>
      </c>
      <c r="T229" s="30" t="s">
        <v>61</v>
      </c>
      <c r="U229" s="30">
        <v>9324634732</v>
      </c>
      <c r="V229" s="38" t="s">
        <v>53</v>
      </c>
      <c r="W229" s="40" t="str" cm="1">
        <f t="array" ref="W229">_xlfn.IFS(AND(P229&gt;=100000,Q229&gt;=4,O229&lt;=0.1,V229="Completed"),"Platinum",AND(P229&gt;=50000,P229&lt;=99999,Q229&gt;=3,V229="Completed"),"Golde",AND(P229&lt;50000,V229="Completed"),"Silver",OR(Q229&lt;=2,V229="Cancelled"),"BlackListed",TRUE,"Other")</f>
        <v>BlackListed</v>
      </c>
    </row>
    <row r="230" spans="1:23" ht="15" thickBot="1" x14ac:dyDescent="0.4">
      <c r="A230" s="27" t="s">
        <v>354</v>
      </c>
      <c r="B230" s="27" t="s">
        <v>72</v>
      </c>
      <c r="C230" s="27" t="s">
        <v>112</v>
      </c>
      <c r="D230" s="28">
        <v>45797</v>
      </c>
      <c r="E230" s="28">
        <v>45800</v>
      </c>
      <c r="F230" s="27" t="s">
        <v>73</v>
      </c>
      <c r="G230" s="27" t="s">
        <v>26</v>
      </c>
      <c r="H230" s="28">
        <v>34051</v>
      </c>
      <c r="I230" s="27" t="s">
        <v>27</v>
      </c>
      <c r="J230" s="27" t="s">
        <v>28</v>
      </c>
      <c r="K230" s="27" t="s">
        <v>39</v>
      </c>
      <c r="L230" s="27" t="s">
        <v>114</v>
      </c>
      <c r="M230" s="27">
        <v>18</v>
      </c>
      <c r="N230" s="27">
        <v>700</v>
      </c>
      <c r="O230" s="27">
        <v>20</v>
      </c>
      <c r="P230" s="27">
        <v>10080</v>
      </c>
      <c r="Q230" s="27">
        <v>1</v>
      </c>
      <c r="R230" s="27" t="s">
        <v>60</v>
      </c>
      <c r="S230" s="27" t="s">
        <v>96</v>
      </c>
      <c r="T230" s="27" t="s">
        <v>93</v>
      </c>
      <c r="U230" s="27">
        <v>9529968110</v>
      </c>
      <c r="V230" s="35" t="s">
        <v>34</v>
      </c>
      <c r="W230" s="40" t="str" cm="1">
        <f t="array" ref="W230">_xlfn.IFS(AND(P230&gt;=100000,Q230&gt;=4,O230&lt;=0.1,V230="Completed"),"Platinum",AND(P230&gt;=50000,P230&lt;=99999,Q230&gt;=3,V230="Completed"),"Golde",AND(P230&lt;50000,V230="Completed"),"Silver",OR(Q230&lt;=2,V230="Cancelled"),"BlackListed",TRUE,"Other")</f>
        <v>Silver</v>
      </c>
    </row>
    <row r="231" spans="1:23" ht="15" thickBot="1" x14ac:dyDescent="0.4">
      <c r="A231" s="30" t="s">
        <v>355</v>
      </c>
      <c r="B231" s="30" t="s">
        <v>55</v>
      </c>
      <c r="C231" s="30" t="s">
        <v>68</v>
      </c>
      <c r="D231" s="31">
        <v>46046</v>
      </c>
      <c r="E231" s="31">
        <v>46053</v>
      </c>
      <c r="F231" s="30" t="s">
        <v>57</v>
      </c>
      <c r="G231" s="30" t="s">
        <v>58</v>
      </c>
      <c r="H231" s="31">
        <v>29019</v>
      </c>
      <c r="I231" s="30" t="s">
        <v>79</v>
      </c>
      <c r="J231" s="30" t="s">
        <v>75</v>
      </c>
      <c r="K231" s="30" t="s">
        <v>29</v>
      </c>
      <c r="L231" s="30" t="s">
        <v>70</v>
      </c>
      <c r="M231" s="30">
        <v>14</v>
      </c>
      <c r="N231" s="30">
        <v>3500</v>
      </c>
      <c r="O231" s="30">
        <v>5</v>
      </c>
      <c r="P231" s="30">
        <v>46550</v>
      </c>
      <c r="Q231" s="30">
        <v>1</v>
      </c>
      <c r="R231" s="30" t="s">
        <v>31</v>
      </c>
      <c r="S231" s="30" t="s">
        <v>50</v>
      </c>
      <c r="T231" s="30" t="s">
        <v>61</v>
      </c>
      <c r="U231" s="30">
        <v>9102417647</v>
      </c>
      <c r="V231" s="36" t="s">
        <v>34</v>
      </c>
      <c r="W231" s="40" t="str" cm="1">
        <f t="array" ref="W231">_xlfn.IFS(AND(P231&gt;=100000,Q231&gt;=4,O231&lt;=0.1,V231="Completed"),"Platinum",AND(P231&gt;=50000,P231&lt;=99999,Q231&gt;=3,V231="Completed"),"Golde",AND(P231&lt;50000,V231="Completed"),"Silver",OR(Q231&lt;=2,V231="Cancelled"),"BlackListed",TRUE,"Other")</f>
        <v>Silver</v>
      </c>
    </row>
    <row r="232" spans="1:23" ht="15" thickBot="1" x14ac:dyDescent="0.4">
      <c r="A232" s="27" t="s">
        <v>356</v>
      </c>
      <c r="B232" s="27" t="s">
        <v>72</v>
      </c>
      <c r="C232" s="27" t="s">
        <v>112</v>
      </c>
      <c r="D232" s="28">
        <v>45810</v>
      </c>
      <c r="E232" s="28">
        <v>45812</v>
      </c>
      <c r="F232" s="27" t="s">
        <v>73</v>
      </c>
      <c r="G232" s="27" t="s">
        <v>26</v>
      </c>
      <c r="H232" s="28">
        <v>33262</v>
      </c>
      <c r="I232" s="27" t="s">
        <v>147</v>
      </c>
      <c r="J232" s="27" t="s">
        <v>148</v>
      </c>
      <c r="K232" s="27" t="s">
        <v>39</v>
      </c>
      <c r="L232" s="27" t="s">
        <v>114</v>
      </c>
      <c r="M232" s="27">
        <v>6</v>
      </c>
      <c r="N232" s="27">
        <v>700</v>
      </c>
      <c r="O232" s="27">
        <v>5</v>
      </c>
      <c r="P232" s="27">
        <v>3990</v>
      </c>
      <c r="Q232" s="27">
        <v>5</v>
      </c>
      <c r="R232" s="27" t="s">
        <v>31</v>
      </c>
      <c r="S232" s="27" t="s">
        <v>32</v>
      </c>
      <c r="T232" s="27" t="s">
        <v>93</v>
      </c>
      <c r="U232" s="27">
        <v>9630302865</v>
      </c>
      <c r="V232" s="35" t="s">
        <v>34</v>
      </c>
      <c r="W232" s="40" t="str" cm="1">
        <f t="array" ref="W232">_xlfn.IFS(AND(P232&gt;=100000,Q232&gt;=4,O232&lt;=0.1,V232="Completed"),"Platinum",AND(P232&gt;=50000,P232&lt;=99999,Q232&gt;=3,V232="Completed"),"Golde",AND(P232&lt;50000,V232="Completed"),"Silver",OR(Q232&lt;=2,V232="Cancelled"),"BlackListed",TRUE,"Other")</f>
        <v>Silver</v>
      </c>
    </row>
    <row r="233" spans="1:23" ht="15" thickBot="1" x14ac:dyDescent="0.4">
      <c r="A233" s="30" t="s">
        <v>357</v>
      </c>
      <c r="B233" s="30" t="s">
        <v>72</v>
      </c>
      <c r="C233" s="30" t="s">
        <v>68</v>
      </c>
      <c r="D233" s="31">
        <v>45819</v>
      </c>
      <c r="E233" s="31">
        <v>45827</v>
      </c>
      <c r="F233" s="30" t="s">
        <v>73</v>
      </c>
      <c r="G233" s="30" t="s">
        <v>26</v>
      </c>
      <c r="H233" s="31">
        <v>38039</v>
      </c>
      <c r="I233" s="30" t="s">
        <v>74</v>
      </c>
      <c r="J233" s="30" t="s">
        <v>75</v>
      </c>
      <c r="K233" s="30" t="s">
        <v>29</v>
      </c>
      <c r="L233" s="30" t="s">
        <v>70</v>
      </c>
      <c r="M233" s="30">
        <v>17</v>
      </c>
      <c r="N233" s="30">
        <v>3500</v>
      </c>
      <c r="O233" s="30">
        <v>15</v>
      </c>
      <c r="P233" s="30">
        <v>50575</v>
      </c>
      <c r="Q233" s="30">
        <v>3</v>
      </c>
      <c r="R233" s="30" t="s">
        <v>41</v>
      </c>
      <c r="S233" s="30" t="s">
        <v>42</v>
      </c>
      <c r="T233" s="30" t="s">
        <v>93</v>
      </c>
      <c r="U233" s="30">
        <v>9465353780</v>
      </c>
      <c r="V233" s="38" t="s">
        <v>52</v>
      </c>
      <c r="W233" s="40" t="str" cm="1">
        <f t="array" ref="W233">_xlfn.IFS(AND(P233&gt;=100000,Q233&gt;=4,O233&lt;=0.1,V233="Completed"),"Platinum",AND(P233&gt;=50000,P233&lt;=99999,Q233&gt;=3,V233="Completed"),"Golde",AND(P233&lt;50000,V233="Completed"),"Silver",OR(Q233&lt;=2,V233="Cancelled"),"BlackListed",TRUE,"Other")</f>
        <v>Other</v>
      </c>
    </row>
    <row r="234" spans="1:23" ht="15" thickBot="1" x14ac:dyDescent="0.4">
      <c r="A234" s="27" t="s">
        <v>358</v>
      </c>
      <c r="B234" s="27" t="s">
        <v>134</v>
      </c>
      <c r="C234" s="27" t="s">
        <v>125</v>
      </c>
      <c r="D234" s="28">
        <v>46038</v>
      </c>
      <c r="E234" s="28">
        <v>46046</v>
      </c>
      <c r="F234" s="27" t="s">
        <v>135</v>
      </c>
      <c r="G234" s="27" t="s">
        <v>26</v>
      </c>
      <c r="H234" s="28">
        <v>28240</v>
      </c>
      <c r="I234" s="27" t="s">
        <v>147</v>
      </c>
      <c r="J234" s="27" t="s">
        <v>148</v>
      </c>
      <c r="K234" s="27" t="s">
        <v>83</v>
      </c>
      <c r="L234" s="27" t="s">
        <v>127</v>
      </c>
      <c r="M234" s="27">
        <v>7</v>
      </c>
      <c r="N234" s="27">
        <v>20</v>
      </c>
      <c r="O234" s="27">
        <v>5</v>
      </c>
      <c r="P234" s="27">
        <v>133</v>
      </c>
      <c r="Q234" s="27">
        <v>2</v>
      </c>
      <c r="R234" s="27" t="s">
        <v>65</v>
      </c>
      <c r="S234" s="27" t="s">
        <v>96</v>
      </c>
      <c r="T234" s="27" t="s">
        <v>136</v>
      </c>
      <c r="U234" s="27">
        <v>9837426414</v>
      </c>
      <c r="V234" s="35" t="s">
        <v>34</v>
      </c>
      <c r="W234" s="40" t="str" cm="1">
        <f t="array" ref="W234">_xlfn.IFS(AND(P234&gt;=100000,Q234&gt;=4,O234&lt;=0.1,V234="Completed"),"Platinum",AND(P234&gt;=50000,P234&lt;=99999,Q234&gt;=3,V234="Completed"),"Golde",AND(P234&lt;50000,V234="Completed"),"Silver",OR(Q234&lt;=2,V234="Cancelled"),"BlackListed",TRUE,"Other")</f>
        <v>Silver</v>
      </c>
    </row>
    <row r="235" spans="1:23" ht="15" thickBot="1" x14ac:dyDescent="0.4">
      <c r="A235" s="30" t="s">
        <v>359</v>
      </c>
      <c r="B235" s="30" t="s">
        <v>23</v>
      </c>
      <c r="C235" s="30" t="s">
        <v>24</v>
      </c>
      <c r="D235" s="31">
        <v>46073</v>
      </c>
      <c r="E235" s="31">
        <v>46085</v>
      </c>
      <c r="F235" s="30" t="s">
        <v>25</v>
      </c>
      <c r="G235" s="30" t="s">
        <v>26</v>
      </c>
      <c r="H235" s="31">
        <v>34537</v>
      </c>
      <c r="I235" s="30" t="s">
        <v>48</v>
      </c>
      <c r="J235" s="30" t="s">
        <v>28</v>
      </c>
      <c r="K235" s="30" t="s">
        <v>29</v>
      </c>
      <c r="L235" s="30" t="s">
        <v>30</v>
      </c>
      <c r="M235" s="30">
        <v>15</v>
      </c>
      <c r="N235" s="30">
        <v>2200</v>
      </c>
      <c r="O235" s="30">
        <v>20</v>
      </c>
      <c r="P235" s="30">
        <v>26400</v>
      </c>
      <c r="Q235" s="30">
        <v>2</v>
      </c>
      <c r="R235" s="30" t="s">
        <v>31</v>
      </c>
      <c r="S235" s="30" t="s">
        <v>50</v>
      </c>
      <c r="T235" s="30" t="s">
        <v>43</v>
      </c>
      <c r="U235" s="30">
        <v>9249918272</v>
      </c>
      <c r="V235" s="36" t="s">
        <v>34</v>
      </c>
      <c r="W235" s="40" t="str" cm="1">
        <f t="array" ref="W235">_xlfn.IFS(AND(P235&gt;=100000,Q235&gt;=4,O235&lt;=0.1,V235="Completed"),"Platinum",AND(P235&gt;=50000,P235&lt;=99999,Q235&gt;=3,V235="Completed"),"Golde",AND(P235&lt;50000,V235="Completed"),"Silver",OR(Q235&lt;=2,V235="Cancelled"),"BlackListed",TRUE,"Other")</f>
        <v>Silver</v>
      </c>
    </row>
    <row r="236" spans="1:23" ht="15" thickBot="1" x14ac:dyDescent="0.4">
      <c r="A236" s="27" t="s">
        <v>360</v>
      </c>
      <c r="B236" s="27" t="s">
        <v>55</v>
      </c>
      <c r="C236" s="27" t="s">
        <v>125</v>
      </c>
      <c r="D236" s="28">
        <v>46070</v>
      </c>
      <c r="E236" s="28">
        <v>46078</v>
      </c>
      <c r="F236" s="27" t="s">
        <v>57</v>
      </c>
      <c r="G236" s="27" t="s">
        <v>58</v>
      </c>
      <c r="H236" s="28">
        <v>29170</v>
      </c>
      <c r="I236" s="27" t="s">
        <v>74</v>
      </c>
      <c r="J236" s="27" t="s">
        <v>75</v>
      </c>
      <c r="K236" s="27" t="s">
        <v>83</v>
      </c>
      <c r="L236" s="27" t="s">
        <v>127</v>
      </c>
      <c r="M236" s="27">
        <v>5</v>
      </c>
      <c r="N236" s="27">
        <v>20</v>
      </c>
      <c r="O236" s="27">
        <v>0</v>
      </c>
      <c r="P236" s="27">
        <v>100</v>
      </c>
      <c r="Q236" s="27">
        <v>3</v>
      </c>
      <c r="R236" s="27" t="s">
        <v>31</v>
      </c>
      <c r="S236" s="27" t="s">
        <v>96</v>
      </c>
      <c r="T236" s="27" t="s">
        <v>61</v>
      </c>
      <c r="U236" s="27">
        <v>9265580582</v>
      </c>
      <c r="V236" s="35" t="s">
        <v>34</v>
      </c>
      <c r="W236" s="40" t="str" cm="1">
        <f t="array" ref="W236">_xlfn.IFS(AND(P236&gt;=100000,Q236&gt;=4,O236&lt;=0.1,V236="Completed"),"Platinum",AND(P236&gt;=50000,P236&lt;=99999,Q236&gt;=3,V236="Completed"),"Golde",AND(P236&lt;50000,V236="Completed"),"Silver",OR(Q236&lt;=2,V236="Cancelled"),"BlackListed",TRUE,"Other")</f>
        <v>Silver</v>
      </c>
    </row>
    <row r="237" spans="1:23" ht="15" thickBot="1" x14ac:dyDescent="0.4">
      <c r="A237" s="30" t="s">
        <v>361</v>
      </c>
      <c r="B237" s="30" t="s">
        <v>87</v>
      </c>
      <c r="C237" s="30" t="s">
        <v>36</v>
      </c>
      <c r="D237" s="31">
        <v>45847</v>
      </c>
      <c r="E237" s="31">
        <v>45852</v>
      </c>
      <c r="F237" s="30" t="s">
        <v>88</v>
      </c>
      <c r="G237" s="30" t="s">
        <v>58</v>
      </c>
      <c r="H237" s="31">
        <v>34846</v>
      </c>
      <c r="I237" s="30" t="s">
        <v>37</v>
      </c>
      <c r="J237" s="30" t="s">
        <v>38</v>
      </c>
      <c r="K237" s="30" t="s">
        <v>39</v>
      </c>
      <c r="L237" s="30" t="s">
        <v>40</v>
      </c>
      <c r="M237" s="30">
        <v>8</v>
      </c>
      <c r="N237" s="30">
        <v>12000</v>
      </c>
      <c r="O237" s="30">
        <v>20</v>
      </c>
      <c r="P237" s="30">
        <v>76800</v>
      </c>
      <c r="Q237" s="30">
        <v>3</v>
      </c>
      <c r="R237" s="30" t="s">
        <v>60</v>
      </c>
      <c r="S237" s="30" t="s">
        <v>50</v>
      </c>
      <c r="T237" s="30" t="s">
        <v>89</v>
      </c>
      <c r="U237" s="30">
        <v>9751049833</v>
      </c>
      <c r="V237" s="38" t="s">
        <v>52</v>
      </c>
      <c r="W237" s="40" t="str" cm="1">
        <f t="array" ref="W237">_xlfn.IFS(AND(P237&gt;=100000,Q237&gt;=4,O237&lt;=0.1,V237="Completed"),"Platinum",AND(P237&gt;=50000,P237&lt;=99999,Q237&gt;=3,V237="Completed"),"Golde",AND(P237&lt;50000,V237="Completed"),"Silver",OR(Q237&lt;=2,V237="Cancelled"),"BlackListed",TRUE,"Other")</f>
        <v>Other</v>
      </c>
    </row>
    <row r="238" spans="1:23" ht="15" thickBot="1" x14ac:dyDescent="0.4">
      <c r="A238" s="27" t="s">
        <v>362</v>
      </c>
      <c r="B238" s="27" t="s">
        <v>87</v>
      </c>
      <c r="C238" s="27" t="s">
        <v>68</v>
      </c>
      <c r="D238" s="28">
        <v>45696</v>
      </c>
      <c r="E238" s="28">
        <v>45704</v>
      </c>
      <c r="F238" s="27" t="s">
        <v>88</v>
      </c>
      <c r="G238" s="27" t="s">
        <v>58</v>
      </c>
      <c r="H238" s="28">
        <v>35964</v>
      </c>
      <c r="I238" s="27" t="s">
        <v>74</v>
      </c>
      <c r="J238" s="27" t="s">
        <v>75</v>
      </c>
      <c r="K238" s="27" t="s">
        <v>29</v>
      </c>
      <c r="L238" s="27" t="s">
        <v>70</v>
      </c>
      <c r="M238" s="27">
        <v>4</v>
      </c>
      <c r="N238" s="27">
        <v>3500</v>
      </c>
      <c r="O238" s="27">
        <v>20</v>
      </c>
      <c r="P238" s="27">
        <v>11200</v>
      </c>
      <c r="Q238" s="27">
        <v>1</v>
      </c>
      <c r="R238" s="27" t="s">
        <v>60</v>
      </c>
      <c r="S238" s="27" t="s">
        <v>80</v>
      </c>
      <c r="T238" s="27" t="s">
        <v>89</v>
      </c>
      <c r="U238" s="27">
        <v>9741671507</v>
      </c>
      <c r="V238" s="35" t="s">
        <v>34</v>
      </c>
      <c r="W238" s="40" t="str" cm="1">
        <f t="array" ref="W238">_xlfn.IFS(AND(P238&gt;=100000,Q238&gt;=4,O238&lt;=0.1,V238="Completed"),"Platinum",AND(P238&gt;=50000,P238&lt;=99999,Q238&gt;=3,V238="Completed"),"Golde",AND(P238&lt;50000,V238="Completed"),"Silver",OR(Q238&lt;=2,V238="Cancelled"),"BlackListed",TRUE,"Other")</f>
        <v>Silver</v>
      </c>
    </row>
    <row r="239" spans="1:23" ht="15" thickBot="1" x14ac:dyDescent="0.4">
      <c r="A239" s="30" t="s">
        <v>363</v>
      </c>
      <c r="B239" s="30" t="s">
        <v>124</v>
      </c>
      <c r="C239" s="30" t="s">
        <v>138</v>
      </c>
      <c r="D239" s="31">
        <v>45713</v>
      </c>
      <c r="E239" s="31">
        <v>45720</v>
      </c>
      <c r="F239" s="30" t="s">
        <v>126</v>
      </c>
      <c r="G239" s="30" t="s">
        <v>58</v>
      </c>
      <c r="H239" s="31">
        <v>30337</v>
      </c>
      <c r="I239" s="30" t="s">
        <v>27</v>
      </c>
      <c r="J239" s="30" t="s">
        <v>28</v>
      </c>
      <c r="K239" s="30" t="s">
        <v>83</v>
      </c>
      <c r="L239" s="30" t="s">
        <v>139</v>
      </c>
      <c r="M239" s="30">
        <v>19</v>
      </c>
      <c r="N239" s="30">
        <v>45</v>
      </c>
      <c r="O239" s="30">
        <v>10</v>
      </c>
      <c r="P239" s="30">
        <v>769.5</v>
      </c>
      <c r="Q239" s="30">
        <v>1</v>
      </c>
      <c r="R239" s="30" t="s">
        <v>31</v>
      </c>
      <c r="S239" s="30" t="s">
        <v>80</v>
      </c>
      <c r="T239" s="30" t="s">
        <v>128</v>
      </c>
      <c r="U239" s="30">
        <v>9367541035</v>
      </c>
      <c r="V239" s="36" t="s">
        <v>34</v>
      </c>
      <c r="W239" s="40" t="str" cm="1">
        <f t="array" ref="W239">_xlfn.IFS(AND(P239&gt;=100000,Q239&gt;=4,O239&lt;=0.1,V239="Completed"),"Platinum",AND(P239&gt;=50000,P239&lt;=99999,Q239&gt;=3,V239="Completed"),"Golde",AND(P239&lt;50000,V239="Completed"),"Silver",OR(Q239&lt;=2,V239="Cancelled"),"BlackListed",TRUE,"Other")</f>
        <v>Silver</v>
      </c>
    </row>
    <row r="240" spans="1:23" ht="15" thickBot="1" x14ac:dyDescent="0.4">
      <c r="A240" s="27" t="s">
        <v>364</v>
      </c>
      <c r="B240" s="27" t="s">
        <v>45</v>
      </c>
      <c r="C240" s="27" t="s">
        <v>138</v>
      </c>
      <c r="D240" s="28">
        <v>46049</v>
      </c>
      <c r="E240" s="28">
        <v>46059</v>
      </c>
      <c r="F240" s="27" t="s">
        <v>101</v>
      </c>
      <c r="G240" s="27" t="s">
        <v>26</v>
      </c>
      <c r="H240" s="28">
        <v>28552</v>
      </c>
      <c r="I240" s="27" t="s">
        <v>79</v>
      </c>
      <c r="J240" s="27" t="s">
        <v>75</v>
      </c>
      <c r="K240" s="27" t="s">
        <v>83</v>
      </c>
      <c r="L240" s="27" t="s">
        <v>139</v>
      </c>
      <c r="M240" s="27">
        <v>10</v>
      </c>
      <c r="N240" s="27">
        <v>45</v>
      </c>
      <c r="O240" s="27">
        <v>0</v>
      </c>
      <c r="P240" s="27">
        <v>450</v>
      </c>
      <c r="Q240" s="27">
        <v>4</v>
      </c>
      <c r="R240" s="27" t="s">
        <v>65</v>
      </c>
      <c r="S240" s="27" t="s">
        <v>50</v>
      </c>
      <c r="T240" s="27" t="s">
        <v>51</v>
      </c>
      <c r="U240" s="27">
        <v>9323696971</v>
      </c>
      <c r="V240" s="35" t="s">
        <v>34</v>
      </c>
      <c r="W240" s="40" t="str" cm="1">
        <f t="array" ref="W240">_xlfn.IFS(AND(P240&gt;=100000,Q240&gt;=4,O240&lt;=0.1,V240="Completed"),"Platinum",AND(P240&gt;=50000,P240&lt;=99999,Q240&gt;=3,V240="Completed"),"Golde",AND(P240&lt;50000,V240="Completed"),"Silver",OR(Q240&lt;=2,V240="Cancelled"),"BlackListed",TRUE,"Other")</f>
        <v>Silver</v>
      </c>
    </row>
    <row r="241" spans="1:23" ht="15" thickBot="1" x14ac:dyDescent="0.4">
      <c r="A241" s="30" t="s">
        <v>365</v>
      </c>
      <c r="B241" s="30" t="s">
        <v>45</v>
      </c>
      <c r="C241" s="30" t="s">
        <v>138</v>
      </c>
      <c r="D241" s="31">
        <v>46030</v>
      </c>
      <c r="E241" s="31">
        <v>46039</v>
      </c>
      <c r="F241" s="30" t="s">
        <v>101</v>
      </c>
      <c r="G241" s="30" t="s">
        <v>26</v>
      </c>
      <c r="H241" s="31">
        <v>35605</v>
      </c>
      <c r="I241" s="30" t="s">
        <v>27</v>
      </c>
      <c r="J241" s="30" t="s">
        <v>28</v>
      </c>
      <c r="K241" s="30" t="s">
        <v>83</v>
      </c>
      <c r="L241" s="30" t="s">
        <v>139</v>
      </c>
      <c r="M241" s="30">
        <v>16</v>
      </c>
      <c r="N241" s="30">
        <v>45</v>
      </c>
      <c r="O241" s="30">
        <v>15</v>
      </c>
      <c r="P241" s="30">
        <v>612</v>
      </c>
      <c r="Q241" s="30">
        <v>3</v>
      </c>
      <c r="R241" s="30" t="s">
        <v>31</v>
      </c>
      <c r="S241" s="30" t="s">
        <v>80</v>
      </c>
      <c r="T241" s="30" t="s">
        <v>51</v>
      </c>
      <c r="U241" s="30">
        <v>9786384529</v>
      </c>
      <c r="V241" s="38" t="s">
        <v>53</v>
      </c>
      <c r="W241" s="40" t="str" cm="1">
        <f t="array" ref="W241">_xlfn.IFS(AND(P241&gt;=100000,Q241&gt;=4,O241&lt;=0.1,V241="Completed"),"Platinum",AND(P241&gt;=50000,P241&lt;=99999,Q241&gt;=3,V241="Completed"),"Golde",AND(P241&lt;50000,V241="Completed"),"Silver",OR(Q241&lt;=2,V241="Cancelled"),"BlackListed",TRUE,"Other")</f>
        <v>BlackListed</v>
      </c>
    </row>
    <row r="242" spans="1:23" ht="15" thickBot="1" x14ac:dyDescent="0.4">
      <c r="A242" s="27" t="s">
        <v>366</v>
      </c>
      <c r="B242" s="27" t="s">
        <v>104</v>
      </c>
      <c r="C242" s="27" t="s">
        <v>105</v>
      </c>
      <c r="D242" s="28">
        <v>45741</v>
      </c>
      <c r="E242" s="28">
        <v>45743</v>
      </c>
      <c r="F242" s="27" t="s">
        <v>166</v>
      </c>
      <c r="G242" s="27" t="s">
        <v>26</v>
      </c>
      <c r="H242" s="28">
        <v>27997</v>
      </c>
      <c r="I242" s="27" t="s">
        <v>79</v>
      </c>
      <c r="J242" s="27" t="s">
        <v>75</v>
      </c>
      <c r="K242" s="27" t="s">
        <v>29</v>
      </c>
      <c r="L242" s="27" t="s">
        <v>107</v>
      </c>
      <c r="M242" s="27">
        <v>16</v>
      </c>
      <c r="N242" s="27">
        <v>8500</v>
      </c>
      <c r="O242" s="27">
        <v>15</v>
      </c>
      <c r="P242" s="27">
        <v>115600</v>
      </c>
      <c r="Q242" s="27">
        <v>4</v>
      </c>
      <c r="R242" s="27" t="s">
        <v>41</v>
      </c>
      <c r="S242" s="27" t="s">
        <v>32</v>
      </c>
      <c r="T242" s="27" t="s">
        <v>108</v>
      </c>
      <c r="U242" s="27">
        <v>9444900541</v>
      </c>
      <c r="V242" s="37" t="s">
        <v>53</v>
      </c>
      <c r="W242" s="40" t="str" cm="1">
        <f t="array" ref="W242">_xlfn.IFS(AND(P242&gt;=100000,Q242&gt;=4,O242&lt;=0.1,V242="Completed"),"Platinum",AND(P242&gt;=50000,P242&lt;=99999,Q242&gt;=3,V242="Completed"),"Golde",AND(P242&lt;50000,V242="Completed"),"Silver",OR(Q242&lt;=2,V242="Cancelled"),"BlackListed",TRUE,"Other")</f>
        <v>BlackListed</v>
      </c>
    </row>
    <row r="243" spans="1:23" ht="15" thickBot="1" x14ac:dyDescent="0.4">
      <c r="A243" s="30" t="s">
        <v>367</v>
      </c>
      <c r="B243" s="30" t="s">
        <v>104</v>
      </c>
      <c r="C243" s="30" t="s">
        <v>125</v>
      </c>
      <c r="D243" s="31">
        <v>45901</v>
      </c>
      <c r="E243" s="31">
        <v>45912</v>
      </c>
      <c r="F243" s="30" t="s">
        <v>166</v>
      </c>
      <c r="G243" s="30" t="s">
        <v>26</v>
      </c>
      <c r="H243" s="31">
        <v>35159</v>
      </c>
      <c r="I243" s="30" t="s">
        <v>147</v>
      </c>
      <c r="J243" s="30" t="s">
        <v>148</v>
      </c>
      <c r="K243" s="30" t="s">
        <v>83</v>
      </c>
      <c r="L243" s="30" t="s">
        <v>127</v>
      </c>
      <c r="M243" s="30">
        <v>15</v>
      </c>
      <c r="N243" s="30">
        <v>20</v>
      </c>
      <c r="O243" s="30">
        <v>20</v>
      </c>
      <c r="P243" s="30">
        <v>240</v>
      </c>
      <c r="Q243" s="30">
        <v>3</v>
      </c>
      <c r="R243" s="30" t="s">
        <v>41</v>
      </c>
      <c r="S243" s="30" t="s">
        <v>42</v>
      </c>
      <c r="T243" s="30" t="s">
        <v>108</v>
      </c>
      <c r="U243" s="30">
        <v>9108024911</v>
      </c>
      <c r="V243" s="38" t="s">
        <v>53</v>
      </c>
      <c r="W243" s="40" t="str" cm="1">
        <f t="array" ref="W243">_xlfn.IFS(AND(P243&gt;=100000,Q243&gt;=4,O243&lt;=0.1,V243="Completed"),"Platinum",AND(P243&gt;=50000,P243&lt;=99999,Q243&gt;=3,V243="Completed"),"Golde",AND(P243&lt;50000,V243="Completed"),"Silver",OR(Q243&lt;=2,V243="Cancelled"),"BlackListed",TRUE,"Other")</f>
        <v>BlackListed</v>
      </c>
    </row>
    <row r="244" spans="1:23" ht="15" thickBot="1" x14ac:dyDescent="0.4">
      <c r="A244" s="27" t="s">
        <v>368</v>
      </c>
      <c r="B244" s="27" t="s">
        <v>63</v>
      </c>
      <c r="C244" s="27" t="s">
        <v>82</v>
      </c>
      <c r="D244" s="28">
        <v>46031</v>
      </c>
      <c r="E244" s="28">
        <v>46035</v>
      </c>
      <c r="F244" s="27" t="s">
        <v>110</v>
      </c>
      <c r="G244" s="27" t="s">
        <v>58</v>
      </c>
      <c r="H244" s="28">
        <v>37173</v>
      </c>
      <c r="I244" s="27" t="s">
        <v>48</v>
      </c>
      <c r="J244" s="27" t="s">
        <v>28</v>
      </c>
      <c r="K244" s="27" t="s">
        <v>83</v>
      </c>
      <c r="L244" s="27" t="s">
        <v>84</v>
      </c>
      <c r="M244" s="27">
        <v>14</v>
      </c>
      <c r="N244" s="27">
        <v>60</v>
      </c>
      <c r="O244" s="27">
        <v>5</v>
      </c>
      <c r="P244" s="27">
        <v>798</v>
      </c>
      <c r="Q244" s="27">
        <v>4</v>
      </c>
      <c r="R244" s="27" t="s">
        <v>31</v>
      </c>
      <c r="S244" s="27" t="s">
        <v>42</v>
      </c>
      <c r="T244" s="27" t="s">
        <v>66</v>
      </c>
      <c r="U244" s="27">
        <v>9897181325</v>
      </c>
      <c r="V244" s="35" t="s">
        <v>34</v>
      </c>
      <c r="W244" s="40" t="str" cm="1">
        <f t="array" ref="W244">_xlfn.IFS(AND(P244&gt;=100000,Q244&gt;=4,O244&lt;=0.1,V244="Completed"),"Platinum",AND(P244&gt;=50000,P244&lt;=99999,Q244&gt;=3,V244="Completed"),"Golde",AND(P244&lt;50000,V244="Completed"),"Silver",OR(Q244&lt;=2,V244="Cancelled"),"BlackListed",TRUE,"Other")</f>
        <v>Silver</v>
      </c>
    </row>
    <row r="245" spans="1:23" ht="15" thickBot="1" x14ac:dyDescent="0.4">
      <c r="A245" s="30" t="s">
        <v>369</v>
      </c>
      <c r="B245" s="30" t="s">
        <v>45</v>
      </c>
      <c r="C245" s="30" t="s">
        <v>56</v>
      </c>
      <c r="D245" s="31">
        <v>46158</v>
      </c>
      <c r="E245" s="31">
        <v>46161</v>
      </c>
      <c r="F245" s="30" t="s">
        <v>101</v>
      </c>
      <c r="G245" s="30" t="s">
        <v>26</v>
      </c>
      <c r="H245" s="31">
        <v>34800</v>
      </c>
      <c r="I245" s="30" t="s">
        <v>74</v>
      </c>
      <c r="J245" s="30" t="s">
        <v>75</v>
      </c>
      <c r="K245" s="30" t="s">
        <v>39</v>
      </c>
      <c r="L245" s="30" t="s">
        <v>59</v>
      </c>
      <c r="M245" s="30">
        <v>19</v>
      </c>
      <c r="N245" s="30">
        <v>1200</v>
      </c>
      <c r="O245" s="30">
        <v>20</v>
      </c>
      <c r="P245" s="30">
        <v>18240</v>
      </c>
      <c r="Q245" s="30">
        <v>2</v>
      </c>
      <c r="R245" s="30" t="s">
        <v>31</v>
      </c>
      <c r="S245" s="30" t="s">
        <v>80</v>
      </c>
      <c r="T245" s="30" t="s">
        <v>51</v>
      </c>
      <c r="U245" s="30">
        <v>9554719621</v>
      </c>
      <c r="V245" s="38" t="s">
        <v>53</v>
      </c>
      <c r="W245" s="40" t="str" cm="1">
        <f t="array" ref="W245">_xlfn.IFS(AND(P245&gt;=100000,Q245&gt;=4,O245&lt;=0.1,V245="Completed"),"Platinum",AND(P245&gt;=50000,P245&lt;=99999,Q245&gt;=3,V245="Completed"),"Golde",AND(P245&lt;50000,V245="Completed"),"Silver",OR(Q245&lt;=2,V245="Cancelled"),"BlackListed",TRUE,"Other")</f>
        <v>BlackListed</v>
      </c>
    </row>
    <row r="246" spans="1:23" ht="15" thickBot="1" x14ac:dyDescent="0.4">
      <c r="A246" s="27" t="s">
        <v>370</v>
      </c>
      <c r="B246" s="27" t="s">
        <v>23</v>
      </c>
      <c r="C246" s="27" t="s">
        <v>138</v>
      </c>
      <c r="D246" s="28">
        <v>45943</v>
      </c>
      <c r="E246" s="28">
        <v>45944</v>
      </c>
      <c r="F246" s="27" t="s">
        <v>25</v>
      </c>
      <c r="G246" s="27" t="s">
        <v>26</v>
      </c>
      <c r="H246" s="28">
        <v>36650</v>
      </c>
      <c r="I246" s="27" t="s">
        <v>48</v>
      </c>
      <c r="J246" s="27" t="s">
        <v>28</v>
      </c>
      <c r="K246" s="27" t="s">
        <v>83</v>
      </c>
      <c r="L246" s="27" t="s">
        <v>139</v>
      </c>
      <c r="M246" s="27">
        <v>5</v>
      </c>
      <c r="N246" s="27">
        <v>45</v>
      </c>
      <c r="O246" s="27">
        <v>15</v>
      </c>
      <c r="P246" s="27">
        <v>191.25</v>
      </c>
      <c r="Q246" s="27">
        <v>2</v>
      </c>
      <c r="R246" s="27" t="s">
        <v>31</v>
      </c>
      <c r="S246" s="27" t="s">
        <v>50</v>
      </c>
      <c r="T246" s="27" t="s">
        <v>43</v>
      </c>
      <c r="U246" s="27">
        <v>9815899217</v>
      </c>
      <c r="V246" s="37" t="s">
        <v>53</v>
      </c>
      <c r="W246" s="40" t="str" cm="1">
        <f t="array" ref="W246">_xlfn.IFS(AND(P246&gt;=100000,Q246&gt;=4,O246&lt;=0.1,V246="Completed"),"Platinum",AND(P246&gt;=50000,P246&lt;=99999,Q246&gt;=3,V246="Completed"),"Golde",AND(P246&lt;50000,V246="Completed"),"Silver",OR(Q246&lt;=2,V246="Cancelled"),"BlackListed",TRUE,"Other")</f>
        <v>BlackListed</v>
      </c>
    </row>
    <row r="247" spans="1:23" ht="15" thickBot="1" x14ac:dyDescent="0.4">
      <c r="A247" s="30" t="s">
        <v>371</v>
      </c>
      <c r="B247" s="30" t="s">
        <v>156</v>
      </c>
      <c r="C247" s="30" t="s">
        <v>112</v>
      </c>
      <c r="D247" s="31">
        <v>45802</v>
      </c>
      <c r="E247" s="31">
        <v>45809</v>
      </c>
      <c r="F247" s="30" t="s">
        <v>106</v>
      </c>
      <c r="G247" s="30" t="s">
        <v>58</v>
      </c>
      <c r="H247" s="31">
        <v>37316</v>
      </c>
      <c r="I247" s="30" t="s">
        <v>27</v>
      </c>
      <c r="J247" s="30" t="s">
        <v>28</v>
      </c>
      <c r="K247" s="30" t="s">
        <v>39</v>
      </c>
      <c r="L247" s="30" t="s">
        <v>114</v>
      </c>
      <c r="M247" s="30">
        <v>19</v>
      </c>
      <c r="N247" s="30">
        <v>700</v>
      </c>
      <c r="O247" s="30">
        <v>5</v>
      </c>
      <c r="P247" s="30">
        <v>12635</v>
      </c>
      <c r="Q247" s="30">
        <v>5</v>
      </c>
      <c r="R247" s="30" t="s">
        <v>65</v>
      </c>
      <c r="S247" s="30" t="s">
        <v>96</v>
      </c>
      <c r="T247" s="30" t="s">
        <v>158</v>
      </c>
      <c r="U247" s="30">
        <v>9308497039</v>
      </c>
      <c r="V247" s="36" t="s">
        <v>34</v>
      </c>
      <c r="W247" s="40" t="str" cm="1">
        <f t="array" ref="W247">_xlfn.IFS(AND(P247&gt;=100000,Q247&gt;=4,O247&lt;=0.1,V247="Completed"),"Platinum",AND(P247&gt;=50000,P247&lt;=99999,Q247&gt;=3,V247="Completed"),"Golde",AND(P247&lt;50000,V247="Completed"),"Silver",OR(Q247&lt;=2,V247="Cancelled"),"BlackListed",TRUE,"Other")</f>
        <v>Silver</v>
      </c>
    </row>
    <row r="248" spans="1:23" ht="15" thickBot="1" x14ac:dyDescent="0.4">
      <c r="A248" s="27" t="s">
        <v>372</v>
      </c>
      <c r="B248" s="27" t="s">
        <v>87</v>
      </c>
      <c r="C248" s="27" t="s">
        <v>82</v>
      </c>
      <c r="D248" s="28">
        <v>46025</v>
      </c>
      <c r="E248" s="28">
        <v>46026</v>
      </c>
      <c r="F248" s="27" t="s">
        <v>88</v>
      </c>
      <c r="G248" s="27" t="s">
        <v>58</v>
      </c>
      <c r="H248" s="28">
        <v>27541</v>
      </c>
      <c r="I248" s="27" t="s">
        <v>147</v>
      </c>
      <c r="J248" s="27" t="s">
        <v>148</v>
      </c>
      <c r="K248" s="27" t="s">
        <v>83</v>
      </c>
      <c r="L248" s="27" t="s">
        <v>84</v>
      </c>
      <c r="M248" s="27">
        <v>7</v>
      </c>
      <c r="N248" s="27">
        <v>60</v>
      </c>
      <c r="O248" s="27">
        <v>0</v>
      </c>
      <c r="P248" s="27">
        <v>420</v>
      </c>
      <c r="Q248" s="27">
        <v>4</v>
      </c>
      <c r="R248" s="27" t="s">
        <v>31</v>
      </c>
      <c r="S248" s="27" t="s">
        <v>80</v>
      </c>
      <c r="T248" s="27" t="s">
        <v>89</v>
      </c>
      <c r="U248" s="27">
        <v>9882054354</v>
      </c>
      <c r="V248" s="37" t="s">
        <v>52</v>
      </c>
      <c r="W248" s="40" t="str" cm="1">
        <f t="array" ref="W248">_xlfn.IFS(AND(P248&gt;=100000,Q248&gt;=4,O248&lt;=0.1,V248="Completed"),"Platinum",AND(P248&gt;=50000,P248&lt;=99999,Q248&gt;=3,V248="Completed"),"Golde",AND(P248&lt;50000,V248="Completed"),"Silver",OR(Q248&lt;=2,V248="Cancelled"),"BlackListed",TRUE,"Other")</f>
        <v>Other</v>
      </c>
    </row>
    <row r="249" spans="1:23" ht="15" thickBot="1" x14ac:dyDescent="0.4">
      <c r="A249" s="30" t="s">
        <v>373</v>
      </c>
      <c r="B249" s="30" t="s">
        <v>55</v>
      </c>
      <c r="C249" s="30" t="s">
        <v>24</v>
      </c>
      <c r="D249" s="31">
        <v>46013</v>
      </c>
      <c r="E249" s="31">
        <v>46024</v>
      </c>
      <c r="F249" s="30" t="s">
        <v>57</v>
      </c>
      <c r="G249" s="30" t="s">
        <v>58</v>
      </c>
      <c r="H249" s="31">
        <v>32479</v>
      </c>
      <c r="I249" s="30" t="s">
        <v>74</v>
      </c>
      <c r="J249" s="30" t="s">
        <v>75</v>
      </c>
      <c r="K249" s="30" t="s">
        <v>29</v>
      </c>
      <c r="L249" s="30" t="s">
        <v>30</v>
      </c>
      <c r="M249" s="30">
        <v>13</v>
      </c>
      <c r="N249" s="30">
        <v>2200</v>
      </c>
      <c r="O249" s="30">
        <v>10</v>
      </c>
      <c r="P249" s="30">
        <v>25740</v>
      </c>
      <c r="Q249" s="30">
        <v>1</v>
      </c>
      <c r="R249" s="30" t="s">
        <v>60</v>
      </c>
      <c r="S249" s="30" t="s">
        <v>96</v>
      </c>
      <c r="T249" s="30" t="s">
        <v>61</v>
      </c>
      <c r="U249" s="30">
        <v>9193016830</v>
      </c>
      <c r="V249" s="36" t="s">
        <v>34</v>
      </c>
      <c r="W249" s="40" t="str" cm="1">
        <f t="array" ref="W249">_xlfn.IFS(AND(P249&gt;=100000,Q249&gt;=4,O249&lt;=0.1,V249="Completed"),"Platinum",AND(P249&gt;=50000,P249&lt;=99999,Q249&gt;=3,V249="Completed"),"Golde",AND(P249&lt;50000,V249="Completed"),"Silver",OR(Q249&lt;=2,V249="Cancelled"),"BlackListed",TRUE,"Other")</f>
        <v>Silver</v>
      </c>
    </row>
    <row r="250" spans="1:23" ht="15" thickBot="1" x14ac:dyDescent="0.4">
      <c r="A250" s="27" t="s">
        <v>374</v>
      </c>
      <c r="B250" s="27" t="s">
        <v>55</v>
      </c>
      <c r="C250" s="27" t="s">
        <v>24</v>
      </c>
      <c r="D250" s="28">
        <v>46019</v>
      </c>
      <c r="E250" s="28">
        <v>46027</v>
      </c>
      <c r="F250" s="27" t="s">
        <v>57</v>
      </c>
      <c r="G250" s="27" t="s">
        <v>58</v>
      </c>
      <c r="H250" s="28">
        <v>31022</v>
      </c>
      <c r="I250" s="27" t="s">
        <v>48</v>
      </c>
      <c r="J250" s="27" t="s">
        <v>28</v>
      </c>
      <c r="K250" s="27" t="s">
        <v>29</v>
      </c>
      <c r="L250" s="27" t="s">
        <v>30</v>
      </c>
      <c r="M250" s="27">
        <v>9</v>
      </c>
      <c r="N250" s="27">
        <v>2200</v>
      </c>
      <c r="O250" s="27">
        <v>10</v>
      </c>
      <c r="P250" s="27">
        <v>17820</v>
      </c>
      <c r="Q250" s="27">
        <v>2</v>
      </c>
      <c r="R250" s="27" t="s">
        <v>375</v>
      </c>
      <c r="S250" s="27" t="s">
        <v>50</v>
      </c>
      <c r="T250" s="27" t="s">
        <v>61</v>
      </c>
      <c r="U250" s="27">
        <v>9921470418</v>
      </c>
      <c r="V250" s="37" t="s">
        <v>53</v>
      </c>
      <c r="W250" s="40" t="str" cm="1">
        <f t="array" ref="W250">_xlfn.IFS(AND(P250&gt;=100000,Q250&gt;=4,O250&lt;=0.1,V250="Completed"),"Platinum",AND(P250&gt;=50000,P250&lt;=99999,Q250&gt;=3,V250="Completed"),"Golde",AND(P250&lt;50000,V250="Completed"),"Silver",OR(Q250&lt;=2,V250="Cancelled"),"BlackListed",TRUE,"Other")</f>
        <v>BlackListed</v>
      </c>
    </row>
    <row r="251" spans="1:23" ht="15" thickBot="1" x14ac:dyDescent="0.4">
      <c r="A251" s="30" t="s">
        <v>376</v>
      </c>
      <c r="B251" s="30" t="s">
        <v>156</v>
      </c>
      <c r="C251" s="30" t="s">
        <v>105</v>
      </c>
      <c r="D251" s="31">
        <v>45792</v>
      </c>
      <c r="E251" s="31">
        <v>45794</v>
      </c>
      <c r="F251" s="30" t="s">
        <v>106</v>
      </c>
      <c r="G251" s="30" t="s">
        <v>58</v>
      </c>
      <c r="H251" s="31">
        <v>32994</v>
      </c>
      <c r="I251" s="30" t="s">
        <v>48</v>
      </c>
      <c r="J251" s="30" t="s">
        <v>28</v>
      </c>
      <c r="K251" s="30" t="s">
        <v>29</v>
      </c>
      <c r="L251" s="30" t="s">
        <v>107</v>
      </c>
      <c r="M251" s="30">
        <v>6</v>
      </c>
      <c r="N251" s="30">
        <v>8500</v>
      </c>
      <c r="O251" s="30">
        <v>15</v>
      </c>
      <c r="P251" s="30">
        <v>43350</v>
      </c>
      <c r="Q251" s="30">
        <v>2</v>
      </c>
      <c r="R251" s="30" t="s">
        <v>31</v>
      </c>
      <c r="S251" s="30" t="s">
        <v>96</v>
      </c>
      <c r="T251" s="30" t="s">
        <v>158</v>
      </c>
      <c r="U251" s="30">
        <v>9686979026</v>
      </c>
      <c r="V251" s="38" t="s">
        <v>53</v>
      </c>
      <c r="W251" s="40" t="str" cm="1">
        <f t="array" ref="W251">_xlfn.IFS(AND(P251&gt;=100000,Q251&gt;=4,O251&lt;=0.1,V251="Completed"),"Platinum",AND(P251&gt;=50000,P251&lt;=99999,Q251&gt;=3,V251="Completed"),"Golde",AND(P251&lt;50000,V251="Completed"),"Silver",OR(Q251&lt;=2,V251="Cancelled"),"BlackListed",TRUE,"Other")</f>
        <v>BlackListed</v>
      </c>
    </row>
    <row r="252" spans="1:23" ht="15" thickBot="1" x14ac:dyDescent="0.4">
      <c r="A252" s="27" t="s">
        <v>377</v>
      </c>
      <c r="B252" s="27" t="s">
        <v>124</v>
      </c>
      <c r="C252" s="27" t="s">
        <v>24</v>
      </c>
      <c r="D252" s="28">
        <v>46070</v>
      </c>
      <c r="E252" s="28">
        <v>46078</v>
      </c>
      <c r="F252" s="27" t="s">
        <v>126</v>
      </c>
      <c r="G252" s="27" t="s">
        <v>58</v>
      </c>
      <c r="H252" s="28">
        <v>32182</v>
      </c>
      <c r="I252" s="27" t="s">
        <v>37</v>
      </c>
      <c r="J252" s="27" t="s">
        <v>38</v>
      </c>
      <c r="K252" s="27" t="s">
        <v>29</v>
      </c>
      <c r="L252" s="27" t="s">
        <v>30</v>
      </c>
      <c r="M252" s="27">
        <v>9</v>
      </c>
      <c r="N252" s="27">
        <v>2200</v>
      </c>
      <c r="O252" s="27">
        <v>10</v>
      </c>
      <c r="P252" s="27">
        <v>17820</v>
      </c>
      <c r="Q252" s="27">
        <v>3</v>
      </c>
      <c r="R252" s="27" t="s">
        <v>60</v>
      </c>
      <c r="S252" s="27" t="s">
        <v>32</v>
      </c>
      <c r="T252" s="27" t="s">
        <v>128</v>
      </c>
      <c r="U252" s="27">
        <v>9569007422</v>
      </c>
      <c r="V252" s="37" t="s">
        <v>52</v>
      </c>
      <c r="W252" s="40" t="str" cm="1">
        <f t="array" ref="W252">_xlfn.IFS(AND(P252&gt;=100000,Q252&gt;=4,O252&lt;=0.1,V252="Completed"),"Platinum",AND(P252&gt;=50000,P252&lt;=99999,Q252&gt;=3,V252="Completed"),"Golde",AND(P252&lt;50000,V252="Completed"),"Silver",OR(Q252&lt;=2,V252="Cancelled"),"BlackListed",TRUE,"Other")</f>
        <v>Other</v>
      </c>
    </row>
    <row r="253" spans="1:23" ht="15" thickBot="1" x14ac:dyDescent="0.4">
      <c r="A253" s="30" t="s">
        <v>378</v>
      </c>
      <c r="B253" s="30" t="s">
        <v>23</v>
      </c>
      <c r="C253" s="30" t="s">
        <v>105</v>
      </c>
      <c r="D253" s="31">
        <v>45739</v>
      </c>
      <c r="E253" s="31">
        <v>45742</v>
      </c>
      <c r="F253" s="30" t="s">
        <v>25</v>
      </c>
      <c r="G253" s="30" t="s">
        <v>26</v>
      </c>
      <c r="H253" s="31">
        <v>30038</v>
      </c>
      <c r="I253" s="30" t="s">
        <v>147</v>
      </c>
      <c r="J253" s="30" t="s">
        <v>148</v>
      </c>
      <c r="K253" s="30" t="s">
        <v>29</v>
      </c>
      <c r="L253" s="30" t="s">
        <v>107</v>
      </c>
      <c r="M253" s="30">
        <v>16</v>
      </c>
      <c r="N253" s="30">
        <v>8500</v>
      </c>
      <c r="O253" s="30">
        <v>0</v>
      </c>
      <c r="P253" s="30">
        <v>136000</v>
      </c>
      <c r="Q253" s="30">
        <v>5</v>
      </c>
      <c r="R253" s="30" t="s">
        <v>65</v>
      </c>
      <c r="S253" s="30" t="s">
        <v>80</v>
      </c>
      <c r="T253" s="30" t="s">
        <v>43</v>
      </c>
      <c r="U253" s="30">
        <v>9180820441</v>
      </c>
      <c r="V253" s="38" t="s">
        <v>53</v>
      </c>
      <c r="W253" s="40" t="str" cm="1">
        <f t="array" ref="W253">_xlfn.IFS(AND(P253&gt;=100000,Q253&gt;=4,O253&lt;=0.1,V253="Completed"),"Platinum",AND(P253&gt;=50000,P253&lt;=99999,Q253&gt;=3,V253="Completed"),"Golde",AND(P253&lt;50000,V253="Completed"),"Silver",OR(Q253&lt;=2,V253="Cancelled"),"BlackListed",TRUE,"Other")</f>
        <v>BlackListed</v>
      </c>
    </row>
    <row r="254" spans="1:23" ht="15" thickBot="1" x14ac:dyDescent="0.4">
      <c r="A254" s="27" t="s">
        <v>379</v>
      </c>
      <c r="B254" s="27" t="s">
        <v>156</v>
      </c>
      <c r="C254" s="27" t="s">
        <v>56</v>
      </c>
      <c r="D254" s="28">
        <v>46006</v>
      </c>
      <c r="E254" s="28">
        <v>46007</v>
      </c>
      <c r="F254" s="27" t="s">
        <v>106</v>
      </c>
      <c r="G254" s="27" t="s">
        <v>58</v>
      </c>
      <c r="H254" s="28">
        <v>28122</v>
      </c>
      <c r="I254" s="27" t="s">
        <v>37</v>
      </c>
      <c r="J254" s="27" t="s">
        <v>38</v>
      </c>
      <c r="K254" s="27" t="s">
        <v>39</v>
      </c>
      <c r="L254" s="27" t="s">
        <v>59</v>
      </c>
      <c r="M254" s="27">
        <v>10</v>
      </c>
      <c r="N254" s="27">
        <v>1200</v>
      </c>
      <c r="O254" s="27">
        <v>15</v>
      </c>
      <c r="P254" s="27">
        <v>10200</v>
      </c>
      <c r="Q254" s="27">
        <v>5</v>
      </c>
      <c r="R254" s="27" t="s">
        <v>31</v>
      </c>
      <c r="S254" s="27" t="s">
        <v>42</v>
      </c>
      <c r="T254" s="27" t="s">
        <v>158</v>
      </c>
      <c r="U254" s="27">
        <v>9769075826</v>
      </c>
      <c r="V254" s="35" t="s">
        <v>34</v>
      </c>
      <c r="W254" s="40" t="str" cm="1">
        <f t="array" ref="W254">_xlfn.IFS(AND(P254&gt;=100000,Q254&gt;=4,O254&lt;=0.1,V254="Completed"),"Platinum",AND(P254&gt;=50000,P254&lt;=99999,Q254&gt;=3,V254="Completed"),"Golde",AND(P254&lt;50000,V254="Completed"),"Silver",OR(Q254&lt;=2,V254="Cancelled"),"BlackListed",TRUE,"Other")</f>
        <v>Silver</v>
      </c>
    </row>
    <row r="255" spans="1:23" ht="15" thickBot="1" x14ac:dyDescent="0.4">
      <c r="A255" s="30" t="s">
        <v>380</v>
      </c>
      <c r="B255" s="30" t="s">
        <v>87</v>
      </c>
      <c r="C255" s="30" t="s">
        <v>36</v>
      </c>
      <c r="D255" s="31">
        <v>45721</v>
      </c>
      <c r="E255" s="31">
        <v>45731</v>
      </c>
      <c r="F255" s="30" t="s">
        <v>88</v>
      </c>
      <c r="G255" s="30" t="s">
        <v>58</v>
      </c>
      <c r="H255" s="31">
        <v>37836</v>
      </c>
      <c r="I255" s="30" t="s">
        <v>147</v>
      </c>
      <c r="J255" s="30" t="s">
        <v>148</v>
      </c>
      <c r="K255" s="30" t="s">
        <v>39</v>
      </c>
      <c r="L255" s="30" t="s">
        <v>40</v>
      </c>
      <c r="M255" s="30">
        <v>7</v>
      </c>
      <c r="N255" s="30">
        <v>12000</v>
      </c>
      <c r="O255" s="30">
        <v>0</v>
      </c>
      <c r="P255" s="30">
        <v>84000</v>
      </c>
      <c r="Q255" s="30">
        <v>1</v>
      </c>
      <c r="R255" s="30" t="s">
        <v>65</v>
      </c>
      <c r="S255" s="30" t="s">
        <v>96</v>
      </c>
      <c r="T255" s="30" t="s">
        <v>89</v>
      </c>
      <c r="U255" s="30">
        <v>9467916296</v>
      </c>
      <c r="V255" s="38" t="s">
        <v>52</v>
      </c>
      <c r="W255" s="40" t="str" cm="1">
        <f t="array" ref="W255">_xlfn.IFS(AND(P255&gt;=100000,Q255&gt;=4,O255&lt;=0.1,V255="Completed"),"Platinum",AND(P255&gt;=50000,P255&lt;=99999,Q255&gt;=3,V255="Completed"),"Golde",AND(P255&lt;50000,V255="Completed"),"Silver",OR(Q255&lt;=2,V255="Cancelled"),"BlackListed",TRUE,"Other")</f>
        <v>BlackListed</v>
      </c>
    </row>
    <row r="256" spans="1:23" ht="15" thickBot="1" x14ac:dyDescent="0.4">
      <c r="A256" s="27" t="s">
        <v>381</v>
      </c>
      <c r="B256" s="27" t="s">
        <v>124</v>
      </c>
      <c r="C256" s="27" t="s">
        <v>36</v>
      </c>
      <c r="D256" s="28">
        <v>45919</v>
      </c>
      <c r="E256" s="28">
        <v>45931</v>
      </c>
      <c r="F256" s="27" t="s">
        <v>126</v>
      </c>
      <c r="G256" s="27" t="s">
        <v>58</v>
      </c>
      <c r="H256" s="28">
        <v>31538</v>
      </c>
      <c r="I256" s="27" t="s">
        <v>79</v>
      </c>
      <c r="J256" s="27" t="s">
        <v>75</v>
      </c>
      <c r="K256" s="27" t="s">
        <v>39</v>
      </c>
      <c r="L256" s="27" t="s">
        <v>40</v>
      </c>
      <c r="M256" s="27">
        <v>3</v>
      </c>
      <c r="N256" s="27">
        <v>12000</v>
      </c>
      <c r="O256" s="27">
        <v>10</v>
      </c>
      <c r="P256" s="27">
        <v>32400</v>
      </c>
      <c r="Q256" s="27">
        <v>4</v>
      </c>
      <c r="R256" s="27" t="s">
        <v>60</v>
      </c>
      <c r="S256" s="27" t="s">
        <v>96</v>
      </c>
      <c r="T256" s="27" t="s">
        <v>128</v>
      </c>
      <c r="U256" s="27">
        <v>9477052923</v>
      </c>
      <c r="V256" s="35" t="s">
        <v>34</v>
      </c>
      <c r="W256" s="40" t="str" cm="1">
        <f t="array" ref="W256">_xlfn.IFS(AND(P256&gt;=100000,Q256&gt;=4,O256&lt;=0.1,V256="Completed"),"Platinum",AND(P256&gt;=50000,P256&lt;=99999,Q256&gt;=3,V256="Completed"),"Golde",AND(P256&lt;50000,V256="Completed"),"Silver",OR(Q256&lt;=2,V256="Cancelled"),"BlackListed",TRUE,"Other")</f>
        <v>Silver</v>
      </c>
    </row>
    <row r="257" spans="1:23" ht="15" thickBot="1" x14ac:dyDescent="0.4">
      <c r="A257" s="30" t="s">
        <v>382</v>
      </c>
      <c r="B257" s="30" t="s">
        <v>124</v>
      </c>
      <c r="C257" s="30" t="s">
        <v>36</v>
      </c>
      <c r="D257" s="31">
        <v>45964</v>
      </c>
      <c r="E257" s="31">
        <v>45970</v>
      </c>
      <c r="F257" s="30" t="s">
        <v>126</v>
      </c>
      <c r="G257" s="30" t="s">
        <v>58</v>
      </c>
      <c r="H257" s="31">
        <v>32543</v>
      </c>
      <c r="I257" s="30" t="s">
        <v>27</v>
      </c>
      <c r="J257" s="30" t="s">
        <v>28</v>
      </c>
      <c r="K257" s="30" t="s">
        <v>39</v>
      </c>
      <c r="L257" s="30" t="s">
        <v>40</v>
      </c>
      <c r="M257" s="30">
        <v>4</v>
      </c>
      <c r="N257" s="30">
        <v>12000</v>
      </c>
      <c r="O257" s="30">
        <v>15</v>
      </c>
      <c r="P257" s="30">
        <v>40800</v>
      </c>
      <c r="Q257" s="30">
        <v>3</v>
      </c>
      <c r="R257" s="30" t="s">
        <v>60</v>
      </c>
      <c r="S257" s="30" t="s">
        <v>32</v>
      </c>
      <c r="T257" s="30" t="s">
        <v>128</v>
      </c>
      <c r="U257" s="30">
        <v>9184311420</v>
      </c>
      <c r="V257" s="38" t="s">
        <v>52</v>
      </c>
      <c r="W257" s="40" t="str" cm="1">
        <f t="array" ref="W257">_xlfn.IFS(AND(P257&gt;=100000,Q257&gt;=4,O257&lt;=0.1,V257="Completed"),"Platinum",AND(P257&gt;=50000,P257&lt;=99999,Q257&gt;=3,V257="Completed"),"Golde",AND(P257&lt;50000,V257="Completed"),"Silver",OR(Q257&lt;=2,V257="Cancelled"),"BlackListed",TRUE,"Other")</f>
        <v>Other</v>
      </c>
    </row>
    <row r="258" spans="1:23" ht="15" thickBot="1" x14ac:dyDescent="0.4">
      <c r="A258" s="27" t="s">
        <v>383</v>
      </c>
      <c r="B258" s="27" t="s">
        <v>87</v>
      </c>
      <c r="C258" s="27" t="s">
        <v>36</v>
      </c>
      <c r="D258" s="28">
        <v>45824</v>
      </c>
      <c r="E258" s="28">
        <v>45826</v>
      </c>
      <c r="F258" s="27" t="s">
        <v>88</v>
      </c>
      <c r="G258" s="27" t="s">
        <v>58</v>
      </c>
      <c r="H258" s="28">
        <v>29259</v>
      </c>
      <c r="I258" s="27" t="s">
        <v>27</v>
      </c>
      <c r="J258" s="27" t="s">
        <v>28</v>
      </c>
      <c r="K258" s="27" t="s">
        <v>39</v>
      </c>
      <c r="L258" s="27" t="s">
        <v>40</v>
      </c>
      <c r="M258" s="27">
        <v>13</v>
      </c>
      <c r="N258" s="27">
        <v>12000</v>
      </c>
      <c r="O258" s="27">
        <v>10</v>
      </c>
      <c r="P258" s="27">
        <v>140400</v>
      </c>
      <c r="Q258" s="27">
        <v>2</v>
      </c>
      <c r="R258" s="27" t="s">
        <v>31</v>
      </c>
      <c r="S258" s="27" t="s">
        <v>96</v>
      </c>
      <c r="T258" s="27" t="s">
        <v>89</v>
      </c>
      <c r="U258" s="27">
        <v>9630913127</v>
      </c>
      <c r="V258" s="37" t="s">
        <v>53</v>
      </c>
      <c r="W258" s="40" t="str" cm="1">
        <f t="array" ref="W258">_xlfn.IFS(AND(P258&gt;=100000,Q258&gt;=4,O258&lt;=0.1,V258="Completed"),"Platinum",AND(P258&gt;=50000,P258&lt;=99999,Q258&gt;=3,V258="Completed"),"Golde",AND(P258&lt;50000,V258="Completed"),"Silver",OR(Q258&lt;=2,V258="Cancelled"),"BlackListed",TRUE,"Other")</f>
        <v>BlackListed</v>
      </c>
    </row>
    <row r="259" spans="1:23" ht="15" thickBot="1" x14ac:dyDescent="0.4">
      <c r="A259" s="30" t="s">
        <v>384</v>
      </c>
      <c r="B259" s="30" t="s">
        <v>23</v>
      </c>
      <c r="C259" s="30" t="s">
        <v>68</v>
      </c>
      <c r="D259" s="31">
        <v>45812</v>
      </c>
      <c r="E259" s="31">
        <v>45819</v>
      </c>
      <c r="F259" s="30" t="s">
        <v>25</v>
      </c>
      <c r="G259" s="30" t="s">
        <v>26</v>
      </c>
      <c r="H259" s="31">
        <v>31060</v>
      </c>
      <c r="I259" s="30" t="s">
        <v>48</v>
      </c>
      <c r="J259" s="30" t="s">
        <v>28</v>
      </c>
      <c r="K259" s="30" t="s">
        <v>29</v>
      </c>
      <c r="L259" s="30" t="s">
        <v>70</v>
      </c>
      <c r="M259" s="30">
        <v>19</v>
      </c>
      <c r="N259" s="30">
        <v>3500</v>
      </c>
      <c r="O259" s="30">
        <v>20</v>
      </c>
      <c r="P259" s="30">
        <v>53200</v>
      </c>
      <c r="Q259" s="30">
        <v>1</v>
      </c>
      <c r="R259" s="30" t="s">
        <v>31</v>
      </c>
      <c r="S259" s="30" t="s">
        <v>50</v>
      </c>
      <c r="T259" s="30" t="s">
        <v>43</v>
      </c>
      <c r="U259" s="30">
        <v>9997515828</v>
      </c>
      <c r="V259" s="38" t="s">
        <v>53</v>
      </c>
      <c r="W259" s="40" t="str" cm="1">
        <f t="array" ref="W259">_xlfn.IFS(AND(P259&gt;=100000,Q259&gt;=4,O259&lt;=0.1,V259="Completed"),"Platinum",AND(P259&gt;=50000,P259&lt;=99999,Q259&gt;=3,V259="Completed"),"Golde",AND(P259&lt;50000,V259="Completed"),"Silver",OR(Q259&lt;=2,V259="Cancelled"),"BlackListed",TRUE,"Other")</f>
        <v>BlackListed</v>
      </c>
    </row>
    <row r="260" spans="1:23" ht="15" thickBot="1" x14ac:dyDescent="0.4">
      <c r="A260" s="27" t="s">
        <v>385</v>
      </c>
      <c r="B260" s="27" t="s">
        <v>23</v>
      </c>
      <c r="C260" s="27" t="s">
        <v>24</v>
      </c>
      <c r="D260" s="28">
        <v>45695</v>
      </c>
      <c r="E260" s="28">
        <v>45700</v>
      </c>
      <c r="F260" s="27" t="s">
        <v>25</v>
      </c>
      <c r="G260" s="27" t="s">
        <v>26</v>
      </c>
      <c r="H260" s="28">
        <v>29060</v>
      </c>
      <c r="I260" s="27" t="s">
        <v>74</v>
      </c>
      <c r="J260" s="27" t="s">
        <v>75</v>
      </c>
      <c r="K260" s="27" t="s">
        <v>29</v>
      </c>
      <c r="L260" s="27" t="s">
        <v>30</v>
      </c>
      <c r="M260" s="27">
        <v>7</v>
      </c>
      <c r="N260" s="27">
        <v>2200</v>
      </c>
      <c r="O260" s="27">
        <v>5</v>
      </c>
      <c r="P260" s="27">
        <v>14630</v>
      </c>
      <c r="Q260" s="27">
        <v>3</v>
      </c>
      <c r="R260" s="27" t="s">
        <v>65</v>
      </c>
      <c r="S260" s="27" t="s">
        <v>50</v>
      </c>
      <c r="T260" s="27" t="s">
        <v>43</v>
      </c>
      <c r="U260" s="27">
        <v>9394291182</v>
      </c>
      <c r="V260" s="37" t="s">
        <v>53</v>
      </c>
      <c r="W260" s="40" t="str" cm="1">
        <f t="array" ref="W260">_xlfn.IFS(AND(P260&gt;=100000,Q260&gt;=4,O260&lt;=0.1,V260="Completed"),"Platinum",AND(P260&gt;=50000,P260&lt;=99999,Q260&gt;=3,V260="Completed"),"Golde",AND(P260&lt;50000,V260="Completed"),"Silver",OR(Q260&lt;=2,V260="Cancelled"),"BlackListed",TRUE,"Other")</f>
        <v>BlackListed</v>
      </c>
    </row>
    <row r="261" spans="1:23" ht="15" thickBot="1" x14ac:dyDescent="0.4">
      <c r="A261" s="30" t="s">
        <v>386</v>
      </c>
      <c r="B261" s="30" t="s">
        <v>63</v>
      </c>
      <c r="C261" s="30" t="s">
        <v>112</v>
      </c>
      <c r="D261" s="31">
        <v>46151</v>
      </c>
      <c r="E261" s="31">
        <v>46155</v>
      </c>
      <c r="F261" s="30" t="s">
        <v>110</v>
      </c>
      <c r="G261" s="30" t="s">
        <v>58</v>
      </c>
      <c r="H261" s="31">
        <v>34184</v>
      </c>
      <c r="I261" s="30" t="s">
        <v>121</v>
      </c>
      <c r="J261" s="30" t="s">
        <v>38</v>
      </c>
      <c r="K261" s="30" t="s">
        <v>39</v>
      </c>
      <c r="L261" s="30" t="s">
        <v>114</v>
      </c>
      <c r="M261" s="30">
        <v>18</v>
      </c>
      <c r="N261" s="30">
        <v>700</v>
      </c>
      <c r="O261" s="30">
        <v>5</v>
      </c>
      <c r="P261" s="30">
        <v>11970</v>
      </c>
      <c r="Q261" s="30">
        <v>2</v>
      </c>
      <c r="R261" s="30" t="s">
        <v>65</v>
      </c>
      <c r="S261" s="30" t="s">
        <v>50</v>
      </c>
      <c r="T261" s="30" t="s">
        <v>66</v>
      </c>
      <c r="U261" s="30">
        <v>9616853220</v>
      </c>
      <c r="V261" s="38" t="s">
        <v>53</v>
      </c>
      <c r="W261" s="40" t="str" cm="1">
        <f t="array" ref="W261">_xlfn.IFS(AND(P261&gt;=100000,Q261&gt;=4,O261&lt;=0.1,V261="Completed"),"Platinum",AND(P261&gt;=50000,P261&lt;=99999,Q261&gt;=3,V261="Completed"),"Golde",AND(P261&lt;50000,V261="Completed"),"Silver",OR(Q261&lt;=2,V261="Cancelled"),"BlackListed",TRUE,"Other")</f>
        <v>BlackListed</v>
      </c>
    </row>
    <row r="262" spans="1:23" ht="15" thickBot="1" x14ac:dyDescent="0.4">
      <c r="A262" s="27" t="s">
        <v>387</v>
      </c>
      <c r="B262" s="27" t="s">
        <v>23</v>
      </c>
      <c r="C262" s="27" t="s">
        <v>125</v>
      </c>
      <c r="D262" s="28">
        <v>45858</v>
      </c>
      <c r="E262" s="28">
        <v>45868</v>
      </c>
      <c r="F262" s="27" t="s">
        <v>25</v>
      </c>
      <c r="G262" s="27" t="s">
        <v>26</v>
      </c>
      <c r="H262" s="28">
        <v>27629</v>
      </c>
      <c r="I262" s="27" t="s">
        <v>147</v>
      </c>
      <c r="J262" s="27" t="s">
        <v>148</v>
      </c>
      <c r="K262" s="27" t="s">
        <v>83</v>
      </c>
      <c r="L262" s="27" t="s">
        <v>127</v>
      </c>
      <c r="M262" s="27">
        <v>11</v>
      </c>
      <c r="N262" s="27">
        <v>20</v>
      </c>
      <c r="O262" s="27">
        <v>0</v>
      </c>
      <c r="P262" s="27">
        <v>220</v>
      </c>
      <c r="Q262" s="27">
        <v>2</v>
      </c>
      <c r="R262" s="27" t="s">
        <v>41</v>
      </c>
      <c r="S262" s="27" t="s">
        <v>80</v>
      </c>
      <c r="T262" s="27" t="s">
        <v>43</v>
      </c>
      <c r="U262" s="27">
        <v>9147552626</v>
      </c>
      <c r="V262" s="37" t="s">
        <v>53</v>
      </c>
      <c r="W262" s="40" t="str" cm="1">
        <f t="array" ref="W262">_xlfn.IFS(AND(P262&gt;=100000,Q262&gt;=4,O262&lt;=0.1,V262="Completed"),"Platinum",AND(P262&gt;=50000,P262&lt;=99999,Q262&gt;=3,V262="Completed"),"Golde",AND(P262&lt;50000,V262="Completed"),"Silver",OR(Q262&lt;=2,V262="Cancelled"),"BlackListed",TRUE,"Other")</f>
        <v>BlackListed</v>
      </c>
    </row>
    <row r="263" spans="1:23" ht="15" thickBot="1" x14ac:dyDescent="0.4">
      <c r="A263" s="30" t="s">
        <v>388</v>
      </c>
      <c r="B263" s="30" t="s">
        <v>156</v>
      </c>
      <c r="C263" s="30" t="s">
        <v>36</v>
      </c>
      <c r="D263" s="31">
        <v>45716</v>
      </c>
      <c r="E263" s="31">
        <v>45723</v>
      </c>
      <c r="F263" s="30" t="s">
        <v>106</v>
      </c>
      <c r="G263" s="30" t="s">
        <v>58</v>
      </c>
      <c r="H263" s="31">
        <v>28603</v>
      </c>
      <c r="I263" s="30" t="s">
        <v>79</v>
      </c>
      <c r="J263" s="30" t="s">
        <v>75</v>
      </c>
      <c r="K263" s="30" t="s">
        <v>39</v>
      </c>
      <c r="L263" s="30" t="s">
        <v>40</v>
      </c>
      <c r="M263" s="30">
        <v>17</v>
      </c>
      <c r="N263" s="30">
        <v>12000</v>
      </c>
      <c r="O263" s="30">
        <v>20</v>
      </c>
      <c r="P263" s="30">
        <v>163200</v>
      </c>
      <c r="Q263" s="30">
        <v>4</v>
      </c>
      <c r="R263" s="30" t="s">
        <v>65</v>
      </c>
      <c r="S263" s="30" t="s">
        <v>96</v>
      </c>
      <c r="T263" s="30" t="s">
        <v>158</v>
      </c>
      <c r="U263" s="30">
        <v>9724197033</v>
      </c>
      <c r="V263" s="36" t="s">
        <v>34</v>
      </c>
      <c r="W263" s="40" t="str" cm="1">
        <f t="array" ref="W263">_xlfn.IFS(AND(P263&gt;=100000,Q263&gt;=4,O263&lt;=0.1,V263="Completed"),"Platinum",AND(P263&gt;=50000,P263&lt;=99999,Q263&gt;=3,V263="Completed"),"Golde",AND(P263&lt;50000,V263="Completed"),"Silver",OR(Q263&lt;=2,V263="Cancelled"),"BlackListed",TRUE,"Other")</f>
        <v>Other</v>
      </c>
    </row>
    <row r="264" spans="1:23" ht="15" thickBot="1" x14ac:dyDescent="0.4">
      <c r="A264" s="27" t="s">
        <v>389</v>
      </c>
      <c r="B264" s="27" t="s">
        <v>134</v>
      </c>
      <c r="C264" s="27" t="s">
        <v>24</v>
      </c>
      <c r="D264" s="28">
        <v>45846</v>
      </c>
      <c r="E264" s="28">
        <v>45851</v>
      </c>
      <c r="F264" s="27" t="s">
        <v>135</v>
      </c>
      <c r="G264" s="27" t="s">
        <v>26</v>
      </c>
      <c r="H264" s="28">
        <v>37889</v>
      </c>
      <c r="I264" s="27" t="s">
        <v>147</v>
      </c>
      <c r="J264" s="27" t="s">
        <v>148</v>
      </c>
      <c r="K264" s="27" t="s">
        <v>29</v>
      </c>
      <c r="L264" s="27" t="s">
        <v>30</v>
      </c>
      <c r="M264" s="27">
        <v>4</v>
      </c>
      <c r="N264" s="27">
        <v>2200</v>
      </c>
      <c r="O264" s="27">
        <v>5</v>
      </c>
      <c r="P264" s="27">
        <v>8360</v>
      </c>
      <c r="Q264" s="27">
        <v>2</v>
      </c>
      <c r="R264" s="27" t="s">
        <v>31</v>
      </c>
      <c r="S264" s="27" t="s">
        <v>32</v>
      </c>
      <c r="T264" s="27" t="s">
        <v>136</v>
      </c>
      <c r="U264" s="27">
        <v>9130666128</v>
      </c>
      <c r="V264" s="35" t="s">
        <v>34</v>
      </c>
      <c r="W264" s="40" t="str" cm="1">
        <f t="array" ref="W264">_xlfn.IFS(AND(P264&gt;=100000,Q264&gt;=4,O264&lt;=0.1,V264="Completed"),"Platinum",AND(P264&gt;=50000,P264&lt;=99999,Q264&gt;=3,V264="Completed"),"Golde",AND(P264&lt;50000,V264="Completed"),"Silver",OR(Q264&lt;=2,V264="Cancelled"),"BlackListed",TRUE,"Other")</f>
        <v>Silver</v>
      </c>
    </row>
    <row r="265" spans="1:23" ht="15" thickBot="1" x14ac:dyDescent="0.4">
      <c r="A265" s="30" t="s">
        <v>390</v>
      </c>
      <c r="B265" s="30" t="s">
        <v>23</v>
      </c>
      <c r="C265" s="30" t="s">
        <v>46</v>
      </c>
      <c r="D265" s="31">
        <v>46003</v>
      </c>
      <c r="E265" s="31">
        <v>46010</v>
      </c>
      <c r="F265" s="30" t="s">
        <v>25</v>
      </c>
      <c r="G265" s="30" t="s">
        <v>26</v>
      </c>
      <c r="H265" s="31">
        <v>37355</v>
      </c>
      <c r="I265" s="30" t="s">
        <v>91</v>
      </c>
      <c r="J265" s="30" t="s">
        <v>75</v>
      </c>
      <c r="K265" s="30" t="s">
        <v>39</v>
      </c>
      <c r="L265" s="30" t="s">
        <v>49</v>
      </c>
      <c r="M265" s="30">
        <v>6</v>
      </c>
      <c r="N265" s="30">
        <v>55000</v>
      </c>
      <c r="O265" s="30">
        <v>20</v>
      </c>
      <c r="P265" s="30">
        <v>264000</v>
      </c>
      <c r="Q265" s="30">
        <v>2</v>
      </c>
      <c r="R265" s="30" t="s">
        <v>65</v>
      </c>
      <c r="S265" s="30" t="s">
        <v>96</v>
      </c>
      <c r="T265" s="30" t="s">
        <v>43</v>
      </c>
      <c r="U265" s="30">
        <v>9866567601</v>
      </c>
      <c r="V265" s="38" t="s">
        <v>53</v>
      </c>
      <c r="W265" s="40" t="str" cm="1">
        <f t="array" ref="W265">_xlfn.IFS(AND(P265&gt;=100000,Q265&gt;=4,O265&lt;=0.1,V265="Completed"),"Platinum",AND(P265&gt;=50000,P265&lt;=99999,Q265&gt;=3,V265="Completed"),"Golde",AND(P265&lt;50000,V265="Completed"),"Silver",OR(Q265&lt;=2,V265="Cancelled"),"BlackListed",TRUE,"Other")</f>
        <v>BlackListed</v>
      </c>
    </row>
    <row r="266" spans="1:23" ht="15" thickBot="1" x14ac:dyDescent="0.4">
      <c r="A266" s="27" t="s">
        <v>391</v>
      </c>
      <c r="B266" s="27" t="s">
        <v>55</v>
      </c>
      <c r="C266" s="27" t="s">
        <v>105</v>
      </c>
      <c r="D266" s="28">
        <v>46026</v>
      </c>
      <c r="E266" s="28">
        <v>46036</v>
      </c>
      <c r="F266" s="27" t="s">
        <v>57</v>
      </c>
      <c r="G266" s="27" t="s">
        <v>58</v>
      </c>
      <c r="H266" s="28">
        <v>31314</v>
      </c>
      <c r="I266" s="27" t="s">
        <v>37</v>
      </c>
      <c r="J266" s="27" t="s">
        <v>38</v>
      </c>
      <c r="K266" s="27" t="s">
        <v>29</v>
      </c>
      <c r="L266" s="27" t="s">
        <v>107</v>
      </c>
      <c r="M266" s="27">
        <v>6</v>
      </c>
      <c r="N266" s="27">
        <v>8500</v>
      </c>
      <c r="O266" s="27">
        <v>10</v>
      </c>
      <c r="P266" s="27">
        <v>45900</v>
      </c>
      <c r="Q266" s="27">
        <v>5</v>
      </c>
      <c r="R266" s="27" t="s">
        <v>65</v>
      </c>
      <c r="S266" s="27" t="s">
        <v>50</v>
      </c>
      <c r="T266" s="27" t="s">
        <v>61</v>
      </c>
      <c r="U266" s="27">
        <v>9477282450</v>
      </c>
      <c r="V266" s="35" t="s">
        <v>34</v>
      </c>
      <c r="W266" s="40" t="str" cm="1">
        <f t="array" ref="W266">_xlfn.IFS(AND(P266&gt;=100000,Q266&gt;=4,O266&lt;=0.1,V266="Completed"),"Platinum",AND(P266&gt;=50000,P266&lt;=99999,Q266&gt;=3,V266="Completed"),"Golde",AND(P266&lt;50000,V266="Completed"),"Silver",OR(Q266&lt;=2,V266="Cancelled"),"BlackListed",TRUE,"Other")</f>
        <v>Silver</v>
      </c>
    </row>
    <row r="267" spans="1:23" ht="15" thickBot="1" x14ac:dyDescent="0.4">
      <c r="A267" s="30" t="s">
        <v>392</v>
      </c>
      <c r="B267" s="30" t="s">
        <v>23</v>
      </c>
      <c r="C267" s="30" t="s">
        <v>125</v>
      </c>
      <c r="D267" s="31">
        <v>45889</v>
      </c>
      <c r="E267" s="31">
        <v>45894</v>
      </c>
      <c r="F267" s="30" t="s">
        <v>25</v>
      </c>
      <c r="G267" s="30" t="s">
        <v>26</v>
      </c>
      <c r="H267" s="31">
        <v>31028</v>
      </c>
      <c r="I267" s="30" t="s">
        <v>121</v>
      </c>
      <c r="J267" s="30" t="s">
        <v>38</v>
      </c>
      <c r="K267" s="30" t="s">
        <v>83</v>
      </c>
      <c r="L267" s="30" t="s">
        <v>127</v>
      </c>
      <c r="M267" s="30">
        <v>6</v>
      </c>
      <c r="N267" s="30">
        <v>20</v>
      </c>
      <c r="O267" s="30">
        <v>15</v>
      </c>
      <c r="P267" s="30">
        <v>102</v>
      </c>
      <c r="Q267" s="30">
        <v>2</v>
      </c>
      <c r="R267" s="30" t="s">
        <v>65</v>
      </c>
      <c r="S267" s="30" t="s">
        <v>42</v>
      </c>
      <c r="T267" s="30" t="s">
        <v>43</v>
      </c>
      <c r="U267" s="30">
        <v>9857621478</v>
      </c>
      <c r="V267" s="38" t="s">
        <v>53</v>
      </c>
      <c r="W267" s="40" t="str" cm="1">
        <f t="array" ref="W267">_xlfn.IFS(AND(P267&gt;=100000,Q267&gt;=4,O267&lt;=0.1,V267="Completed"),"Platinum",AND(P267&gt;=50000,P267&lt;=99999,Q267&gt;=3,V267="Completed"),"Golde",AND(P267&lt;50000,V267="Completed"),"Silver",OR(Q267&lt;=2,V267="Cancelled"),"BlackListed",TRUE,"Other")</f>
        <v>BlackListed</v>
      </c>
    </row>
    <row r="268" spans="1:23" ht="15" thickBot="1" x14ac:dyDescent="0.4">
      <c r="A268" s="27" t="s">
        <v>393</v>
      </c>
      <c r="B268" s="27" t="s">
        <v>45</v>
      </c>
      <c r="C268" s="27" t="s">
        <v>82</v>
      </c>
      <c r="D268" s="28">
        <v>45780</v>
      </c>
      <c r="E268" s="28">
        <v>45788</v>
      </c>
      <c r="F268" s="27" t="s">
        <v>101</v>
      </c>
      <c r="G268" s="27" t="s">
        <v>26</v>
      </c>
      <c r="H268" s="28">
        <v>30883</v>
      </c>
      <c r="I268" s="27" t="s">
        <v>74</v>
      </c>
      <c r="J268" s="27" t="s">
        <v>75</v>
      </c>
      <c r="K268" s="27" t="s">
        <v>83</v>
      </c>
      <c r="L268" s="27" t="s">
        <v>84</v>
      </c>
      <c r="M268" s="27">
        <v>6</v>
      </c>
      <c r="N268" s="27">
        <v>60</v>
      </c>
      <c r="O268" s="27">
        <v>5</v>
      </c>
      <c r="P268" s="27">
        <v>342</v>
      </c>
      <c r="Q268" s="27">
        <v>1</v>
      </c>
      <c r="R268" s="27" t="s">
        <v>41</v>
      </c>
      <c r="S268" s="27" t="s">
        <v>50</v>
      </c>
      <c r="T268" s="27" t="s">
        <v>51</v>
      </c>
      <c r="U268" s="27">
        <v>9753869055</v>
      </c>
      <c r="V268" s="35" t="s">
        <v>34</v>
      </c>
      <c r="W268" s="40" t="str" cm="1">
        <f t="array" ref="W268">_xlfn.IFS(AND(P268&gt;=100000,Q268&gt;=4,O268&lt;=0.1,V268="Completed"),"Platinum",AND(P268&gt;=50000,P268&lt;=99999,Q268&gt;=3,V268="Completed"),"Golde",AND(P268&lt;50000,V268="Completed"),"Silver",OR(Q268&lt;=2,V268="Cancelled"),"BlackListed",TRUE,"Other")</f>
        <v>Silver</v>
      </c>
    </row>
    <row r="269" spans="1:23" ht="15" thickBot="1" x14ac:dyDescent="0.4">
      <c r="A269" s="30" t="s">
        <v>394</v>
      </c>
      <c r="B269" s="30" t="s">
        <v>87</v>
      </c>
      <c r="C269" s="30" t="s">
        <v>105</v>
      </c>
      <c r="D269" s="31">
        <v>45666</v>
      </c>
      <c r="E269" s="31">
        <v>45669</v>
      </c>
      <c r="F269" s="30" t="s">
        <v>88</v>
      </c>
      <c r="G269" s="30" t="s">
        <v>58</v>
      </c>
      <c r="H269" s="31">
        <v>32217</v>
      </c>
      <c r="I269" s="30" t="s">
        <v>27</v>
      </c>
      <c r="J269" s="30" t="s">
        <v>28</v>
      </c>
      <c r="K269" s="30" t="s">
        <v>29</v>
      </c>
      <c r="L269" s="30" t="s">
        <v>107</v>
      </c>
      <c r="M269" s="30">
        <v>19</v>
      </c>
      <c r="N269" s="30">
        <v>8500</v>
      </c>
      <c r="O269" s="30">
        <v>0</v>
      </c>
      <c r="P269" s="30">
        <v>161500</v>
      </c>
      <c r="Q269" s="30">
        <v>5</v>
      </c>
      <c r="R269" s="30" t="s">
        <v>65</v>
      </c>
      <c r="S269" s="30" t="s">
        <v>96</v>
      </c>
      <c r="T269" s="30" t="s">
        <v>89</v>
      </c>
      <c r="U269" s="30">
        <v>9663266204</v>
      </c>
      <c r="V269" s="36" t="s">
        <v>34</v>
      </c>
      <c r="W269" s="40" t="str" cm="1">
        <f t="array" ref="W269">_xlfn.IFS(AND(P269&gt;=100000,Q269&gt;=4,O269&lt;=0.1,V269="Completed"),"Platinum",AND(P269&gt;=50000,P269&lt;=99999,Q269&gt;=3,V269="Completed"),"Golde",AND(P269&lt;50000,V269="Completed"),"Silver",OR(Q269&lt;=2,V269="Cancelled"),"BlackListed",TRUE,"Other")</f>
        <v>Platinum</v>
      </c>
    </row>
    <row r="270" spans="1:23" ht="15" thickBot="1" x14ac:dyDescent="0.4">
      <c r="A270" s="27" t="s">
        <v>395</v>
      </c>
      <c r="B270" s="27" t="s">
        <v>134</v>
      </c>
      <c r="C270" s="27" t="s">
        <v>46</v>
      </c>
      <c r="D270" s="28">
        <v>45901</v>
      </c>
      <c r="E270" s="28">
        <v>45910</v>
      </c>
      <c r="F270" s="27" t="s">
        <v>135</v>
      </c>
      <c r="G270" s="27" t="s">
        <v>26</v>
      </c>
      <c r="H270" s="28">
        <v>31924</v>
      </c>
      <c r="I270" s="27" t="s">
        <v>121</v>
      </c>
      <c r="J270" s="27" t="s">
        <v>38</v>
      </c>
      <c r="K270" s="27" t="s">
        <v>39</v>
      </c>
      <c r="L270" s="27" t="s">
        <v>49</v>
      </c>
      <c r="M270" s="27">
        <v>8</v>
      </c>
      <c r="N270" s="27">
        <v>55000</v>
      </c>
      <c r="O270" s="27">
        <v>0</v>
      </c>
      <c r="P270" s="27">
        <v>440000</v>
      </c>
      <c r="Q270" s="27">
        <v>3</v>
      </c>
      <c r="R270" s="27" t="s">
        <v>60</v>
      </c>
      <c r="S270" s="27" t="s">
        <v>80</v>
      </c>
      <c r="T270" s="27" t="s">
        <v>136</v>
      </c>
      <c r="U270" s="27">
        <v>9675208616</v>
      </c>
      <c r="V270" s="37" t="s">
        <v>52</v>
      </c>
      <c r="W270" s="40" t="str" cm="1">
        <f t="array" ref="W270">_xlfn.IFS(AND(P270&gt;=100000,Q270&gt;=4,O270&lt;=0.1,V270="Completed"),"Platinum",AND(P270&gt;=50000,P270&lt;=99999,Q270&gt;=3,V270="Completed"),"Golde",AND(P270&lt;50000,V270="Completed"),"Silver",OR(Q270&lt;=2,V270="Cancelled"),"BlackListed",TRUE,"Other")</f>
        <v>Other</v>
      </c>
    </row>
    <row r="271" spans="1:23" ht="15" thickBot="1" x14ac:dyDescent="0.4">
      <c r="A271" s="30" t="s">
        <v>396</v>
      </c>
      <c r="B271" s="30" t="s">
        <v>55</v>
      </c>
      <c r="C271" s="30" t="s">
        <v>36</v>
      </c>
      <c r="D271" s="31">
        <v>46144</v>
      </c>
      <c r="E271" s="31">
        <v>46149</v>
      </c>
      <c r="F271" s="30" t="s">
        <v>57</v>
      </c>
      <c r="G271" s="30" t="s">
        <v>58</v>
      </c>
      <c r="H271" s="31">
        <v>32441</v>
      </c>
      <c r="I271" s="30" t="s">
        <v>147</v>
      </c>
      <c r="J271" s="30" t="s">
        <v>148</v>
      </c>
      <c r="K271" s="30" t="s">
        <v>39</v>
      </c>
      <c r="L271" s="30" t="s">
        <v>40</v>
      </c>
      <c r="M271" s="30">
        <v>18</v>
      </c>
      <c r="N271" s="30">
        <v>12000</v>
      </c>
      <c r="O271" s="30">
        <v>20</v>
      </c>
      <c r="P271" s="30">
        <v>172800</v>
      </c>
      <c r="Q271" s="30">
        <v>5</v>
      </c>
      <c r="R271" s="30" t="s">
        <v>65</v>
      </c>
      <c r="S271" s="30" t="s">
        <v>50</v>
      </c>
      <c r="T271" s="30" t="s">
        <v>61</v>
      </c>
      <c r="U271" s="30">
        <v>9618393586</v>
      </c>
      <c r="V271" s="38" t="s">
        <v>53</v>
      </c>
      <c r="W271" s="40" t="str" cm="1">
        <f t="array" ref="W271">_xlfn.IFS(AND(P271&gt;=100000,Q271&gt;=4,O271&lt;=0.1,V271="Completed"),"Platinum",AND(P271&gt;=50000,P271&lt;=99999,Q271&gt;=3,V271="Completed"),"Golde",AND(P271&lt;50000,V271="Completed"),"Silver",OR(Q271&lt;=2,V271="Cancelled"),"BlackListed",TRUE,"Other")</f>
        <v>BlackListed</v>
      </c>
    </row>
    <row r="272" spans="1:23" ht="15" thickBot="1" x14ac:dyDescent="0.4">
      <c r="A272" s="27" t="s">
        <v>397</v>
      </c>
      <c r="B272" s="27" t="s">
        <v>87</v>
      </c>
      <c r="C272" s="27" t="s">
        <v>105</v>
      </c>
      <c r="D272" s="28">
        <v>45764</v>
      </c>
      <c r="E272" s="28">
        <v>45773</v>
      </c>
      <c r="F272" s="27" t="s">
        <v>88</v>
      </c>
      <c r="G272" s="27" t="s">
        <v>58</v>
      </c>
      <c r="H272" s="28">
        <v>33219</v>
      </c>
      <c r="I272" s="27" t="s">
        <v>91</v>
      </c>
      <c r="J272" s="27" t="s">
        <v>75</v>
      </c>
      <c r="K272" s="27" t="s">
        <v>29</v>
      </c>
      <c r="L272" s="27" t="s">
        <v>107</v>
      </c>
      <c r="M272" s="27">
        <v>8</v>
      </c>
      <c r="N272" s="27">
        <v>8500</v>
      </c>
      <c r="O272" s="27">
        <v>5</v>
      </c>
      <c r="P272" s="27">
        <v>64600</v>
      </c>
      <c r="Q272" s="27">
        <v>2</v>
      </c>
      <c r="R272" s="27" t="s">
        <v>60</v>
      </c>
      <c r="S272" s="27" t="s">
        <v>50</v>
      </c>
      <c r="T272" s="27" t="s">
        <v>89</v>
      </c>
      <c r="U272" s="27">
        <v>9137027840</v>
      </c>
      <c r="V272" s="37" t="s">
        <v>53</v>
      </c>
      <c r="W272" s="40" t="str" cm="1">
        <f t="array" ref="W272">_xlfn.IFS(AND(P272&gt;=100000,Q272&gt;=4,O272&lt;=0.1,V272="Completed"),"Platinum",AND(P272&gt;=50000,P272&lt;=99999,Q272&gt;=3,V272="Completed"),"Golde",AND(P272&lt;50000,V272="Completed"),"Silver",OR(Q272&lt;=2,V272="Cancelled"),"BlackListed",TRUE,"Other")</f>
        <v>BlackListed</v>
      </c>
    </row>
    <row r="273" spans="1:23" ht="15" thickBot="1" x14ac:dyDescent="0.4">
      <c r="A273" s="30" t="s">
        <v>398</v>
      </c>
      <c r="B273" s="30" t="s">
        <v>23</v>
      </c>
      <c r="C273" s="30" t="s">
        <v>125</v>
      </c>
      <c r="D273" s="31">
        <v>45878</v>
      </c>
      <c r="E273" s="31">
        <v>45887</v>
      </c>
      <c r="F273" s="30" t="s">
        <v>25</v>
      </c>
      <c r="G273" s="30" t="s">
        <v>26</v>
      </c>
      <c r="H273" s="31">
        <v>29640</v>
      </c>
      <c r="I273" s="30" t="s">
        <v>74</v>
      </c>
      <c r="J273" s="30" t="s">
        <v>75</v>
      </c>
      <c r="K273" s="30" t="s">
        <v>83</v>
      </c>
      <c r="L273" s="30" t="s">
        <v>127</v>
      </c>
      <c r="M273" s="30">
        <v>13</v>
      </c>
      <c r="N273" s="30">
        <v>20</v>
      </c>
      <c r="O273" s="30">
        <v>5</v>
      </c>
      <c r="P273" s="30">
        <v>247</v>
      </c>
      <c r="Q273" s="30">
        <v>3</v>
      </c>
      <c r="R273" s="30" t="s">
        <v>41</v>
      </c>
      <c r="S273" s="30" t="s">
        <v>80</v>
      </c>
      <c r="T273" s="30" t="s">
        <v>43</v>
      </c>
      <c r="U273" s="30">
        <v>9362758134</v>
      </c>
      <c r="V273" s="38" t="s">
        <v>52</v>
      </c>
      <c r="W273" s="40" t="str" cm="1">
        <f t="array" ref="W273">_xlfn.IFS(AND(P273&gt;=100000,Q273&gt;=4,O273&lt;=0.1,V273="Completed"),"Platinum",AND(P273&gt;=50000,P273&lt;=99999,Q273&gt;=3,V273="Completed"),"Golde",AND(P273&lt;50000,V273="Completed"),"Silver",OR(Q273&lt;=2,V273="Cancelled"),"BlackListed",TRUE,"Other")</f>
        <v>Other</v>
      </c>
    </row>
    <row r="274" spans="1:23" ht="15" thickBot="1" x14ac:dyDescent="0.4">
      <c r="A274" s="27" t="s">
        <v>399</v>
      </c>
      <c r="B274" s="27" t="s">
        <v>63</v>
      </c>
      <c r="C274" s="27" t="s">
        <v>82</v>
      </c>
      <c r="D274" s="28">
        <v>46116</v>
      </c>
      <c r="E274" s="28">
        <v>46128</v>
      </c>
      <c r="F274" s="27" t="s">
        <v>110</v>
      </c>
      <c r="G274" s="27" t="s">
        <v>58</v>
      </c>
      <c r="H274" s="28">
        <v>31140</v>
      </c>
      <c r="I274" s="27" t="s">
        <v>121</v>
      </c>
      <c r="J274" s="27" t="s">
        <v>38</v>
      </c>
      <c r="K274" s="27" t="s">
        <v>83</v>
      </c>
      <c r="L274" s="27" t="s">
        <v>84</v>
      </c>
      <c r="M274" s="27">
        <v>1</v>
      </c>
      <c r="N274" s="27">
        <v>60</v>
      </c>
      <c r="O274" s="27">
        <v>15</v>
      </c>
      <c r="P274" s="27">
        <v>51</v>
      </c>
      <c r="Q274" s="27">
        <v>2</v>
      </c>
      <c r="R274" s="27" t="s">
        <v>60</v>
      </c>
      <c r="S274" s="27" t="s">
        <v>50</v>
      </c>
      <c r="T274" s="27" t="s">
        <v>66</v>
      </c>
      <c r="U274" s="27">
        <v>9648541985</v>
      </c>
      <c r="V274" s="37" t="s">
        <v>53</v>
      </c>
      <c r="W274" s="40" t="str" cm="1">
        <f t="array" ref="W274">_xlfn.IFS(AND(P274&gt;=100000,Q274&gt;=4,O274&lt;=0.1,V274="Completed"),"Platinum",AND(P274&gt;=50000,P274&lt;=99999,Q274&gt;=3,V274="Completed"),"Golde",AND(P274&lt;50000,V274="Completed"),"Silver",OR(Q274&lt;=2,V274="Cancelled"),"BlackListed",TRUE,"Other")</f>
        <v>BlackListed</v>
      </c>
    </row>
    <row r="275" spans="1:23" ht="15" thickBot="1" x14ac:dyDescent="0.4">
      <c r="A275" s="30" t="s">
        <v>400</v>
      </c>
      <c r="B275" s="30" t="s">
        <v>45</v>
      </c>
      <c r="C275" s="30" t="s">
        <v>125</v>
      </c>
      <c r="D275" s="31">
        <v>45830</v>
      </c>
      <c r="E275" s="31">
        <v>45836</v>
      </c>
      <c r="F275" s="30" t="s">
        <v>101</v>
      </c>
      <c r="G275" s="30" t="s">
        <v>26</v>
      </c>
      <c r="H275" s="31">
        <v>27978</v>
      </c>
      <c r="I275" s="30" t="s">
        <v>79</v>
      </c>
      <c r="J275" s="30" t="s">
        <v>75</v>
      </c>
      <c r="K275" s="30" t="s">
        <v>83</v>
      </c>
      <c r="L275" s="30" t="s">
        <v>127</v>
      </c>
      <c r="M275" s="30">
        <v>5</v>
      </c>
      <c r="N275" s="30">
        <v>20</v>
      </c>
      <c r="O275" s="30">
        <v>5</v>
      </c>
      <c r="P275" s="30">
        <v>95</v>
      </c>
      <c r="Q275" s="30">
        <v>2</v>
      </c>
      <c r="R275" s="30" t="s">
        <v>41</v>
      </c>
      <c r="S275" s="30" t="s">
        <v>42</v>
      </c>
      <c r="T275" s="30" t="s">
        <v>51</v>
      </c>
      <c r="U275" s="30">
        <v>9175002781</v>
      </c>
      <c r="V275" s="38" t="s">
        <v>52</v>
      </c>
      <c r="W275" s="40" t="str" cm="1">
        <f t="array" ref="W275">_xlfn.IFS(AND(P275&gt;=100000,Q275&gt;=4,O275&lt;=0.1,V275="Completed"),"Platinum",AND(P275&gt;=50000,P275&lt;=99999,Q275&gt;=3,V275="Completed"),"Golde",AND(P275&lt;50000,V275="Completed"),"Silver",OR(Q275&lt;=2,V275="Cancelled"),"BlackListed",TRUE,"Other")</f>
        <v>BlackListed</v>
      </c>
    </row>
    <row r="276" spans="1:23" ht="15" thickBot="1" x14ac:dyDescent="0.4">
      <c r="A276" s="27" t="s">
        <v>401</v>
      </c>
      <c r="B276" s="27" t="s">
        <v>124</v>
      </c>
      <c r="C276" s="27" t="s">
        <v>125</v>
      </c>
      <c r="D276" s="28">
        <v>45796</v>
      </c>
      <c r="E276" s="28">
        <v>45801</v>
      </c>
      <c r="F276" s="27" t="s">
        <v>126</v>
      </c>
      <c r="G276" s="27" t="s">
        <v>58</v>
      </c>
      <c r="H276" s="28">
        <v>28623</v>
      </c>
      <c r="I276" s="27" t="s">
        <v>147</v>
      </c>
      <c r="J276" s="27" t="s">
        <v>148</v>
      </c>
      <c r="K276" s="27" t="s">
        <v>83</v>
      </c>
      <c r="L276" s="27" t="s">
        <v>127</v>
      </c>
      <c r="M276" s="27">
        <v>19</v>
      </c>
      <c r="N276" s="27">
        <v>20</v>
      </c>
      <c r="O276" s="27">
        <v>20</v>
      </c>
      <c r="P276" s="27">
        <v>304</v>
      </c>
      <c r="Q276" s="27">
        <v>3</v>
      </c>
      <c r="R276" s="27" t="s">
        <v>31</v>
      </c>
      <c r="S276" s="27" t="s">
        <v>32</v>
      </c>
      <c r="T276" s="27" t="s">
        <v>128</v>
      </c>
      <c r="U276" s="27">
        <v>9786241263</v>
      </c>
      <c r="V276" s="37" t="s">
        <v>53</v>
      </c>
      <c r="W276" s="40" t="str" cm="1">
        <f t="array" ref="W276">_xlfn.IFS(AND(P276&gt;=100000,Q276&gt;=4,O276&lt;=0.1,V276="Completed"),"Platinum",AND(P276&gt;=50000,P276&lt;=99999,Q276&gt;=3,V276="Completed"),"Golde",AND(P276&lt;50000,V276="Completed"),"Silver",OR(Q276&lt;=2,V276="Cancelled"),"BlackListed",TRUE,"Other")</f>
        <v>BlackListed</v>
      </c>
    </row>
    <row r="277" spans="1:23" ht="15" thickBot="1" x14ac:dyDescent="0.4">
      <c r="A277" s="30" t="s">
        <v>402</v>
      </c>
      <c r="B277" s="30" t="s">
        <v>72</v>
      </c>
      <c r="C277" s="30" t="s">
        <v>138</v>
      </c>
      <c r="D277" s="31">
        <v>45745</v>
      </c>
      <c r="E277" s="31">
        <v>45754</v>
      </c>
      <c r="F277" s="30" t="s">
        <v>73</v>
      </c>
      <c r="G277" s="30" t="s">
        <v>26</v>
      </c>
      <c r="H277" s="31">
        <v>36026</v>
      </c>
      <c r="I277" s="30" t="s">
        <v>91</v>
      </c>
      <c r="J277" s="30" t="s">
        <v>75</v>
      </c>
      <c r="K277" s="30" t="s">
        <v>83</v>
      </c>
      <c r="L277" s="30" t="s">
        <v>139</v>
      </c>
      <c r="M277" s="30">
        <v>17</v>
      </c>
      <c r="N277" s="30">
        <v>45</v>
      </c>
      <c r="O277" s="30">
        <v>5</v>
      </c>
      <c r="P277" s="30">
        <v>726.75</v>
      </c>
      <c r="Q277" s="30">
        <v>4</v>
      </c>
      <c r="R277" s="30" t="s">
        <v>31</v>
      </c>
      <c r="S277" s="30" t="s">
        <v>80</v>
      </c>
      <c r="T277" s="30" t="s">
        <v>93</v>
      </c>
      <c r="U277" s="30">
        <v>9691078176</v>
      </c>
      <c r="V277" s="38" t="s">
        <v>52</v>
      </c>
      <c r="W277" s="40" t="str" cm="1">
        <f t="array" ref="W277">_xlfn.IFS(AND(P277&gt;=100000,Q277&gt;=4,O277&lt;=0.1,V277="Completed"),"Platinum",AND(P277&gt;=50000,P277&lt;=99999,Q277&gt;=3,V277="Completed"),"Golde",AND(P277&lt;50000,V277="Completed"),"Silver",OR(Q277&lt;=2,V277="Cancelled"),"BlackListed",TRUE,"Other")</f>
        <v>Other</v>
      </c>
    </row>
    <row r="278" spans="1:23" ht="15" thickBot="1" x14ac:dyDescent="0.4">
      <c r="A278" s="27" t="s">
        <v>403</v>
      </c>
      <c r="B278" s="27" t="s">
        <v>63</v>
      </c>
      <c r="C278" s="27" t="s">
        <v>112</v>
      </c>
      <c r="D278" s="28">
        <v>46071</v>
      </c>
      <c r="E278" s="28">
        <v>46075</v>
      </c>
      <c r="F278" s="27" t="s">
        <v>110</v>
      </c>
      <c r="G278" s="27" t="s">
        <v>58</v>
      </c>
      <c r="H278" s="28">
        <v>27687</v>
      </c>
      <c r="I278" s="27" t="s">
        <v>48</v>
      </c>
      <c r="J278" s="27" t="s">
        <v>28</v>
      </c>
      <c r="K278" s="27" t="s">
        <v>39</v>
      </c>
      <c r="L278" s="27" t="s">
        <v>114</v>
      </c>
      <c r="M278" s="27">
        <v>8</v>
      </c>
      <c r="N278" s="27">
        <v>700</v>
      </c>
      <c r="O278" s="27">
        <v>15</v>
      </c>
      <c r="P278" s="27">
        <v>4760</v>
      </c>
      <c r="Q278" s="27">
        <v>4</v>
      </c>
      <c r="R278" s="27" t="s">
        <v>41</v>
      </c>
      <c r="S278" s="27" t="s">
        <v>32</v>
      </c>
      <c r="T278" s="27" t="s">
        <v>66</v>
      </c>
      <c r="U278" s="27">
        <v>9336679085</v>
      </c>
      <c r="V278" s="37" t="s">
        <v>52</v>
      </c>
      <c r="W278" s="40" t="str" cm="1">
        <f t="array" ref="W278">_xlfn.IFS(AND(P278&gt;=100000,Q278&gt;=4,O278&lt;=0.1,V278="Completed"),"Platinum",AND(P278&gt;=50000,P278&lt;=99999,Q278&gt;=3,V278="Completed"),"Golde",AND(P278&lt;50000,V278="Completed"),"Silver",OR(Q278&lt;=2,V278="Cancelled"),"BlackListed",TRUE,"Other")</f>
        <v>Other</v>
      </c>
    </row>
    <row r="279" spans="1:23" ht="15" thickBot="1" x14ac:dyDescent="0.4">
      <c r="A279" s="30" t="s">
        <v>404</v>
      </c>
      <c r="B279" s="30" t="s">
        <v>104</v>
      </c>
      <c r="C279" s="30" t="s">
        <v>24</v>
      </c>
      <c r="D279" s="31">
        <v>46043</v>
      </c>
      <c r="E279" s="31">
        <v>46051</v>
      </c>
      <c r="F279" s="30" t="s">
        <v>166</v>
      </c>
      <c r="G279" s="30" t="s">
        <v>26</v>
      </c>
      <c r="H279" s="31">
        <v>27665</v>
      </c>
      <c r="I279" s="30" t="s">
        <v>74</v>
      </c>
      <c r="J279" s="30" t="s">
        <v>75</v>
      </c>
      <c r="K279" s="30" t="s">
        <v>29</v>
      </c>
      <c r="L279" s="30" t="s">
        <v>30</v>
      </c>
      <c r="M279" s="30">
        <v>15</v>
      </c>
      <c r="N279" s="30">
        <v>2200</v>
      </c>
      <c r="O279" s="30">
        <v>10</v>
      </c>
      <c r="P279" s="30">
        <v>29700</v>
      </c>
      <c r="Q279" s="30">
        <v>5</v>
      </c>
      <c r="R279" s="30" t="s">
        <v>65</v>
      </c>
      <c r="S279" s="30" t="s">
        <v>96</v>
      </c>
      <c r="T279" s="30" t="s">
        <v>108</v>
      </c>
      <c r="U279" s="30">
        <v>9497351043</v>
      </c>
      <c r="V279" s="36" t="s">
        <v>34</v>
      </c>
      <c r="W279" s="40" t="str" cm="1">
        <f t="array" ref="W279">_xlfn.IFS(AND(P279&gt;=100000,Q279&gt;=4,O279&lt;=0.1,V279="Completed"),"Platinum",AND(P279&gt;=50000,P279&lt;=99999,Q279&gt;=3,V279="Completed"),"Golde",AND(P279&lt;50000,V279="Completed"),"Silver",OR(Q279&lt;=2,V279="Cancelled"),"BlackListed",TRUE,"Other")</f>
        <v>Silver</v>
      </c>
    </row>
    <row r="280" spans="1:23" ht="15" thickBot="1" x14ac:dyDescent="0.4">
      <c r="A280" s="27" t="s">
        <v>405</v>
      </c>
      <c r="B280" s="27" t="s">
        <v>72</v>
      </c>
      <c r="C280" s="27" t="s">
        <v>24</v>
      </c>
      <c r="D280" s="28">
        <v>45917</v>
      </c>
      <c r="E280" s="28">
        <v>45929</v>
      </c>
      <c r="F280" s="27" t="s">
        <v>73</v>
      </c>
      <c r="G280" s="27" t="s">
        <v>26</v>
      </c>
      <c r="H280" s="28">
        <v>37522</v>
      </c>
      <c r="I280" s="27" t="s">
        <v>74</v>
      </c>
      <c r="J280" s="27" t="s">
        <v>75</v>
      </c>
      <c r="K280" s="27" t="s">
        <v>29</v>
      </c>
      <c r="L280" s="27" t="s">
        <v>30</v>
      </c>
      <c r="M280" s="27">
        <v>1</v>
      </c>
      <c r="N280" s="27">
        <v>2200</v>
      </c>
      <c r="O280" s="27">
        <v>0</v>
      </c>
      <c r="P280" s="27">
        <v>2200</v>
      </c>
      <c r="Q280" s="27">
        <v>4</v>
      </c>
      <c r="R280" s="27" t="s">
        <v>31</v>
      </c>
      <c r="S280" s="27" t="s">
        <v>42</v>
      </c>
      <c r="T280" s="27" t="s">
        <v>93</v>
      </c>
      <c r="U280" s="27">
        <v>9357038998</v>
      </c>
      <c r="V280" s="37" t="s">
        <v>53</v>
      </c>
      <c r="W280" s="40" t="str" cm="1">
        <f t="array" ref="W280">_xlfn.IFS(AND(P280&gt;=100000,Q280&gt;=4,O280&lt;=0.1,V280="Completed"),"Platinum",AND(P280&gt;=50000,P280&lt;=99999,Q280&gt;=3,V280="Completed"),"Golde",AND(P280&lt;50000,V280="Completed"),"Silver",OR(Q280&lt;=2,V280="Cancelled"),"BlackListed",TRUE,"Other")</f>
        <v>BlackListed</v>
      </c>
    </row>
    <row r="281" spans="1:23" ht="15" thickBot="1" x14ac:dyDescent="0.4">
      <c r="A281" s="30" t="s">
        <v>406</v>
      </c>
      <c r="B281" s="30" t="s">
        <v>134</v>
      </c>
      <c r="C281" s="30" t="s">
        <v>68</v>
      </c>
      <c r="D281" s="31">
        <v>45827</v>
      </c>
      <c r="E281" s="31">
        <v>45838</v>
      </c>
      <c r="F281" s="30" t="s">
        <v>135</v>
      </c>
      <c r="G281" s="30" t="s">
        <v>26</v>
      </c>
      <c r="H281" s="31">
        <v>32311</v>
      </c>
      <c r="I281" s="30" t="s">
        <v>91</v>
      </c>
      <c r="J281" s="30" t="s">
        <v>75</v>
      </c>
      <c r="K281" s="30" t="s">
        <v>29</v>
      </c>
      <c r="L281" s="30" t="s">
        <v>70</v>
      </c>
      <c r="M281" s="30">
        <v>10</v>
      </c>
      <c r="N281" s="30">
        <v>3500</v>
      </c>
      <c r="O281" s="30">
        <v>10</v>
      </c>
      <c r="P281" s="30">
        <v>31500</v>
      </c>
      <c r="Q281" s="30">
        <v>4</v>
      </c>
      <c r="R281" s="30" t="s">
        <v>41</v>
      </c>
      <c r="S281" s="30" t="s">
        <v>32</v>
      </c>
      <c r="T281" s="30" t="s">
        <v>136</v>
      </c>
      <c r="U281" s="30">
        <v>9986371291</v>
      </c>
      <c r="V281" s="38" t="s">
        <v>53</v>
      </c>
      <c r="W281" s="40" t="str" cm="1">
        <f t="array" ref="W281">_xlfn.IFS(AND(P281&gt;=100000,Q281&gt;=4,O281&lt;=0.1,V281="Completed"),"Platinum",AND(P281&gt;=50000,P281&lt;=99999,Q281&gt;=3,V281="Completed"),"Golde",AND(P281&lt;50000,V281="Completed"),"Silver",OR(Q281&lt;=2,V281="Cancelled"),"BlackListed",TRUE,"Other")</f>
        <v>BlackListed</v>
      </c>
    </row>
    <row r="282" spans="1:23" ht="15" thickBot="1" x14ac:dyDescent="0.4">
      <c r="A282" s="27" t="s">
        <v>407</v>
      </c>
      <c r="B282" s="27" t="s">
        <v>55</v>
      </c>
      <c r="C282" s="27" t="s">
        <v>68</v>
      </c>
      <c r="D282" s="28">
        <v>45789</v>
      </c>
      <c r="E282" s="28">
        <v>45793</v>
      </c>
      <c r="F282" s="27" t="s">
        <v>57</v>
      </c>
      <c r="G282" s="27" t="s">
        <v>58</v>
      </c>
      <c r="H282" s="28">
        <v>33271</v>
      </c>
      <c r="I282" s="27" t="s">
        <v>121</v>
      </c>
      <c r="J282" s="27" t="s">
        <v>38</v>
      </c>
      <c r="K282" s="27" t="s">
        <v>29</v>
      </c>
      <c r="L282" s="27" t="s">
        <v>70</v>
      </c>
      <c r="M282" s="27">
        <v>16</v>
      </c>
      <c r="N282" s="27">
        <v>3500</v>
      </c>
      <c r="O282" s="27">
        <v>15</v>
      </c>
      <c r="P282" s="27">
        <v>47600</v>
      </c>
      <c r="Q282" s="27">
        <v>1</v>
      </c>
      <c r="R282" s="27" t="s">
        <v>60</v>
      </c>
      <c r="S282" s="27" t="s">
        <v>80</v>
      </c>
      <c r="T282" s="27" t="s">
        <v>61</v>
      </c>
      <c r="U282" s="27">
        <v>9397839191</v>
      </c>
      <c r="V282" s="37" t="s">
        <v>52</v>
      </c>
      <c r="W282" s="40" t="str" cm="1">
        <f t="array" ref="W282">_xlfn.IFS(AND(P282&gt;=100000,Q282&gt;=4,O282&lt;=0.1,V282="Completed"),"Platinum",AND(P282&gt;=50000,P282&lt;=99999,Q282&gt;=3,V282="Completed"),"Golde",AND(P282&lt;50000,V282="Completed"),"Silver",OR(Q282&lt;=2,V282="Cancelled"),"BlackListed",TRUE,"Other")</f>
        <v>BlackListed</v>
      </c>
    </row>
    <row r="283" spans="1:23" ht="15" thickBot="1" x14ac:dyDescent="0.4">
      <c r="A283" s="30" t="s">
        <v>408</v>
      </c>
      <c r="B283" s="30" t="s">
        <v>134</v>
      </c>
      <c r="C283" s="30" t="s">
        <v>36</v>
      </c>
      <c r="D283" s="31">
        <v>45906</v>
      </c>
      <c r="E283" s="31">
        <v>45918</v>
      </c>
      <c r="F283" s="30" t="s">
        <v>135</v>
      </c>
      <c r="G283" s="30" t="s">
        <v>26</v>
      </c>
      <c r="H283" s="31">
        <v>28711</v>
      </c>
      <c r="I283" s="30" t="s">
        <v>121</v>
      </c>
      <c r="J283" s="30" t="s">
        <v>38</v>
      </c>
      <c r="K283" s="30" t="s">
        <v>39</v>
      </c>
      <c r="L283" s="30" t="s">
        <v>40</v>
      </c>
      <c r="M283" s="30">
        <v>1</v>
      </c>
      <c r="N283" s="30">
        <v>12000</v>
      </c>
      <c r="O283" s="30">
        <v>0</v>
      </c>
      <c r="P283" s="30">
        <v>12000</v>
      </c>
      <c r="Q283" s="30">
        <v>4</v>
      </c>
      <c r="R283" s="30" t="s">
        <v>41</v>
      </c>
      <c r="S283" s="30" t="s">
        <v>80</v>
      </c>
      <c r="T283" s="30" t="s">
        <v>136</v>
      </c>
      <c r="U283" s="30">
        <v>9162975843</v>
      </c>
      <c r="V283" s="38" t="s">
        <v>53</v>
      </c>
      <c r="W283" s="40" t="str" cm="1">
        <f t="array" ref="W283">_xlfn.IFS(AND(P283&gt;=100000,Q283&gt;=4,O283&lt;=0.1,V283="Completed"),"Platinum",AND(P283&gt;=50000,P283&lt;=99999,Q283&gt;=3,V283="Completed"),"Golde",AND(P283&lt;50000,V283="Completed"),"Silver",OR(Q283&lt;=2,V283="Cancelled"),"BlackListed",TRUE,"Other")</f>
        <v>BlackListed</v>
      </c>
    </row>
    <row r="284" spans="1:23" ht="15" thickBot="1" x14ac:dyDescent="0.4">
      <c r="A284" s="27" t="s">
        <v>409</v>
      </c>
      <c r="B284" s="27" t="s">
        <v>63</v>
      </c>
      <c r="C284" s="27" t="s">
        <v>112</v>
      </c>
      <c r="D284" s="28">
        <v>45770</v>
      </c>
      <c r="E284" s="28">
        <v>45776</v>
      </c>
      <c r="F284" s="27" t="s">
        <v>110</v>
      </c>
      <c r="G284" s="27" t="s">
        <v>58</v>
      </c>
      <c r="H284" s="28">
        <v>34367</v>
      </c>
      <c r="I284" s="27" t="s">
        <v>74</v>
      </c>
      <c r="J284" s="27" t="s">
        <v>75</v>
      </c>
      <c r="K284" s="27" t="s">
        <v>39</v>
      </c>
      <c r="L284" s="27" t="s">
        <v>114</v>
      </c>
      <c r="M284" s="27">
        <v>6</v>
      </c>
      <c r="N284" s="27">
        <v>700</v>
      </c>
      <c r="O284" s="27">
        <v>20</v>
      </c>
      <c r="P284" s="27">
        <v>3360</v>
      </c>
      <c r="Q284" s="27">
        <v>2</v>
      </c>
      <c r="R284" s="27" t="s">
        <v>41</v>
      </c>
      <c r="S284" s="27" t="s">
        <v>80</v>
      </c>
      <c r="T284" s="27" t="s">
        <v>66</v>
      </c>
      <c r="U284" s="27">
        <v>9237616558</v>
      </c>
      <c r="V284" s="37" t="s">
        <v>52</v>
      </c>
      <c r="W284" s="40" t="str" cm="1">
        <f t="array" ref="W284">_xlfn.IFS(AND(P284&gt;=100000,Q284&gt;=4,O284&lt;=0.1,V284="Completed"),"Platinum",AND(P284&gt;=50000,P284&lt;=99999,Q284&gt;=3,V284="Completed"),"Golde",AND(P284&lt;50000,V284="Completed"),"Silver",OR(Q284&lt;=2,V284="Cancelled"),"BlackListed",TRUE,"Other")</f>
        <v>BlackListed</v>
      </c>
    </row>
    <row r="285" spans="1:23" ht="15" thickBot="1" x14ac:dyDescent="0.4">
      <c r="A285" s="30" t="s">
        <v>410</v>
      </c>
      <c r="B285" s="30" t="s">
        <v>55</v>
      </c>
      <c r="C285" s="30" t="s">
        <v>24</v>
      </c>
      <c r="D285" s="31">
        <v>46074</v>
      </c>
      <c r="E285" s="31">
        <v>46080</v>
      </c>
      <c r="F285" s="30" t="s">
        <v>57</v>
      </c>
      <c r="G285" s="30" t="s">
        <v>58</v>
      </c>
      <c r="H285" s="31">
        <v>34786</v>
      </c>
      <c r="I285" s="30" t="s">
        <v>91</v>
      </c>
      <c r="J285" s="30" t="s">
        <v>75</v>
      </c>
      <c r="K285" s="30" t="s">
        <v>29</v>
      </c>
      <c r="L285" s="30" t="s">
        <v>30</v>
      </c>
      <c r="M285" s="30">
        <v>3</v>
      </c>
      <c r="N285" s="30">
        <v>2200</v>
      </c>
      <c r="O285" s="30">
        <v>0</v>
      </c>
      <c r="P285" s="30">
        <v>6600</v>
      </c>
      <c r="Q285" s="30">
        <v>4</v>
      </c>
      <c r="R285" s="30" t="s">
        <v>60</v>
      </c>
      <c r="S285" s="30" t="s">
        <v>32</v>
      </c>
      <c r="T285" s="30" t="s">
        <v>61</v>
      </c>
      <c r="U285" s="30">
        <v>9935063989</v>
      </c>
      <c r="V285" s="36" t="s">
        <v>34</v>
      </c>
      <c r="W285" s="40" t="str" cm="1">
        <f t="array" ref="W285">_xlfn.IFS(AND(P285&gt;=100000,Q285&gt;=4,O285&lt;=0.1,V285="Completed"),"Platinum",AND(P285&gt;=50000,P285&lt;=99999,Q285&gt;=3,V285="Completed"),"Golde",AND(P285&lt;50000,V285="Completed"),"Silver",OR(Q285&lt;=2,V285="Cancelled"),"BlackListed",TRUE,"Other")</f>
        <v>Silver</v>
      </c>
    </row>
    <row r="286" spans="1:23" ht="15" thickBot="1" x14ac:dyDescent="0.4">
      <c r="A286" s="27" t="s">
        <v>411</v>
      </c>
      <c r="B286" s="27" t="s">
        <v>134</v>
      </c>
      <c r="C286" s="27" t="s">
        <v>138</v>
      </c>
      <c r="D286" s="28">
        <v>46019</v>
      </c>
      <c r="E286" s="28">
        <v>46023</v>
      </c>
      <c r="F286" s="27" t="s">
        <v>135</v>
      </c>
      <c r="G286" s="27" t="s">
        <v>26</v>
      </c>
      <c r="H286" s="28">
        <v>33675</v>
      </c>
      <c r="I286" s="27" t="s">
        <v>27</v>
      </c>
      <c r="J286" s="27" t="s">
        <v>28</v>
      </c>
      <c r="K286" s="27" t="s">
        <v>83</v>
      </c>
      <c r="L286" s="27" t="s">
        <v>139</v>
      </c>
      <c r="M286" s="27">
        <v>6</v>
      </c>
      <c r="N286" s="27">
        <v>45</v>
      </c>
      <c r="O286" s="27">
        <v>15</v>
      </c>
      <c r="P286" s="27">
        <v>229.5</v>
      </c>
      <c r="Q286" s="27">
        <v>1</v>
      </c>
      <c r="R286" s="27" t="s">
        <v>65</v>
      </c>
      <c r="S286" s="27" t="s">
        <v>42</v>
      </c>
      <c r="T286" s="27" t="s">
        <v>136</v>
      </c>
      <c r="U286" s="27">
        <v>9167376169</v>
      </c>
      <c r="V286" s="35" t="s">
        <v>34</v>
      </c>
      <c r="W286" s="40" t="str" cm="1">
        <f t="array" ref="W286">_xlfn.IFS(AND(P286&gt;=100000,Q286&gt;=4,O286&lt;=0.1,V286="Completed"),"Platinum",AND(P286&gt;=50000,P286&lt;=99999,Q286&gt;=3,V286="Completed"),"Golde",AND(P286&lt;50000,V286="Completed"),"Silver",OR(Q286&lt;=2,V286="Cancelled"),"BlackListed",TRUE,"Other")</f>
        <v>Silver</v>
      </c>
    </row>
    <row r="287" spans="1:23" ht="15" thickBot="1" x14ac:dyDescent="0.4">
      <c r="A287" s="30" t="s">
        <v>412</v>
      </c>
      <c r="B287" s="30" t="s">
        <v>134</v>
      </c>
      <c r="C287" s="30" t="s">
        <v>56</v>
      </c>
      <c r="D287" s="31">
        <v>45922</v>
      </c>
      <c r="E287" s="31">
        <v>45930</v>
      </c>
      <c r="F287" s="30" t="s">
        <v>135</v>
      </c>
      <c r="G287" s="30" t="s">
        <v>26</v>
      </c>
      <c r="H287" s="31">
        <v>29609</v>
      </c>
      <c r="I287" s="30" t="s">
        <v>48</v>
      </c>
      <c r="J287" s="30" t="s">
        <v>28</v>
      </c>
      <c r="K287" s="30" t="s">
        <v>39</v>
      </c>
      <c r="L287" s="30" t="s">
        <v>59</v>
      </c>
      <c r="M287" s="30">
        <v>2</v>
      </c>
      <c r="N287" s="30">
        <v>1200</v>
      </c>
      <c r="O287" s="30">
        <v>0</v>
      </c>
      <c r="P287" s="30">
        <v>2400</v>
      </c>
      <c r="Q287" s="30">
        <v>1</v>
      </c>
      <c r="R287" s="30" t="s">
        <v>31</v>
      </c>
      <c r="S287" s="30" t="s">
        <v>96</v>
      </c>
      <c r="T287" s="30" t="s">
        <v>136</v>
      </c>
      <c r="U287" s="30">
        <v>9231845497</v>
      </c>
      <c r="V287" s="38" t="s">
        <v>53</v>
      </c>
      <c r="W287" s="40" t="str" cm="1">
        <f t="array" ref="W287">_xlfn.IFS(AND(P287&gt;=100000,Q287&gt;=4,O287&lt;=0.1,V287="Completed"),"Platinum",AND(P287&gt;=50000,P287&lt;=99999,Q287&gt;=3,V287="Completed"),"Golde",AND(P287&lt;50000,V287="Completed"),"Silver",OR(Q287&lt;=2,V287="Cancelled"),"BlackListed",TRUE,"Other")</f>
        <v>BlackListed</v>
      </c>
    </row>
    <row r="288" spans="1:23" ht="15" thickBot="1" x14ac:dyDescent="0.4">
      <c r="A288" s="27" t="s">
        <v>413</v>
      </c>
      <c r="B288" s="27" t="s">
        <v>104</v>
      </c>
      <c r="C288" s="27" t="s">
        <v>112</v>
      </c>
      <c r="D288" s="28">
        <v>46150</v>
      </c>
      <c r="E288" s="28">
        <v>46153</v>
      </c>
      <c r="F288" s="27" t="s">
        <v>166</v>
      </c>
      <c r="G288" s="27" t="s">
        <v>26</v>
      </c>
      <c r="H288" s="28">
        <v>30953</v>
      </c>
      <c r="I288" s="27" t="s">
        <v>27</v>
      </c>
      <c r="J288" s="27" t="s">
        <v>28</v>
      </c>
      <c r="K288" s="27" t="s">
        <v>39</v>
      </c>
      <c r="L288" s="27" t="s">
        <v>114</v>
      </c>
      <c r="M288" s="27">
        <v>14</v>
      </c>
      <c r="N288" s="27">
        <v>700</v>
      </c>
      <c r="O288" s="27">
        <v>15</v>
      </c>
      <c r="P288" s="27">
        <v>8330</v>
      </c>
      <c r="Q288" s="27">
        <v>5</v>
      </c>
      <c r="R288" s="27" t="s">
        <v>31</v>
      </c>
      <c r="S288" s="27" t="s">
        <v>80</v>
      </c>
      <c r="T288" s="27" t="s">
        <v>108</v>
      </c>
      <c r="U288" s="27">
        <v>9409415805</v>
      </c>
      <c r="V288" s="37" t="s">
        <v>52</v>
      </c>
      <c r="W288" s="40" t="str" cm="1">
        <f t="array" ref="W288">_xlfn.IFS(AND(P288&gt;=100000,Q288&gt;=4,O288&lt;=0.1,V288="Completed"),"Platinum",AND(P288&gt;=50000,P288&lt;=99999,Q288&gt;=3,V288="Completed"),"Golde",AND(P288&lt;50000,V288="Completed"),"Silver",OR(Q288&lt;=2,V288="Cancelled"),"BlackListed",TRUE,"Other")</f>
        <v>Other</v>
      </c>
    </row>
    <row r="289" spans="1:23" ht="15" thickBot="1" x14ac:dyDescent="0.4">
      <c r="A289" s="30" t="s">
        <v>414</v>
      </c>
      <c r="B289" s="30" t="s">
        <v>72</v>
      </c>
      <c r="C289" s="30" t="s">
        <v>125</v>
      </c>
      <c r="D289" s="31">
        <v>45966</v>
      </c>
      <c r="E289" s="31">
        <v>45967</v>
      </c>
      <c r="F289" s="30" t="s">
        <v>73</v>
      </c>
      <c r="G289" s="30" t="s">
        <v>26</v>
      </c>
      <c r="H289" s="31">
        <v>27704</v>
      </c>
      <c r="I289" s="30" t="s">
        <v>74</v>
      </c>
      <c r="J289" s="30" t="s">
        <v>75</v>
      </c>
      <c r="K289" s="30" t="s">
        <v>83</v>
      </c>
      <c r="L289" s="30" t="s">
        <v>127</v>
      </c>
      <c r="M289" s="30">
        <v>13</v>
      </c>
      <c r="N289" s="30">
        <v>20</v>
      </c>
      <c r="O289" s="30">
        <v>5</v>
      </c>
      <c r="P289" s="30">
        <v>247</v>
      </c>
      <c r="Q289" s="30">
        <v>1</v>
      </c>
      <c r="R289" s="30" t="s">
        <v>60</v>
      </c>
      <c r="S289" s="30" t="s">
        <v>32</v>
      </c>
      <c r="T289" s="30" t="s">
        <v>415</v>
      </c>
      <c r="U289" s="30">
        <v>9240800508</v>
      </c>
      <c r="V289" s="38" t="s">
        <v>52</v>
      </c>
      <c r="W289" s="40" t="str" cm="1">
        <f t="array" ref="W289">_xlfn.IFS(AND(P289&gt;=100000,Q289&gt;=4,O289&lt;=0.1,V289="Completed"),"Platinum",AND(P289&gt;=50000,P289&lt;=99999,Q289&gt;=3,V289="Completed"),"Golde",AND(P289&lt;50000,V289="Completed"),"Silver",OR(Q289&lt;=2,V289="Cancelled"),"BlackListed",TRUE,"Other")</f>
        <v>BlackListed</v>
      </c>
    </row>
    <row r="290" spans="1:23" ht="15" thickBot="1" x14ac:dyDescent="0.4">
      <c r="A290" s="27" t="s">
        <v>416</v>
      </c>
      <c r="B290" s="27" t="s">
        <v>55</v>
      </c>
      <c r="C290" s="27" t="s">
        <v>24</v>
      </c>
      <c r="D290" s="28">
        <v>45724</v>
      </c>
      <c r="E290" s="28">
        <v>45731</v>
      </c>
      <c r="F290" s="27" t="s">
        <v>57</v>
      </c>
      <c r="G290" s="27" t="s">
        <v>58</v>
      </c>
      <c r="H290" s="28">
        <v>34876</v>
      </c>
      <c r="I290" s="27" t="s">
        <v>79</v>
      </c>
      <c r="J290" s="27" t="s">
        <v>75</v>
      </c>
      <c r="K290" s="27" t="s">
        <v>29</v>
      </c>
      <c r="L290" s="27" t="s">
        <v>30</v>
      </c>
      <c r="M290" s="27">
        <v>3</v>
      </c>
      <c r="N290" s="27">
        <v>2200</v>
      </c>
      <c r="O290" s="27">
        <v>0</v>
      </c>
      <c r="P290" s="27">
        <v>6600</v>
      </c>
      <c r="Q290" s="27">
        <v>4</v>
      </c>
      <c r="R290" s="27" t="s">
        <v>41</v>
      </c>
      <c r="S290" s="27" t="s">
        <v>50</v>
      </c>
      <c r="T290" s="27" t="s">
        <v>61</v>
      </c>
      <c r="U290" s="27">
        <v>9764609936</v>
      </c>
      <c r="V290" s="37" t="s">
        <v>53</v>
      </c>
      <c r="W290" s="40" t="str" cm="1">
        <f t="array" ref="W290">_xlfn.IFS(AND(P290&gt;=100000,Q290&gt;=4,O290&lt;=0.1,V290="Completed"),"Platinum",AND(P290&gt;=50000,P290&lt;=99999,Q290&gt;=3,V290="Completed"),"Golde",AND(P290&lt;50000,V290="Completed"),"Silver",OR(Q290&lt;=2,V290="Cancelled"),"BlackListed",TRUE,"Other")</f>
        <v>BlackListed</v>
      </c>
    </row>
    <row r="291" spans="1:23" ht="15" thickBot="1" x14ac:dyDescent="0.4">
      <c r="A291" s="30" t="s">
        <v>417</v>
      </c>
      <c r="B291" s="30" t="s">
        <v>55</v>
      </c>
      <c r="C291" s="30" t="s">
        <v>82</v>
      </c>
      <c r="D291" s="31">
        <v>46062</v>
      </c>
      <c r="E291" s="31">
        <v>46074</v>
      </c>
      <c r="F291" s="30" t="s">
        <v>57</v>
      </c>
      <c r="G291" s="30" t="s">
        <v>58</v>
      </c>
      <c r="H291" s="31">
        <v>29180</v>
      </c>
      <c r="I291" s="30" t="s">
        <v>79</v>
      </c>
      <c r="J291" s="30" t="s">
        <v>75</v>
      </c>
      <c r="K291" s="30" t="s">
        <v>83</v>
      </c>
      <c r="L291" s="30" t="s">
        <v>84</v>
      </c>
      <c r="M291" s="30">
        <v>3</v>
      </c>
      <c r="N291" s="30">
        <v>60</v>
      </c>
      <c r="O291" s="30">
        <v>15</v>
      </c>
      <c r="P291" s="30">
        <v>153</v>
      </c>
      <c r="Q291" s="30">
        <v>4</v>
      </c>
      <c r="R291" s="30" t="s">
        <v>65</v>
      </c>
      <c r="S291" s="30" t="s">
        <v>80</v>
      </c>
      <c r="T291" s="30" t="s">
        <v>61</v>
      </c>
      <c r="U291" s="30">
        <v>9362733217</v>
      </c>
      <c r="V291" s="36" t="s">
        <v>34</v>
      </c>
      <c r="W291" s="40" t="str" cm="1">
        <f t="array" ref="W291">_xlfn.IFS(AND(P291&gt;=100000,Q291&gt;=4,O291&lt;=0.1,V291="Completed"),"Platinum",AND(P291&gt;=50000,P291&lt;=99999,Q291&gt;=3,V291="Completed"),"Golde",AND(P291&lt;50000,V291="Completed"),"Silver",OR(Q291&lt;=2,V291="Cancelled"),"BlackListed",TRUE,"Other")</f>
        <v>Silver</v>
      </c>
    </row>
    <row r="292" spans="1:23" ht="15" thickBot="1" x14ac:dyDescent="0.4">
      <c r="A292" s="27" t="s">
        <v>418</v>
      </c>
      <c r="B292" s="27" t="s">
        <v>87</v>
      </c>
      <c r="C292" s="27" t="s">
        <v>68</v>
      </c>
      <c r="D292" s="28">
        <v>45733</v>
      </c>
      <c r="E292" s="28">
        <v>45739</v>
      </c>
      <c r="F292" s="27" t="s">
        <v>88</v>
      </c>
      <c r="G292" s="27" t="s">
        <v>58</v>
      </c>
      <c r="H292" s="28">
        <v>31805</v>
      </c>
      <c r="I292" s="27" t="s">
        <v>74</v>
      </c>
      <c r="J292" s="27" t="s">
        <v>75</v>
      </c>
      <c r="K292" s="27" t="s">
        <v>29</v>
      </c>
      <c r="L292" s="27" t="s">
        <v>70</v>
      </c>
      <c r="M292" s="27">
        <v>9</v>
      </c>
      <c r="N292" s="27">
        <v>3500</v>
      </c>
      <c r="O292" s="27">
        <v>5</v>
      </c>
      <c r="P292" s="27">
        <v>29925</v>
      </c>
      <c r="Q292" s="27">
        <v>1</v>
      </c>
      <c r="R292" s="27" t="s">
        <v>31</v>
      </c>
      <c r="S292" s="27" t="s">
        <v>50</v>
      </c>
      <c r="T292" s="27" t="s">
        <v>89</v>
      </c>
      <c r="U292" s="27">
        <v>9270466205</v>
      </c>
      <c r="V292" s="37" t="s">
        <v>52</v>
      </c>
      <c r="W292" s="40" t="str" cm="1">
        <f t="array" ref="W292">_xlfn.IFS(AND(P292&gt;=100000,Q292&gt;=4,O292&lt;=0.1,V292="Completed"),"Platinum",AND(P292&gt;=50000,P292&lt;=99999,Q292&gt;=3,V292="Completed"),"Golde",AND(P292&lt;50000,V292="Completed"),"Silver",OR(Q292&lt;=2,V292="Cancelled"),"BlackListed",TRUE,"Other")</f>
        <v>BlackListed</v>
      </c>
    </row>
    <row r="293" spans="1:23" ht="15" thickBot="1" x14ac:dyDescent="0.4">
      <c r="A293" s="30" t="s">
        <v>419</v>
      </c>
      <c r="B293" s="30" t="s">
        <v>156</v>
      </c>
      <c r="C293" s="30" t="s">
        <v>56</v>
      </c>
      <c r="D293" s="31">
        <v>45743</v>
      </c>
      <c r="E293" s="31">
        <v>45748</v>
      </c>
      <c r="F293" s="30" t="s">
        <v>106</v>
      </c>
      <c r="G293" s="30" t="s">
        <v>58</v>
      </c>
      <c r="H293" s="31">
        <v>36930</v>
      </c>
      <c r="I293" s="30" t="s">
        <v>121</v>
      </c>
      <c r="J293" s="30" t="s">
        <v>38</v>
      </c>
      <c r="K293" s="30" t="s">
        <v>39</v>
      </c>
      <c r="L293" s="30" t="s">
        <v>59</v>
      </c>
      <c r="M293" s="30">
        <v>5</v>
      </c>
      <c r="N293" s="30">
        <v>1200</v>
      </c>
      <c r="O293" s="30">
        <v>20</v>
      </c>
      <c r="P293" s="30">
        <v>4800</v>
      </c>
      <c r="Q293" s="30">
        <v>2</v>
      </c>
      <c r="R293" s="30" t="s">
        <v>65</v>
      </c>
      <c r="S293" s="30" t="s">
        <v>80</v>
      </c>
      <c r="T293" s="30" t="s">
        <v>158</v>
      </c>
      <c r="U293" s="30">
        <v>9571436865</v>
      </c>
      <c r="V293" s="38" t="s">
        <v>52</v>
      </c>
      <c r="W293" s="40" t="str" cm="1">
        <f t="array" ref="W293">_xlfn.IFS(AND(P293&gt;=100000,Q293&gt;=4,O293&lt;=0.1,V293="Completed"),"Platinum",AND(P293&gt;=50000,P293&lt;=99999,Q293&gt;=3,V293="Completed"),"Golde",AND(P293&lt;50000,V293="Completed"),"Silver",OR(Q293&lt;=2,V293="Cancelled"),"BlackListed",TRUE,"Other")</f>
        <v>BlackListed</v>
      </c>
    </row>
    <row r="294" spans="1:23" ht="15" thickBot="1" x14ac:dyDescent="0.4">
      <c r="A294" s="27" t="s">
        <v>420</v>
      </c>
      <c r="B294" s="27" t="s">
        <v>45</v>
      </c>
      <c r="C294" s="27" t="s">
        <v>56</v>
      </c>
      <c r="D294" s="28">
        <v>45728</v>
      </c>
      <c r="E294" s="28">
        <v>45730</v>
      </c>
      <c r="F294" s="27" t="s">
        <v>101</v>
      </c>
      <c r="G294" s="27" t="s">
        <v>26</v>
      </c>
      <c r="H294" s="28">
        <v>32856</v>
      </c>
      <c r="I294" s="27" t="s">
        <v>121</v>
      </c>
      <c r="J294" s="27" t="s">
        <v>38</v>
      </c>
      <c r="K294" s="27" t="s">
        <v>39</v>
      </c>
      <c r="L294" s="27" t="s">
        <v>59</v>
      </c>
      <c r="M294" s="27">
        <v>10</v>
      </c>
      <c r="N294" s="27">
        <v>1200</v>
      </c>
      <c r="O294" s="27">
        <v>20</v>
      </c>
      <c r="P294" s="27">
        <v>9600</v>
      </c>
      <c r="Q294" s="27">
        <v>4</v>
      </c>
      <c r="R294" s="27" t="s">
        <v>31</v>
      </c>
      <c r="S294" s="27" t="s">
        <v>42</v>
      </c>
      <c r="T294" s="29" t="s">
        <v>421</v>
      </c>
      <c r="U294" s="27">
        <v>9307011171</v>
      </c>
      <c r="V294" s="35" t="s">
        <v>34</v>
      </c>
      <c r="W294" s="40" t="str" cm="1">
        <f t="array" ref="W294">_xlfn.IFS(AND(P294&gt;=100000,Q294&gt;=4,O294&lt;=0.1,V294="Completed"),"Platinum",AND(P294&gt;=50000,P294&lt;=99999,Q294&gt;=3,V294="Completed"),"Golde",AND(P294&lt;50000,V294="Completed"),"Silver",OR(Q294&lt;=2,V294="Cancelled"),"BlackListed",TRUE,"Other")</f>
        <v>Silver</v>
      </c>
    </row>
    <row r="295" spans="1:23" ht="15" thickBot="1" x14ac:dyDescent="0.4">
      <c r="A295" s="30" t="s">
        <v>422</v>
      </c>
      <c r="B295" s="30" t="s">
        <v>23</v>
      </c>
      <c r="C295" s="30" t="s">
        <v>56</v>
      </c>
      <c r="D295" s="31">
        <v>46066</v>
      </c>
      <c r="E295" s="31">
        <v>46077</v>
      </c>
      <c r="F295" s="30" t="s">
        <v>25</v>
      </c>
      <c r="G295" s="30" t="s">
        <v>26</v>
      </c>
      <c r="H295" s="31">
        <v>32492</v>
      </c>
      <c r="I295" s="30" t="s">
        <v>91</v>
      </c>
      <c r="J295" s="30" t="s">
        <v>75</v>
      </c>
      <c r="K295" s="30" t="s">
        <v>39</v>
      </c>
      <c r="L295" s="30" t="s">
        <v>59</v>
      </c>
      <c r="M295" s="30">
        <v>5</v>
      </c>
      <c r="N295" s="30">
        <v>1200</v>
      </c>
      <c r="O295" s="30">
        <v>20</v>
      </c>
      <c r="P295" s="30">
        <v>4800</v>
      </c>
      <c r="Q295" s="30">
        <v>3</v>
      </c>
      <c r="R295" s="30" t="s">
        <v>41</v>
      </c>
      <c r="S295" s="30" t="s">
        <v>96</v>
      </c>
      <c r="T295" s="30" t="s">
        <v>43</v>
      </c>
      <c r="U295" s="30">
        <v>9922380435</v>
      </c>
      <c r="V295" s="36" t="s">
        <v>34</v>
      </c>
      <c r="W295" s="40" t="str" cm="1">
        <f t="array" ref="W295">_xlfn.IFS(AND(P295&gt;=100000,Q295&gt;=4,O295&lt;=0.1,V295="Completed"),"Platinum",AND(P295&gt;=50000,P295&lt;=99999,Q295&gt;=3,V295="Completed"),"Golde",AND(P295&lt;50000,V295="Completed"),"Silver",OR(Q295&lt;=2,V295="Cancelled"),"BlackListed",TRUE,"Other")</f>
        <v>Silver</v>
      </c>
    </row>
    <row r="296" spans="1:23" ht="15" thickBot="1" x14ac:dyDescent="0.4">
      <c r="A296" s="27" t="s">
        <v>423</v>
      </c>
      <c r="B296" s="27" t="s">
        <v>104</v>
      </c>
      <c r="C296" s="27" t="s">
        <v>125</v>
      </c>
      <c r="D296" s="28">
        <v>45699</v>
      </c>
      <c r="E296" s="28">
        <v>45702</v>
      </c>
      <c r="F296" s="27" t="s">
        <v>166</v>
      </c>
      <c r="G296" s="27" t="s">
        <v>26</v>
      </c>
      <c r="H296" s="28">
        <v>33166</v>
      </c>
      <c r="I296" s="27" t="s">
        <v>74</v>
      </c>
      <c r="J296" s="27" t="s">
        <v>75</v>
      </c>
      <c r="K296" s="27" t="s">
        <v>83</v>
      </c>
      <c r="L296" s="27" t="s">
        <v>127</v>
      </c>
      <c r="M296" s="27">
        <v>10</v>
      </c>
      <c r="N296" s="27">
        <v>20</v>
      </c>
      <c r="O296" s="27">
        <v>5</v>
      </c>
      <c r="P296" s="27">
        <v>190</v>
      </c>
      <c r="Q296" s="27">
        <v>4</v>
      </c>
      <c r="R296" s="27" t="s">
        <v>31</v>
      </c>
      <c r="S296" s="27" t="s">
        <v>96</v>
      </c>
      <c r="T296" s="27" t="s">
        <v>108</v>
      </c>
      <c r="U296" s="27">
        <v>9463618792</v>
      </c>
      <c r="V296" s="37" t="s">
        <v>52</v>
      </c>
      <c r="W296" s="40" t="str" cm="1">
        <f t="array" ref="W296">_xlfn.IFS(AND(P296&gt;=100000,Q296&gt;=4,O296&lt;=0.1,V296="Completed"),"Platinum",AND(P296&gt;=50000,P296&lt;=99999,Q296&gt;=3,V296="Completed"),"Golde",AND(P296&lt;50000,V296="Completed"),"Silver",OR(Q296&lt;=2,V296="Cancelled"),"BlackListed",TRUE,"Other")</f>
        <v>Other</v>
      </c>
    </row>
    <row r="297" spans="1:23" ht="15" thickBot="1" x14ac:dyDescent="0.4">
      <c r="A297" s="30" t="s">
        <v>424</v>
      </c>
      <c r="B297" s="30" t="s">
        <v>72</v>
      </c>
      <c r="C297" s="30" t="s">
        <v>82</v>
      </c>
      <c r="D297" s="31">
        <v>45674</v>
      </c>
      <c r="E297" s="31">
        <v>45684</v>
      </c>
      <c r="F297" s="30" t="s">
        <v>73</v>
      </c>
      <c r="G297" s="30" t="s">
        <v>26</v>
      </c>
      <c r="H297" s="31">
        <v>28741</v>
      </c>
      <c r="I297" s="30" t="s">
        <v>37</v>
      </c>
      <c r="J297" s="30" t="s">
        <v>38</v>
      </c>
      <c r="K297" s="30" t="s">
        <v>83</v>
      </c>
      <c r="L297" s="30" t="s">
        <v>84</v>
      </c>
      <c r="M297" s="30">
        <v>20</v>
      </c>
      <c r="N297" s="30">
        <v>60</v>
      </c>
      <c r="O297" s="30">
        <v>15</v>
      </c>
      <c r="P297" s="30">
        <v>1020</v>
      </c>
      <c r="Q297" s="30">
        <v>5</v>
      </c>
      <c r="R297" s="30" t="s">
        <v>60</v>
      </c>
      <c r="S297" s="30" t="s">
        <v>32</v>
      </c>
      <c r="T297" s="30" t="s">
        <v>93</v>
      </c>
      <c r="U297" s="30">
        <v>9954973200</v>
      </c>
      <c r="V297" s="38" t="s">
        <v>52</v>
      </c>
      <c r="W297" s="40" t="str" cm="1">
        <f t="array" ref="W297">_xlfn.IFS(AND(P297&gt;=100000,Q297&gt;=4,O297&lt;=0.1,V297="Completed"),"Platinum",AND(P297&gt;=50000,P297&lt;=99999,Q297&gt;=3,V297="Completed"),"Golde",AND(P297&lt;50000,V297="Completed"),"Silver",OR(Q297&lt;=2,V297="Cancelled"),"BlackListed",TRUE,"Other")</f>
        <v>Other</v>
      </c>
    </row>
    <row r="298" spans="1:23" ht="15" thickBot="1" x14ac:dyDescent="0.4">
      <c r="A298" s="27" t="s">
        <v>425</v>
      </c>
      <c r="B298" s="27" t="s">
        <v>156</v>
      </c>
      <c r="C298" s="27" t="s">
        <v>24</v>
      </c>
      <c r="D298" s="28">
        <v>45748</v>
      </c>
      <c r="E298" s="28">
        <v>45759</v>
      </c>
      <c r="F298" s="27" t="s">
        <v>106</v>
      </c>
      <c r="G298" s="27" t="s">
        <v>58</v>
      </c>
      <c r="H298" s="28">
        <v>28530</v>
      </c>
      <c r="I298" s="27" t="s">
        <v>91</v>
      </c>
      <c r="J298" s="27" t="s">
        <v>75</v>
      </c>
      <c r="K298" s="27" t="s">
        <v>29</v>
      </c>
      <c r="L298" s="27" t="s">
        <v>30</v>
      </c>
      <c r="M298" s="27">
        <v>7</v>
      </c>
      <c r="N298" s="27">
        <v>2200</v>
      </c>
      <c r="O298" s="27">
        <v>15</v>
      </c>
      <c r="P298" s="27">
        <v>13090</v>
      </c>
      <c r="Q298" s="27">
        <v>4</v>
      </c>
      <c r="R298" s="27" t="s">
        <v>31</v>
      </c>
      <c r="S298" s="27" t="s">
        <v>50</v>
      </c>
      <c r="T298" s="27" t="s">
        <v>158</v>
      </c>
      <c r="U298" s="27">
        <v>9383199236</v>
      </c>
      <c r="V298" s="37" t="s">
        <v>53</v>
      </c>
      <c r="W298" s="40" t="str" cm="1">
        <f t="array" ref="W298">_xlfn.IFS(AND(P298&gt;=100000,Q298&gt;=4,O298&lt;=0.1,V298="Completed"),"Platinum",AND(P298&gt;=50000,P298&lt;=99999,Q298&gt;=3,V298="Completed"),"Golde",AND(P298&lt;50000,V298="Completed"),"Silver",OR(Q298&lt;=2,V298="Cancelled"),"BlackListed",TRUE,"Other")</f>
        <v>BlackListed</v>
      </c>
    </row>
    <row r="299" spans="1:23" ht="15" thickBot="1" x14ac:dyDescent="0.4">
      <c r="A299" s="30" t="s">
        <v>426</v>
      </c>
      <c r="B299" s="30" t="s">
        <v>87</v>
      </c>
      <c r="C299" s="30" t="s">
        <v>46</v>
      </c>
      <c r="D299" s="31">
        <v>45670</v>
      </c>
      <c r="E299" s="31">
        <v>45673</v>
      </c>
      <c r="F299" s="30" t="s">
        <v>88</v>
      </c>
      <c r="G299" s="30" t="s">
        <v>58</v>
      </c>
      <c r="H299" s="31">
        <v>37989</v>
      </c>
      <c r="I299" s="30" t="s">
        <v>27</v>
      </c>
      <c r="J299" s="30" t="s">
        <v>28</v>
      </c>
      <c r="K299" s="30" t="s">
        <v>39</v>
      </c>
      <c r="L299" s="30" t="s">
        <v>49</v>
      </c>
      <c r="M299" s="30">
        <v>11</v>
      </c>
      <c r="N299" s="30">
        <v>55000</v>
      </c>
      <c r="O299" s="30">
        <v>5</v>
      </c>
      <c r="P299" s="30">
        <v>574750</v>
      </c>
      <c r="Q299" s="30">
        <v>1</v>
      </c>
      <c r="R299" s="30" t="s">
        <v>65</v>
      </c>
      <c r="S299" s="30" t="s">
        <v>32</v>
      </c>
      <c r="T299" s="30" t="s">
        <v>89</v>
      </c>
      <c r="U299" s="30">
        <v>9482699727</v>
      </c>
      <c r="V299" s="38" t="s">
        <v>53</v>
      </c>
      <c r="W299" s="40" t="str" cm="1">
        <f t="array" ref="W299">_xlfn.IFS(AND(P299&gt;=100000,Q299&gt;=4,O299&lt;=0.1,V299="Completed"),"Platinum",AND(P299&gt;=50000,P299&lt;=99999,Q299&gt;=3,V299="Completed"),"Golde",AND(P299&lt;50000,V299="Completed"),"Silver",OR(Q299&lt;=2,V299="Cancelled"),"BlackListed",TRUE,"Other")</f>
        <v>BlackListed</v>
      </c>
    </row>
    <row r="300" spans="1:23" ht="15" thickBot="1" x14ac:dyDescent="0.4">
      <c r="A300" s="27" t="s">
        <v>427</v>
      </c>
      <c r="B300" s="27" t="s">
        <v>63</v>
      </c>
      <c r="C300" s="27" t="s">
        <v>68</v>
      </c>
      <c r="D300" s="28">
        <v>45935</v>
      </c>
      <c r="E300" s="28">
        <v>45947</v>
      </c>
      <c r="F300" s="27" t="s">
        <v>110</v>
      </c>
      <c r="G300" s="27" t="s">
        <v>58</v>
      </c>
      <c r="H300" s="28">
        <v>33726</v>
      </c>
      <c r="I300" s="27" t="s">
        <v>121</v>
      </c>
      <c r="J300" s="27" t="s">
        <v>38</v>
      </c>
      <c r="K300" s="27" t="s">
        <v>29</v>
      </c>
      <c r="L300" s="27" t="s">
        <v>70</v>
      </c>
      <c r="M300" s="27">
        <v>12</v>
      </c>
      <c r="N300" s="27">
        <v>3500</v>
      </c>
      <c r="O300" s="27">
        <v>0</v>
      </c>
      <c r="P300" s="27">
        <v>42000</v>
      </c>
      <c r="Q300" s="27">
        <v>2</v>
      </c>
      <c r="R300" s="21" t="s">
        <v>41</v>
      </c>
      <c r="S300" s="27"/>
      <c r="T300" s="27" t="s">
        <v>66</v>
      </c>
      <c r="U300" s="27">
        <v>9332473934</v>
      </c>
      <c r="V300" s="37" t="s">
        <v>52</v>
      </c>
      <c r="W300" s="40" t="str" cm="1">
        <f t="array" ref="W300">_xlfn.IFS(AND(P300&gt;=100000,Q300&gt;=4,O300&lt;=0.1,V300="Completed"),"Platinum",AND(P300&gt;=50000,P300&lt;=99999,Q300&gt;=3,V300="Completed"),"Golde",AND(P300&lt;50000,V300="Completed"),"Silver",OR(Q300&lt;=2,V300="Cancelled"),"BlackListed",TRUE,"Other")</f>
        <v>BlackListed</v>
      </c>
    </row>
    <row r="301" spans="1:23" ht="15" thickBot="1" x14ac:dyDescent="0.4">
      <c r="A301" s="30" t="s">
        <v>428</v>
      </c>
      <c r="B301" s="30" t="s">
        <v>55</v>
      </c>
      <c r="C301" s="30" t="s">
        <v>138</v>
      </c>
      <c r="D301" s="31">
        <v>46078</v>
      </c>
      <c r="E301" s="31">
        <v>46089</v>
      </c>
      <c r="F301" s="30" t="s">
        <v>57</v>
      </c>
      <c r="G301" s="30" t="s">
        <v>58</v>
      </c>
      <c r="H301" s="31">
        <v>37647</v>
      </c>
      <c r="I301" s="30" t="s">
        <v>27</v>
      </c>
      <c r="J301" s="30" t="s">
        <v>28</v>
      </c>
      <c r="K301" s="30" t="s">
        <v>83</v>
      </c>
      <c r="L301" s="30" t="s">
        <v>139</v>
      </c>
      <c r="M301" s="30">
        <v>15</v>
      </c>
      <c r="N301" s="30">
        <v>45</v>
      </c>
      <c r="O301" s="30">
        <v>10</v>
      </c>
      <c r="P301" s="30">
        <v>607.5</v>
      </c>
      <c r="Q301" s="30">
        <v>2</v>
      </c>
      <c r="R301" s="30" t="s">
        <v>31</v>
      </c>
      <c r="S301" s="30" t="s">
        <v>96</v>
      </c>
      <c r="T301" s="30" t="s">
        <v>61</v>
      </c>
      <c r="U301" s="30">
        <v>9647657382</v>
      </c>
      <c r="V301" s="38" t="s">
        <v>52</v>
      </c>
      <c r="W301" s="40" t="str" cm="1">
        <f t="array" ref="W301">_xlfn.IFS(AND(P301&gt;=100000,Q301&gt;=4,O301&lt;=0.1,V301="Completed"),"Platinum",AND(P301&gt;=50000,P301&lt;=99999,Q301&gt;=3,V301="Completed"),"Golde",AND(P301&lt;50000,V301="Completed"),"Silver",OR(Q301&lt;=2,V301="Cancelled"),"BlackListed",TRUE,"Other")</f>
        <v>BlackListed</v>
      </c>
    </row>
    <row r="302" spans="1:23" ht="15" thickBot="1" x14ac:dyDescent="0.4">
      <c r="A302" s="27" t="s">
        <v>429</v>
      </c>
      <c r="B302" s="27" t="s">
        <v>156</v>
      </c>
      <c r="C302" s="27" t="s">
        <v>138</v>
      </c>
      <c r="D302" s="28">
        <v>45793</v>
      </c>
      <c r="E302" s="28">
        <v>45803</v>
      </c>
      <c r="F302" s="27" t="s">
        <v>106</v>
      </c>
      <c r="G302" s="27" t="s">
        <v>58</v>
      </c>
      <c r="H302" s="28">
        <v>31917</v>
      </c>
      <c r="I302" s="27" t="s">
        <v>48</v>
      </c>
      <c r="J302" s="27" t="s">
        <v>28</v>
      </c>
      <c r="K302" s="27" t="s">
        <v>83</v>
      </c>
      <c r="L302" s="27" t="s">
        <v>139</v>
      </c>
      <c r="M302" s="27">
        <v>13</v>
      </c>
      <c r="N302" s="27">
        <v>45</v>
      </c>
      <c r="O302" s="27">
        <v>0</v>
      </c>
      <c r="P302" s="27">
        <v>585</v>
      </c>
      <c r="Q302" s="27">
        <v>5</v>
      </c>
      <c r="R302" s="27" t="s">
        <v>41</v>
      </c>
      <c r="S302" s="27" t="s">
        <v>42</v>
      </c>
      <c r="T302" s="27" t="s">
        <v>158</v>
      </c>
      <c r="U302" s="27">
        <v>9736797776</v>
      </c>
      <c r="V302" s="37" t="s">
        <v>52</v>
      </c>
      <c r="W302" s="40" t="str" cm="1">
        <f t="array" ref="W302">_xlfn.IFS(AND(P302&gt;=100000,Q302&gt;=4,O302&lt;=0.1,V302="Completed"),"Platinum",AND(P302&gt;=50000,P302&lt;=99999,Q302&gt;=3,V302="Completed"),"Golde",AND(P302&lt;50000,V302="Completed"),"Silver",OR(Q302&lt;=2,V302="Cancelled"),"BlackListed",TRUE,"Other")</f>
        <v>Other</v>
      </c>
    </row>
    <row r="303" spans="1:23" ht="15" thickBot="1" x14ac:dyDescent="0.4">
      <c r="A303" s="30" t="s">
        <v>430</v>
      </c>
      <c r="B303" s="30" t="s">
        <v>87</v>
      </c>
      <c r="C303" s="30" t="s">
        <v>46</v>
      </c>
      <c r="D303" s="31">
        <v>46024</v>
      </c>
      <c r="E303" s="31">
        <v>46027</v>
      </c>
      <c r="F303" s="30" t="s">
        <v>88</v>
      </c>
      <c r="G303" s="30" t="s">
        <v>58</v>
      </c>
      <c r="H303" s="31">
        <v>27644</v>
      </c>
      <c r="I303" s="30" t="s">
        <v>48</v>
      </c>
      <c r="J303" s="30" t="s">
        <v>28</v>
      </c>
      <c r="K303" s="30" t="s">
        <v>39</v>
      </c>
      <c r="L303" s="30" t="s">
        <v>49</v>
      </c>
      <c r="M303" s="30">
        <v>8</v>
      </c>
      <c r="N303" s="30">
        <v>55000</v>
      </c>
      <c r="O303" s="30">
        <v>0</v>
      </c>
      <c r="P303" s="30">
        <v>440000</v>
      </c>
      <c r="Q303" s="30">
        <v>2</v>
      </c>
      <c r="R303" s="30" t="s">
        <v>65</v>
      </c>
      <c r="S303" s="30" t="s">
        <v>96</v>
      </c>
      <c r="T303" s="30" t="s">
        <v>89</v>
      </c>
      <c r="U303" s="30">
        <v>9745773533</v>
      </c>
      <c r="V303" s="38" t="s">
        <v>53</v>
      </c>
      <c r="W303" s="40" t="str" cm="1">
        <f t="array" ref="W303">_xlfn.IFS(AND(P303&gt;=100000,Q303&gt;=4,O303&lt;=0.1,V303="Completed"),"Platinum",AND(P303&gt;=50000,P303&lt;=99999,Q303&gt;=3,V303="Completed"),"Golde",AND(P303&lt;50000,V303="Completed"),"Silver",OR(Q303&lt;=2,V303="Cancelled"),"BlackListed",TRUE,"Other")</f>
        <v>BlackListed</v>
      </c>
    </row>
    <row r="304" spans="1:23" ht="15" thickBot="1" x14ac:dyDescent="0.4">
      <c r="A304" s="27" t="s">
        <v>431</v>
      </c>
      <c r="B304" s="27" t="s">
        <v>134</v>
      </c>
      <c r="C304" s="27" t="s">
        <v>46</v>
      </c>
      <c r="D304" s="28">
        <v>45861</v>
      </c>
      <c r="E304" s="28">
        <v>45865</v>
      </c>
      <c r="F304" s="27" t="s">
        <v>135</v>
      </c>
      <c r="G304" s="27" t="s">
        <v>26</v>
      </c>
      <c r="H304" s="28">
        <v>29443</v>
      </c>
      <c r="I304" s="27" t="s">
        <v>37</v>
      </c>
      <c r="J304" s="27" t="s">
        <v>38</v>
      </c>
      <c r="K304" s="27" t="s">
        <v>39</v>
      </c>
      <c r="L304" s="27" t="s">
        <v>49</v>
      </c>
      <c r="M304" s="27">
        <v>4</v>
      </c>
      <c r="N304" s="27">
        <v>55000</v>
      </c>
      <c r="O304" s="27">
        <v>20</v>
      </c>
      <c r="P304" s="27">
        <v>176000</v>
      </c>
      <c r="Q304" s="27">
        <v>5</v>
      </c>
      <c r="R304" s="27" t="s">
        <v>31</v>
      </c>
      <c r="S304" s="27" t="s">
        <v>42</v>
      </c>
      <c r="T304" s="27" t="s">
        <v>136</v>
      </c>
      <c r="U304" s="27">
        <v>9246715757</v>
      </c>
      <c r="V304" s="37" t="s">
        <v>52</v>
      </c>
      <c r="W304" s="40" t="str" cm="1">
        <f t="array" ref="W304">_xlfn.IFS(AND(P304&gt;=100000,Q304&gt;=4,O304&lt;=0.1,V304="Completed"),"Platinum",AND(P304&gt;=50000,P304&lt;=99999,Q304&gt;=3,V304="Completed"),"Golde",AND(P304&lt;50000,V304="Completed"),"Silver",OR(Q304&lt;=2,V304="Cancelled"),"BlackListed",TRUE,"Other")</f>
        <v>Other</v>
      </c>
    </row>
    <row r="305" spans="1:23" ht="15" thickBot="1" x14ac:dyDescent="0.4">
      <c r="A305" s="30" t="s">
        <v>432</v>
      </c>
      <c r="B305" s="30" t="s">
        <v>23</v>
      </c>
      <c r="C305" s="30" t="s">
        <v>68</v>
      </c>
      <c r="D305" s="31">
        <v>46135</v>
      </c>
      <c r="E305" s="31">
        <v>46138</v>
      </c>
      <c r="F305" s="30" t="s">
        <v>25</v>
      </c>
      <c r="G305" s="30" t="s">
        <v>26</v>
      </c>
      <c r="H305" s="31">
        <v>32605</v>
      </c>
      <c r="I305" s="30" t="s">
        <v>91</v>
      </c>
      <c r="J305" s="30" t="s">
        <v>75</v>
      </c>
      <c r="K305" s="30" t="s">
        <v>29</v>
      </c>
      <c r="L305" s="30" t="s">
        <v>70</v>
      </c>
      <c r="M305" s="30">
        <v>19</v>
      </c>
      <c r="N305" s="30">
        <v>3500</v>
      </c>
      <c r="O305" s="30">
        <v>5</v>
      </c>
      <c r="P305" s="30">
        <v>63175</v>
      </c>
      <c r="Q305" s="30">
        <v>1</v>
      </c>
      <c r="R305" s="30" t="s">
        <v>60</v>
      </c>
      <c r="S305" s="30" t="s">
        <v>80</v>
      </c>
      <c r="T305" s="30" t="s">
        <v>43</v>
      </c>
      <c r="U305" s="30">
        <v>9904065774</v>
      </c>
      <c r="V305" s="36" t="s">
        <v>34</v>
      </c>
      <c r="W305" s="40" t="str" cm="1">
        <f t="array" ref="W305">_xlfn.IFS(AND(P305&gt;=100000,Q305&gt;=4,O305&lt;=0.1,V305="Completed"),"Platinum",AND(P305&gt;=50000,P305&lt;=99999,Q305&gt;=3,V305="Completed"),"Golde",AND(P305&lt;50000,V305="Completed"),"Silver",OR(Q305&lt;=2,V305="Cancelled"),"BlackListed",TRUE,"Other")</f>
        <v>BlackListed</v>
      </c>
    </row>
    <row r="306" spans="1:23" ht="15" thickBot="1" x14ac:dyDescent="0.4">
      <c r="A306" s="27" t="s">
        <v>433</v>
      </c>
      <c r="B306" s="27" t="s">
        <v>124</v>
      </c>
      <c r="C306" s="27" t="s">
        <v>56</v>
      </c>
      <c r="D306" s="28">
        <v>45718</v>
      </c>
      <c r="E306" s="28">
        <v>45722</v>
      </c>
      <c r="F306" s="27" t="s">
        <v>126</v>
      </c>
      <c r="G306" s="27" t="s">
        <v>58</v>
      </c>
      <c r="H306" s="28">
        <v>36027</v>
      </c>
      <c r="I306" s="27" t="s">
        <v>121</v>
      </c>
      <c r="J306" s="27" t="s">
        <v>38</v>
      </c>
      <c r="K306" s="27" t="s">
        <v>39</v>
      </c>
      <c r="L306" s="27" t="s">
        <v>59</v>
      </c>
      <c r="M306" s="27">
        <v>17</v>
      </c>
      <c r="N306" s="27">
        <v>1200</v>
      </c>
      <c r="O306" s="27">
        <v>15</v>
      </c>
      <c r="P306" s="27">
        <v>17340</v>
      </c>
      <c r="Q306" s="27">
        <v>2</v>
      </c>
      <c r="R306" s="27" t="s">
        <v>41</v>
      </c>
      <c r="S306" s="27" t="s">
        <v>42</v>
      </c>
      <c r="T306" s="27" t="s">
        <v>128</v>
      </c>
      <c r="U306" s="27">
        <v>9652985385</v>
      </c>
      <c r="V306" s="35" t="s">
        <v>34</v>
      </c>
      <c r="W306" s="40" t="str" cm="1">
        <f t="array" ref="W306">_xlfn.IFS(AND(P306&gt;=100000,Q306&gt;=4,O306&lt;=0.1,V306="Completed"),"Platinum",AND(P306&gt;=50000,P306&lt;=99999,Q306&gt;=3,V306="Completed"),"Golde",AND(P306&lt;50000,V306="Completed"),"Silver",OR(Q306&lt;=2,V306="Cancelled"),"BlackListed",TRUE,"Other")</f>
        <v>Silver</v>
      </c>
    </row>
    <row r="307" spans="1:23" ht="15" thickBot="1" x14ac:dyDescent="0.4">
      <c r="A307" s="30" t="s">
        <v>434</v>
      </c>
      <c r="B307" s="30" t="s">
        <v>23</v>
      </c>
      <c r="C307" s="30" t="s">
        <v>24</v>
      </c>
      <c r="D307" s="31">
        <v>46062</v>
      </c>
      <c r="E307" s="31">
        <v>46070</v>
      </c>
      <c r="F307" s="30" t="s">
        <v>25</v>
      </c>
      <c r="G307" s="30" t="s">
        <v>26</v>
      </c>
      <c r="H307" s="31">
        <v>36984</v>
      </c>
      <c r="I307" s="30" t="s">
        <v>27</v>
      </c>
      <c r="J307" s="30" t="s">
        <v>28</v>
      </c>
      <c r="K307" s="30" t="s">
        <v>29</v>
      </c>
      <c r="L307" s="30" t="s">
        <v>30</v>
      </c>
      <c r="M307" s="30">
        <v>8</v>
      </c>
      <c r="N307" s="30">
        <v>2200</v>
      </c>
      <c r="O307" s="30">
        <v>5</v>
      </c>
      <c r="P307" s="30">
        <v>16720</v>
      </c>
      <c r="Q307" s="30">
        <v>3</v>
      </c>
      <c r="R307" s="30" t="s">
        <v>60</v>
      </c>
      <c r="S307" s="30" t="s">
        <v>80</v>
      </c>
      <c r="T307" s="30" t="s">
        <v>43</v>
      </c>
      <c r="U307" s="30">
        <v>9427001508</v>
      </c>
      <c r="V307" s="38" t="s">
        <v>52</v>
      </c>
      <c r="W307" s="40" t="str" cm="1">
        <f t="array" ref="W307">_xlfn.IFS(AND(P307&gt;=100000,Q307&gt;=4,O307&lt;=0.1,V307="Completed"),"Platinum",AND(P307&gt;=50000,P307&lt;=99999,Q307&gt;=3,V307="Completed"),"Golde",AND(P307&lt;50000,V307="Completed"),"Silver",OR(Q307&lt;=2,V307="Cancelled"),"BlackListed",TRUE,"Other")</f>
        <v>Other</v>
      </c>
    </row>
    <row r="308" spans="1:23" ht="15" thickBot="1" x14ac:dyDescent="0.4">
      <c r="A308" s="27" t="s">
        <v>435</v>
      </c>
      <c r="B308" s="27" t="s">
        <v>134</v>
      </c>
      <c r="C308" s="27" t="s">
        <v>112</v>
      </c>
      <c r="D308" s="28">
        <v>45704</v>
      </c>
      <c r="E308" s="28">
        <v>45714</v>
      </c>
      <c r="F308" s="27" t="s">
        <v>135</v>
      </c>
      <c r="G308" s="27" t="s">
        <v>26</v>
      </c>
      <c r="H308" s="28">
        <v>33668</v>
      </c>
      <c r="I308" s="27" t="s">
        <v>74</v>
      </c>
      <c r="J308" s="27" t="s">
        <v>75</v>
      </c>
      <c r="K308" s="27" t="s">
        <v>39</v>
      </c>
      <c r="L308" s="27" t="s">
        <v>114</v>
      </c>
      <c r="M308" s="27">
        <v>17</v>
      </c>
      <c r="N308" s="27">
        <v>700</v>
      </c>
      <c r="O308" s="27">
        <v>20</v>
      </c>
      <c r="P308" s="27">
        <v>9520</v>
      </c>
      <c r="Q308" s="27">
        <v>4</v>
      </c>
      <c r="R308" s="27" t="s">
        <v>41</v>
      </c>
      <c r="S308" s="27" t="s">
        <v>80</v>
      </c>
      <c r="T308" s="27" t="s">
        <v>136</v>
      </c>
      <c r="U308" s="27">
        <v>9666803655</v>
      </c>
      <c r="V308" s="35" t="s">
        <v>34</v>
      </c>
      <c r="W308" s="40" t="str" cm="1">
        <f t="array" ref="W308">_xlfn.IFS(AND(P308&gt;=100000,Q308&gt;=4,O308&lt;=0.1,V308="Completed"),"Platinum",AND(P308&gt;=50000,P308&lt;=99999,Q308&gt;=3,V308="Completed"),"Golde",AND(P308&lt;50000,V308="Completed"),"Silver",OR(Q308&lt;=2,V308="Cancelled"),"BlackListed",TRUE,"Other")</f>
        <v>Silver</v>
      </c>
    </row>
    <row r="309" spans="1:23" ht="15" thickBot="1" x14ac:dyDescent="0.4">
      <c r="A309" s="30" t="s">
        <v>436</v>
      </c>
      <c r="B309" s="30" t="s">
        <v>134</v>
      </c>
      <c r="C309" s="30" t="s">
        <v>105</v>
      </c>
      <c r="D309" s="31">
        <v>45897</v>
      </c>
      <c r="E309" s="31">
        <v>45908</v>
      </c>
      <c r="F309" s="30" t="s">
        <v>135</v>
      </c>
      <c r="G309" s="30" t="s">
        <v>26</v>
      </c>
      <c r="H309" s="31">
        <v>28122</v>
      </c>
      <c r="I309" s="30" t="s">
        <v>79</v>
      </c>
      <c r="J309" s="30" t="s">
        <v>75</v>
      </c>
      <c r="K309" s="30" t="s">
        <v>29</v>
      </c>
      <c r="L309" s="30" t="s">
        <v>107</v>
      </c>
      <c r="M309" s="30">
        <v>6</v>
      </c>
      <c r="N309" s="30">
        <v>8500</v>
      </c>
      <c r="O309" s="30">
        <v>15</v>
      </c>
      <c r="P309" s="30">
        <v>43350</v>
      </c>
      <c r="Q309" s="30">
        <v>1</v>
      </c>
      <c r="R309" s="30" t="s">
        <v>31</v>
      </c>
      <c r="S309" s="30" t="s">
        <v>50</v>
      </c>
      <c r="T309" s="30" t="s">
        <v>136</v>
      </c>
      <c r="U309" s="30">
        <v>9134878547</v>
      </c>
      <c r="V309" s="36" t="s">
        <v>34</v>
      </c>
      <c r="W309" s="40" t="str" cm="1">
        <f t="array" ref="W309">_xlfn.IFS(AND(P309&gt;=100000,Q309&gt;=4,O309&lt;=0.1,V309="Completed"),"Platinum",AND(P309&gt;=50000,P309&lt;=99999,Q309&gt;=3,V309="Completed"),"Golde",AND(P309&lt;50000,V309="Completed"),"Silver",OR(Q309&lt;=2,V309="Cancelled"),"BlackListed",TRUE,"Other")</f>
        <v>Silver</v>
      </c>
    </row>
    <row r="310" spans="1:23" ht="15" thickBot="1" x14ac:dyDescent="0.4">
      <c r="A310" s="27" t="s">
        <v>437</v>
      </c>
      <c r="B310" s="27" t="s">
        <v>45</v>
      </c>
      <c r="C310" s="27" t="s">
        <v>68</v>
      </c>
      <c r="D310" s="28">
        <v>45936</v>
      </c>
      <c r="E310" s="28">
        <v>45941</v>
      </c>
      <c r="F310" s="27" t="s">
        <v>101</v>
      </c>
      <c r="G310" s="27" t="s">
        <v>26</v>
      </c>
      <c r="H310" s="28">
        <v>31659</v>
      </c>
      <c r="I310" s="27" t="s">
        <v>27</v>
      </c>
      <c r="J310" s="27" t="s">
        <v>28</v>
      </c>
      <c r="K310" s="27" t="s">
        <v>29</v>
      </c>
      <c r="L310" s="27" t="s">
        <v>70</v>
      </c>
      <c r="M310" s="27">
        <v>3</v>
      </c>
      <c r="N310" s="27">
        <v>3500</v>
      </c>
      <c r="O310" s="27">
        <v>10</v>
      </c>
      <c r="P310" s="27">
        <v>9450</v>
      </c>
      <c r="Q310" s="27">
        <v>1</v>
      </c>
      <c r="R310" s="27" t="s">
        <v>41</v>
      </c>
      <c r="S310" s="27" t="s">
        <v>42</v>
      </c>
      <c r="T310" s="27" t="s">
        <v>51</v>
      </c>
      <c r="U310" s="27">
        <v>9253593557</v>
      </c>
      <c r="V310" s="35" t="s">
        <v>34</v>
      </c>
      <c r="W310" s="40" t="str" cm="1">
        <f t="array" ref="W310">_xlfn.IFS(AND(P310&gt;=100000,Q310&gt;=4,O310&lt;=0.1,V310="Completed"),"Platinum",AND(P310&gt;=50000,P310&lt;=99999,Q310&gt;=3,V310="Completed"),"Golde",AND(P310&lt;50000,V310="Completed"),"Silver",OR(Q310&lt;=2,V310="Cancelled"),"BlackListed",TRUE,"Other")</f>
        <v>Silver</v>
      </c>
    </row>
    <row r="311" spans="1:23" ht="15" thickBot="1" x14ac:dyDescent="0.4">
      <c r="A311" s="30" t="s">
        <v>438</v>
      </c>
      <c r="B311" s="30" t="s">
        <v>55</v>
      </c>
      <c r="C311" s="30" t="s">
        <v>36</v>
      </c>
      <c r="D311" s="31">
        <v>45674</v>
      </c>
      <c r="E311" s="31">
        <v>45686</v>
      </c>
      <c r="F311" s="30" t="s">
        <v>57</v>
      </c>
      <c r="G311" s="30" t="s">
        <v>58</v>
      </c>
      <c r="H311" s="31">
        <v>32734</v>
      </c>
      <c r="I311" s="30" t="s">
        <v>91</v>
      </c>
      <c r="J311" s="30" t="s">
        <v>75</v>
      </c>
      <c r="K311" s="30" t="s">
        <v>39</v>
      </c>
      <c r="L311" s="30" t="s">
        <v>40</v>
      </c>
      <c r="M311" s="30">
        <v>2</v>
      </c>
      <c r="N311" s="30">
        <v>12000</v>
      </c>
      <c r="O311" s="30">
        <v>20</v>
      </c>
      <c r="P311" s="30">
        <v>19200</v>
      </c>
      <c r="Q311" s="30">
        <v>1</v>
      </c>
      <c r="R311" s="30" t="s">
        <v>60</v>
      </c>
      <c r="S311" s="30" t="s">
        <v>50</v>
      </c>
      <c r="T311" s="30" t="s">
        <v>61</v>
      </c>
      <c r="U311" s="30">
        <v>9183094051</v>
      </c>
      <c r="V311" s="36" t="s">
        <v>34</v>
      </c>
      <c r="W311" s="40" t="str" cm="1">
        <f t="array" ref="W311">_xlfn.IFS(AND(P311&gt;=100000,Q311&gt;=4,O311&lt;=0.1,V311="Completed"),"Platinum",AND(P311&gt;=50000,P311&lt;=99999,Q311&gt;=3,V311="Completed"),"Golde",AND(P311&lt;50000,V311="Completed"),"Silver",OR(Q311&lt;=2,V311="Cancelled"),"BlackListed",TRUE,"Other")</f>
        <v>Silver</v>
      </c>
    </row>
    <row r="312" spans="1:23" ht="15" thickBot="1" x14ac:dyDescent="0.4">
      <c r="A312" s="27" t="s">
        <v>439</v>
      </c>
      <c r="B312" s="27" t="s">
        <v>124</v>
      </c>
      <c r="C312" s="27" t="s">
        <v>125</v>
      </c>
      <c r="D312" s="28">
        <v>45943</v>
      </c>
      <c r="E312" s="28">
        <v>45946</v>
      </c>
      <c r="F312" s="27" t="s">
        <v>126</v>
      </c>
      <c r="G312" s="27" t="s">
        <v>58</v>
      </c>
      <c r="H312" s="28">
        <v>33299</v>
      </c>
      <c r="I312" s="27" t="s">
        <v>37</v>
      </c>
      <c r="J312" s="27" t="s">
        <v>38</v>
      </c>
      <c r="K312" s="27" t="s">
        <v>83</v>
      </c>
      <c r="L312" s="27" t="s">
        <v>127</v>
      </c>
      <c r="M312" s="27">
        <v>12</v>
      </c>
      <c r="N312" s="27">
        <v>20</v>
      </c>
      <c r="O312" s="27">
        <v>20</v>
      </c>
      <c r="P312" s="27">
        <v>192</v>
      </c>
      <c r="Q312" s="27">
        <v>2</v>
      </c>
      <c r="R312" s="27" t="s">
        <v>60</v>
      </c>
      <c r="S312" s="27" t="s">
        <v>42</v>
      </c>
      <c r="T312" s="27" t="s">
        <v>128</v>
      </c>
      <c r="U312" s="27">
        <v>9293147620</v>
      </c>
      <c r="V312" s="35" t="s">
        <v>34</v>
      </c>
      <c r="W312" s="40" t="str" cm="1">
        <f t="array" ref="W312">_xlfn.IFS(AND(P312&gt;=100000,Q312&gt;=4,O312&lt;=0.1,V312="Completed"),"Platinum",AND(P312&gt;=50000,P312&lt;=99999,Q312&gt;=3,V312="Completed"),"Golde",AND(P312&lt;50000,V312="Completed"),"Silver",OR(Q312&lt;=2,V312="Cancelled"),"BlackListed",TRUE,"Other")</f>
        <v>Silver</v>
      </c>
    </row>
    <row r="313" spans="1:23" ht="15" thickBot="1" x14ac:dyDescent="0.4">
      <c r="A313" s="30" t="s">
        <v>440</v>
      </c>
      <c r="B313" s="30" t="s">
        <v>72</v>
      </c>
      <c r="C313" s="30" t="s">
        <v>36</v>
      </c>
      <c r="D313" s="31">
        <v>46138</v>
      </c>
      <c r="E313" s="31">
        <v>46140</v>
      </c>
      <c r="F313" s="30" t="s">
        <v>73</v>
      </c>
      <c r="G313" s="30" t="s">
        <v>26</v>
      </c>
      <c r="H313" s="31">
        <v>32733</v>
      </c>
      <c r="I313" s="30" t="s">
        <v>147</v>
      </c>
      <c r="J313" s="30" t="s">
        <v>148</v>
      </c>
      <c r="K313" s="30" t="s">
        <v>39</v>
      </c>
      <c r="L313" s="30" t="s">
        <v>40</v>
      </c>
      <c r="M313" s="30">
        <v>20</v>
      </c>
      <c r="N313" s="30">
        <v>12000</v>
      </c>
      <c r="O313" s="30">
        <v>15</v>
      </c>
      <c r="P313" s="30">
        <v>204000</v>
      </c>
      <c r="Q313" s="30">
        <v>3</v>
      </c>
      <c r="R313" s="30" t="s">
        <v>31</v>
      </c>
      <c r="S313" s="30" t="s">
        <v>32</v>
      </c>
      <c r="T313" s="30" t="s">
        <v>93</v>
      </c>
      <c r="U313" s="30">
        <v>9755583734</v>
      </c>
      <c r="V313" s="38" t="s">
        <v>52</v>
      </c>
      <c r="W313" s="40" t="str" cm="1">
        <f t="array" ref="W313">_xlfn.IFS(AND(P313&gt;=100000,Q313&gt;=4,O313&lt;=0.1,V313="Completed"),"Platinum",AND(P313&gt;=50000,P313&lt;=99999,Q313&gt;=3,V313="Completed"),"Golde",AND(P313&lt;50000,V313="Completed"),"Silver",OR(Q313&lt;=2,V313="Cancelled"),"BlackListed",TRUE,"Other")</f>
        <v>Other</v>
      </c>
    </row>
    <row r="314" spans="1:23" ht="15" thickBot="1" x14ac:dyDescent="0.4">
      <c r="A314" s="27" t="s">
        <v>441</v>
      </c>
      <c r="B314" s="27" t="s">
        <v>45</v>
      </c>
      <c r="C314" s="27" t="s">
        <v>82</v>
      </c>
      <c r="D314" s="28">
        <v>46105</v>
      </c>
      <c r="E314" s="28">
        <v>46116</v>
      </c>
      <c r="F314" s="27" t="s">
        <v>101</v>
      </c>
      <c r="G314" s="27" t="s">
        <v>26</v>
      </c>
      <c r="H314" s="28">
        <v>37654</v>
      </c>
      <c r="I314" s="27" t="s">
        <v>121</v>
      </c>
      <c r="J314" s="27" t="s">
        <v>38</v>
      </c>
      <c r="K314" s="27" t="s">
        <v>83</v>
      </c>
      <c r="L314" s="27" t="s">
        <v>84</v>
      </c>
      <c r="M314" s="27">
        <v>13</v>
      </c>
      <c r="N314" s="27">
        <v>60</v>
      </c>
      <c r="O314" s="27">
        <v>10</v>
      </c>
      <c r="P314" s="27">
        <v>702</v>
      </c>
      <c r="Q314" s="27">
        <v>5</v>
      </c>
      <c r="R314" s="27" t="s">
        <v>31</v>
      </c>
      <c r="S314" s="27" t="s">
        <v>32</v>
      </c>
      <c r="T314" s="27" t="s">
        <v>51</v>
      </c>
      <c r="U314" s="27">
        <v>9186592813</v>
      </c>
      <c r="V314" s="37" t="s">
        <v>52</v>
      </c>
      <c r="W314" s="40" t="str" cm="1">
        <f t="array" ref="W314">_xlfn.IFS(AND(P314&gt;=100000,Q314&gt;=4,O314&lt;=0.1,V314="Completed"),"Platinum",AND(P314&gt;=50000,P314&lt;=99999,Q314&gt;=3,V314="Completed"),"Golde",AND(P314&lt;50000,V314="Completed"),"Silver",OR(Q314&lt;=2,V314="Cancelled"),"BlackListed",TRUE,"Other")</f>
        <v>Other</v>
      </c>
    </row>
    <row r="315" spans="1:23" ht="15" thickBot="1" x14ac:dyDescent="0.4">
      <c r="A315" s="30" t="s">
        <v>442</v>
      </c>
      <c r="B315" s="30" t="s">
        <v>55</v>
      </c>
      <c r="C315" s="30" t="s">
        <v>46</v>
      </c>
      <c r="D315" s="31">
        <v>45785</v>
      </c>
      <c r="E315" s="31">
        <v>45796</v>
      </c>
      <c r="F315" s="30" t="s">
        <v>57</v>
      </c>
      <c r="G315" s="30" t="s">
        <v>58</v>
      </c>
      <c r="H315" s="31">
        <v>35019</v>
      </c>
      <c r="I315" s="30" t="s">
        <v>79</v>
      </c>
      <c r="J315" s="30" t="s">
        <v>75</v>
      </c>
      <c r="K315" s="30" t="s">
        <v>39</v>
      </c>
      <c r="L315" s="30" t="s">
        <v>49</v>
      </c>
      <c r="M315" s="30">
        <v>13</v>
      </c>
      <c r="N315" s="30">
        <v>55000</v>
      </c>
      <c r="O315" s="30">
        <v>5</v>
      </c>
      <c r="P315" s="30">
        <v>679250</v>
      </c>
      <c r="Q315" s="30">
        <v>1</v>
      </c>
      <c r="R315" s="30" t="s">
        <v>65</v>
      </c>
      <c r="S315" s="30" t="s">
        <v>96</v>
      </c>
      <c r="T315" s="30" t="s">
        <v>61</v>
      </c>
      <c r="U315" s="30">
        <v>9203482008</v>
      </c>
      <c r="V315" s="38" t="s">
        <v>52</v>
      </c>
      <c r="W315" s="40" t="str" cm="1">
        <f t="array" ref="W315">_xlfn.IFS(AND(P315&gt;=100000,Q315&gt;=4,O315&lt;=0.1,V315="Completed"),"Platinum",AND(P315&gt;=50000,P315&lt;=99999,Q315&gt;=3,V315="Completed"),"Golde",AND(P315&lt;50000,V315="Completed"),"Silver",OR(Q315&lt;=2,V315="Cancelled"),"BlackListed",TRUE,"Other")</f>
        <v>BlackListed</v>
      </c>
    </row>
    <row r="316" spans="1:23" ht="15" thickBot="1" x14ac:dyDescent="0.4">
      <c r="A316" s="27" t="s">
        <v>443</v>
      </c>
      <c r="B316" s="27" t="s">
        <v>72</v>
      </c>
      <c r="C316" s="27" t="s">
        <v>56</v>
      </c>
      <c r="D316" s="28">
        <v>46088</v>
      </c>
      <c r="E316" s="28">
        <v>46091</v>
      </c>
      <c r="F316" s="27" t="s">
        <v>73</v>
      </c>
      <c r="G316" s="27" t="s">
        <v>26</v>
      </c>
      <c r="H316" s="28">
        <v>32836</v>
      </c>
      <c r="I316" s="27" t="s">
        <v>48</v>
      </c>
      <c r="J316" s="27" t="s">
        <v>28</v>
      </c>
      <c r="K316" s="27" t="s">
        <v>39</v>
      </c>
      <c r="L316" s="27" t="s">
        <v>59</v>
      </c>
      <c r="M316" s="27">
        <v>7</v>
      </c>
      <c r="N316" s="27">
        <v>1200</v>
      </c>
      <c r="O316" s="27">
        <v>15</v>
      </c>
      <c r="P316" s="27">
        <v>7140</v>
      </c>
      <c r="Q316" s="27">
        <v>5</v>
      </c>
      <c r="R316" s="27" t="s">
        <v>65</v>
      </c>
      <c r="S316" s="27" t="s">
        <v>42</v>
      </c>
      <c r="T316" s="27" t="s">
        <v>93</v>
      </c>
      <c r="U316" s="27">
        <v>9829888777</v>
      </c>
      <c r="V316" s="37" t="s">
        <v>52</v>
      </c>
      <c r="W316" s="40" t="str" cm="1">
        <f t="array" ref="W316">_xlfn.IFS(AND(P316&gt;=100000,Q316&gt;=4,O316&lt;=0.1,V316="Completed"),"Platinum",AND(P316&gt;=50000,P316&lt;=99999,Q316&gt;=3,V316="Completed"),"Golde",AND(P316&lt;50000,V316="Completed"),"Silver",OR(Q316&lt;=2,V316="Cancelled"),"BlackListed",TRUE,"Other")</f>
        <v>Other</v>
      </c>
    </row>
    <row r="317" spans="1:23" ht="15" thickBot="1" x14ac:dyDescent="0.4">
      <c r="A317" s="30" t="s">
        <v>444</v>
      </c>
      <c r="B317" s="30" t="s">
        <v>63</v>
      </c>
      <c r="C317" s="30" t="s">
        <v>36</v>
      </c>
      <c r="D317" s="31">
        <v>46017</v>
      </c>
      <c r="E317" s="31">
        <v>46021</v>
      </c>
      <c r="F317" s="30" t="s">
        <v>110</v>
      </c>
      <c r="G317" s="30" t="s">
        <v>58</v>
      </c>
      <c r="H317" s="31">
        <v>32253</v>
      </c>
      <c r="I317" s="30" t="s">
        <v>121</v>
      </c>
      <c r="J317" s="30" t="s">
        <v>38</v>
      </c>
      <c r="K317" s="30" t="s">
        <v>39</v>
      </c>
      <c r="L317" s="30" t="s">
        <v>40</v>
      </c>
      <c r="M317" s="30">
        <v>17</v>
      </c>
      <c r="N317" s="30">
        <v>12000</v>
      </c>
      <c r="O317" s="30">
        <v>5</v>
      </c>
      <c r="P317" s="30">
        <v>193800</v>
      </c>
      <c r="Q317" s="30">
        <v>1</v>
      </c>
      <c r="R317" s="30" t="s">
        <v>31</v>
      </c>
      <c r="S317" s="30" t="s">
        <v>50</v>
      </c>
      <c r="T317" s="30" t="s">
        <v>66</v>
      </c>
      <c r="U317" s="30">
        <v>9566101317</v>
      </c>
      <c r="V317" s="38" t="s">
        <v>53</v>
      </c>
      <c r="W317" s="40" t="str" cm="1">
        <f t="array" ref="W317">_xlfn.IFS(AND(P317&gt;=100000,Q317&gt;=4,O317&lt;=0.1,V317="Completed"),"Platinum",AND(P317&gt;=50000,P317&lt;=99999,Q317&gt;=3,V317="Completed"),"Golde",AND(P317&lt;50000,V317="Completed"),"Silver",OR(Q317&lt;=2,V317="Cancelled"),"BlackListed",TRUE,"Other")</f>
        <v>BlackListed</v>
      </c>
    </row>
    <row r="318" spans="1:23" ht="15" thickBot="1" x14ac:dyDescent="0.4">
      <c r="A318" s="27" t="s">
        <v>445</v>
      </c>
      <c r="B318" s="27" t="s">
        <v>63</v>
      </c>
      <c r="C318" s="27" t="s">
        <v>125</v>
      </c>
      <c r="D318" s="28">
        <v>46131</v>
      </c>
      <c r="E318" s="28">
        <v>46137</v>
      </c>
      <c r="F318" s="27" t="s">
        <v>110</v>
      </c>
      <c r="G318" s="27" t="s">
        <v>58</v>
      </c>
      <c r="H318" s="28">
        <v>28796</v>
      </c>
      <c r="I318" s="27" t="s">
        <v>48</v>
      </c>
      <c r="J318" s="27" t="s">
        <v>28</v>
      </c>
      <c r="K318" s="27" t="s">
        <v>83</v>
      </c>
      <c r="L318" s="27" t="s">
        <v>127</v>
      </c>
      <c r="M318" s="27">
        <v>10</v>
      </c>
      <c r="N318" s="27">
        <v>20</v>
      </c>
      <c r="O318" s="27">
        <v>5</v>
      </c>
      <c r="P318" s="27">
        <v>190</v>
      </c>
      <c r="Q318" s="27">
        <v>2</v>
      </c>
      <c r="R318" s="27" t="s">
        <v>31</v>
      </c>
      <c r="S318" s="27" t="s">
        <v>50</v>
      </c>
      <c r="T318" s="27" t="s">
        <v>66</v>
      </c>
      <c r="U318" s="27">
        <v>9706240823</v>
      </c>
      <c r="V318" s="37" t="s">
        <v>53</v>
      </c>
      <c r="W318" s="40" t="str" cm="1">
        <f t="array" ref="W318">_xlfn.IFS(AND(P318&gt;=100000,Q318&gt;=4,O318&lt;=0.1,V318="Completed"),"Platinum",AND(P318&gt;=50000,P318&lt;=99999,Q318&gt;=3,V318="Completed"),"Golde",AND(P318&lt;50000,V318="Completed"),"Silver",OR(Q318&lt;=2,V318="Cancelled"),"BlackListed",TRUE,"Other")</f>
        <v>BlackListed</v>
      </c>
    </row>
    <row r="319" spans="1:23" ht="15" thickBot="1" x14ac:dyDescent="0.4">
      <c r="A319" s="30" t="s">
        <v>446</v>
      </c>
      <c r="B319" s="30" t="s">
        <v>104</v>
      </c>
      <c r="C319" s="30" t="s">
        <v>24</v>
      </c>
      <c r="D319" s="31">
        <v>45966</v>
      </c>
      <c r="E319" s="31">
        <v>45969</v>
      </c>
      <c r="F319" s="30" t="s">
        <v>166</v>
      </c>
      <c r="G319" s="30" t="s">
        <v>26</v>
      </c>
      <c r="H319" s="31">
        <v>32855</v>
      </c>
      <c r="I319" s="30" t="s">
        <v>37</v>
      </c>
      <c r="J319" s="30" t="s">
        <v>38</v>
      </c>
      <c r="K319" s="30" t="s">
        <v>29</v>
      </c>
      <c r="L319" s="30" t="s">
        <v>30</v>
      </c>
      <c r="M319" s="30">
        <v>11</v>
      </c>
      <c r="N319" s="30">
        <v>2200</v>
      </c>
      <c r="O319" s="30">
        <v>5</v>
      </c>
      <c r="P319" s="30">
        <v>22990</v>
      </c>
      <c r="Q319" s="30">
        <v>5</v>
      </c>
      <c r="R319" s="30" t="s">
        <v>60</v>
      </c>
      <c r="S319" s="30" t="s">
        <v>42</v>
      </c>
      <c r="T319" s="30" t="s">
        <v>108</v>
      </c>
      <c r="U319" s="30">
        <v>9259943760</v>
      </c>
      <c r="V319" s="38" t="s">
        <v>52</v>
      </c>
      <c r="W319" s="40" t="str" cm="1">
        <f t="array" ref="W319">_xlfn.IFS(AND(P319&gt;=100000,Q319&gt;=4,O319&lt;=0.1,V319="Completed"),"Platinum",AND(P319&gt;=50000,P319&lt;=99999,Q319&gt;=3,V319="Completed"),"Golde",AND(P319&lt;50000,V319="Completed"),"Silver",OR(Q319&lt;=2,V319="Cancelled"),"BlackListed",TRUE,"Other")</f>
        <v>Other</v>
      </c>
    </row>
    <row r="320" spans="1:23" ht="15" thickBot="1" x14ac:dyDescent="0.4">
      <c r="A320" s="27" t="s">
        <v>447</v>
      </c>
      <c r="B320" s="27" t="s">
        <v>72</v>
      </c>
      <c r="C320" s="27" t="s">
        <v>82</v>
      </c>
      <c r="D320" s="28">
        <v>46077</v>
      </c>
      <c r="E320" s="28">
        <v>46081</v>
      </c>
      <c r="F320" s="27" t="s">
        <v>73</v>
      </c>
      <c r="G320" s="27" t="s">
        <v>26</v>
      </c>
      <c r="H320" s="28">
        <v>34707</v>
      </c>
      <c r="I320" s="27" t="s">
        <v>121</v>
      </c>
      <c r="J320" s="27" t="s">
        <v>38</v>
      </c>
      <c r="K320" s="27" t="s">
        <v>83</v>
      </c>
      <c r="L320" s="27" t="s">
        <v>84</v>
      </c>
      <c r="M320" s="27">
        <v>8</v>
      </c>
      <c r="N320" s="27">
        <v>60</v>
      </c>
      <c r="O320" s="27">
        <v>15</v>
      </c>
      <c r="P320" s="27">
        <v>408</v>
      </c>
      <c r="Q320" s="27">
        <v>4</v>
      </c>
      <c r="R320" s="27" t="s">
        <v>31</v>
      </c>
      <c r="S320" s="27" t="s">
        <v>42</v>
      </c>
      <c r="T320" s="27" t="s">
        <v>93</v>
      </c>
      <c r="U320" s="27">
        <v>9527326977</v>
      </c>
      <c r="V320" s="37" t="s">
        <v>52</v>
      </c>
      <c r="W320" s="40" t="str" cm="1">
        <f t="array" ref="W320">_xlfn.IFS(AND(P320&gt;=100000,Q320&gt;=4,O320&lt;=0.1,V320="Completed"),"Platinum",AND(P320&gt;=50000,P320&lt;=99999,Q320&gt;=3,V320="Completed"),"Golde",AND(P320&lt;50000,V320="Completed"),"Silver",OR(Q320&lt;=2,V320="Cancelled"),"BlackListed",TRUE,"Other")</f>
        <v>Other</v>
      </c>
    </row>
    <row r="321" spans="1:23" ht="15" thickBot="1" x14ac:dyDescent="0.4">
      <c r="A321" s="30" t="s">
        <v>448</v>
      </c>
      <c r="B321" s="30" t="s">
        <v>124</v>
      </c>
      <c r="C321" s="30" t="s">
        <v>138</v>
      </c>
      <c r="D321" s="31">
        <v>45739</v>
      </c>
      <c r="E321" s="31">
        <v>45741</v>
      </c>
      <c r="F321" s="30" t="s">
        <v>126</v>
      </c>
      <c r="G321" s="30" t="s">
        <v>58</v>
      </c>
      <c r="H321" s="31">
        <v>34630</v>
      </c>
      <c r="I321" s="30" t="s">
        <v>37</v>
      </c>
      <c r="J321" s="30" t="s">
        <v>38</v>
      </c>
      <c r="K321" s="30" t="s">
        <v>83</v>
      </c>
      <c r="L321" s="30" t="s">
        <v>139</v>
      </c>
      <c r="M321" s="30">
        <v>17</v>
      </c>
      <c r="N321" s="30">
        <v>45</v>
      </c>
      <c r="O321" s="30">
        <v>15</v>
      </c>
      <c r="P321" s="30">
        <v>650.25</v>
      </c>
      <c r="Q321" s="30">
        <v>2</v>
      </c>
      <c r="R321" s="30" t="s">
        <v>65</v>
      </c>
      <c r="S321" s="30" t="s">
        <v>96</v>
      </c>
      <c r="T321" s="30" t="s">
        <v>128</v>
      </c>
      <c r="U321" s="30">
        <v>9886970990</v>
      </c>
      <c r="V321" s="36" t="s">
        <v>34</v>
      </c>
      <c r="W321" s="40" t="str" cm="1">
        <f t="array" ref="W321">_xlfn.IFS(AND(P321&gt;=100000,Q321&gt;=4,O321&lt;=0.1,V321="Completed"),"Platinum",AND(P321&gt;=50000,P321&lt;=99999,Q321&gt;=3,V321="Completed"),"Golde",AND(P321&lt;50000,V321="Completed"),"Silver",OR(Q321&lt;=2,V321="Cancelled"),"BlackListed",TRUE,"Other")</f>
        <v>Silver</v>
      </c>
    </row>
    <row r="322" spans="1:23" ht="15" thickBot="1" x14ac:dyDescent="0.4">
      <c r="A322" s="27" t="s">
        <v>449</v>
      </c>
      <c r="B322" s="27" t="s">
        <v>156</v>
      </c>
      <c r="C322" s="27" t="s">
        <v>112</v>
      </c>
      <c r="D322" s="28">
        <v>45715</v>
      </c>
      <c r="E322" s="28">
        <v>45726</v>
      </c>
      <c r="F322" s="27" t="s">
        <v>106</v>
      </c>
      <c r="G322" s="27" t="s">
        <v>58</v>
      </c>
      <c r="H322" s="28">
        <v>35206</v>
      </c>
      <c r="I322" s="27" t="s">
        <v>121</v>
      </c>
      <c r="J322" s="27" t="s">
        <v>38</v>
      </c>
      <c r="K322" s="27" t="s">
        <v>39</v>
      </c>
      <c r="L322" s="27" t="s">
        <v>114</v>
      </c>
      <c r="M322" s="27">
        <v>14</v>
      </c>
      <c r="N322" s="27">
        <v>700</v>
      </c>
      <c r="O322" s="27">
        <v>15</v>
      </c>
      <c r="P322" s="27">
        <v>8330</v>
      </c>
      <c r="Q322" s="27">
        <v>1</v>
      </c>
      <c r="R322" s="27" t="s">
        <v>60</v>
      </c>
      <c r="S322" s="27" t="s">
        <v>80</v>
      </c>
      <c r="T322" s="27" t="s">
        <v>158</v>
      </c>
      <c r="U322" s="27">
        <v>9106930369</v>
      </c>
      <c r="V322" s="35" t="s">
        <v>34</v>
      </c>
      <c r="W322" s="40" t="str" cm="1">
        <f t="array" ref="W322">_xlfn.IFS(AND(P322&gt;=100000,Q322&gt;=4,O322&lt;=0.1,V322="Completed"),"Platinum",AND(P322&gt;=50000,P322&lt;=99999,Q322&gt;=3,V322="Completed"),"Golde",AND(P322&lt;50000,V322="Completed"),"Silver",OR(Q322&lt;=2,V322="Cancelled"),"BlackListed",TRUE,"Other")</f>
        <v>Silver</v>
      </c>
    </row>
    <row r="323" spans="1:23" ht="15" thickBot="1" x14ac:dyDescent="0.4">
      <c r="A323" s="30" t="s">
        <v>450</v>
      </c>
      <c r="B323" s="30" t="s">
        <v>63</v>
      </c>
      <c r="C323" s="30" t="s">
        <v>56</v>
      </c>
      <c r="D323" s="31">
        <v>45811</v>
      </c>
      <c r="E323" s="31">
        <v>45822</v>
      </c>
      <c r="F323" s="30" t="s">
        <v>110</v>
      </c>
      <c r="G323" s="30" t="s">
        <v>58</v>
      </c>
      <c r="H323" s="31">
        <v>30097</v>
      </c>
      <c r="I323" s="30" t="s">
        <v>79</v>
      </c>
      <c r="J323" s="30" t="s">
        <v>75</v>
      </c>
      <c r="K323" s="30" t="s">
        <v>39</v>
      </c>
      <c r="L323" s="30" t="s">
        <v>59</v>
      </c>
      <c r="M323" s="30">
        <v>3</v>
      </c>
      <c r="N323" s="30">
        <v>1200</v>
      </c>
      <c r="O323" s="30">
        <v>5</v>
      </c>
      <c r="P323" s="30">
        <v>3420</v>
      </c>
      <c r="Q323" s="30">
        <v>3</v>
      </c>
      <c r="R323" s="30" t="s">
        <v>41</v>
      </c>
      <c r="S323" s="30" t="s">
        <v>96</v>
      </c>
      <c r="T323" s="30" t="s">
        <v>66</v>
      </c>
      <c r="U323" s="30">
        <v>9342009114</v>
      </c>
      <c r="V323" s="36" t="s">
        <v>34</v>
      </c>
      <c r="W323" s="40" t="str" cm="1">
        <f t="array" ref="W323">_xlfn.IFS(AND(P323&gt;=100000,Q323&gt;=4,O323&lt;=0.1,V323="Completed"),"Platinum",AND(P323&gt;=50000,P323&lt;=99999,Q323&gt;=3,V323="Completed"),"Golde",AND(P323&lt;50000,V323="Completed"),"Silver",OR(Q323&lt;=2,V323="Cancelled"),"BlackListed",TRUE,"Other")</f>
        <v>Silver</v>
      </c>
    </row>
    <row r="324" spans="1:23" ht="15" thickBot="1" x14ac:dyDescent="0.4">
      <c r="A324" s="27" t="s">
        <v>451</v>
      </c>
      <c r="B324" s="27" t="s">
        <v>23</v>
      </c>
      <c r="C324" s="27" t="s">
        <v>56</v>
      </c>
      <c r="D324" s="28">
        <v>45845</v>
      </c>
      <c r="E324" s="28">
        <v>45854</v>
      </c>
      <c r="F324" s="27" t="s">
        <v>25</v>
      </c>
      <c r="G324" s="27" t="s">
        <v>26</v>
      </c>
      <c r="H324" s="28">
        <v>37217</v>
      </c>
      <c r="I324" s="27" t="s">
        <v>91</v>
      </c>
      <c r="J324" s="27" t="s">
        <v>75</v>
      </c>
      <c r="K324" s="27" t="s">
        <v>39</v>
      </c>
      <c r="L324" s="27" t="s">
        <v>59</v>
      </c>
      <c r="M324" s="27">
        <v>9</v>
      </c>
      <c r="N324" s="27">
        <v>1200</v>
      </c>
      <c r="O324" s="27">
        <v>15</v>
      </c>
      <c r="P324" s="27">
        <v>9180</v>
      </c>
      <c r="Q324" s="27">
        <v>3</v>
      </c>
      <c r="R324" s="27" t="s">
        <v>31</v>
      </c>
      <c r="S324" s="27" t="s">
        <v>42</v>
      </c>
      <c r="T324" s="27" t="s">
        <v>43</v>
      </c>
      <c r="U324" s="27">
        <v>9992739960</v>
      </c>
      <c r="V324" s="35" t="s">
        <v>34</v>
      </c>
      <c r="W324" s="40" t="str" cm="1">
        <f t="array" ref="W324">_xlfn.IFS(AND(P324&gt;=100000,Q324&gt;=4,O324&lt;=0.1,V324="Completed"),"Platinum",AND(P324&gt;=50000,P324&lt;=99999,Q324&gt;=3,V324="Completed"),"Golde",AND(P324&lt;50000,V324="Completed"),"Silver",OR(Q324&lt;=2,V324="Cancelled"),"BlackListed",TRUE,"Other")</f>
        <v>Silver</v>
      </c>
    </row>
    <row r="325" spans="1:23" ht="15" thickBot="1" x14ac:dyDescent="0.4">
      <c r="A325" s="30" t="s">
        <v>452</v>
      </c>
      <c r="B325" s="30" t="s">
        <v>134</v>
      </c>
      <c r="C325" s="30" t="s">
        <v>125</v>
      </c>
      <c r="D325" s="31">
        <v>46132</v>
      </c>
      <c r="E325" s="31">
        <v>46133</v>
      </c>
      <c r="F325" s="30" t="s">
        <v>135</v>
      </c>
      <c r="G325" s="30" t="s">
        <v>26</v>
      </c>
      <c r="H325" s="31">
        <v>32565</v>
      </c>
      <c r="I325" s="30" t="s">
        <v>74</v>
      </c>
      <c r="J325" s="30" t="s">
        <v>75</v>
      </c>
      <c r="K325" s="30" t="s">
        <v>83</v>
      </c>
      <c r="L325" s="30" t="s">
        <v>127</v>
      </c>
      <c r="M325" s="30">
        <v>5</v>
      </c>
      <c r="N325" s="30">
        <v>20</v>
      </c>
      <c r="O325" s="30">
        <v>5</v>
      </c>
      <c r="P325" s="30">
        <v>95</v>
      </c>
      <c r="Q325" s="30">
        <v>4</v>
      </c>
      <c r="R325" s="30" t="s">
        <v>31</v>
      </c>
      <c r="S325" s="30" t="s">
        <v>96</v>
      </c>
      <c r="T325" s="30" t="s">
        <v>136</v>
      </c>
      <c r="U325" s="30">
        <v>9241987748</v>
      </c>
      <c r="V325" s="36" t="s">
        <v>34</v>
      </c>
      <c r="W325" s="40" t="str" cm="1">
        <f t="array" ref="W325">_xlfn.IFS(AND(P325&gt;=100000,Q325&gt;=4,O325&lt;=0.1,V325="Completed"),"Platinum",AND(P325&gt;=50000,P325&lt;=99999,Q325&gt;=3,V325="Completed"),"Golde",AND(P325&lt;50000,V325="Completed"),"Silver",OR(Q325&lt;=2,V325="Cancelled"),"BlackListed",TRUE,"Other")</f>
        <v>Silver</v>
      </c>
    </row>
    <row r="326" spans="1:23" ht="15" thickBot="1" x14ac:dyDescent="0.4">
      <c r="A326" s="27" t="s">
        <v>453</v>
      </c>
      <c r="B326" s="27" t="s">
        <v>134</v>
      </c>
      <c r="C326" s="27" t="s">
        <v>24</v>
      </c>
      <c r="D326" s="28">
        <v>46001</v>
      </c>
      <c r="E326" s="28">
        <v>46012</v>
      </c>
      <c r="F326" s="27" t="s">
        <v>135</v>
      </c>
      <c r="G326" s="27" t="s">
        <v>26</v>
      </c>
      <c r="H326" s="28">
        <v>31277</v>
      </c>
      <c r="I326" s="27" t="s">
        <v>91</v>
      </c>
      <c r="J326" s="27" t="s">
        <v>75</v>
      </c>
      <c r="K326" s="27" t="s">
        <v>29</v>
      </c>
      <c r="L326" s="27" t="s">
        <v>30</v>
      </c>
      <c r="M326" s="27">
        <v>8</v>
      </c>
      <c r="N326" s="27">
        <v>2200</v>
      </c>
      <c r="O326" s="27">
        <v>10</v>
      </c>
      <c r="P326" s="27">
        <v>15840</v>
      </c>
      <c r="Q326" s="27">
        <v>4</v>
      </c>
      <c r="R326" s="27" t="s">
        <v>65</v>
      </c>
      <c r="S326" s="27" t="s">
        <v>50</v>
      </c>
      <c r="T326" s="27" t="s">
        <v>136</v>
      </c>
      <c r="U326" s="27">
        <v>9571990711</v>
      </c>
      <c r="V326" s="37" t="s">
        <v>53</v>
      </c>
      <c r="W326" s="40" t="str" cm="1">
        <f t="array" ref="W326">_xlfn.IFS(AND(P326&gt;=100000,Q326&gt;=4,O326&lt;=0.1,V326="Completed"),"Platinum",AND(P326&gt;=50000,P326&lt;=99999,Q326&gt;=3,V326="Completed"),"Golde",AND(P326&lt;50000,V326="Completed"),"Silver",OR(Q326&lt;=2,V326="Cancelled"),"BlackListed",TRUE,"Other")</f>
        <v>BlackListed</v>
      </c>
    </row>
    <row r="327" spans="1:23" ht="15" thickBot="1" x14ac:dyDescent="0.4">
      <c r="A327" s="30" t="s">
        <v>454</v>
      </c>
      <c r="B327" s="30" t="s">
        <v>134</v>
      </c>
      <c r="C327" s="30" t="s">
        <v>112</v>
      </c>
      <c r="D327" s="31">
        <v>46089</v>
      </c>
      <c r="E327" s="31">
        <v>46093</v>
      </c>
      <c r="F327" s="30" t="s">
        <v>135</v>
      </c>
      <c r="G327" s="30" t="s">
        <v>26</v>
      </c>
      <c r="H327" s="31">
        <v>29223</v>
      </c>
      <c r="I327" s="30" t="s">
        <v>74</v>
      </c>
      <c r="J327" s="30" t="s">
        <v>75</v>
      </c>
      <c r="K327" s="30" t="s">
        <v>39</v>
      </c>
      <c r="L327" s="30" t="s">
        <v>114</v>
      </c>
      <c r="M327" s="30">
        <v>10</v>
      </c>
      <c r="N327" s="30">
        <v>700</v>
      </c>
      <c r="O327" s="30">
        <v>20</v>
      </c>
      <c r="P327" s="30">
        <v>5600</v>
      </c>
      <c r="Q327" s="30">
        <v>1</v>
      </c>
      <c r="R327" s="30" t="s">
        <v>65</v>
      </c>
      <c r="S327" s="30" t="s">
        <v>80</v>
      </c>
      <c r="T327" s="30" t="s">
        <v>136</v>
      </c>
      <c r="U327" s="30">
        <v>9219231183</v>
      </c>
      <c r="V327" s="36" t="s">
        <v>34</v>
      </c>
      <c r="W327" s="40" t="str" cm="1">
        <f t="array" ref="W327">_xlfn.IFS(AND(P327&gt;=100000,Q327&gt;=4,O327&lt;=0.1,V327="Completed"),"Platinum",AND(P327&gt;=50000,P327&lt;=99999,Q327&gt;=3,V327="Completed"),"Golde",AND(P327&lt;50000,V327="Completed"),"Silver",OR(Q327&lt;=2,V327="Cancelled"),"BlackListed",TRUE,"Other")</f>
        <v>Silver</v>
      </c>
    </row>
    <row r="328" spans="1:23" ht="15" thickBot="1" x14ac:dyDescent="0.4">
      <c r="A328" s="27" t="s">
        <v>455</v>
      </c>
      <c r="B328" s="27" t="s">
        <v>63</v>
      </c>
      <c r="C328" s="27" t="s">
        <v>112</v>
      </c>
      <c r="D328" s="28">
        <v>45986</v>
      </c>
      <c r="E328" s="28">
        <v>45989</v>
      </c>
      <c r="F328" s="27" t="s">
        <v>110</v>
      </c>
      <c r="G328" s="27" t="s">
        <v>58</v>
      </c>
      <c r="H328" s="28">
        <v>28498</v>
      </c>
      <c r="I328" s="27" t="s">
        <v>48</v>
      </c>
      <c r="J328" s="27" t="s">
        <v>28</v>
      </c>
      <c r="K328" s="27" t="s">
        <v>39</v>
      </c>
      <c r="L328" s="27" t="s">
        <v>114</v>
      </c>
      <c r="M328" s="27">
        <v>2</v>
      </c>
      <c r="N328" s="27">
        <v>700</v>
      </c>
      <c r="O328" s="27">
        <v>20</v>
      </c>
      <c r="P328" s="27">
        <v>1120</v>
      </c>
      <c r="Q328" s="27">
        <v>2</v>
      </c>
      <c r="R328" s="27" t="s">
        <v>31</v>
      </c>
      <c r="S328" s="27" t="s">
        <v>80</v>
      </c>
      <c r="T328" s="27" t="s">
        <v>66</v>
      </c>
      <c r="U328" s="27">
        <v>9847386174</v>
      </c>
      <c r="V328" s="37" t="s">
        <v>52</v>
      </c>
      <c r="W328" s="40" t="str" cm="1">
        <f t="array" ref="W328">_xlfn.IFS(AND(P328&gt;=100000,Q328&gt;=4,O328&lt;=0.1,V328="Completed"),"Platinum",AND(P328&gt;=50000,P328&lt;=99999,Q328&gt;=3,V328="Completed"),"Golde",AND(P328&lt;50000,V328="Completed"),"Silver",OR(Q328&lt;=2,V328="Cancelled"),"BlackListed",TRUE,"Other")</f>
        <v>BlackListed</v>
      </c>
    </row>
    <row r="329" spans="1:23" ht="15" thickBot="1" x14ac:dyDescent="0.4">
      <c r="A329" s="30" t="s">
        <v>456</v>
      </c>
      <c r="B329" s="30" t="s">
        <v>124</v>
      </c>
      <c r="C329" s="30" t="s">
        <v>68</v>
      </c>
      <c r="D329" s="31">
        <v>45827</v>
      </c>
      <c r="E329" s="31">
        <v>45836</v>
      </c>
      <c r="F329" s="30" t="s">
        <v>126</v>
      </c>
      <c r="G329" s="30" t="s">
        <v>58</v>
      </c>
      <c r="H329" s="31">
        <v>33821</v>
      </c>
      <c r="I329" s="30" t="s">
        <v>79</v>
      </c>
      <c r="J329" s="30" t="s">
        <v>75</v>
      </c>
      <c r="K329" s="30" t="s">
        <v>29</v>
      </c>
      <c r="L329" s="30" t="s">
        <v>70</v>
      </c>
      <c r="M329" s="30">
        <v>16</v>
      </c>
      <c r="N329" s="30">
        <v>3500</v>
      </c>
      <c r="O329" s="30">
        <v>20</v>
      </c>
      <c r="P329" s="30">
        <v>44800</v>
      </c>
      <c r="Q329" s="30">
        <v>2</v>
      </c>
      <c r="R329" s="30" t="s">
        <v>65</v>
      </c>
      <c r="S329" s="30" t="s">
        <v>32</v>
      </c>
      <c r="T329" s="30" t="s">
        <v>128</v>
      </c>
      <c r="U329" s="30">
        <v>9941274924</v>
      </c>
      <c r="V329" s="38" t="s">
        <v>52</v>
      </c>
      <c r="W329" s="40" t="str" cm="1">
        <f t="array" ref="W329">_xlfn.IFS(AND(P329&gt;=100000,Q329&gt;=4,O329&lt;=0.1,V329="Completed"),"Platinum",AND(P329&gt;=50000,P329&lt;=99999,Q329&gt;=3,V329="Completed"),"Golde",AND(P329&lt;50000,V329="Completed"),"Silver",OR(Q329&lt;=2,V329="Cancelled"),"BlackListed",TRUE,"Other")</f>
        <v>BlackListed</v>
      </c>
    </row>
    <row r="330" spans="1:23" ht="15" thickBot="1" x14ac:dyDescent="0.4">
      <c r="A330" s="27" t="s">
        <v>457</v>
      </c>
      <c r="B330" s="27" t="s">
        <v>104</v>
      </c>
      <c r="C330" s="27" t="s">
        <v>68</v>
      </c>
      <c r="D330" s="28">
        <v>45860</v>
      </c>
      <c r="E330" s="28">
        <v>45870</v>
      </c>
      <c r="F330" s="27" t="s">
        <v>166</v>
      </c>
      <c r="G330" s="27" t="s">
        <v>26</v>
      </c>
      <c r="H330" s="28">
        <v>38349</v>
      </c>
      <c r="I330" s="27" t="s">
        <v>37</v>
      </c>
      <c r="J330" s="27" t="s">
        <v>38</v>
      </c>
      <c r="K330" s="27" t="s">
        <v>29</v>
      </c>
      <c r="L330" s="27" t="s">
        <v>70</v>
      </c>
      <c r="M330" s="27">
        <v>9</v>
      </c>
      <c r="N330" s="27">
        <v>3500</v>
      </c>
      <c r="O330" s="27">
        <v>20</v>
      </c>
      <c r="P330" s="27">
        <v>25200</v>
      </c>
      <c r="Q330" s="27">
        <v>1</v>
      </c>
      <c r="R330" s="27" t="s">
        <v>60</v>
      </c>
      <c r="S330" s="27" t="s">
        <v>42</v>
      </c>
      <c r="T330" s="27" t="s">
        <v>108</v>
      </c>
      <c r="U330" s="27">
        <v>9950650508</v>
      </c>
      <c r="V330" s="37" t="s">
        <v>53</v>
      </c>
      <c r="W330" s="40" t="str" cm="1">
        <f t="array" ref="W330">_xlfn.IFS(AND(P330&gt;=100000,Q330&gt;=4,O330&lt;=0.1,V330="Completed"),"Platinum",AND(P330&gt;=50000,P330&lt;=99999,Q330&gt;=3,V330="Completed"),"Golde",AND(P330&lt;50000,V330="Completed"),"Silver",OR(Q330&lt;=2,V330="Cancelled"),"BlackListed",TRUE,"Other")</f>
        <v>BlackListed</v>
      </c>
    </row>
    <row r="331" spans="1:23" ht="15" thickBot="1" x14ac:dyDescent="0.4">
      <c r="A331" s="30" t="s">
        <v>458</v>
      </c>
      <c r="B331" s="30" t="s">
        <v>87</v>
      </c>
      <c r="C331" s="30" t="s">
        <v>112</v>
      </c>
      <c r="D331" s="31">
        <v>45959</v>
      </c>
      <c r="E331" s="31">
        <v>45960</v>
      </c>
      <c r="F331" s="30" t="s">
        <v>88</v>
      </c>
      <c r="G331" s="30" t="s">
        <v>58</v>
      </c>
      <c r="H331" s="31">
        <v>37628</v>
      </c>
      <c r="I331" s="30" t="s">
        <v>27</v>
      </c>
      <c r="J331" s="30" t="s">
        <v>28</v>
      </c>
      <c r="K331" s="30" t="s">
        <v>39</v>
      </c>
      <c r="L331" s="30" t="s">
        <v>114</v>
      </c>
      <c r="M331" s="30">
        <v>15</v>
      </c>
      <c r="N331" s="30">
        <v>700</v>
      </c>
      <c r="O331" s="30">
        <v>5</v>
      </c>
      <c r="P331" s="30">
        <v>9975</v>
      </c>
      <c r="Q331" s="30">
        <v>1</v>
      </c>
      <c r="R331" s="30" t="s">
        <v>31</v>
      </c>
      <c r="S331" s="30" t="s">
        <v>42</v>
      </c>
      <c r="T331" s="30" t="s">
        <v>89</v>
      </c>
      <c r="U331" s="30">
        <v>9464035549</v>
      </c>
      <c r="V331" s="38" t="s">
        <v>53</v>
      </c>
      <c r="W331" s="40" t="str" cm="1">
        <f t="array" ref="W331">_xlfn.IFS(AND(P331&gt;=100000,Q331&gt;=4,O331&lt;=0.1,V331="Completed"),"Platinum",AND(P331&gt;=50000,P331&lt;=99999,Q331&gt;=3,V331="Completed"),"Golde",AND(P331&lt;50000,V331="Completed"),"Silver",OR(Q331&lt;=2,V331="Cancelled"),"BlackListed",TRUE,"Other")</f>
        <v>BlackListed</v>
      </c>
    </row>
    <row r="332" spans="1:23" ht="15" thickBot="1" x14ac:dyDescent="0.4">
      <c r="A332" s="27" t="s">
        <v>459</v>
      </c>
      <c r="B332" s="27" t="s">
        <v>45</v>
      </c>
      <c r="C332" s="27" t="s">
        <v>56</v>
      </c>
      <c r="D332" s="28">
        <v>46086</v>
      </c>
      <c r="E332" s="28">
        <v>46091</v>
      </c>
      <c r="F332" s="27" t="s">
        <v>101</v>
      </c>
      <c r="G332" s="27" t="s">
        <v>26</v>
      </c>
      <c r="H332" s="28">
        <v>34037</v>
      </c>
      <c r="I332" s="27" t="s">
        <v>91</v>
      </c>
      <c r="J332" s="27" t="s">
        <v>75</v>
      </c>
      <c r="K332" s="27" t="s">
        <v>39</v>
      </c>
      <c r="L332" s="27" t="s">
        <v>59</v>
      </c>
      <c r="M332" s="27">
        <v>13</v>
      </c>
      <c r="N332" s="27">
        <v>1200</v>
      </c>
      <c r="O332" s="27">
        <v>0</v>
      </c>
      <c r="P332" s="27">
        <v>15600</v>
      </c>
      <c r="Q332" s="27">
        <v>3</v>
      </c>
      <c r="R332" s="27" t="s">
        <v>41</v>
      </c>
      <c r="S332" s="27" t="s">
        <v>80</v>
      </c>
      <c r="T332" s="27" t="s">
        <v>51</v>
      </c>
      <c r="U332" s="27">
        <v>9142334315</v>
      </c>
      <c r="V332" s="37" t="s">
        <v>53</v>
      </c>
      <c r="W332" s="40" t="str" cm="1">
        <f t="array" ref="W332">_xlfn.IFS(AND(P332&gt;=100000,Q332&gt;=4,O332&lt;=0.1,V332="Completed"),"Platinum",AND(P332&gt;=50000,P332&lt;=99999,Q332&gt;=3,V332="Completed"),"Golde",AND(P332&lt;50000,V332="Completed"),"Silver",OR(Q332&lt;=2,V332="Cancelled"),"BlackListed",TRUE,"Other")</f>
        <v>BlackListed</v>
      </c>
    </row>
    <row r="333" spans="1:23" ht="15" thickBot="1" x14ac:dyDescent="0.4">
      <c r="A333" s="30" t="s">
        <v>460</v>
      </c>
      <c r="B333" s="30" t="s">
        <v>156</v>
      </c>
      <c r="C333" s="30" t="s">
        <v>36</v>
      </c>
      <c r="D333" s="31">
        <v>45895</v>
      </c>
      <c r="E333" s="31">
        <v>45907</v>
      </c>
      <c r="F333" s="30" t="s">
        <v>106</v>
      </c>
      <c r="G333" s="30" t="s">
        <v>58</v>
      </c>
      <c r="H333" s="31">
        <v>34123</v>
      </c>
      <c r="I333" s="30" t="s">
        <v>37</v>
      </c>
      <c r="J333" s="30" t="s">
        <v>38</v>
      </c>
      <c r="K333" s="30" t="s">
        <v>39</v>
      </c>
      <c r="L333" s="30" t="s">
        <v>40</v>
      </c>
      <c r="M333" s="30">
        <v>5</v>
      </c>
      <c r="N333" s="30">
        <v>12000</v>
      </c>
      <c r="O333" s="30">
        <v>10</v>
      </c>
      <c r="P333" s="30">
        <v>54000</v>
      </c>
      <c r="Q333" s="30">
        <v>3</v>
      </c>
      <c r="R333" s="30" t="s">
        <v>65</v>
      </c>
      <c r="S333" s="30" t="s">
        <v>42</v>
      </c>
      <c r="T333" s="30" t="s">
        <v>158</v>
      </c>
      <c r="U333" s="30">
        <v>9123961962</v>
      </c>
      <c r="V333" s="36" t="s">
        <v>34</v>
      </c>
      <c r="W333" s="40" t="str" cm="1">
        <f t="array" ref="W333">_xlfn.IFS(AND(P333&gt;=100000,Q333&gt;=4,O333&lt;=0.1,V333="Completed"),"Platinum",AND(P333&gt;=50000,P333&lt;=99999,Q333&gt;=3,V333="Completed"),"Golde",AND(P333&lt;50000,V333="Completed"),"Silver",OR(Q333&lt;=2,V333="Cancelled"),"BlackListed",TRUE,"Other")</f>
        <v>Golde</v>
      </c>
    </row>
    <row r="334" spans="1:23" ht="15" thickBot="1" x14ac:dyDescent="0.4">
      <c r="A334" s="27" t="s">
        <v>461</v>
      </c>
      <c r="B334" s="27" t="s">
        <v>45</v>
      </c>
      <c r="C334" s="27" t="s">
        <v>138</v>
      </c>
      <c r="D334" s="28">
        <v>45752</v>
      </c>
      <c r="E334" s="28">
        <v>45755</v>
      </c>
      <c r="F334" s="27" t="s">
        <v>101</v>
      </c>
      <c r="G334" s="27" t="s">
        <v>26</v>
      </c>
      <c r="H334" s="28">
        <v>36504</v>
      </c>
      <c r="I334" s="27" t="s">
        <v>48</v>
      </c>
      <c r="J334" s="27" t="s">
        <v>28</v>
      </c>
      <c r="K334" s="27" t="s">
        <v>83</v>
      </c>
      <c r="L334" s="27" t="s">
        <v>139</v>
      </c>
      <c r="M334" s="27">
        <v>12</v>
      </c>
      <c r="N334" s="27">
        <v>45</v>
      </c>
      <c r="O334" s="27">
        <v>20</v>
      </c>
      <c r="P334" s="27">
        <v>432</v>
      </c>
      <c r="Q334" s="27">
        <v>3</v>
      </c>
      <c r="R334" s="27" t="s">
        <v>41</v>
      </c>
      <c r="S334" s="27" t="s">
        <v>50</v>
      </c>
      <c r="T334" s="27" t="s">
        <v>51</v>
      </c>
      <c r="U334" s="27">
        <v>9741953402</v>
      </c>
      <c r="V334" s="35" t="s">
        <v>34</v>
      </c>
      <c r="W334" s="40" t="str" cm="1">
        <f t="array" ref="W334">_xlfn.IFS(AND(P334&gt;=100000,Q334&gt;=4,O334&lt;=0.1,V334="Completed"),"Platinum",AND(P334&gt;=50000,P334&lt;=99999,Q334&gt;=3,V334="Completed"),"Golde",AND(P334&lt;50000,V334="Completed"),"Silver",OR(Q334&lt;=2,V334="Cancelled"),"BlackListed",TRUE,"Other")</f>
        <v>Silver</v>
      </c>
    </row>
    <row r="335" spans="1:23" ht="15" thickBot="1" x14ac:dyDescent="0.4">
      <c r="A335" s="30" t="s">
        <v>462</v>
      </c>
      <c r="B335" s="30" t="s">
        <v>23</v>
      </c>
      <c r="C335" s="30" t="s">
        <v>68</v>
      </c>
      <c r="D335" s="31">
        <v>45756</v>
      </c>
      <c r="E335" s="31">
        <v>45761</v>
      </c>
      <c r="F335" s="30" t="s">
        <v>25</v>
      </c>
      <c r="G335" s="30" t="s">
        <v>26</v>
      </c>
      <c r="H335" s="31">
        <v>27917</v>
      </c>
      <c r="I335" s="30" t="s">
        <v>48</v>
      </c>
      <c r="J335" s="30" t="s">
        <v>28</v>
      </c>
      <c r="K335" s="30" t="s">
        <v>29</v>
      </c>
      <c r="L335" s="30" t="s">
        <v>70</v>
      </c>
      <c r="M335" s="30">
        <v>2</v>
      </c>
      <c r="N335" s="30">
        <v>3500</v>
      </c>
      <c r="O335" s="30">
        <v>0</v>
      </c>
      <c r="P335" s="30">
        <v>7000</v>
      </c>
      <c r="Q335" s="30">
        <v>1</v>
      </c>
      <c r="R335" s="30" t="s">
        <v>41</v>
      </c>
      <c r="S335" s="30" t="s">
        <v>80</v>
      </c>
      <c r="T335" s="30" t="s">
        <v>43</v>
      </c>
      <c r="U335" s="30">
        <v>9404733633</v>
      </c>
      <c r="V335" s="38" t="s">
        <v>52</v>
      </c>
      <c r="W335" s="40" t="str" cm="1">
        <f t="array" ref="W335">_xlfn.IFS(AND(P335&gt;=100000,Q335&gt;=4,O335&lt;=0.1,V335="Completed"),"Platinum",AND(P335&gt;=50000,P335&lt;=99999,Q335&gt;=3,V335="Completed"),"Golde",AND(P335&lt;50000,V335="Completed"),"Silver",OR(Q335&lt;=2,V335="Cancelled"),"BlackListed",TRUE,"Other")</f>
        <v>BlackListed</v>
      </c>
    </row>
    <row r="336" spans="1:23" ht="15" thickBot="1" x14ac:dyDescent="0.4">
      <c r="A336" s="27" t="s">
        <v>463</v>
      </c>
      <c r="B336" s="27" t="s">
        <v>23</v>
      </c>
      <c r="C336" s="27" t="s">
        <v>24</v>
      </c>
      <c r="D336" s="28">
        <v>46155</v>
      </c>
      <c r="E336" s="28">
        <v>46158</v>
      </c>
      <c r="F336" s="27" t="s">
        <v>25</v>
      </c>
      <c r="G336" s="27" t="s">
        <v>26</v>
      </c>
      <c r="H336" s="28">
        <v>30982</v>
      </c>
      <c r="I336" s="27" t="s">
        <v>79</v>
      </c>
      <c r="J336" s="27" t="s">
        <v>75</v>
      </c>
      <c r="K336" s="27" t="s">
        <v>29</v>
      </c>
      <c r="L336" s="27" t="s">
        <v>30</v>
      </c>
      <c r="M336" s="27">
        <v>15</v>
      </c>
      <c r="N336" s="27">
        <v>2200</v>
      </c>
      <c r="O336" s="27">
        <v>15</v>
      </c>
      <c r="P336" s="27">
        <v>28050</v>
      </c>
      <c r="Q336" s="27">
        <v>2</v>
      </c>
      <c r="R336" s="27" t="s">
        <v>41</v>
      </c>
      <c r="S336" s="27" t="s">
        <v>42</v>
      </c>
      <c r="T336" s="27" t="s">
        <v>43</v>
      </c>
      <c r="U336" s="27">
        <v>9297492337</v>
      </c>
      <c r="V336" s="37" t="s">
        <v>52</v>
      </c>
      <c r="W336" s="40" t="str" cm="1">
        <f t="array" ref="W336">_xlfn.IFS(AND(P336&gt;=100000,Q336&gt;=4,O336&lt;=0.1,V336="Completed"),"Platinum",AND(P336&gt;=50000,P336&lt;=99999,Q336&gt;=3,V336="Completed"),"Golde",AND(P336&lt;50000,V336="Completed"),"Silver",OR(Q336&lt;=2,V336="Cancelled"),"BlackListed",TRUE,"Other")</f>
        <v>BlackListed</v>
      </c>
    </row>
    <row r="337" spans="1:23" ht="15" thickBot="1" x14ac:dyDescent="0.4">
      <c r="A337" s="30" t="s">
        <v>464</v>
      </c>
      <c r="B337" s="30" t="s">
        <v>72</v>
      </c>
      <c r="C337" s="30" t="s">
        <v>125</v>
      </c>
      <c r="D337" s="31">
        <v>45995</v>
      </c>
      <c r="E337" s="31">
        <v>46003</v>
      </c>
      <c r="F337" s="30" t="s">
        <v>73</v>
      </c>
      <c r="G337" s="30" t="s">
        <v>26</v>
      </c>
      <c r="H337" s="31">
        <v>27453</v>
      </c>
      <c r="I337" s="30" t="s">
        <v>91</v>
      </c>
      <c r="J337" s="30" t="s">
        <v>75</v>
      </c>
      <c r="K337" s="30" t="s">
        <v>83</v>
      </c>
      <c r="L337" s="30" t="s">
        <v>127</v>
      </c>
      <c r="M337" s="30">
        <v>8</v>
      </c>
      <c r="N337" s="30">
        <v>20</v>
      </c>
      <c r="O337" s="30">
        <v>20</v>
      </c>
      <c r="P337" s="30">
        <v>128</v>
      </c>
      <c r="Q337" s="30">
        <v>5</v>
      </c>
      <c r="R337" s="30" t="s">
        <v>65</v>
      </c>
      <c r="S337" s="30" t="s">
        <v>42</v>
      </c>
      <c r="T337" s="30" t="s">
        <v>93</v>
      </c>
      <c r="U337" s="30">
        <v>9350338928</v>
      </c>
      <c r="V337" s="36" t="s">
        <v>34</v>
      </c>
      <c r="W337" s="40" t="str" cm="1">
        <f t="array" ref="W337">_xlfn.IFS(AND(P337&gt;=100000,Q337&gt;=4,O337&lt;=0.1,V337="Completed"),"Platinum",AND(P337&gt;=50000,P337&lt;=99999,Q337&gt;=3,V337="Completed"),"Golde",AND(P337&lt;50000,V337="Completed"),"Silver",OR(Q337&lt;=2,V337="Cancelled"),"BlackListed",TRUE,"Other")</f>
        <v>Silver</v>
      </c>
    </row>
    <row r="338" spans="1:23" ht="15" thickBot="1" x14ac:dyDescent="0.4">
      <c r="A338" s="27" t="s">
        <v>465</v>
      </c>
      <c r="B338" s="27" t="s">
        <v>87</v>
      </c>
      <c r="C338" s="27" t="s">
        <v>125</v>
      </c>
      <c r="D338" s="28">
        <v>46089</v>
      </c>
      <c r="E338" s="28">
        <v>46091</v>
      </c>
      <c r="F338" s="27" t="s">
        <v>88</v>
      </c>
      <c r="G338" s="27" t="s">
        <v>58</v>
      </c>
      <c r="H338" s="28">
        <v>34261</v>
      </c>
      <c r="I338" s="27" t="s">
        <v>27</v>
      </c>
      <c r="J338" s="27" t="s">
        <v>28</v>
      </c>
      <c r="K338" s="27" t="s">
        <v>83</v>
      </c>
      <c r="L338" s="27" t="s">
        <v>127</v>
      </c>
      <c r="M338" s="27">
        <v>1</v>
      </c>
      <c r="N338" s="27">
        <v>20</v>
      </c>
      <c r="O338" s="27">
        <v>0</v>
      </c>
      <c r="P338" s="27">
        <v>20</v>
      </c>
      <c r="Q338" s="27">
        <v>3</v>
      </c>
      <c r="R338" s="27" t="s">
        <v>65</v>
      </c>
      <c r="S338" s="27" t="s">
        <v>32</v>
      </c>
      <c r="T338" s="27" t="s">
        <v>89</v>
      </c>
      <c r="U338" s="27">
        <v>9933894798</v>
      </c>
      <c r="V338" s="35" t="s">
        <v>34</v>
      </c>
      <c r="W338" s="40" t="str" cm="1">
        <f t="array" ref="W338">_xlfn.IFS(AND(P338&gt;=100000,Q338&gt;=4,O338&lt;=0.1,V338="Completed"),"Platinum",AND(P338&gt;=50000,P338&lt;=99999,Q338&gt;=3,V338="Completed"),"Golde",AND(P338&lt;50000,V338="Completed"),"Silver",OR(Q338&lt;=2,V338="Cancelled"),"BlackListed",TRUE,"Other")</f>
        <v>Silver</v>
      </c>
    </row>
    <row r="339" spans="1:23" ht="15" thickBot="1" x14ac:dyDescent="0.4">
      <c r="A339" s="30" t="s">
        <v>466</v>
      </c>
      <c r="B339" s="30" t="s">
        <v>23</v>
      </c>
      <c r="C339" s="30" t="s">
        <v>112</v>
      </c>
      <c r="D339" s="31">
        <v>46027</v>
      </c>
      <c r="E339" s="31">
        <v>46038</v>
      </c>
      <c r="F339" s="30" t="s">
        <v>25</v>
      </c>
      <c r="G339" s="30" t="s">
        <v>26</v>
      </c>
      <c r="H339" s="31">
        <v>30614</v>
      </c>
      <c r="I339" s="30" t="s">
        <v>121</v>
      </c>
      <c r="J339" s="30" t="s">
        <v>38</v>
      </c>
      <c r="K339" s="30" t="s">
        <v>39</v>
      </c>
      <c r="L339" s="30" t="s">
        <v>114</v>
      </c>
      <c r="M339" s="30">
        <v>15</v>
      </c>
      <c r="N339" s="30">
        <v>700</v>
      </c>
      <c r="O339" s="30">
        <v>0</v>
      </c>
      <c r="P339" s="30">
        <v>10500</v>
      </c>
      <c r="Q339" s="30">
        <v>2</v>
      </c>
      <c r="R339" s="30" t="s">
        <v>65</v>
      </c>
      <c r="S339" s="30" t="s">
        <v>42</v>
      </c>
      <c r="T339" s="30" t="s">
        <v>43</v>
      </c>
      <c r="U339" s="30">
        <v>9705218824</v>
      </c>
      <c r="V339" s="36" t="s">
        <v>34</v>
      </c>
      <c r="W339" s="40" t="str" cm="1">
        <f t="array" ref="W339">_xlfn.IFS(AND(P339&gt;=100000,Q339&gt;=4,O339&lt;=0.1,V339="Completed"),"Platinum",AND(P339&gt;=50000,P339&lt;=99999,Q339&gt;=3,V339="Completed"),"Golde",AND(P339&lt;50000,V339="Completed"),"Silver",OR(Q339&lt;=2,V339="Cancelled"),"BlackListed",TRUE,"Other")</f>
        <v>Silver</v>
      </c>
    </row>
    <row r="340" spans="1:23" ht="15" thickBot="1" x14ac:dyDescent="0.4">
      <c r="A340" s="27" t="s">
        <v>467</v>
      </c>
      <c r="B340" s="27" t="s">
        <v>156</v>
      </c>
      <c r="C340" s="27" t="s">
        <v>68</v>
      </c>
      <c r="D340" s="28">
        <v>45695</v>
      </c>
      <c r="E340" s="28">
        <v>45698</v>
      </c>
      <c r="F340" s="27" t="s">
        <v>106</v>
      </c>
      <c r="G340" s="27" t="s">
        <v>58</v>
      </c>
      <c r="H340" s="28">
        <v>30324</v>
      </c>
      <c r="I340" s="27" t="s">
        <v>27</v>
      </c>
      <c r="J340" s="27" t="s">
        <v>28</v>
      </c>
      <c r="K340" s="27" t="s">
        <v>29</v>
      </c>
      <c r="L340" s="27" t="s">
        <v>70</v>
      </c>
      <c r="M340" s="27">
        <v>15</v>
      </c>
      <c r="N340" s="27">
        <v>3500</v>
      </c>
      <c r="O340" s="27">
        <v>10</v>
      </c>
      <c r="P340" s="27">
        <v>47250</v>
      </c>
      <c r="Q340" s="27">
        <v>3</v>
      </c>
      <c r="R340" s="27" t="s">
        <v>31</v>
      </c>
      <c r="S340" s="27" t="s">
        <v>96</v>
      </c>
      <c r="T340" s="27" t="s">
        <v>158</v>
      </c>
      <c r="U340" s="27">
        <v>9229164453</v>
      </c>
      <c r="V340" s="37" t="s">
        <v>52</v>
      </c>
      <c r="W340" s="40" t="str" cm="1">
        <f t="array" ref="W340">_xlfn.IFS(AND(P340&gt;=100000,Q340&gt;=4,O340&lt;=0.1,V340="Completed"),"Platinum",AND(P340&gt;=50000,P340&lt;=99999,Q340&gt;=3,V340="Completed"),"Golde",AND(P340&lt;50000,V340="Completed"),"Silver",OR(Q340&lt;=2,V340="Cancelled"),"BlackListed",TRUE,"Other")</f>
        <v>Other</v>
      </c>
    </row>
    <row r="341" spans="1:23" ht="15" thickBot="1" x14ac:dyDescent="0.4">
      <c r="A341" s="30" t="s">
        <v>468</v>
      </c>
      <c r="B341" s="30" t="s">
        <v>23</v>
      </c>
      <c r="C341" s="30" t="s">
        <v>82</v>
      </c>
      <c r="D341" s="31">
        <v>45866</v>
      </c>
      <c r="E341" s="31">
        <v>45876</v>
      </c>
      <c r="F341" s="30" t="s">
        <v>25</v>
      </c>
      <c r="G341" s="30" t="s">
        <v>26</v>
      </c>
      <c r="H341" s="31">
        <v>30664</v>
      </c>
      <c r="I341" s="30" t="s">
        <v>147</v>
      </c>
      <c r="J341" s="30" t="s">
        <v>148</v>
      </c>
      <c r="K341" s="30" t="s">
        <v>83</v>
      </c>
      <c r="L341" s="30" t="s">
        <v>84</v>
      </c>
      <c r="M341" s="30">
        <v>16</v>
      </c>
      <c r="N341" s="30">
        <v>60</v>
      </c>
      <c r="O341" s="30">
        <v>10</v>
      </c>
      <c r="P341" s="30">
        <v>864</v>
      </c>
      <c r="Q341" s="30">
        <v>4</v>
      </c>
      <c r="R341" s="30" t="s">
        <v>60</v>
      </c>
      <c r="S341" s="30" t="s">
        <v>50</v>
      </c>
      <c r="T341" s="30" t="s">
        <v>43</v>
      </c>
      <c r="U341" s="30">
        <v>9219806176</v>
      </c>
      <c r="V341" s="36" t="s">
        <v>34</v>
      </c>
      <c r="W341" s="40" t="str" cm="1">
        <f t="array" ref="W341">_xlfn.IFS(AND(P341&gt;=100000,Q341&gt;=4,O341&lt;=0.1,V341="Completed"),"Platinum",AND(P341&gt;=50000,P341&lt;=99999,Q341&gt;=3,V341="Completed"),"Golde",AND(P341&lt;50000,V341="Completed"),"Silver",OR(Q341&lt;=2,V341="Cancelled"),"BlackListed",TRUE,"Other")</f>
        <v>Silver</v>
      </c>
    </row>
    <row r="342" spans="1:23" ht="15" thickBot="1" x14ac:dyDescent="0.4">
      <c r="A342" s="27" t="s">
        <v>469</v>
      </c>
      <c r="B342" s="27" t="s">
        <v>87</v>
      </c>
      <c r="C342" s="27" t="s">
        <v>138</v>
      </c>
      <c r="D342" s="28">
        <v>45945</v>
      </c>
      <c r="E342" s="28">
        <v>45951</v>
      </c>
      <c r="F342" s="27" t="s">
        <v>88</v>
      </c>
      <c r="G342" s="27" t="s">
        <v>58</v>
      </c>
      <c r="H342" s="28">
        <v>30585</v>
      </c>
      <c r="I342" s="27" t="s">
        <v>37</v>
      </c>
      <c r="J342" s="27" t="s">
        <v>38</v>
      </c>
      <c r="K342" s="27" t="s">
        <v>83</v>
      </c>
      <c r="L342" s="27" t="s">
        <v>139</v>
      </c>
      <c r="M342" s="27">
        <v>2</v>
      </c>
      <c r="N342" s="27">
        <v>45</v>
      </c>
      <c r="O342" s="27">
        <v>15</v>
      </c>
      <c r="P342" s="27">
        <v>76.5</v>
      </c>
      <c r="Q342" s="27">
        <v>1</v>
      </c>
      <c r="R342" s="27" t="s">
        <v>65</v>
      </c>
      <c r="S342" s="27" t="s">
        <v>96</v>
      </c>
      <c r="T342" s="27" t="s">
        <v>89</v>
      </c>
      <c r="U342" s="27">
        <v>9630210250</v>
      </c>
      <c r="V342" s="37" t="s">
        <v>53</v>
      </c>
      <c r="W342" s="40" t="str" cm="1">
        <f t="array" ref="W342">_xlfn.IFS(AND(P342&gt;=100000,Q342&gt;=4,O342&lt;=0.1,V342="Completed"),"Platinum",AND(P342&gt;=50000,P342&lt;=99999,Q342&gt;=3,V342="Completed"),"Golde",AND(P342&lt;50000,V342="Completed"),"Silver",OR(Q342&lt;=2,V342="Cancelled"),"BlackListed",TRUE,"Other")</f>
        <v>BlackListed</v>
      </c>
    </row>
    <row r="343" spans="1:23" ht="15" thickBot="1" x14ac:dyDescent="0.4">
      <c r="A343" s="30" t="s">
        <v>470</v>
      </c>
      <c r="B343" s="30" t="s">
        <v>104</v>
      </c>
      <c r="C343" s="30" t="s">
        <v>82</v>
      </c>
      <c r="D343" s="31">
        <v>45997</v>
      </c>
      <c r="E343" s="31">
        <v>46006</v>
      </c>
      <c r="F343" s="30" t="s">
        <v>166</v>
      </c>
      <c r="G343" s="30" t="s">
        <v>26</v>
      </c>
      <c r="H343" s="31">
        <v>27537</v>
      </c>
      <c r="I343" s="30" t="s">
        <v>37</v>
      </c>
      <c r="J343" s="30" t="s">
        <v>38</v>
      </c>
      <c r="K343" s="30" t="s">
        <v>83</v>
      </c>
      <c r="L343" s="30" t="s">
        <v>84</v>
      </c>
      <c r="M343" s="30">
        <v>13</v>
      </c>
      <c r="N343" s="30">
        <v>60</v>
      </c>
      <c r="O343" s="30">
        <v>15</v>
      </c>
      <c r="P343" s="30">
        <v>663</v>
      </c>
      <c r="Q343" s="30">
        <v>2</v>
      </c>
      <c r="R343" s="30" t="s">
        <v>41</v>
      </c>
      <c r="S343" s="30" t="s">
        <v>50</v>
      </c>
      <c r="T343" s="30" t="s">
        <v>108</v>
      </c>
      <c r="U343" s="30">
        <v>9583354052</v>
      </c>
      <c r="V343" s="38" t="s">
        <v>53</v>
      </c>
      <c r="W343" s="40" t="str" cm="1">
        <f t="array" ref="W343">_xlfn.IFS(AND(P343&gt;=100000,Q343&gt;=4,O343&lt;=0.1,V343="Completed"),"Platinum",AND(P343&gt;=50000,P343&lt;=99999,Q343&gt;=3,V343="Completed"),"Golde",AND(P343&lt;50000,V343="Completed"),"Silver",OR(Q343&lt;=2,V343="Cancelled"),"BlackListed",TRUE,"Other")</f>
        <v>BlackListed</v>
      </c>
    </row>
    <row r="344" spans="1:23" ht="15" thickBot="1" x14ac:dyDescent="0.4">
      <c r="A344" s="27" t="s">
        <v>471</v>
      </c>
      <c r="B344" s="27" t="s">
        <v>63</v>
      </c>
      <c r="C344" s="27" t="s">
        <v>36</v>
      </c>
      <c r="D344" s="28">
        <v>45797</v>
      </c>
      <c r="E344" s="28">
        <v>45799</v>
      </c>
      <c r="F344" s="27" t="s">
        <v>110</v>
      </c>
      <c r="G344" s="27" t="s">
        <v>58</v>
      </c>
      <c r="H344" s="28">
        <v>34647</v>
      </c>
      <c r="I344" s="27" t="s">
        <v>37</v>
      </c>
      <c r="J344" s="27" t="s">
        <v>38</v>
      </c>
      <c r="K344" s="27" t="s">
        <v>39</v>
      </c>
      <c r="L344" s="27" t="s">
        <v>40</v>
      </c>
      <c r="M344" s="27">
        <v>15</v>
      </c>
      <c r="N344" s="27">
        <v>12000</v>
      </c>
      <c r="O344" s="27">
        <v>20</v>
      </c>
      <c r="P344" s="27">
        <v>144000</v>
      </c>
      <c r="Q344" s="27">
        <v>3</v>
      </c>
      <c r="R344" s="27" t="s">
        <v>60</v>
      </c>
      <c r="S344" s="27" t="s">
        <v>32</v>
      </c>
      <c r="T344" s="27" t="s">
        <v>66</v>
      </c>
      <c r="U344" s="27">
        <v>9242534507</v>
      </c>
      <c r="V344" s="37" t="s">
        <v>53</v>
      </c>
      <c r="W344" s="40" t="str" cm="1">
        <f t="array" ref="W344">_xlfn.IFS(AND(P344&gt;=100000,Q344&gt;=4,O344&lt;=0.1,V344="Completed"),"Platinum",AND(P344&gt;=50000,P344&lt;=99999,Q344&gt;=3,V344="Completed"),"Golde",AND(P344&lt;50000,V344="Completed"),"Silver",OR(Q344&lt;=2,V344="Cancelled"),"BlackListed",TRUE,"Other")</f>
        <v>BlackListed</v>
      </c>
    </row>
    <row r="345" spans="1:23" ht="15" thickBot="1" x14ac:dyDescent="0.4">
      <c r="A345" s="30" t="s">
        <v>472</v>
      </c>
      <c r="B345" s="30" t="s">
        <v>156</v>
      </c>
      <c r="C345" s="30" t="s">
        <v>125</v>
      </c>
      <c r="D345" s="31">
        <v>45863</v>
      </c>
      <c r="E345" s="31">
        <v>45871</v>
      </c>
      <c r="F345" s="30" t="s">
        <v>106</v>
      </c>
      <c r="G345" s="30" t="s">
        <v>58</v>
      </c>
      <c r="H345" s="31">
        <v>32128</v>
      </c>
      <c r="I345" s="30" t="s">
        <v>37</v>
      </c>
      <c r="J345" s="30" t="s">
        <v>38</v>
      </c>
      <c r="K345" s="30" t="s">
        <v>83</v>
      </c>
      <c r="L345" s="30" t="s">
        <v>127</v>
      </c>
      <c r="M345" s="30">
        <v>2</v>
      </c>
      <c r="N345" s="30">
        <v>20</v>
      </c>
      <c r="O345" s="30">
        <v>20</v>
      </c>
      <c r="P345" s="30">
        <v>32</v>
      </c>
      <c r="Q345" s="30">
        <v>4</v>
      </c>
      <c r="R345" s="30" t="s">
        <v>31</v>
      </c>
      <c r="S345" s="30" t="s">
        <v>32</v>
      </c>
      <c r="T345" s="30" t="s">
        <v>158</v>
      </c>
      <c r="U345" s="30">
        <v>9291239150</v>
      </c>
      <c r="V345" s="38" t="s">
        <v>52</v>
      </c>
      <c r="W345" s="40" t="str" cm="1">
        <f t="array" ref="W345">_xlfn.IFS(AND(P345&gt;=100000,Q345&gt;=4,O345&lt;=0.1,V345="Completed"),"Platinum",AND(P345&gt;=50000,P345&lt;=99999,Q345&gt;=3,V345="Completed"),"Golde",AND(P345&lt;50000,V345="Completed"),"Silver",OR(Q345&lt;=2,V345="Cancelled"),"BlackListed",TRUE,"Other")</f>
        <v>Other</v>
      </c>
    </row>
    <row r="346" spans="1:23" ht="15" thickBot="1" x14ac:dyDescent="0.4">
      <c r="A346" s="27" t="s">
        <v>473</v>
      </c>
      <c r="B346" s="27" t="s">
        <v>87</v>
      </c>
      <c r="C346" s="27" t="s">
        <v>68</v>
      </c>
      <c r="D346" s="28">
        <v>45874</v>
      </c>
      <c r="E346" s="28">
        <v>45886</v>
      </c>
      <c r="F346" s="27" t="s">
        <v>88</v>
      </c>
      <c r="G346" s="27" t="s">
        <v>58</v>
      </c>
      <c r="H346" s="28">
        <v>27564</v>
      </c>
      <c r="I346" s="27" t="s">
        <v>48</v>
      </c>
      <c r="J346" s="27" t="s">
        <v>28</v>
      </c>
      <c r="K346" s="27" t="s">
        <v>29</v>
      </c>
      <c r="L346" s="27" t="s">
        <v>70</v>
      </c>
      <c r="M346" s="27">
        <v>16</v>
      </c>
      <c r="N346" s="27">
        <v>3500</v>
      </c>
      <c r="O346" s="27">
        <v>0</v>
      </c>
      <c r="P346" s="27">
        <v>56000</v>
      </c>
      <c r="Q346" s="27">
        <v>4</v>
      </c>
      <c r="R346" s="27" t="s">
        <v>31</v>
      </c>
      <c r="S346" s="27" t="s">
        <v>80</v>
      </c>
      <c r="T346" s="27" t="s">
        <v>89</v>
      </c>
      <c r="U346" s="27">
        <v>9550820904</v>
      </c>
      <c r="V346" s="35" t="s">
        <v>34</v>
      </c>
      <c r="W346" s="40" t="str" cm="1">
        <f t="array" ref="W346">_xlfn.IFS(AND(P346&gt;=100000,Q346&gt;=4,O346&lt;=0.1,V346="Completed"),"Platinum",AND(P346&gt;=50000,P346&lt;=99999,Q346&gt;=3,V346="Completed"),"Golde",AND(P346&lt;50000,V346="Completed"),"Silver",OR(Q346&lt;=2,V346="Cancelled"),"BlackListed",TRUE,"Other")</f>
        <v>Golde</v>
      </c>
    </row>
    <row r="347" spans="1:23" ht="15" thickBot="1" x14ac:dyDescent="0.4">
      <c r="A347" s="30" t="s">
        <v>474</v>
      </c>
      <c r="B347" s="30" t="s">
        <v>45</v>
      </c>
      <c r="C347" s="30" t="s">
        <v>68</v>
      </c>
      <c r="D347" s="31">
        <v>46071</v>
      </c>
      <c r="E347" s="31">
        <v>46078</v>
      </c>
      <c r="F347" s="30" t="s">
        <v>101</v>
      </c>
      <c r="G347" s="30" t="s">
        <v>26</v>
      </c>
      <c r="H347" s="31">
        <v>28134</v>
      </c>
      <c r="I347" s="30" t="s">
        <v>91</v>
      </c>
      <c r="J347" s="30" t="s">
        <v>75</v>
      </c>
      <c r="K347" s="30" t="s">
        <v>29</v>
      </c>
      <c r="L347" s="30" t="s">
        <v>70</v>
      </c>
      <c r="M347" s="30">
        <v>18</v>
      </c>
      <c r="N347" s="30">
        <v>3500</v>
      </c>
      <c r="O347" s="30">
        <v>15</v>
      </c>
      <c r="P347" s="30">
        <v>53550</v>
      </c>
      <c r="Q347" s="30">
        <v>5</v>
      </c>
      <c r="R347" s="30" t="s">
        <v>31</v>
      </c>
      <c r="S347" s="30" t="s">
        <v>96</v>
      </c>
      <c r="T347" s="30" t="s">
        <v>51</v>
      </c>
      <c r="U347" s="30">
        <v>9294486423</v>
      </c>
      <c r="V347" s="38" t="s">
        <v>53</v>
      </c>
      <c r="W347" s="40" t="str" cm="1">
        <f t="array" ref="W347">_xlfn.IFS(AND(P347&gt;=100000,Q347&gt;=4,O347&lt;=0.1,V347="Completed"),"Platinum",AND(P347&gt;=50000,P347&lt;=99999,Q347&gt;=3,V347="Completed"),"Golde",AND(P347&lt;50000,V347="Completed"),"Silver",OR(Q347&lt;=2,V347="Cancelled"),"BlackListed",TRUE,"Other")</f>
        <v>BlackListed</v>
      </c>
    </row>
    <row r="348" spans="1:23" ht="15" thickBot="1" x14ac:dyDescent="0.4">
      <c r="A348" s="27" t="s">
        <v>475</v>
      </c>
      <c r="B348" s="27" t="s">
        <v>23</v>
      </c>
      <c r="C348" s="27" t="s">
        <v>138</v>
      </c>
      <c r="D348" s="28">
        <v>46102</v>
      </c>
      <c r="E348" s="28">
        <v>46107</v>
      </c>
      <c r="F348" s="27" t="s">
        <v>25</v>
      </c>
      <c r="G348" s="27" t="s">
        <v>26</v>
      </c>
      <c r="H348" s="28">
        <v>34232</v>
      </c>
      <c r="I348" s="27" t="s">
        <v>91</v>
      </c>
      <c r="J348" s="27" t="s">
        <v>75</v>
      </c>
      <c r="K348" s="27" t="s">
        <v>83</v>
      </c>
      <c r="L348" s="27" t="s">
        <v>139</v>
      </c>
      <c r="M348" s="27">
        <v>20</v>
      </c>
      <c r="N348" s="27">
        <v>45</v>
      </c>
      <c r="O348" s="27">
        <v>15</v>
      </c>
      <c r="P348" s="27">
        <v>765</v>
      </c>
      <c r="Q348" s="27">
        <v>4</v>
      </c>
      <c r="R348" s="27" t="s">
        <v>31</v>
      </c>
      <c r="S348" s="27" t="s">
        <v>96</v>
      </c>
      <c r="T348" s="27" t="s">
        <v>43</v>
      </c>
      <c r="U348" s="27">
        <v>9260258621</v>
      </c>
      <c r="V348" s="37" t="s">
        <v>53</v>
      </c>
      <c r="W348" s="40" t="str" cm="1">
        <f t="array" ref="W348">_xlfn.IFS(AND(P348&gt;=100000,Q348&gt;=4,O348&lt;=0.1,V348="Completed"),"Platinum",AND(P348&gt;=50000,P348&lt;=99999,Q348&gt;=3,V348="Completed"),"Golde",AND(P348&lt;50000,V348="Completed"),"Silver",OR(Q348&lt;=2,V348="Cancelled"),"BlackListed",TRUE,"Other")</f>
        <v>BlackListed</v>
      </c>
    </row>
    <row r="349" spans="1:23" ht="15" thickBot="1" x14ac:dyDescent="0.4">
      <c r="A349" s="30" t="s">
        <v>476</v>
      </c>
      <c r="B349" s="30" t="s">
        <v>134</v>
      </c>
      <c r="C349" s="30" t="s">
        <v>24</v>
      </c>
      <c r="D349" s="31">
        <v>46128</v>
      </c>
      <c r="E349" s="31">
        <v>46131</v>
      </c>
      <c r="F349" s="30" t="s">
        <v>135</v>
      </c>
      <c r="G349" s="30" t="s">
        <v>26</v>
      </c>
      <c r="H349" s="31">
        <v>35494</v>
      </c>
      <c r="I349" s="30" t="s">
        <v>37</v>
      </c>
      <c r="J349" s="30" t="s">
        <v>38</v>
      </c>
      <c r="K349" s="30" t="s">
        <v>29</v>
      </c>
      <c r="L349" s="30" t="s">
        <v>30</v>
      </c>
      <c r="M349" s="30">
        <v>13</v>
      </c>
      <c r="N349" s="30">
        <v>2200</v>
      </c>
      <c r="O349" s="30">
        <v>15</v>
      </c>
      <c r="P349" s="30">
        <v>24310</v>
      </c>
      <c r="Q349" s="30">
        <v>2</v>
      </c>
      <c r="R349" s="30" t="s">
        <v>41</v>
      </c>
      <c r="S349" s="30" t="s">
        <v>80</v>
      </c>
      <c r="T349" s="30" t="s">
        <v>136</v>
      </c>
      <c r="U349" s="30">
        <v>9697433584</v>
      </c>
      <c r="V349" s="38" t="s">
        <v>52</v>
      </c>
      <c r="W349" s="40" t="str" cm="1">
        <f t="array" ref="W349">_xlfn.IFS(AND(P349&gt;=100000,Q349&gt;=4,O349&lt;=0.1,V349="Completed"),"Platinum",AND(P349&gt;=50000,P349&lt;=99999,Q349&gt;=3,V349="Completed"),"Golde",AND(P349&lt;50000,V349="Completed"),"Silver",OR(Q349&lt;=2,V349="Cancelled"),"BlackListed",TRUE,"Other")</f>
        <v>BlackListed</v>
      </c>
    </row>
    <row r="350" spans="1:23" ht="15" thickBot="1" x14ac:dyDescent="0.4">
      <c r="A350" s="27" t="s">
        <v>477</v>
      </c>
      <c r="B350" s="27" t="s">
        <v>45</v>
      </c>
      <c r="C350" s="27" t="s">
        <v>478</v>
      </c>
      <c r="D350" s="28">
        <v>45943</v>
      </c>
      <c r="E350" s="28">
        <v>45944</v>
      </c>
      <c r="F350" s="27" t="s">
        <v>101</v>
      </c>
      <c r="G350" s="27" t="s">
        <v>26</v>
      </c>
      <c r="H350" s="28">
        <v>37447</v>
      </c>
      <c r="I350" s="27" t="s">
        <v>147</v>
      </c>
      <c r="J350" s="27" t="s">
        <v>148</v>
      </c>
      <c r="K350" s="27" t="s">
        <v>29</v>
      </c>
      <c r="L350" s="27" t="s">
        <v>107</v>
      </c>
      <c r="M350" s="27">
        <v>11</v>
      </c>
      <c r="N350" s="27">
        <v>8500</v>
      </c>
      <c r="O350" s="27">
        <v>5</v>
      </c>
      <c r="P350" s="27">
        <v>88825</v>
      </c>
      <c r="Q350" s="27">
        <v>1</v>
      </c>
      <c r="R350" s="27" t="s">
        <v>65</v>
      </c>
      <c r="S350" s="27" t="s">
        <v>80</v>
      </c>
      <c r="T350" s="27" t="s">
        <v>51</v>
      </c>
      <c r="U350" s="27">
        <v>9837969758</v>
      </c>
      <c r="V350" s="37" t="s">
        <v>53</v>
      </c>
      <c r="W350" s="40" t="str" cm="1">
        <f t="array" ref="W350">_xlfn.IFS(AND(P350&gt;=100000,Q350&gt;=4,O350&lt;=0.1,V350="Completed"),"Platinum",AND(P350&gt;=50000,P350&lt;=99999,Q350&gt;=3,V350="Completed"),"Golde",AND(P350&lt;50000,V350="Completed"),"Silver",OR(Q350&lt;=2,V350="Cancelled"),"BlackListed",TRUE,"Other")</f>
        <v>BlackListed</v>
      </c>
    </row>
    <row r="351" spans="1:23" ht="15" thickBot="1" x14ac:dyDescent="0.4">
      <c r="A351" s="30" t="s">
        <v>479</v>
      </c>
      <c r="B351" s="30" t="s">
        <v>45</v>
      </c>
      <c r="C351" s="30" t="s">
        <v>24</v>
      </c>
      <c r="D351" s="31">
        <v>45996</v>
      </c>
      <c r="E351" s="31">
        <v>46001</v>
      </c>
      <c r="F351" s="30" t="s">
        <v>101</v>
      </c>
      <c r="G351" s="30" t="s">
        <v>26</v>
      </c>
      <c r="H351" s="31">
        <v>30790</v>
      </c>
      <c r="I351" s="30" t="s">
        <v>121</v>
      </c>
      <c r="J351" s="30" t="s">
        <v>38</v>
      </c>
      <c r="K351" s="30" t="s">
        <v>29</v>
      </c>
      <c r="L351" s="30" t="s">
        <v>30</v>
      </c>
      <c r="M351" s="30">
        <v>2</v>
      </c>
      <c r="N351" s="30">
        <v>2200</v>
      </c>
      <c r="O351" s="30">
        <v>0</v>
      </c>
      <c r="P351" s="30">
        <v>4400</v>
      </c>
      <c r="Q351" s="30">
        <v>4</v>
      </c>
      <c r="R351" s="30" t="s">
        <v>65</v>
      </c>
      <c r="S351" s="30" t="s">
        <v>96</v>
      </c>
      <c r="T351" s="30" t="s">
        <v>51</v>
      </c>
      <c r="U351" s="30">
        <v>9209736419</v>
      </c>
      <c r="V351" s="38" t="s">
        <v>52</v>
      </c>
      <c r="W351" s="40" t="str" cm="1">
        <f t="array" ref="W351">_xlfn.IFS(AND(P351&gt;=100000,Q351&gt;=4,O351&lt;=0.1,V351="Completed"),"Platinum",AND(P351&gt;=50000,P351&lt;=99999,Q351&gt;=3,V351="Completed"),"Golde",AND(P351&lt;50000,V351="Completed"),"Silver",OR(Q351&lt;=2,V351="Cancelled"),"BlackListed",TRUE,"Other")</f>
        <v>Other</v>
      </c>
    </row>
    <row r="352" spans="1:23" ht="15" thickBot="1" x14ac:dyDescent="0.4">
      <c r="A352" s="27" t="s">
        <v>480</v>
      </c>
      <c r="B352" s="27" t="s">
        <v>63</v>
      </c>
      <c r="C352" s="27" t="s">
        <v>112</v>
      </c>
      <c r="D352" s="28">
        <v>45868</v>
      </c>
      <c r="E352" s="28">
        <v>45873</v>
      </c>
      <c r="F352" s="27" t="s">
        <v>110</v>
      </c>
      <c r="G352" s="27" t="s">
        <v>58</v>
      </c>
      <c r="H352" s="28">
        <v>37803</v>
      </c>
      <c r="I352" s="27" t="s">
        <v>74</v>
      </c>
      <c r="J352" s="27" t="s">
        <v>75</v>
      </c>
      <c r="K352" s="27" t="s">
        <v>39</v>
      </c>
      <c r="L352" s="27" t="s">
        <v>114</v>
      </c>
      <c r="M352" s="27">
        <v>15</v>
      </c>
      <c r="N352" s="27">
        <v>700</v>
      </c>
      <c r="O352" s="27">
        <v>15</v>
      </c>
      <c r="P352" s="27">
        <v>8925</v>
      </c>
      <c r="Q352" s="27">
        <v>3</v>
      </c>
      <c r="R352" s="27" t="s">
        <v>41</v>
      </c>
      <c r="S352" s="27" t="s">
        <v>80</v>
      </c>
      <c r="T352" s="27" t="s">
        <v>66</v>
      </c>
      <c r="U352" s="27">
        <v>9645907237</v>
      </c>
      <c r="V352" s="35" t="s">
        <v>34</v>
      </c>
      <c r="W352" s="40" t="str" cm="1">
        <f t="array" ref="W352">_xlfn.IFS(AND(P352&gt;=100000,Q352&gt;=4,O352&lt;=0.1,V352="Completed"),"Platinum",AND(P352&gt;=50000,P352&lt;=99999,Q352&gt;=3,V352="Completed"),"Golde",AND(P352&lt;50000,V352="Completed"),"Silver",OR(Q352&lt;=2,V352="Cancelled"),"BlackListed",TRUE,"Other")</f>
        <v>Silver</v>
      </c>
    </row>
    <row r="353" spans="1:23" ht="15" thickBot="1" x14ac:dyDescent="0.4">
      <c r="A353" s="30" t="s">
        <v>481</v>
      </c>
      <c r="B353" s="30" t="s">
        <v>87</v>
      </c>
      <c r="C353" s="30" t="s">
        <v>24</v>
      </c>
      <c r="D353" s="31">
        <v>45856</v>
      </c>
      <c r="E353" s="31">
        <v>45862</v>
      </c>
      <c r="F353" s="30" t="s">
        <v>88</v>
      </c>
      <c r="G353" s="30" t="s">
        <v>58</v>
      </c>
      <c r="H353" s="31">
        <v>33902</v>
      </c>
      <c r="I353" s="30" t="s">
        <v>91</v>
      </c>
      <c r="J353" s="30" t="s">
        <v>75</v>
      </c>
      <c r="K353" s="30" t="s">
        <v>29</v>
      </c>
      <c r="L353" s="30" t="s">
        <v>30</v>
      </c>
      <c r="M353" s="30">
        <v>5</v>
      </c>
      <c r="N353" s="30">
        <v>2200</v>
      </c>
      <c r="O353" s="30">
        <v>15</v>
      </c>
      <c r="P353" s="30">
        <v>9350</v>
      </c>
      <c r="Q353" s="30">
        <v>1</v>
      </c>
      <c r="R353" s="30" t="s">
        <v>41</v>
      </c>
      <c r="S353" s="30" t="s">
        <v>80</v>
      </c>
      <c r="T353" s="30" t="s">
        <v>89</v>
      </c>
      <c r="U353" s="30">
        <v>9566149945</v>
      </c>
      <c r="V353" s="38" t="s">
        <v>52</v>
      </c>
      <c r="W353" s="40" t="str" cm="1">
        <f t="array" ref="W353">_xlfn.IFS(AND(P353&gt;=100000,Q353&gt;=4,O353&lt;=0.1,V353="Completed"),"Platinum",AND(P353&gt;=50000,P353&lt;=99999,Q353&gt;=3,V353="Completed"),"Golde",AND(P353&lt;50000,V353="Completed"),"Silver",OR(Q353&lt;=2,V353="Cancelled"),"BlackListed",TRUE,"Other")</f>
        <v>BlackListed</v>
      </c>
    </row>
    <row r="354" spans="1:23" ht="15" thickBot="1" x14ac:dyDescent="0.4">
      <c r="A354" s="27" t="s">
        <v>482</v>
      </c>
      <c r="B354" s="27" t="s">
        <v>63</v>
      </c>
      <c r="C354" s="27" t="s">
        <v>56</v>
      </c>
      <c r="D354" s="28">
        <v>46092</v>
      </c>
      <c r="E354" s="28">
        <v>46093</v>
      </c>
      <c r="F354" s="27" t="s">
        <v>110</v>
      </c>
      <c r="G354" s="27" t="s">
        <v>58</v>
      </c>
      <c r="H354" s="28">
        <v>32360</v>
      </c>
      <c r="I354" s="27" t="s">
        <v>91</v>
      </c>
      <c r="J354" s="27" t="s">
        <v>75</v>
      </c>
      <c r="K354" s="27" t="s">
        <v>39</v>
      </c>
      <c r="L354" s="27" t="s">
        <v>59</v>
      </c>
      <c r="M354" s="27">
        <v>15</v>
      </c>
      <c r="N354" s="27">
        <v>1200</v>
      </c>
      <c r="O354" s="27">
        <v>0</v>
      </c>
      <c r="P354" s="27">
        <v>18000</v>
      </c>
      <c r="Q354" s="27">
        <v>3</v>
      </c>
      <c r="R354" s="27" t="s">
        <v>41</v>
      </c>
      <c r="S354" s="27" t="s">
        <v>50</v>
      </c>
      <c r="T354" s="27" t="s">
        <v>66</v>
      </c>
      <c r="U354" s="27">
        <v>9935018068</v>
      </c>
      <c r="V354" s="37" t="s">
        <v>53</v>
      </c>
      <c r="W354" s="40" t="str" cm="1">
        <f t="array" ref="W354">_xlfn.IFS(AND(P354&gt;=100000,Q354&gt;=4,O354&lt;=0.1,V354="Completed"),"Platinum",AND(P354&gt;=50000,P354&lt;=99999,Q354&gt;=3,V354="Completed"),"Golde",AND(P354&lt;50000,V354="Completed"),"Silver",OR(Q354&lt;=2,V354="Cancelled"),"BlackListed",TRUE,"Other")</f>
        <v>BlackListed</v>
      </c>
    </row>
    <row r="355" spans="1:23" ht="15" thickBot="1" x14ac:dyDescent="0.4">
      <c r="A355" s="30" t="s">
        <v>483</v>
      </c>
      <c r="B355" s="30" t="s">
        <v>134</v>
      </c>
      <c r="C355" s="30" t="s">
        <v>56</v>
      </c>
      <c r="D355" s="31">
        <v>46120</v>
      </c>
      <c r="E355" s="31">
        <v>46122</v>
      </c>
      <c r="F355" s="30" t="s">
        <v>135</v>
      </c>
      <c r="G355" s="30" t="s">
        <v>26</v>
      </c>
      <c r="H355" s="31">
        <v>31952</v>
      </c>
      <c r="I355" s="30" t="s">
        <v>74</v>
      </c>
      <c r="J355" s="30" t="s">
        <v>75</v>
      </c>
      <c r="K355" s="30" t="s">
        <v>39</v>
      </c>
      <c r="L355" s="30" t="s">
        <v>59</v>
      </c>
      <c r="M355" s="30">
        <v>19</v>
      </c>
      <c r="N355" s="30">
        <v>1200</v>
      </c>
      <c r="O355" s="30">
        <v>0</v>
      </c>
      <c r="P355" s="30">
        <v>22800</v>
      </c>
      <c r="Q355" s="30">
        <v>1</v>
      </c>
      <c r="R355" s="30" t="s">
        <v>31</v>
      </c>
      <c r="S355" s="30" t="s">
        <v>42</v>
      </c>
      <c r="T355" s="30" t="s">
        <v>136</v>
      </c>
      <c r="U355" s="30">
        <v>9171794652</v>
      </c>
      <c r="V355" s="38" t="s">
        <v>53</v>
      </c>
      <c r="W355" s="40" t="str" cm="1">
        <f t="array" ref="W355">_xlfn.IFS(AND(P355&gt;=100000,Q355&gt;=4,O355&lt;=0.1,V355="Completed"),"Platinum",AND(P355&gt;=50000,P355&lt;=99999,Q355&gt;=3,V355="Completed"),"Golde",AND(P355&lt;50000,V355="Completed"),"Silver",OR(Q355&lt;=2,V355="Cancelled"),"BlackListed",TRUE,"Other")</f>
        <v>BlackListed</v>
      </c>
    </row>
    <row r="356" spans="1:23" ht="15" thickBot="1" x14ac:dyDescent="0.4">
      <c r="A356" s="27" t="s">
        <v>484</v>
      </c>
      <c r="B356" s="27" t="s">
        <v>104</v>
      </c>
      <c r="C356" s="27" t="s">
        <v>36</v>
      </c>
      <c r="D356" s="28">
        <v>45918</v>
      </c>
      <c r="E356" s="28">
        <v>45925</v>
      </c>
      <c r="F356" s="27" t="s">
        <v>166</v>
      </c>
      <c r="G356" s="27" t="s">
        <v>26</v>
      </c>
      <c r="H356" s="28">
        <v>32800</v>
      </c>
      <c r="I356" s="27" t="s">
        <v>74</v>
      </c>
      <c r="J356" s="27" t="s">
        <v>75</v>
      </c>
      <c r="K356" s="27" t="s">
        <v>39</v>
      </c>
      <c r="L356" s="27" t="s">
        <v>40</v>
      </c>
      <c r="M356" s="27">
        <v>9</v>
      </c>
      <c r="N356" s="27">
        <v>12000</v>
      </c>
      <c r="O356" s="27">
        <v>15</v>
      </c>
      <c r="P356" s="27">
        <v>91800</v>
      </c>
      <c r="Q356" s="27">
        <v>3</v>
      </c>
      <c r="R356" s="27" t="s">
        <v>65</v>
      </c>
      <c r="S356" s="27" t="s">
        <v>42</v>
      </c>
      <c r="T356" s="27" t="s">
        <v>108</v>
      </c>
      <c r="U356" s="27">
        <v>9671497416</v>
      </c>
      <c r="V356" s="37" t="s">
        <v>53</v>
      </c>
      <c r="W356" s="40" t="str" cm="1">
        <f t="array" ref="W356">_xlfn.IFS(AND(P356&gt;=100000,Q356&gt;=4,O356&lt;=0.1,V356="Completed"),"Platinum",AND(P356&gt;=50000,P356&lt;=99999,Q356&gt;=3,V356="Completed"),"Golde",AND(P356&lt;50000,V356="Completed"),"Silver",OR(Q356&lt;=2,V356="Cancelled"),"BlackListed",TRUE,"Other")</f>
        <v>BlackListed</v>
      </c>
    </row>
    <row r="357" spans="1:23" ht="15" thickBot="1" x14ac:dyDescent="0.4">
      <c r="A357" s="30" t="s">
        <v>485</v>
      </c>
      <c r="B357" s="30" t="s">
        <v>23</v>
      </c>
      <c r="C357" s="30" t="s">
        <v>138</v>
      </c>
      <c r="D357" s="31">
        <v>45941</v>
      </c>
      <c r="E357" s="31">
        <v>45951</v>
      </c>
      <c r="F357" s="30" t="s">
        <v>25</v>
      </c>
      <c r="G357" s="30" t="s">
        <v>26</v>
      </c>
      <c r="H357" s="31">
        <v>33746</v>
      </c>
      <c r="I357" s="30" t="s">
        <v>121</v>
      </c>
      <c r="J357" s="30" t="s">
        <v>38</v>
      </c>
      <c r="K357" s="30" t="s">
        <v>83</v>
      </c>
      <c r="L357" s="30" t="s">
        <v>139</v>
      </c>
      <c r="M357" s="30">
        <v>5</v>
      </c>
      <c r="N357" s="30">
        <v>45</v>
      </c>
      <c r="O357" s="30">
        <v>5</v>
      </c>
      <c r="P357" s="30">
        <v>213.75</v>
      </c>
      <c r="Q357" s="30">
        <v>1</v>
      </c>
      <c r="R357" s="30" t="s">
        <v>60</v>
      </c>
      <c r="S357" s="30" t="s">
        <v>80</v>
      </c>
      <c r="T357" s="30" t="s">
        <v>43</v>
      </c>
      <c r="U357" s="30">
        <v>9810433484</v>
      </c>
      <c r="V357" s="36" t="s">
        <v>34</v>
      </c>
      <c r="W357" s="40" t="str" cm="1">
        <f t="array" ref="W357">_xlfn.IFS(AND(P357&gt;=100000,Q357&gt;=4,O357&lt;=0.1,V357="Completed"),"Platinum",AND(P357&gt;=50000,P357&lt;=99999,Q357&gt;=3,V357="Completed"),"Golde",AND(P357&lt;50000,V357="Completed"),"Silver",OR(Q357&lt;=2,V357="Cancelled"),"BlackListed",TRUE,"Other")</f>
        <v>Silver</v>
      </c>
    </row>
    <row r="358" spans="1:23" ht="15" thickBot="1" x14ac:dyDescent="0.4">
      <c r="A358" s="27" t="s">
        <v>486</v>
      </c>
      <c r="B358" s="27" t="s">
        <v>134</v>
      </c>
      <c r="C358" s="27" t="s">
        <v>112</v>
      </c>
      <c r="D358" s="27" t="s">
        <v>487</v>
      </c>
      <c r="E358" s="28">
        <v>45699</v>
      </c>
      <c r="F358" s="27" t="s">
        <v>135</v>
      </c>
      <c r="G358" s="27" t="s">
        <v>26</v>
      </c>
      <c r="H358" s="28">
        <v>32822</v>
      </c>
      <c r="I358" s="27" t="s">
        <v>74</v>
      </c>
      <c r="J358" s="27" t="s">
        <v>75</v>
      </c>
      <c r="K358" s="27" t="s">
        <v>39</v>
      </c>
      <c r="L358" s="27" t="s">
        <v>114</v>
      </c>
      <c r="M358" s="27">
        <v>3</v>
      </c>
      <c r="N358" s="27">
        <v>700</v>
      </c>
      <c r="O358" s="27">
        <v>15</v>
      </c>
      <c r="P358" s="27">
        <v>1785</v>
      </c>
      <c r="Q358" s="27">
        <v>4</v>
      </c>
      <c r="R358" s="27" t="s">
        <v>31</v>
      </c>
      <c r="S358" s="27" t="s">
        <v>96</v>
      </c>
      <c r="T358" s="27" t="s">
        <v>136</v>
      </c>
      <c r="U358" s="27">
        <v>9990243436</v>
      </c>
      <c r="V358" s="35" t="s">
        <v>34</v>
      </c>
      <c r="W358" s="40" t="str" cm="1">
        <f t="array" ref="W358">_xlfn.IFS(AND(P358&gt;=100000,Q358&gt;=4,O358&lt;=0.1,V358="Completed"),"Platinum",AND(P358&gt;=50000,P358&lt;=99999,Q358&gt;=3,V358="Completed"),"Golde",AND(P358&lt;50000,V358="Completed"),"Silver",OR(Q358&lt;=2,V358="Cancelled"),"BlackListed",TRUE,"Other")</f>
        <v>Silver</v>
      </c>
    </row>
    <row r="359" spans="1:23" ht="15" thickBot="1" x14ac:dyDescent="0.4">
      <c r="A359" s="30" t="s">
        <v>488</v>
      </c>
      <c r="B359" s="30" t="s">
        <v>55</v>
      </c>
      <c r="C359" s="30" t="s">
        <v>105</v>
      </c>
      <c r="D359" s="31">
        <v>46005</v>
      </c>
      <c r="E359" s="31">
        <v>46017</v>
      </c>
      <c r="F359" s="30" t="s">
        <v>57</v>
      </c>
      <c r="G359" s="30" t="s">
        <v>58</v>
      </c>
      <c r="H359" s="31">
        <v>29467</v>
      </c>
      <c r="I359" s="30" t="s">
        <v>121</v>
      </c>
      <c r="J359" s="30" t="s">
        <v>38</v>
      </c>
      <c r="K359" s="30" t="s">
        <v>29</v>
      </c>
      <c r="L359" s="30" t="s">
        <v>107</v>
      </c>
      <c r="M359" s="30">
        <v>12</v>
      </c>
      <c r="N359" s="30">
        <v>8500</v>
      </c>
      <c r="O359" s="30">
        <v>5</v>
      </c>
      <c r="P359" s="30">
        <v>96900</v>
      </c>
      <c r="Q359" s="30">
        <v>3</v>
      </c>
      <c r="R359" s="30" t="s">
        <v>60</v>
      </c>
      <c r="S359" s="30" t="s">
        <v>50</v>
      </c>
      <c r="T359" s="30" t="s">
        <v>61</v>
      </c>
      <c r="U359" s="30">
        <v>9396678031</v>
      </c>
      <c r="V359" s="38" t="s">
        <v>52</v>
      </c>
      <c r="W359" s="40" t="str" cm="1">
        <f t="array" ref="W359">_xlfn.IFS(AND(P359&gt;=100000,Q359&gt;=4,O359&lt;=0.1,V359="Completed"),"Platinum",AND(P359&gt;=50000,P359&lt;=99999,Q359&gt;=3,V359="Completed"),"Golde",AND(P359&lt;50000,V359="Completed"),"Silver",OR(Q359&lt;=2,V359="Cancelled"),"BlackListed",TRUE,"Other")</f>
        <v>Other</v>
      </c>
    </row>
    <row r="360" spans="1:23" ht="15" thickBot="1" x14ac:dyDescent="0.4">
      <c r="A360" s="27" t="s">
        <v>489</v>
      </c>
      <c r="B360" s="27" t="s">
        <v>134</v>
      </c>
      <c r="C360" s="27" t="s">
        <v>105</v>
      </c>
      <c r="D360" s="28">
        <v>46123</v>
      </c>
      <c r="E360" s="28">
        <v>46131</v>
      </c>
      <c r="F360" s="27" t="s">
        <v>135</v>
      </c>
      <c r="G360" s="27" t="s">
        <v>26</v>
      </c>
      <c r="H360" s="28">
        <v>28920</v>
      </c>
      <c r="I360" s="27" t="s">
        <v>79</v>
      </c>
      <c r="J360" s="27" t="s">
        <v>75</v>
      </c>
      <c r="K360" s="27" t="s">
        <v>29</v>
      </c>
      <c r="L360" s="27" t="s">
        <v>107</v>
      </c>
      <c r="M360" s="27">
        <v>4</v>
      </c>
      <c r="N360" s="27">
        <v>8500</v>
      </c>
      <c r="O360" s="27">
        <v>15</v>
      </c>
      <c r="P360" s="27">
        <v>28900</v>
      </c>
      <c r="Q360" s="27">
        <v>4</v>
      </c>
      <c r="R360" s="27" t="s">
        <v>41</v>
      </c>
      <c r="S360" s="27" t="s">
        <v>50</v>
      </c>
      <c r="T360" s="27" t="s">
        <v>136</v>
      </c>
      <c r="U360" s="27">
        <v>9818591245</v>
      </c>
      <c r="V360" s="37" t="s">
        <v>52</v>
      </c>
      <c r="W360" s="40" t="str" cm="1">
        <f t="array" ref="W360">_xlfn.IFS(AND(P360&gt;=100000,Q360&gt;=4,O360&lt;=0.1,V360="Completed"),"Platinum",AND(P360&gt;=50000,P360&lt;=99999,Q360&gt;=3,V360="Completed"),"Golde",AND(P360&lt;50000,V360="Completed"),"Silver",OR(Q360&lt;=2,V360="Cancelled"),"BlackListed",TRUE,"Other")</f>
        <v>Other</v>
      </c>
    </row>
    <row r="361" spans="1:23" ht="15" thickBot="1" x14ac:dyDescent="0.4">
      <c r="A361" s="30" t="s">
        <v>490</v>
      </c>
      <c r="B361" s="30" t="s">
        <v>87</v>
      </c>
      <c r="C361" s="30" t="s">
        <v>125</v>
      </c>
      <c r="D361" s="31">
        <v>45766</v>
      </c>
      <c r="E361" s="31">
        <v>45769</v>
      </c>
      <c r="F361" s="30" t="s">
        <v>88</v>
      </c>
      <c r="G361" s="30" t="s">
        <v>58</v>
      </c>
      <c r="H361" s="31">
        <v>35312</v>
      </c>
      <c r="I361" s="30" t="s">
        <v>121</v>
      </c>
      <c r="J361" s="30" t="s">
        <v>38</v>
      </c>
      <c r="K361" s="30" t="s">
        <v>83</v>
      </c>
      <c r="L361" s="30" t="s">
        <v>127</v>
      </c>
      <c r="M361" s="30">
        <v>16</v>
      </c>
      <c r="N361" s="30">
        <v>20</v>
      </c>
      <c r="O361" s="30">
        <v>10</v>
      </c>
      <c r="P361" s="30">
        <v>288</v>
      </c>
      <c r="Q361" s="30">
        <v>4</v>
      </c>
      <c r="R361" s="30" t="s">
        <v>31</v>
      </c>
      <c r="S361" s="30" t="s">
        <v>80</v>
      </c>
      <c r="T361" s="30" t="s">
        <v>89</v>
      </c>
      <c r="U361" s="30">
        <v>9505550047</v>
      </c>
      <c r="V361" s="38" t="s">
        <v>53</v>
      </c>
      <c r="W361" s="40" t="str" cm="1">
        <f t="array" ref="W361">_xlfn.IFS(AND(P361&gt;=100000,Q361&gt;=4,O361&lt;=0.1,V361="Completed"),"Platinum",AND(P361&gt;=50000,P361&lt;=99999,Q361&gt;=3,V361="Completed"),"Golde",AND(P361&lt;50000,V361="Completed"),"Silver",OR(Q361&lt;=2,V361="Cancelled"),"BlackListed",TRUE,"Other")</f>
        <v>BlackListed</v>
      </c>
    </row>
    <row r="362" spans="1:23" ht="15" thickBot="1" x14ac:dyDescent="0.4">
      <c r="A362" s="27" t="s">
        <v>491</v>
      </c>
      <c r="B362" s="27" t="s">
        <v>87</v>
      </c>
      <c r="C362" s="27" t="s">
        <v>82</v>
      </c>
      <c r="D362" s="28">
        <v>46152</v>
      </c>
      <c r="E362" s="28">
        <v>46160</v>
      </c>
      <c r="F362" s="27" t="s">
        <v>88</v>
      </c>
      <c r="G362" s="27" t="s">
        <v>58</v>
      </c>
      <c r="H362" s="28">
        <v>36233</v>
      </c>
      <c r="I362" s="27" t="s">
        <v>74</v>
      </c>
      <c r="J362" s="27" t="s">
        <v>75</v>
      </c>
      <c r="K362" s="27" t="s">
        <v>83</v>
      </c>
      <c r="L362" s="27" t="s">
        <v>84</v>
      </c>
      <c r="M362" s="27">
        <v>3</v>
      </c>
      <c r="N362" s="27">
        <v>60</v>
      </c>
      <c r="O362" s="27">
        <v>20</v>
      </c>
      <c r="P362" s="27">
        <v>144</v>
      </c>
      <c r="Q362" s="27">
        <v>4</v>
      </c>
      <c r="R362" s="27" t="s">
        <v>65</v>
      </c>
      <c r="S362" s="27" t="s">
        <v>96</v>
      </c>
      <c r="T362" s="27" t="s">
        <v>89</v>
      </c>
      <c r="U362" s="27">
        <v>9469828772</v>
      </c>
      <c r="V362" s="37" t="s">
        <v>52</v>
      </c>
      <c r="W362" s="40" t="str" cm="1">
        <f t="array" ref="W362">_xlfn.IFS(AND(P362&gt;=100000,Q362&gt;=4,O362&lt;=0.1,V362="Completed"),"Platinum",AND(P362&gt;=50000,P362&lt;=99999,Q362&gt;=3,V362="Completed"),"Golde",AND(P362&lt;50000,V362="Completed"),"Silver",OR(Q362&lt;=2,V362="Cancelled"),"BlackListed",TRUE,"Other")</f>
        <v>Other</v>
      </c>
    </row>
    <row r="363" spans="1:23" ht="15" thickBot="1" x14ac:dyDescent="0.4">
      <c r="A363" s="30" t="s">
        <v>492</v>
      </c>
      <c r="B363" s="30" t="s">
        <v>55</v>
      </c>
      <c r="C363" s="30" t="s">
        <v>24</v>
      </c>
      <c r="D363" s="31">
        <v>45858</v>
      </c>
      <c r="E363" s="31">
        <v>45864</v>
      </c>
      <c r="F363" s="30" t="s">
        <v>57</v>
      </c>
      <c r="G363" s="30" t="s">
        <v>58</v>
      </c>
      <c r="H363" s="31">
        <v>30958</v>
      </c>
      <c r="I363" s="30" t="s">
        <v>74</v>
      </c>
      <c r="J363" s="30" t="s">
        <v>75</v>
      </c>
      <c r="K363" s="30" t="s">
        <v>29</v>
      </c>
      <c r="L363" s="30" t="s">
        <v>30</v>
      </c>
      <c r="M363" s="30">
        <v>19</v>
      </c>
      <c r="N363" s="30">
        <v>2200</v>
      </c>
      <c r="O363" s="30">
        <v>10</v>
      </c>
      <c r="P363" s="30">
        <v>37620</v>
      </c>
      <c r="Q363" s="30">
        <v>2</v>
      </c>
      <c r="R363" s="30" t="s">
        <v>31</v>
      </c>
      <c r="S363" s="30" t="s">
        <v>96</v>
      </c>
      <c r="T363" s="30" t="s">
        <v>61</v>
      </c>
      <c r="U363" s="30">
        <v>9885092680</v>
      </c>
      <c r="V363" s="38" t="s">
        <v>52</v>
      </c>
      <c r="W363" s="40" t="str" cm="1">
        <f t="array" ref="W363">_xlfn.IFS(AND(P363&gt;=100000,Q363&gt;=4,O363&lt;=0.1,V363="Completed"),"Platinum",AND(P363&gt;=50000,P363&lt;=99999,Q363&gt;=3,V363="Completed"),"Golde",AND(P363&lt;50000,V363="Completed"),"Silver",OR(Q363&lt;=2,V363="Cancelled"),"BlackListed",TRUE,"Other")</f>
        <v>BlackListed</v>
      </c>
    </row>
    <row r="364" spans="1:23" ht="15" thickBot="1" x14ac:dyDescent="0.4">
      <c r="A364" s="27" t="s">
        <v>493</v>
      </c>
      <c r="B364" s="27" t="s">
        <v>55</v>
      </c>
      <c r="C364" s="27" t="s">
        <v>56</v>
      </c>
      <c r="D364" s="28">
        <v>46045</v>
      </c>
      <c r="E364" s="28">
        <v>46049</v>
      </c>
      <c r="F364" s="27" t="s">
        <v>57</v>
      </c>
      <c r="G364" s="27" t="s">
        <v>58</v>
      </c>
      <c r="H364" s="28">
        <v>30872</v>
      </c>
      <c r="I364" s="27" t="s">
        <v>27</v>
      </c>
      <c r="J364" s="27" t="s">
        <v>28</v>
      </c>
      <c r="K364" s="27" t="s">
        <v>39</v>
      </c>
      <c r="L364" s="27" t="s">
        <v>59</v>
      </c>
      <c r="M364" s="27">
        <v>7</v>
      </c>
      <c r="N364" s="27">
        <v>1200</v>
      </c>
      <c r="O364" s="27">
        <v>20</v>
      </c>
      <c r="P364" s="27">
        <v>6720</v>
      </c>
      <c r="Q364" s="27">
        <v>3</v>
      </c>
      <c r="R364" s="27" t="s">
        <v>60</v>
      </c>
      <c r="S364" s="27" t="s">
        <v>80</v>
      </c>
      <c r="T364" s="27" t="s">
        <v>61</v>
      </c>
      <c r="U364" s="27">
        <v>9362319457</v>
      </c>
      <c r="V364" s="37" t="s">
        <v>53</v>
      </c>
      <c r="W364" s="40" t="str" cm="1">
        <f t="array" ref="W364">_xlfn.IFS(AND(P364&gt;=100000,Q364&gt;=4,O364&lt;=0.1,V364="Completed"),"Platinum",AND(P364&gt;=50000,P364&lt;=99999,Q364&gt;=3,V364="Completed"),"Golde",AND(P364&lt;50000,V364="Completed"),"Silver",OR(Q364&lt;=2,V364="Cancelled"),"BlackListed",TRUE,"Other")</f>
        <v>BlackListed</v>
      </c>
    </row>
    <row r="365" spans="1:23" ht="15" thickBot="1" x14ac:dyDescent="0.4">
      <c r="A365" s="30" t="s">
        <v>494</v>
      </c>
      <c r="B365" s="30" t="s">
        <v>45</v>
      </c>
      <c r="C365" s="30" t="s">
        <v>125</v>
      </c>
      <c r="D365" s="31">
        <v>46097</v>
      </c>
      <c r="E365" s="31">
        <v>46102</v>
      </c>
      <c r="F365" s="30" t="s">
        <v>101</v>
      </c>
      <c r="G365" s="30" t="s">
        <v>26</v>
      </c>
      <c r="H365" s="31">
        <v>32577</v>
      </c>
      <c r="I365" s="30" t="s">
        <v>48</v>
      </c>
      <c r="J365" s="30" t="s">
        <v>28</v>
      </c>
      <c r="K365" s="30" t="s">
        <v>83</v>
      </c>
      <c r="L365" s="30" t="s">
        <v>127</v>
      </c>
      <c r="M365" s="30">
        <v>20</v>
      </c>
      <c r="N365" s="30">
        <v>20</v>
      </c>
      <c r="O365" s="30">
        <v>20</v>
      </c>
      <c r="P365" s="30">
        <v>320</v>
      </c>
      <c r="Q365" s="30">
        <v>5</v>
      </c>
      <c r="R365" s="30" t="s">
        <v>60</v>
      </c>
      <c r="S365" s="30" t="s">
        <v>80</v>
      </c>
      <c r="T365" s="30" t="s">
        <v>51</v>
      </c>
      <c r="U365" s="30">
        <v>9223945130</v>
      </c>
      <c r="V365" s="38" t="s">
        <v>52</v>
      </c>
      <c r="W365" s="40" t="str" cm="1">
        <f t="array" ref="W365">_xlfn.IFS(AND(P365&gt;=100000,Q365&gt;=4,O365&lt;=0.1,V365="Completed"),"Platinum",AND(P365&gt;=50000,P365&lt;=99999,Q365&gt;=3,V365="Completed"),"Golde",AND(P365&lt;50000,V365="Completed"),"Silver",OR(Q365&lt;=2,V365="Cancelled"),"BlackListed",TRUE,"Other")</f>
        <v>Other</v>
      </c>
    </row>
    <row r="366" spans="1:23" ht="15" thickBot="1" x14ac:dyDescent="0.4">
      <c r="A366" s="27" t="s">
        <v>495</v>
      </c>
      <c r="B366" s="27" t="s">
        <v>72</v>
      </c>
      <c r="C366" s="27" t="s">
        <v>56</v>
      </c>
      <c r="D366" s="28">
        <v>45777</v>
      </c>
      <c r="E366" s="28">
        <v>45784</v>
      </c>
      <c r="F366" s="27" t="s">
        <v>73</v>
      </c>
      <c r="G366" s="27" t="s">
        <v>26</v>
      </c>
      <c r="H366" s="28">
        <v>31156</v>
      </c>
      <c r="I366" s="27" t="s">
        <v>27</v>
      </c>
      <c r="J366" s="27" t="s">
        <v>28</v>
      </c>
      <c r="K366" s="27" t="s">
        <v>39</v>
      </c>
      <c r="L366" s="27" t="s">
        <v>59</v>
      </c>
      <c r="M366" s="27">
        <v>19</v>
      </c>
      <c r="N366" s="27">
        <v>1200</v>
      </c>
      <c r="O366" s="27">
        <v>5</v>
      </c>
      <c r="P366" s="27">
        <v>21660</v>
      </c>
      <c r="Q366" s="27">
        <v>3</v>
      </c>
      <c r="R366" s="27" t="s">
        <v>60</v>
      </c>
      <c r="S366" s="27" t="s">
        <v>32</v>
      </c>
      <c r="T366" s="27" t="s">
        <v>93</v>
      </c>
      <c r="U366" s="27">
        <v>9910804926</v>
      </c>
      <c r="V366" s="37" t="s">
        <v>52</v>
      </c>
      <c r="W366" s="40" t="str" cm="1">
        <f t="array" ref="W366">_xlfn.IFS(AND(P366&gt;=100000,Q366&gt;=4,O366&lt;=0.1,V366="Completed"),"Platinum",AND(P366&gt;=50000,P366&lt;=99999,Q366&gt;=3,V366="Completed"),"Golde",AND(P366&lt;50000,V366="Completed"),"Silver",OR(Q366&lt;=2,V366="Cancelled"),"BlackListed",TRUE,"Other")</f>
        <v>Other</v>
      </c>
    </row>
    <row r="367" spans="1:23" ht="15" thickBot="1" x14ac:dyDescent="0.4">
      <c r="A367" s="30" t="s">
        <v>496</v>
      </c>
      <c r="B367" s="30" t="s">
        <v>45</v>
      </c>
      <c r="C367" s="30" t="s">
        <v>125</v>
      </c>
      <c r="D367" s="31">
        <v>45691</v>
      </c>
      <c r="E367" s="31">
        <v>45701</v>
      </c>
      <c r="F367" s="30" t="s">
        <v>101</v>
      </c>
      <c r="G367" s="30" t="s">
        <v>26</v>
      </c>
      <c r="H367" s="31">
        <v>37846</v>
      </c>
      <c r="I367" s="30" t="s">
        <v>27</v>
      </c>
      <c r="J367" s="30" t="s">
        <v>28</v>
      </c>
      <c r="K367" s="30" t="s">
        <v>83</v>
      </c>
      <c r="L367" s="30" t="s">
        <v>127</v>
      </c>
      <c r="M367" s="30">
        <v>5</v>
      </c>
      <c r="N367" s="30">
        <v>20</v>
      </c>
      <c r="O367" s="30">
        <v>0</v>
      </c>
      <c r="P367" s="30">
        <v>100</v>
      </c>
      <c r="Q367" s="30">
        <v>2</v>
      </c>
      <c r="R367" s="30" t="s">
        <v>65</v>
      </c>
      <c r="S367" s="30" t="s">
        <v>42</v>
      </c>
      <c r="T367" s="30" t="s">
        <v>51</v>
      </c>
      <c r="U367" s="30">
        <v>9274269744</v>
      </c>
      <c r="V367" s="38" t="s">
        <v>52</v>
      </c>
      <c r="W367" s="40" t="str" cm="1">
        <f t="array" ref="W367">_xlfn.IFS(AND(P367&gt;=100000,Q367&gt;=4,O367&lt;=0.1,V367="Completed"),"Platinum",AND(P367&gt;=50000,P367&lt;=99999,Q367&gt;=3,V367="Completed"),"Golde",AND(P367&lt;50000,V367="Completed"),"Silver",OR(Q367&lt;=2,V367="Cancelled"),"BlackListed",TRUE,"Other")</f>
        <v>BlackListed</v>
      </c>
    </row>
    <row r="368" spans="1:23" ht="15" thickBot="1" x14ac:dyDescent="0.4">
      <c r="A368" s="27" t="s">
        <v>497</v>
      </c>
      <c r="B368" s="27" t="s">
        <v>72</v>
      </c>
      <c r="C368" s="27" t="s">
        <v>138</v>
      </c>
      <c r="D368" s="28">
        <v>46088</v>
      </c>
      <c r="E368" s="28">
        <v>46097</v>
      </c>
      <c r="F368" s="27" t="s">
        <v>73</v>
      </c>
      <c r="G368" s="27" t="s">
        <v>26</v>
      </c>
      <c r="H368" s="28">
        <v>30570</v>
      </c>
      <c r="I368" s="27" t="s">
        <v>121</v>
      </c>
      <c r="J368" s="27" t="s">
        <v>38</v>
      </c>
      <c r="K368" s="27" t="s">
        <v>83</v>
      </c>
      <c r="L368" s="27" t="s">
        <v>139</v>
      </c>
      <c r="M368" s="27">
        <v>16</v>
      </c>
      <c r="N368" s="27">
        <v>45</v>
      </c>
      <c r="O368" s="27">
        <v>15</v>
      </c>
      <c r="P368" s="27">
        <v>612</v>
      </c>
      <c r="Q368" s="27">
        <v>5</v>
      </c>
      <c r="R368" s="27" t="s">
        <v>31</v>
      </c>
      <c r="S368" s="27" t="s">
        <v>50</v>
      </c>
      <c r="T368" s="27" t="s">
        <v>93</v>
      </c>
      <c r="U368" s="27">
        <v>9223196101</v>
      </c>
      <c r="V368" s="37" t="s">
        <v>53</v>
      </c>
      <c r="W368" s="40" t="str" cm="1">
        <f t="array" ref="W368">_xlfn.IFS(AND(P368&gt;=100000,Q368&gt;=4,O368&lt;=0.1,V368="Completed"),"Platinum",AND(P368&gt;=50000,P368&lt;=99999,Q368&gt;=3,V368="Completed"),"Golde",AND(P368&lt;50000,V368="Completed"),"Silver",OR(Q368&lt;=2,V368="Cancelled"),"BlackListed",TRUE,"Other")</f>
        <v>BlackListed</v>
      </c>
    </row>
    <row r="369" spans="1:23" ht="15" thickBot="1" x14ac:dyDescent="0.4">
      <c r="A369" s="30" t="s">
        <v>498</v>
      </c>
      <c r="B369" s="30" t="s">
        <v>23</v>
      </c>
      <c r="C369" s="30" t="s">
        <v>24</v>
      </c>
      <c r="D369" s="31">
        <v>45780</v>
      </c>
      <c r="E369" s="31">
        <v>45792</v>
      </c>
      <c r="F369" s="30" t="s">
        <v>25</v>
      </c>
      <c r="G369" s="30" t="s">
        <v>26</v>
      </c>
      <c r="H369" s="31">
        <v>27922</v>
      </c>
      <c r="I369" s="30" t="s">
        <v>121</v>
      </c>
      <c r="J369" s="30" t="s">
        <v>38</v>
      </c>
      <c r="K369" s="30" t="s">
        <v>29</v>
      </c>
      <c r="L369" s="30" t="s">
        <v>30</v>
      </c>
      <c r="M369" s="30">
        <v>1</v>
      </c>
      <c r="N369" s="30">
        <v>2200</v>
      </c>
      <c r="O369" s="30">
        <v>10</v>
      </c>
      <c r="P369" s="30">
        <v>1980</v>
      </c>
      <c r="Q369" s="30">
        <v>5</v>
      </c>
      <c r="R369" s="30" t="s">
        <v>60</v>
      </c>
      <c r="S369" s="30" t="s">
        <v>42</v>
      </c>
      <c r="T369" s="30" t="s">
        <v>43</v>
      </c>
      <c r="U369" s="30">
        <v>9888477457</v>
      </c>
      <c r="V369" s="36" t="s">
        <v>34</v>
      </c>
      <c r="W369" s="40" t="str" cm="1">
        <f t="array" ref="W369">_xlfn.IFS(AND(P369&gt;=100000,Q369&gt;=4,O369&lt;=0.1,V369="Completed"),"Platinum",AND(P369&gt;=50000,P369&lt;=99999,Q369&gt;=3,V369="Completed"),"Golde",AND(P369&lt;50000,V369="Completed"),"Silver",OR(Q369&lt;=2,V369="Cancelled"),"BlackListed",TRUE,"Other")</f>
        <v>Silver</v>
      </c>
    </row>
    <row r="370" spans="1:23" ht="15" thickBot="1" x14ac:dyDescent="0.4">
      <c r="A370" s="27" t="s">
        <v>499</v>
      </c>
      <c r="B370" s="27" t="s">
        <v>45</v>
      </c>
      <c r="C370" s="27" t="s">
        <v>82</v>
      </c>
      <c r="D370" s="28">
        <v>46113</v>
      </c>
      <c r="E370" s="28">
        <v>46117</v>
      </c>
      <c r="F370" s="27" t="s">
        <v>101</v>
      </c>
      <c r="G370" s="27" t="s">
        <v>26</v>
      </c>
      <c r="H370" s="28">
        <v>31781</v>
      </c>
      <c r="I370" s="27" t="s">
        <v>27</v>
      </c>
      <c r="J370" s="27" t="s">
        <v>28</v>
      </c>
      <c r="K370" s="27" t="s">
        <v>83</v>
      </c>
      <c r="L370" s="27" t="s">
        <v>84</v>
      </c>
      <c r="M370" s="27">
        <v>19</v>
      </c>
      <c r="N370" s="27">
        <v>60</v>
      </c>
      <c r="O370" s="27">
        <v>15</v>
      </c>
      <c r="P370" s="27">
        <v>969</v>
      </c>
      <c r="Q370" s="27">
        <v>4</v>
      </c>
      <c r="R370" s="27" t="s">
        <v>41</v>
      </c>
      <c r="S370" s="27" t="s">
        <v>80</v>
      </c>
      <c r="T370" s="27" t="s">
        <v>51</v>
      </c>
      <c r="U370" s="27">
        <v>9435947486</v>
      </c>
      <c r="V370" s="37" t="s">
        <v>53</v>
      </c>
      <c r="W370" s="40" t="str" cm="1">
        <f t="array" ref="W370">_xlfn.IFS(AND(P370&gt;=100000,Q370&gt;=4,O370&lt;=0.1,V370="Completed"),"Platinum",AND(P370&gt;=50000,P370&lt;=99999,Q370&gt;=3,V370="Completed"),"Golde",AND(P370&lt;50000,V370="Completed"),"Silver",OR(Q370&lt;=2,V370="Cancelled"),"BlackListed",TRUE,"Other")</f>
        <v>BlackListed</v>
      </c>
    </row>
    <row r="371" spans="1:23" ht="15" thickBot="1" x14ac:dyDescent="0.4">
      <c r="A371" s="30" t="s">
        <v>500</v>
      </c>
      <c r="B371" s="30" t="s">
        <v>156</v>
      </c>
      <c r="C371" s="30" t="s">
        <v>46</v>
      </c>
      <c r="D371" s="30"/>
      <c r="E371" s="31">
        <v>45690</v>
      </c>
      <c r="F371" s="30" t="s">
        <v>106</v>
      </c>
      <c r="G371" s="30" t="s">
        <v>58</v>
      </c>
      <c r="H371" s="31">
        <v>33738</v>
      </c>
      <c r="I371" s="30" t="s">
        <v>37</v>
      </c>
      <c r="J371" s="30" t="s">
        <v>38</v>
      </c>
      <c r="K371" s="30" t="s">
        <v>39</v>
      </c>
      <c r="L371" s="30" t="s">
        <v>49</v>
      </c>
      <c r="M371" s="30">
        <v>15</v>
      </c>
      <c r="N371" s="30">
        <v>55000</v>
      </c>
      <c r="O371" s="30">
        <v>0</v>
      </c>
      <c r="P371" s="30">
        <v>825000</v>
      </c>
      <c r="Q371" s="30">
        <v>5</v>
      </c>
      <c r="R371" s="30" t="s">
        <v>60</v>
      </c>
      <c r="S371" s="30" t="s">
        <v>80</v>
      </c>
      <c r="T371" s="30" t="s">
        <v>158</v>
      </c>
      <c r="U371" s="30">
        <v>9411668831</v>
      </c>
      <c r="V371" s="38" t="s">
        <v>53</v>
      </c>
      <c r="W371" s="40" t="str" cm="1">
        <f t="array" ref="W371">_xlfn.IFS(AND(P371&gt;=100000,Q371&gt;=4,O371&lt;=0.1,V371="Completed"),"Platinum",AND(P371&gt;=50000,P371&lt;=99999,Q371&gt;=3,V371="Completed"),"Golde",AND(P371&lt;50000,V371="Completed"),"Silver",OR(Q371&lt;=2,V371="Cancelled"),"BlackListed",TRUE,"Other")</f>
        <v>BlackListed</v>
      </c>
    </row>
    <row r="372" spans="1:23" ht="15" thickBot="1" x14ac:dyDescent="0.4">
      <c r="A372" s="27" t="s">
        <v>501</v>
      </c>
      <c r="B372" s="27" t="s">
        <v>55</v>
      </c>
      <c r="C372" s="27" t="s">
        <v>138</v>
      </c>
      <c r="D372" s="28">
        <v>45936</v>
      </c>
      <c r="E372" s="28">
        <v>45938</v>
      </c>
      <c r="F372" s="27" t="s">
        <v>57</v>
      </c>
      <c r="G372" s="27" t="s">
        <v>58</v>
      </c>
      <c r="H372" s="28">
        <v>32631</v>
      </c>
      <c r="I372" s="27" t="s">
        <v>48</v>
      </c>
      <c r="J372" s="27" t="s">
        <v>28</v>
      </c>
      <c r="K372" s="27" t="s">
        <v>83</v>
      </c>
      <c r="L372" s="27" t="s">
        <v>139</v>
      </c>
      <c r="M372" s="27">
        <v>11</v>
      </c>
      <c r="N372" s="27">
        <v>45</v>
      </c>
      <c r="O372" s="27">
        <v>5</v>
      </c>
      <c r="P372" s="27">
        <v>470.25</v>
      </c>
      <c r="Q372" s="27">
        <v>5</v>
      </c>
      <c r="R372" s="27" t="s">
        <v>41</v>
      </c>
      <c r="S372" s="27" t="s">
        <v>96</v>
      </c>
      <c r="T372" s="27" t="s">
        <v>61</v>
      </c>
      <c r="U372" s="27">
        <v>9523682403</v>
      </c>
      <c r="V372" s="35" t="s">
        <v>34</v>
      </c>
      <c r="W372" s="40" t="str" cm="1">
        <f t="array" ref="W372">_xlfn.IFS(AND(P372&gt;=100000,Q372&gt;=4,O372&lt;=0.1,V372="Completed"),"Platinum",AND(P372&gt;=50000,P372&lt;=99999,Q372&gt;=3,V372="Completed"),"Golde",AND(P372&lt;50000,V372="Completed"),"Silver",OR(Q372&lt;=2,V372="Cancelled"),"BlackListed",TRUE,"Other")</f>
        <v>Silver</v>
      </c>
    </row>
    <row r="373" spans="1:23" ht="15" thickBot="1" x14ac:dyDescent="0.4">
      <c r="A373" s="30" t="s">
        <v>502</v>
      </c>
      <c r="B373" s="30" t="s">
        <v>134</v>
      </c>
      <c r="C373" s="30" t="s">
        <v>125</v>
      </c>
      <c r="D373" s="31">
        <v>45820</v>
      </c>
      <c r="E373" s="31">
        <v>45825</v>
      </c>
      <c r="F373" s="30" t="s">
        <v>135</v>
      </c>
      <c r="G373" s="30" t="s">
        <v>26</v>
      </c>
      <c r="H373" s="31">
        <v>33226</v>
      </c>
      <c r="I373" s="30" t="s">
        <v>121</v>
      </c>
      <c r="J373" s="30" t="s">
        <v>38</v>
      </c>
      <c r="K373" s="30" t="s">
        <v>83</v>
      </c>
      <c r="L373" s="30" t="s">
        <v>127</v>
      </c>
      <c r="M373" s="30">
        <v>9</v>
      </c>
      <c r="N373" s="30">
        <v>20</v>
      </c>
      <c r="O373" s="30">
        <v>10</v>
      </c>
      <c r="P373" s="30">
        <v>162</v>
      </c>
      <c r="Q373" s="30">
        <v>1</v>
      </c>
      <c r="R373" s="30" t="s">
        <v>60</v>
      </c>
      <c r="S373" s="30" t="s">
        <v>42</v>
      </c>
      <c r="T373" s="30" t="s">
        <v>136</v>
      </c>
      <c r="U373" s="30">
        <v>9652936744</v>
      </c>
      <c r="V373" s="38" t="s">
        <v>53</v>
      </c>
      <c r="W373" s="40" t="str" cm="1">
        <f t="array" ref="W373">_xlfn.IFS(AND(P373&gt;=100000,Q373&gt;=4,O373&lt;=0.1,V373="Completed"),"Platinum",AND(P373&gt;=50000,P373&lt;=99999,Q373&gt;=3,V373="Completed"),"Golde",AND(P373&lt;50000,V373="Completed"),"Silver",OR(Q373&lt;=2,V373="Cancelled"),"BlackListed",TRUE,"Other")</f>
        <v>BlackListed</v>
      </c>
    </row>
    <row r="374" spans="1:23" ht="15" thickBot="1" x14ac:dyDescent="0.4">
      <c r="A374" s="27" t="s">
        <v>503</v>
      </c>
      <c r="B374" s="27" t="s">
        <v>104</v>
      </c>
      <c r="C374" s="27" t="s">
        <v>138</v>
      </c>
      <c r="D374" s="28">
        <v>45979</v>
      </c>
      <c r="E374" s="28">
        <v>45981</v>
      </c>
      <c r="F374" s="27" t="s">
        <v>166</v>
      </c>
      <c r="G374" s="27" t="s">
        <v>26</v>
      </c>
      <c r="H374" s="28">
        <v>34889</v>
      </c>
      <c r="I374" s="27" t="s">
        <v>48</v>
      </c>
      <c r="J374" s="27" t="s">
        <v>28</v>
      </c>
      <c r="K374" s="27" t="s">
        <v>83</v>
      </c>
      <c r="L374" s="27" t="s">
        <v>139</v>
      </c>
      <c r="M374" s="27">
        <v>5</v>
      </c>
      <c r="N374" s="27">
        <v>45</v>
      </c>
      <c r="O374" s="27">
        <v>5</v>
      </c>
      <c r="P374" s="27">
        <v>213.75</v>
      </c>
      <c r="Q374" s="27">
        <v>3</v>
      </c>
      <c r="R374" s="27" t="s">
        <v>60</v>
      </c>
      <c r="S374" s="27" t="s">
        <v>80</v>
      </c>
      <c r="T374" s="27" t="s">
        <v>108</v>
      </c>
      <c r="U374" s="27">
        <v>9726464733</v>
      </c>
      <c r="V374" s="37" t="s">
        <v>52</v>
      </c>
      <c r="W374" s="40" t="str" cm="1">
        <f t="array" ref="W374">_xlfn.IFS(AND(P374&gt;=100000,Q374&gt;=4,O374&lt;=0.1,V374="Completed"),"Platinum",AND(P374&gt;=50000,P374&lt;=99999,Q374&gt;=3,V374="Completed"),"Golde",AND(P374&lt;50000,V374="Completed"),"Silver",OR(Q374&lt;=2,V374="Cancelled"),"BlackListed",TRUE,"Other")</f>
        <v>Other</v>
      </c>
    </row>
    <row r="375" spans="1:23" ht="15" thickBot="1" x14ac:dyDescent="0.4">
      <c r="A375" s="30" t="s">
        <v>504</v>
      </c>
      <c r="B375" s="30" t="s">
        <v>63</v>
      </c>
      <c r="C375" s="30" t="s">
        <v>112</v>
      </c>
      <c r="D375" s="31">
        <v>45962</v>
      </c>
      <c r="E375" s="31">
        <v>45963</v>
      </c>
      <c r="F375" s="30" t="s">
        <v>110</v>
      </c>
      <c r="G375" s="30" t="s">
        <v>58</v>
      </c>
      <c r="H375" s="31">
        <v>36152</v>
      </c>
      <c r="I375" s="30" t="s">
        <v>27</v>
      </c>
      <c r="J375" s="30" t="s">
        <v>28</v>
      </c>
      <c r="K375" s="30" t="s">
        <v>39</v>
      </c>
      <c r="L375" s="30" t="s">
        <v>114</v>
      </c>
      <c r="M375" s="30">
        <v>5</v>
      </c>
      <c r="N375" s="30">
        <v>700</v>
      </c>
      <c r="O375" s="30">
        <v>10</v>
      </c>
      <c r="P375" s="30">
        <v>3150</v>
      </c>
      <c r="Q375" s="30">
        <v>2</v>
      </c>
      <c r="R375" s="30" t="s">
        <v>65</v>
      </c>
      <c r="S375" s="30" t="s">
        <v>42</v>
      </c>
      <c r="T375" s="30" t="s">
        <v>66</v>
      </c>
      <c r="U375" s="30">
        <v>9273520544</v>
      </c>
      <c r="V375" s="36" t="s">
        <v>34</v>
      </c>
      <c r="W375" s="40" t="str" cm="1">
        <f t="array" ref="W375">_xlfn.IFS(AND(P375&gt;=100000,Q375&gt;=4,O375&lt;=0.1,V375="Completed"),"Platinum",AND(P375&gt;=50000,P375&lt;=99999,Q375&gt;=3,V375="Completed"),"Golde",AND(P375&lt;50000,V375="Completed"),"Silver",OR(Q375&lt;=2,V375="Cancelled"),"BlackListed",TRUE,"Other")</f>
        <v>Silver</v>
      </c>
    </row>
    <row r="376" spans="1:23" ht="15" thickBot="1" x14ac:dyDescent="0.4">
      <c r="A376" s="27" t="s">
        <v>505</v>
      </c>
      <c r="B376" s="27" t="s">
        <v>124</v>
      </c>
      <c r="C376" s="27" t="s">
        <v>112</v>
      </c>
      <c r="D376" s="28">
        <v>45681</v>
      </c>
      <c r="E376" s="28">
        <v>45688</v>
      </c>
      <c r="F376" s="27" t="s">
        <v>126</v>
      </c>
      <c r="G376" s="27" t="s">
        <v>58</v>
      </c>
      <c r="H376" s="28">
        <v>29212</v>
      </c>
      <c r="I376" s="27" t="s">
        <v>147</v>
      </c>
      <c r="J376" s="27" t="s">
        <v>148</v>
      </c>
      <c r="K376" s="27" t="s">
        <v>39</v>
      </c>
      <c r="L376" s="27" t="s">
        <v>114</v>
      </c>
      <c r="M376" s="27">
        <v>1</v>
      </c>
      <c r="N376" s="27">
        <v>700</v>
      </c>
      <c r="O376" s="27">
        <v>0</v>
      </c>
      <c r="P376" s="27">
        <v>700</v>
      </c>
      <c r="Q376" s="27">
        <v>1</v>
      </c>
      <c r="R376" s="27" t="s">
        <v>65</v>
      </c>
      <c r="S376" s="27" t="s">
        <v>96</v>
      </c>
      <c r="T376" s="27" t="s">
        <v>128</v>
      </c>
      <c r="U376" s="27">
        <v>9374259988</v>
      </c>
      <c r="V376" s="35" t="s">
        <v>34</v>
      </c>
      <c r="W376" s="40" t="str" cm="1">
        <f t="array" ref="W376">_xlfn.IFS(AND(P376&gt;=100000,Q376&gt;=4,O376&lt;=0.1,V376="Completed"),"Platinum",AND(P376&gt;=50000,P376&lt;=99999,Q376&gt;=3,V376="Completed"),"Golde",AND(P376&lt;50000,V376="Completed"),"Silver",OR(Q376&lt;=2,V376="Cancelled"),"BlackListed",TRUE,"Other")</f>
        <v>Silver</v>
      </c>
    </row>
    <row r="377" spans="1:23" ht="15" thickBot="1" x14ac:dyDescent="0.4">
      <c r="A377" s="30" t="s">
        <v>506</v>
      </c>
      <c r="B377" s="30" t="s">
        <v>23</v>
      </c>
      <c r="C377" s="30" t="s">
        <v>112</v>
      </c>
      <c r="D377" s="31">
        <v>46066</v>
      </c>
      <c r="E377" s="31">
        <v>46074</v>
      </c>
      <c r="F377" s="30" t="s">
        <v>25</v>
      </c>
      <c r="G377" s="30" t="s">
        <v>26</v>
      </c>
      <c r="H377" s="31">
        <v>27743</v>
      </c>
      <c r="I377" s="30" t="s">
        <v>74</v>
      </c>
      <c r="J377" s="30" t="s">
        <v>75</v>
      </c>
      <c r="K377" s="30" t="s">
        <v>39</v>
      </c>
      <c r="L377" s="30" t="s">
        <v>114</v>
      </c>
      <c r="M377" s="30">
        <v>13</v>
      </c>
      <c r="N377" s="30">
        <v>700</v>
      </c>
      <c r="O377" s="30">
        <v>20</v>
      </c>
      <c r="P377" s="30">
        <v>7280</v>
      </c>
      <c r="Q377" s="30">
        <v>2</v>
      </c>
      <c r="R377" s="30" t="s">
        <v>60</v>
      </c>
      <c r="S377" s="30" t="s">
        <v>32</v>
      </c>
      <c r="T377" s="30" t="s">
        <v>43</v>
      </c>
      <c r="U377" s="30">
        <v>9538129419</v>
      </c>
      <c r="V377" s="36" t="s">
        <v>34</v>
      </c>
      <c r="W377" s="40" t="str" cm="1">
        <f t="array" ref="W377">_xlfn.IFS(AND(P377&gt;=100000,Q377&gt;=4,O377&lt;=0.1,V377="Completed"),"Platinum",AND(P377&gt;=50000,P377&lt;=99999,Q377&gt;=3,V377="Completed"),"Golde",AND(P377&lt;50000,V377="Completed"),"Silver",OR(Q377&lt;=2,V377="Cancelled"),"BlackListed",TRUE,"Other")</f>
        <v>Silver</v>
      </c>
    </row>
    <row r="378" spans="1:23" ht="15" thickBot="1" x14ac:dyDescent="0.4">
      <c r="A378" s="27" t="s">
        <v>507</v>
      </c>
      <c r="B378" s="27" t="s">
        <v>55</v>
      </c>
      <c r="C378" s="27" t="s">
        <v>36</v>
      </c>
      <c r="D378" s="28">
        <v>45696</v>
      </c>
      <c r="E378" s="28">
        <v>45707</v>
      </c>
      <c r="F378" s="27" t="s">
        <v>57</v>
      </c>
      <c r="G378" s="27" t="s">
        <v>58</v>
      </c>
      <c r="H378" s="28">
        <v>34106</v>
      </c>
      <c r="I378" s="27" t="s">
        <v>79</v>
      </c>
      <c r="J378" s="27" t="s">
        <v>75</v>
      </c>
      <c r="K378" s="27" t="s">
        <v>39</v>
      </c>
      <c r="L378" s="27" t="s">
        <v>40</v>
      </c>
      <c r="M378" s="27">
        <v>20</v>
      </c>
      <c r="N378" s="27">
        <v>12000</v>
      </c>
      <c r="O378" s="27">
        <v>0</v>
      </c>
      <c r="P378" s="27">
        <v>240000</v>
      </c>
      <c r="Q378" s="27">
        <v>2</v>
      </c>
      <c r="R378" s="27" t="s">
        <v>60</v>
      </c>
      <c r="S378" s="27" t="s">
        <v>80</v>
      </c>
      <c r="T378" s="27" t="s">
        <v>61</v>
      </c>
      <c r="U378" s="27">
        <v>9382815686</v>
      </c>
      <c r="V378" s="35" t="s">
        <v>34</v>
      </c>
      <c r="W378" s="40" t="str" cm="1">
        <f t="array" ref="W378">_xlfn.IFS(AND(P378&gt;=100000,Q378&gt;=4,O378&lt;=0.1,V378="Completed"),"Platinum",AND(P378&gt;=50000,P378&lt;=99999,Q378&gt;=3,V378="Completed"),"Golde",AND(P378&lt;50000,V378="Completed"),"Silver",OR(Q378&lt;=2,V378="Cancelled"),"BlackListed",TRUE,"Other")</f>
        <v>BlackListed</v>
      </c>
    </row>
    <row r="379" spans="1:23" ht="15" thickBot="1" x14ac:dyDescent="0.4">
      <c r="A379" s="30" t="s">
        <v>508</v>
      </c>
      <c r="B379" s="30" t="s">
        <v>63</v>
      </c>
      <c r="C379" s="30" t="s">
        <v>56</v>
      </c>
      <c r="D379" s="31">
        <v>46019</v>
      </c>
      <c r="E379" s="31">
        <v>46028</v>
      </c>
      <c r="F379" s="30" t="s">
        <v>110</v>
      </c>
      <c r="G379" s="30" t="s">
        <v>58</v>
      </c>
      <c r="H379" s="31">
        <v>28020</v>
      </c>
      <c r="I379" s="30" t="s">
        <v>147</v>
      </c>
      <c r="J379" s="30" t="s">
        <v>148</v>
      </c>
      <c r="K379" s="30" t="s">
        <v>39</v>
      </c>
      <c r="L379" s="30" t="s">
        <v>59</v>
      </c>
      <c r="M379" s="30">
        <v>9</v>
      </c>
      <c r="N379" s="30">
        <v>1200</v>
      </c>
      <c r="O379" s="30">
        <v>15</v>
      </c>
      <c r="P379" s="30">
        <v>9180</v>
      </c>
      <c r="Q379" s="30">
        <v>1</v>
      </c>
      <c r="R379" s="30" t="s">
        <v>65</v>
      </c>
      <c r="S379" s="30" t="s">
        <v>32</v>
      </c>
      <c r="T379" s="30" t="s">
        <v>66</v>
      </c>
      <c r="U379" s="30">
        <v>9450746157</v>
      </c>
      <c r="V379" s="38" t="s">
        <v>52</v>
      </c>
      <c r="W379" s="40" t="str" cm="1">
        <f t="array" ref="W379">_xlfn.IFS(AND(P379&gt;=100000,Q379&gt;=4,O379&lt;=0.1,V379="Completed"),"Platinum",AND(P379&gt;=50000,P379&lt;=99999,Q379&gt;=3,V379="Completed"),"Golde",AND(P379&lt;50000,V379="Completed"),"Silver",OR(Q379&lt;=2,V379="Cancelled"),"BlackListed",TRUE,"Other")</f>
        <v>BlackListed</v>
      </c>
    </row>
    <row r="380" spans="1:23" ht="15" thickBot="1" x14ac:dyDescent="0.4">
      <c r="A380" s="27" t="s">
        <v>509</v>
      </c>
      <c r="B380" s="27" t="s">
        <v>63</v>
      </c>
      <c r="C380" s="27" t="s">
        <v>125</v>
      </c>
      <c r="D380" s="28">
        <v>45931</v>
      </c>
      <c r="E380" s="28">
        <v>45933</v>
      </c>
      <c r="F380" s="27" t="s">
        <v>110</v>
      </c>
      <c r="G380" s="27" t="s">
        <v>58</v>
      </c>
      <c r="H380" s="28">
        <v>35421</v>
      </c>
      <c r="I380" s="27" t="s">
        <v>121</v>
      </c>
      <c r="J380" s="27" t="s">
        <v>38</v>
      </c>
      <c r="K380" s="27" t="s">
        <v>83</v>
      </c>
      <c r="L380" s="27" t="s">
        <v>127</v>
      </c>
      <c r="M380" s="27">
        <v>3</v>
      </c>
      <c r="N380" s="27">
        <v>20</v>
      </c>
      <c r="O380" s="27">
        <v>15</v>
      </c>
      <c r="P380" s="27">
        <v>51</v>
      </c>
      <c r="Q380" s="27">
        <v>3</v>
      </c>
      <c r="R380" s="27" t="s">
        <v>31</v>
      </c>
      <c r="S380" s="27" t="s">
        <v>80</v>
      </c>
      <c r="T380" s="27" t="s">
        <v>66</v>
      </c>
      <c r="U380" s="27">
        <v>9349012570</v>
      </c>
      <c r="V380" s="37" t="s">
        <v>52</v>
      </c>
      <c r="W380" s="40" t="str" cm="1">
        <f t="array" ref="W380">_xlfn.IFS(AND(P380&gt;=100000,Q380&gt;=4,O380&lt;=0.1,V380="Completed"),"Platinum",AND(P380&gt;=50000,P380&lt;=99999,Q380&gt;=3,V380="Completed"),"Golde",AND(P380&lt;50000,V380="Completed"),"Silver",OR(Q380&lt;=2,V380="Cancelled"),"BlackListed",TRUE,"Other")</f>
        <v>Other</v>
      </c>
    </row>
    <row r="381" spans="1:23" ht="15" thickBot="1" x14ac:dyDescent="0.4">
      <c r="A381" s="30" t="s">
        <v>510</v>
      </c>
      <c r="B381" s="30" t="s">
        <v>134</v>
      </c>
      <c r="C381" s="30" t="s">
        <v>46</v>
      </c>
      <c r="D381" s="31">
        <v>46009</v>
      </c>
      <c r="E381" s="31">
        <v>46010</v>
      </c>
      <c r="F381" s="30" t="s">
        <v>135</v>
      </c>
      <c r="G381" s="30" t="s">
        <v>26</v>
      </c>
      <c r="H381" s="31">
        <v>35058</v>
      </c>
      <c r="I381" s="30" t="s">
        <v>37</v>
      </c>
      <c r="J381" s="30" t="s">
        <v>38</v>
      </c>
      <c r="K381" s="30" t="s">
        <v>39</v>
      </c>
      <c r="L381" s="30" t="s">
        <v>49</v>
      </c>
      <c r="M381" s="30">
        <v>8</v>
      </c>
      <c r="N381" s="30">
        <v>55000</v>
      </c>
      <c r="O381" s="30">
        <v>20</v>
      </c>
      <c r="P381" s="30">
        <v>352000</v>
      </c>
      <c r="Q381" s="30">
        <v>5</v>
      </c>
      <c r="R381" s="30" t="s">
        <v>60</v>
      </c>
      <c r="S381" s="30" t="s">
        <v>96</v>
      </c>
      <c r="T381" s="30" t="s">
        <v>136</v>
      </c>
      <c r="U381" s="30">
        <v>9442163790</v>
      </c>
      <c r="V381" s="38" t="s">
        <v>52</v>
      </c>
      <c r="W381" s="40" t="str" cm="1">
        <f t="array" ref="W381">_xlfn.IFS(AND(P381&gt;=100000,Q381&gt;=4,O381&lt;=0.1,V381="Completed"),"Platinum",AND(P381&gt;=50000,P381&lt;=99999,Q381&gt;=3,V381="Completed"),"Golde",AND(P381&lt;50000,V381="Completed"),"Silver",OR(Q381&lt;=2,V381="Cancelled"),"BlackListed",TRUE,"Other")</f>
        <v>Other</v>
      </c>
    </row>
    <row r="382" spans="1:23" ht="15" thickBot="1" x14ac:dyDescent="0.4">
      <c r="A382" s="27" t="s">
        <v>511</v>
      </c>
      <c r="B382" s="27" t="s">
        <v>134</v>
      </c>
      <c r="C382" s="27" t="s">
        <v>82</v>
      </c>
      <c r="D382" s="28">
        <v>45929</v>
      </c>
      <c r="E382" s="28">
        <v>45937</v>
      </c>
      <c r="F382" s="27" t="s">
        <v>135</v>
      </c>
      <c r="G382" s="27" t="s">
        <v>26</v>
      </c>
      <c r="H382" s="28">
        <v>31221</v>
      </c>
      <c r="I382" s="27" t="s">
        <v>37</v>
      </c>
      <c r="J382" s="27" t="s">
        <v>38</v>
      </c>
      <c r="K382" s="27" t="s">
        <v>83</v>
      </c>
      <c r="L382" s="27" t="s">
        <v>84</v>
      </c>
      <c r="M382" s="27">
        <v>17</v>
      </c>
      <c r="N382" s="27">
        <v>60</v>
      </c>
      <c r="O382" s="27">
        <v>20</v>
      </c>
      <c r="P382" s="27">
        <v>816</v>
      </c>
      <c r="Q382" s="27">
        <v>1</v>
      </c>
      <c r="R382" s="27" t="s">
        <v>65</v>
      </c>
      <c r="S382" s="27" t="s">
        <v>32</v>
      </c>
      <c r="T382" s="27" t="s">
        <v>136</v>
      </c>
      <c r="U382" s="27">
        <v>9953329223</v>
      </c>
      <c r="V382" s="37" t="s">
        <v>52</v>
      </c>
      <c r="W382" s="40" t="str" cm="1">
        <f t="array" ref="W382">_xlfn.IFS(AND(P382&gt;=100000,Q382&gt;=4,O382&lt;=0.1,V382="Completed"),"Platinum",AND(P382&gt;=50000,P382&lt;=99999,Q382&gt;=3,V382="Completed"),"Golde",AND(P382&lt;50000,V382="Completed"),"Silver",OR(Q382&lt;=2,V382="Cancelled"),"BlackListed",TRUE,"Other")</f>
        <v>BlackListed</v>
      </c>
    </row>
    <row r="383" spans="1:23" ht="15" thickBot="1" x14ac:dyDescent="0.4">
      <c r="A383" s="30" t="s">
        <v>512</v>
      </c>
      <c r="B383" s="30" t="s">
        <v>87</v>
      </c>
      <c r="C383" s="30" t="s">
        <v>125</v>
      </c>
      <c r="D383" s="31">
        <v>45791</v>
      </c>
      <c r="E383" s="31">
        <v>45799</v>
      </c>
      <c r="F383" s="30" t="s">
        <v>88</v>
      </c>
      <c r="G383" s="30" t="s">
        <v>58</v>
      </c>
      <c r="H383" s="31">
        <v>30722</v>
      </c>
      <c r="I383" s="30" t="s">
        <v>48</v>
      </c>
      <c r="J383" s="30" t="s">
        <v>28</v>
      </c>
      <c r="K383" s="30" t="s">
        <v>83</v>
      </c>
      <c r="L383" s="30" t="s">
        <v>127</v>
      </c>
      <c r="M383" s="30">
        <v>4</v>
      </c>
      <c r="N383" s="30">
        <v>20</v>
      </c>
      <c r="O383" s="30">
        <v>15</v>
      </c>
      <c r="P383" s="30">
        <v>68</v>
      </c>
      <c r="Q383" s="30">
        <v>3</v>
      </c>
      <c r="R383" s="30" t="s">
        <v>41</v>
      </c>
      <c r="S383" s="30" t="s">
        <v>50</v>
      </c>
      <c r="T383" s="30" t="s">
        <v>89</v>
      </c>
      <c r="U383" s="30">
        <v>9202321359</v>
      </c>
      <c r="V383" s="38" t="s">
        <v>52</v>
      </c>
      <c r="W383" s="40" t="str" cm="1">
        <f t="array" ref="W383">_xlfn.IFS(AND(P383&gt;=100000,Q383&gt;=4,O383&lt;=0.1,V383="Completed"),"Platinum",AND(P383&gt;=50000,P383&lt;=99999,Q383&gt;=3,V383="Completed"),"Golde",AND(P383&lt;50000,V383="Completed"),"Silver",OR(Q383&lt;=2,V383="Cancelled"),"BlackListed",TRUE,"Other")</f>
        <v>Other</v>
      </c>
    </row>
    <row r="384" spans="1:23" ht="15" thickBot="1" x14ac:dyDescent="0.4">
      <c r="A384" s="27" t="s">
        <v>513</v>
      </c>
      <c r="B384" s="27" t="s">
        <v>87</v>
      </c>
      <c r="C384" s="27" t="s">
        <v>24</v>
      </c>
      <c r="D384" s="28">
        <v>45748</v>
      </c>
      <c r="E384" s="28">
        <v>45758</v>
      </c>
      <c r="F384" s="27" t="s">
        <v>88</v>
      </c>
      <c r="G384" s="27" t="s">
        <v>58</v>
      </c>
      <c r="H384" s="28">
        <v>37348</v>
      </c>
      <c r="I384" s="27" t="s">
        <v>147</v>
      </c>
      <c r="J384" s="27" t="s">
        <v>148</v>
      </c>
      <c r="K384" s="27" t="s">
        <v>29</v>
      </c>
      <c r="L384" s="27" t="s">
        <v>30</v>
      </c>
      <c r="M384" s="27">
        <v>2</v>
      </c>
      <c r="N384" s="27">
        <v>2200</v>
      </c>
      <c r="O384" s="27">
        <v>10</v>
      </c>
      <c r="P384" s="27">
        <v>3960</v>
      </c>
      <c r="Q384" s="27">
        <v>2</v>
      </c>
      <c r="R384" s="27" t="s">
        <v>65</v>
      </c>
      <c r="S384" s="27" t="s">
        <v>42</v>
      </c>
      <c r="T384" s="27" t="s">
        <v>89</v>
      </c>
      <c r="U384" s="27">
        <v>9812564160</v>
      </c>
      <c r="V384" s="37" t="s">
        <v>52</v>
      </c>
      <c r="W384" s="40" t="str" cm="1">
        <f t="array" ref="W384">_xlfn.IFS(AND(P384&gt;=100000,Q384&gt;=4,O384&lt;=0.1,V384="Completed"),"Platinum",AND(P384&gt;=50000,P384&lt;=99999,Q384&gt;=3,V384="Completed"),"Golde",AND(P384&lt;50000,V384="Completed"),"Silver",OR(Q384&lt;=2,V384="Cancelled"),"BlackListed",TRUE,"Other")</f>
        <v>BlackListed</v>
      </c>
    </row>
    <row r="385" spans="1:23" ht="15" thickBot="1" x14ac:dyDescent="0.4">
      <c r="A385" s="30" t="s">
        <v>514</v>
      </c>
      <c r="B385" s="30" t="s">
        <v>124</v>
      </c>
      <c r="C385" s="30" t="s">
        <v>82</v>
      </c>
      <c r="D385" s="31">
        <v>45754</v>
      </c>
      <c r="E385" s="31">
        <v>45765</v>
      </c>
      <c r="F385" s="30" t="s">
        <v>126</v>
      </c>
      <c r="G385" s="30" t="s">
        <v>58</v>
      </c>
      <c r="H385" s="31">
        <v>37819</v>
      </c>
      <c r="I385" s="30" t="s">
        <v>48</v>
      </c>
      <c r="J385" s="30" t="s">
        <v>28</v>
      </c>
      <c r="K385" s="30" t="s">
        <v>83</v>
      </c>
      <c r="L385" s="30" t="s">
        <v>84</v>
      </c>
      <c r="M385" s="30">
        <v>5</v>
      </c>
      <c r="N385" s="30">
        <v>60</v>
      </c>
      <c r="O385" s="30">
        <v>5</v>
      </c>
      <c r="P385" s="30">
        <v>285</v>
      </c>
      <c r="Q385" s="30">
        <v>1</v>
      </c>
      <c r="R385" s="30" t="s">
        <v>65</v>
      </c>
      <c r="S385" s="30" t="s">
        <v>32</v>
      </c>
      <c r="T385" s="30" t="s">
        <v>128</v>
      </c>
      <c r="U385" s="30">
        <v>9688458222</v>
      </c>
      <c r="V385" s="38" t="s">
        <v>53</v>
      </c>
      <c r="W385" s="40" t="str" cm="1">
        <f t="array" ref="W385">_xlfn.IFS(AND(P385&gt;=100000,Q385&gt;=4,O385&lt;=0.1,V385="Completed"),"Platinum",AND(P385&gt;=50000,P385&lt;=99999,Q385&gt;=3,V385="Completed"),"Golde",AND(P385&lt;50000,V385="Completed"),"Silver",OR(Q385&lt;=2,V385="Cancelled"),"BlackListed",TRUE,"Other")</f>
        <v>BlackListed</v>
      </c>
    </row>
    <row r="386" spans="1:23" ht="15" thickBot="1" x14ac:dyDescent="0.4">
      <c r="A386" s="27" t="s">
        <v>515</v>
      </c>
      <c r="B386" s="27" t="s">
        <v>87</v>
      </c>
      <c r="C386" s="27" t="s">
        <v>24</v>
      </c>
      <c r="D386" s="28">
        <v>46072</v>
      </c>
      <c r="E386" s="28">
        <v>46076</v>
      </c>
      <c r="F386" s="27" t="s">
        <v>88</v>
      </c>
      <c r="G386" s="27" t="s">
        <v>58</v>
      </c>
      <c r="H386" s="28">
        <v>33517</v>
      </c>
      <c r="I386" s="27" t="s">
        <v>37</v>
      </c>
      <c r="J386" s="27" t="s">
        <v>38</v>
      </c>
      <c r="K386" s="27" t="s">
        <v>29</v>
      </c>
      <c r="L386" s="27" t="s">
        <v>30</v>
      </c>
      <c r="M386" s="27">
        <v>17</v>
      </c>
      <c r="N386" s="27">
        <v>2200</v>
      </c>
      <c r="O386" s="27">
        <v>0</v>
      </c>
      <c r="P386" s="27">
        <v>37400</v>
      </c>
      <c r="Q386" s="27">
        <v>2</v>
      </c>
      <c r="R386" s="27" t="s">
        <v>65</v>
      </c>
      <c r="S386" s="27" t="s">
        <v>96</v>
      </c>
      <c r="T386" s="27" t="s">
        <v>89</v>
      </c>
      <c r="U386" s="27">
        <v>9634473337</v>
      </c>
      <c r="V386" s="37" t="s">
        <v>53</v>
      </c>
      <c r="W386" s="40" t="str" cm="1">
        <f t="array" ref="W386">_xlfn.IFS(AND(P386&gt;=100000,Q386&gt;=4,O386&lt;=0.1,V386="Completed"),"Platinum",AND(P386&gt;=50000,P386&lt;=99999,Q386&gt;=3,V386="Completed"),"Golde",AND(P386&lt;50000,V386="Completed"),"Silver",OR(Q386&lt;=2,V386="Cancelled"),"BlackListed",TRUE,"Other")</f>
        <v>BlackListed</v>
      </c>
    </row>
    <row r="387" spans="1:23" ht="15" thickBot="1" x14ac:dyDescent="0.4">
      <c r="A387" s="30" t="s">
        <v>516</v>
      </c>
      <c r="B387" s="30" t="s">
        <v>104</v>
      </c>
      <c r="C387" s="30" t="s">
        <v>82</v>
      </c>
      <c r="D387" s="31">
        <v>45995</v>
      </c>
      <c r="E387" s="31">
        <v>46002</v>
      </c>
      <c r="F387" s="30" t="s">
        <v>166</v>
      </c>
      <c r="G387" s="30" t="s">
        <v>26</v>
      </c>
      <c r="H387" s="31">
        <v>30686</v>
      </c>
      <c r="I387" s="30" t="s">
        <v>91</v>
      </c>
      <c r="J387" s="30" t="s">
        <v>75</v>
      </c>
      <c r="K387" s="30" t="s">
        <v>83</v>
      </c>
      <c r="L387" s="30" t="s">
        <v>84</v>
      </c>
      <c r="M387" s="30">
        <v>7</v>
      </c>
      <c r="N387" s="30">
        <v>60</v>
      </c>
      <c r="O387" s="30">
        <v>0</v>
      </c>
      <c r="P387" s="30">
        <v>420</v>
      </c>
      <c r="Q387" s="30">
        <v>2</v>
      </c>
      <c r="R387" s="30" t="s">
        <v>65</v>
      </c>
      <c r="S387" s="30" t="s">
        <v>50</v>
      </c>
      <c r="T387" s="30" t="s">
        <v>108</v>
      </c>
      <c r="U387" s="30">
        <v>9608737026</v>
      </c>
      <c r="V387" s="38" t="s">
        <v>52</v>
      </c>
      <c r="W387" s="40" t="str" cm="1">
        <f t="array" ref="W387">_xlfn.IFS(AND(P387&gt;=100000,Q387&gt;=4,O387&lt;=0.1,V387="Completed"),"Platinum",AND(P387&gt;=50000,P387&lt;=99999,Q387&gt;=3,V387="Completed"),"Golde",AND(P387&lt;50000,V387="Completed"),"Silver",OR(Q387&lt;=2,V387="Cancelled"),"BlackListed",TRUE,"Other")</f>
        <v>BlackListed</v>
      </c>
    </row>
    <row r="388" spans="1:23" ht="15" thickBot="1" x14ac:dyDescent="0.4">
      <c r="A388" s="27" t="s">
        <v>517</v>
      </c>
      <c r="B388" s="27" t="s">
        <v>124</v>
      </c>
      <c r="C388" s="27" t="s">
        <v>46</v>
      </c>
      <c r="D388" s="28">
        <v>45950</v>
      </c>
      <c r="E388" s="28">
        <v>45954</v>
      </c>
      <c r="F388" s="27" t="s">
        <v>126</v>
      </c>
      <c r="G388" s="27" t="s">
        <v>58</v>
      </c>
      <c r="H388" s="28">
        <v>27465</v>
      </c>
      <c r="I388" s="27" t="s">
        <v>27</v>
      </c>
      <c r="J388" s="27" t="s">
        <v>28</v>
      </c>
      <c r="K388" s="27" t="s">
        <v>39</v>
      </c>
      <c r="L388" s="27" t="s">
        <v>49</v>
      </c>
      <c r="M388" s="27">
        <v>6</v>
      </c>
      <c r="N388" s="27">
        <v>55000</v>
      </c>
      <c r="O388" s="27">
        <v>5</v>
      </c>
      <c r="P388" s="27">
        <v>313500</v>
      </c>
      <c r="Q388" s="27">
        <v>4</v>
      </c>
      <c r="R388" s="27" t="s">
        <v>60</v>
      </c>
      <c r="S388" s="27" t="s">
        <v>50</v>
      </c>
      <c r="T388" s="27" t="s">
        <v>128</v>
      </c>
      <c r="U388" s="27">
        <v>9804498139</v>
      </c>
      <c r="V388" s="35" t="s">
        <v>34</v>
      </c>
      <c r="W388" s="40" t="str" cm="1">
        <f t="array" ref="W388">_xlfn.IFS(AND(P388&gt;=100000,Q388&gt;=4,O388&lt;=0.1,V388="Completed"),"Platinum",AND(P388&gt;=50000,P388&lt;=99999,Q388&gt;=3,V388="Completed"),"Golde",AND(P388&lt;50000,V388="Completed"),"Silver",OR(Q388&lt;=2,V388="Cancelled"),"BlackListed",TRUE,"Other")</f>
        <v>Other</v>
      </c>
    </row>
    <row r="389" spans="1:23" ht="15" thickBot="1" x14ac:dyDescent="0.4">
      <c r="A389" s="30" t="s">
        <v>518</v>
      </c>
      <c r="B389" s="30" t="s">
        <v>55</v>
      </c>
      <c r="C389" s="30" t="s">
        <v>125</v>
      </c>
      <c r="D389" s="31">
        <v>46043</v>
      </c>
      <c r="E389" s="31">
        <v>46047</v>
      </c>
      <c r="F389" s="30" t="s">
        <v>57</v>
      </c>
      <c r="G389" s="30" t="s">
        <v>58</v>
      </c>
      <c r="H389" s="31">
        <v>30390</v>
      </c>
      <c r="I389" s="30" t="s">
        <v>27</v>
      </c>
      <c r="J389" s="30" t="s">
        <v>28</v>
      </c>
      <c r="K389" s="30" t="s">
        <v>83</v>
      </c>
      <c r="L389" s="30" t="s">
        <v>127</v>
      </c>
      <c r="M389" s="30">
        <v>16</v>
      </c>
      <c r="N389" s="30">
        <v>20</v>
      </c>
      <c r="O389" s="30">
        <v>5</v>
      </c>
      <c r="P389" s="30">
        <v>304</v>
      </c>
      <c r="Q389" s="30">
        <v>1</v>
      </c>
      <c r="R389" s="30" t="s">
        <v>60</v>
      </c>
      <c r="S389" s="30" t="s">
        <v>42</v>
      </c>
      <c r="T389" s="30" t="s">
        <v>61</v>
      </c>
      <c r="U389" s="30">
        <v>9798643580</v>
      </c>
      <c r="V389" s="36" t="s">
        <v>34</v>
      </c>
      <c r="W389" s="40" t="str" cm="1">
        <f t="array" ref="W389">_xlfn.IFS(AND(P389&gt;=100000,Q389&gt;=4,O389&lt;=0.1,V389="Completed"),"Platinum",AND(P389&gt;=50000,P389&lt;=99999,Q389&gt;=3,V389="Completed"),"Golde",AND(P389&lt;50000,V389="Completed"),"Silver",OR(Q389&lt;=2,V389="Cancelled"),"BlackListed",TRUE,"Other")</f>
        <v>Silver</v>
      </c>
    </row>
    <row r="390" spans="1:23" ht="15" thickBot="1" x14ac:dyDescent="0.4">
      <c r="A390" s="27" t="s">
        <v>519</v>
      </c>
      <c r="B390" s="27" t="s">
        <v>23</v>
      </c>
      <c r="C390" s="27" t="s">
        <v>24</v>
      </c>
      <c r="D390" s="28">
        <v>45682</v>
      </c>
      <c r="E390" s="28">
        <v>45685</v>
      </c>
      <c r="F390" s="27" t="s">
        <v>25</v>
      </c>
      <c r="G390" s="27" t="s">
        <v>26</v>
      </c>
      <c r="H390" s="28">
        <v>27870</v>
      </c>
      <c r="I390" s="27" t="s">
        <v>147</v>
      </c>
      <c r="J390" s="27" t="s">
        <v>148</v>
      </c>
      <c r="K390" s="27" t="s">
        <v>29</v>
      </c>
      <c r="L390" s="27" t="s">
        <v>30</v>
      </c>
      <c r="M390" s="27">
        <v>11</v>
      </c>
      <c r="N390" s="27">
        <v>2200</v>
      </c>
      <c r="O390" s="27">
        <v>15</v>
      </c>
      <c r="P390" s="27">
        <v>20570</v>
      </c>
      <c r="Q390" s="27">
        <v>1</v>
      </c>
      <c r="R390" s="27" t="s">
        <v>41</v>
      </c>
      <c r="S390" s="27" t="s">
        <v>80</v>
      </c>
      <c r="T390" s="27" t="s">
        <v>43</v>
      </c>
      <c r="U390" s="27">
        <v>9809823278</v>
      </c>
      <c r="V390" s="37" t="s">
        <v>53</v>
      </c>
      <c r="W390" s="40" t="str" cm="1">
        <f t="array" ref="W390">_xlfn.IFS(AND(P390&gt;=100000,Q390&gt;=4,O390&lt;=0.1,V390="Completed"),"Platinum",AND(P390&gt;=50000,P390&lt;=99999,Q390&gt;=3,V390="Completed"),"Golde",AND(P390&lt;50000,V390="Completed"),"Silver",OR(Q390&lt;=2,V390="Cancelled"),"BlackListed",TRUE,"Other")</f>
        <v>BlackListed</v>
      </c>
    </row>
    <row r="391" spans="1:23" ht="15" thickBot="1" x14ac:dyDescent="0.4">
      <c r="A391" s="30" t="s">
        <v>520</v>
      </c>
      <c r="B391" s="30" t="s">
        <v>72</v>
      </c>
      <c r="C391" s="30" t="s">
        <v>125</v>
      </c>
      <c r="D391" s="31">
        <v>45716</v>
      </c>
      <c r="E391" s="31">
        <v>45718</v>
      </c>
      <c r="F391" s="30" t="s">
        <v>73</v>
      </c>
      <c r="G391" s="30" t="s">
        <v>26</v>
      </c>
      <c r="H391" s="31">
        <v>31454</v>
      </c>
      <c r="I391" s="30" t="s">
        <v>79</v>
      </c>
      <c r="J391" s="30" t="s">
        <v>75</v>
      </c>
      <c r="K391" s="30" t="s">
        <v>83</v>
      </c>
      <c r="L391" s="30" t="s">
        <v>127</v>
      </c>
      <c r="M391" s="30">
        <v>19</v>
      </c>
      <c r="N391" s="30">
        <v>20</v>
      </c>
      <c r="O391" s="30">
        <v>5</v>
      </c>
      <c r="P391" s="30">
        <v>361</v>
      </c>
      <c r="Q391" s="30">
        <v>4</v>
      </c>
      <c r="R391" s="30" t="s">
        <v>65</v>
      </c>
      <c r="S391" s="30" t="s">
        <v>32</v>
      </c>
      <c r="T391" s="30" t="s">
        <v>93</v>
      </c>
      <c r="U391" s="30">
        <v>9177767854</v>
      </c>
      <c r="V391" s="38" t="s">
        <v>52</v>
      </c>
      <c r="W391" s="40" t="str" cm="1">
        <f t="array" ref="W391">_xlfn.IFS(AND(P391&gt;=100000,Q391&gt;=4,O391&lt;=0.1,V391="Completed"),"Platinum",AND(P391&gt;=50000,P391&lt;=99999,Q391&gt;=3,V391="Completed"),"Golde",AND(P391&lt;50000,V391="Completed"),"Silver",OR(Q391&lt;=2,V391="Cancelled"),"BlackListed",TRUE,"Other")</f>
        <v>Other</v>
      </c>
    </row>
    <row r="392" spans="1:23" ht="15" thickBot="1" x14ac:dyDescent="0.4">
      <c r="A392" s="27" t="s">
        <v>521</v>
      </c>
      <c r="B392" s="27" t="s">
        <v>72</v>
      </c>
      <c r="C392" s="27" t="s">
        <v>56</v>
      </c>
      <c r="D392" s="28">
        <v>45828</v>
      </c>
      <c r="E392" s="28">
        <v>45829</v>
      </c>
      <c r="F392" s="27" t="s">
        <v>73</v>
      </c>
      <c r="G392" s="27" t="s">
        <v>26</v>
      </c>
      <c r="H392" s="28">
        <v>28570</v>
      </c>
      <c r="I392" s="27" t="s">
        <v>79</v>
      </c>
      <c r="J392" s="27" t="s">
        <v>75</v>
      </c>
      <c r="K392" s="27" t="s">
        <v>39</v>
      </c>
      <c r="L392" s="27" t="s">
        <v>59</v>
      </c>
      <c r="M392" s="27">
        <v>20</v>
      </c>
      <c r="N392" s="27">
        <v>1200</v>
      </c>
      <c r="O392" s="27">
        <v>15</v>
      </c>
      <c r="P392" s="27">
        <v>20400</v>
      </c>
      <c r="Q392" s="27">
        <v>4</v>
      </c>
      <c r="R392" s="27" t="s">
        <v>60</v>
      </c>
      <c r="S392" s="27" t="s">
        <v>32</v>
      </c>
      <c r="T392" s="27" t="s">
        <v>93</v>
      </c>
      <c r="U392" s="27">
        <v>9643440006</v>
      </c>
      <c r="V392" s="37" t="s">
        <v>52</v>
      </c>
      <c r="W392" s="40" t="str" cm="1">
        <f t="array" ref="W392">_xlfn.IFS(AND(P392&gt;=100000,Q392&gt;=4,O392&lt;=0.1,V392="Completed"),"Platinum",AND(P392&gt;=50000,P392&lt;=99999,Q392&gt;=3,V392="Completed"),"Golde",AND(P392&lt;50000,V392="Completed"),"Silver",OR(Q392&lt;=2,V392="Cancelled"),"BlackListed",TRUE,"Other")</f>
        <v>Other</v>
      </c>
    </row>
    <row r="393" spans="1:23" ht="15" thickBot="1" x14ac:dyDescent="0.4">
      <c r="A393" s="30" t="s">
        <v>522</v>
      </c>
      <c r="B393" s="30" t="s">
        <v>45</v>
      </c>
      <c r="C393" s="30" t="s">
        <v>125</v>
      </c>
      <c r="D393" s="31">
        <v>45805</v>
      </c>
      <c r="E393" s="31">
        <v>45814</v>
      </c>
      <c r="F393" s="30" t="s">
        <v>101</v>
      </c>
      <c r="G393" s="30" t="s">
        <v>26</v>
      </c>
      <c r="H393" s="31">
        <v>35258</v>
      </c>
      <c r="I393" s="30" t="s">
        <v>27</v>
      </c>
      <c r="J393" s="30" t="s">
        <v>28</v>
      </c>
      <c r="K393" s="30" t="s">
        <v>83</v>
      </c>
      <c r="L393" s="30" t="s">
        <v>127</v>
      </c>
      <c r="M393" s="30">
        <v>13</v>
      </c>
      <c r="N393" s="30">
        <v>20</v>
      </c>
      <c r="O393" s="30">
        <v>15</v>
      </c>
      <c r="P393" s="30">
        <v>221</v>
      </c>
      <c r="Q393" s="30">
        <v>4</v>
      </c>
      <c r="R393" s="30" t="s">
        <v>31</v>
      </c>
      <c r="S393" s="30" t="s">
        <v>32</v>
      </c>
      <c r="T393" s="30" t="s">
        <v>51</v>
      </c>
      <c r="U393" s="30">
        <v>9673698825</v>
      </c>
      <c r="V393" s="38" t="s">
        <v>52</v>
      </c>
      <c r="W393" s="40" t="str" cm="1">
        <f t="array" ref="W393">_xlfn.IFS(AND(P393&gt;=100000,Q393&gt;=4,O393&lt;=0.1,V393="Completed"),"Platinum",AND(P393&gt;=50000,P393&lt;=99999,Q393&gt;=3,V393="Completed"),"Golde",AND(P393&lt;50000,V393="Completed"),"Silver",OR(Q393&lt;=2,V393="Cancelled"),"BlackListed",TRUE,"Other")</f>
        <v>Other</v>
      </c>
    </row>
    <row r="394" spans="1:23" ht="15" thickBot="1" x14ac:dyDescent="0.4">
      <c r="A394" s="27" t="s">
        <v>523</v>
      </c>
      <c r="B394" s="27" t="s">
        <v>134</v>
      </c>
      <c r="C394" s="27" t="s">
        <v>56</v>
      </c>
      <c r="D394" s="28">
        <v>45660</v>
      </c>
      <c r="E394" s="28">
        <v>45665</v>
      </c>
      <c r="F394" s="27" t="s">
        <v>135</v>
      </c>
      <c r="G394" s="27" t="s">
        <v>26</v>
      </c>
      <c r="H394" s="28">
        <v>33940</v>
      </c>
      <c r="I394" s="27" t="s">
        <v>37</v>
      </c>
      <c r="J394" s="27" t="s">
        <v>38</v>
      </c>
      <c r="K394" s="27" t="s">
        <v>39</v>
      </c>
      <c r="L394" s="27" t="s">
        <v>59</v>
      </c>
      <c r="M394" s="27">
        <v>12</v>
      </c>
      <c r="N394" s="27">
        <v>1200</v>
      </c>
      <c r="O394" s="27">
        <v>10</v>
      </c>
      <c r="P394" s="27">
        <v>12960</v>
      </c>
      <c r="Q394" s="27">
        <v>3</v>
      </c>
      <c r="R394" s="27" t="s">
        <v>41</v>
      </c>
      <c r="S394" s="27" t="s">
        <v>32</v>
      </c>
      <c r="T394" s="27" t="s">
        <v>136</v>
      </c>
      <c r="U394" s="27">
        <v>9706238784</v>
      </c>
      <c r="V394" s="37" t="s">
        <v>52</v>
      </c>
      <c r="W394" s="40" t="str" cm="1">
        <f t="array" ref="W394">_xlfn.IFS(AND(P394&gt;=100000,Q394&gt;=4,O394&lt;=0.1,V394="Completed"),"Platinum",AND(P394&gt;=50000,P394&lt;=99999,Q394&gt;=3,V394="Completed"),"Golde",AND(P394&lt;50000,V394="Completed"),"Silver",OR(Q394&lt;=2,V394="Cancelled"),"BlackListed",TRUE,"Other")</f>
        <v>Other</v>
      </c>
    </row>
    <row r="395" spans="1:23" ht="15" thickBot="1" x14ac:dyDescent="0.4">
      <c r="A395" s="30" t="s">
        <v>524</v>
      </c>
      <c r="B395" s="30" t="s">
        <v>72</v>
      </c>
      <c r="C395" s="30" t="s">
        <v>105</v>
      </c>
      <c r="D395" s="31">
        <v>45685</v>
      </c>
      <c r="E395" s="31">
        <v>45686</v>
      </c>
      <c r="F395" s="30" t="s">
        <v>73</v>
      </c>
      <c r="G395" s="30" t="s">
        <v>26</v>
      </c>
      <c r="H395" s="31">
        <v>35147</v>
      </c>
      <c r="I395" s="30" t="s">
        <v>147</v>
      </c>
      <c r="J395" s="30" t="s">
        <v>148</v>
      </c>
      <c r="K395" s="30" t="s">
        <v>29</v>
      </c>
      <c r="L395" s="30" t="s">
        <v>107</v>
      </c>
      <c r="M395" s="30">
        <v>6</v>
      </c>
      <c r="N395" s="30">
        <v>8500</v>
      </c>
      <c r="O395" s="30">
        <v>5</v>
      </c>
      <c r="P395" s="30">
        <v>48450</v>
      </c>
      <c r="Q395" s="30">
        <v>5</v>
      </c>
      <c r="R395" s="30" t="s">
        <v>31</v>
      </c>
      <c r="S395" s="30" t="s">
        <v>80</v>
      </c>
      <c r="T395" s="30" t="s">
        <v>93</v>
      </c>
      <c r="U395" s="30">
        <v>9132959877</v>
      </c>
      <c r="V395" s="38" t="s">
        <v>53</v>
      </c>
      <c r="W395" s="40" t="str" cm="1">
        <f t="array" ref="W395">_xlfn.IFS(AND(P395&gt;=100000,Q395&gt;=4,O395&lt;=0.1,V395="Completed"),"Platinum",AND(P395&gt;=50000,P395&lt;=99999,Q395&gt;=3,V395="Completed"),"Golde",AND(P395&lt;50000,V395="Completed"),"Silver",OR(Q395&lt;=2,V395="Cancelled"),"BlackListed",TRUE,"Other")</f>
        <v>BlackListed</v>
      </c>
    </row>
    <row r="396" spans="1:23" ht="15" thickBot="1" x14ac:dyDescent="0.4">
      <c r="A396" s="27" t="s">
        <v>525</v>
      </c>
      <c r="B396" s="27" t="s">
        <v>23</v>
      </c>
      <c r="C396" s="27" t="s">
        <v>105</v>
      </c>
      <c r="D396" s="28">
        <v>46071</v>
      </c>
      <c r="E396" s="28">
        <v>46079</v>
      </c>
      <c r="F396" s="27" t="s">
        <v>25</v>
      </c>
      <c r="G396" s="27" t="s">
        <v>26</v>
      </c>
      <c r="H396" s="28">
        <v>34508</v>
      </c>
      <c r="I396" s="27" t="s">
        <v>91</v>
      </c>
      <c r="J396" s="27" t="s">
        <v>75</v>
      </c>
      <c r="K396" s="27" t="s">
        <v>29</v>
      </c>
      <c r="L396" s="27" t="s">
        <v>107</v>
      </c>
      <c r="M396" s="27">
        <v>15</v>
      </c>
      <c r="N396" s="27">
        <v>8500</v>
      </c>
      <c r="O396" s="27">
        <v>10</v>
      </c>
      <c r="P396" s="27">
        <v>114750</v>
      </c>
      <c r="Q396" s="27">
        <v>1</v>
      </c>
      <c r="R396" s="27" t="s">
        <v>31</v>
      </c>
      <c r="S396" s="27" t="s">
        <v>80</v>
      </c>
      <c r="T396" s="27" t="s">
        <v>43</v>
      </c>
      <c r="U396" s="27">
        <v>9295011645</v>
      </c>
      <c r="V396" s="35" t="s">
        <v>34</v>
      </c>
      <c r="W396" s="40" t="str" cm="1">
        <f t="array" ref="W396">_xlfn.IFS(AND(P396&gt;=100000,Q396&gt;=4,O396&lt;=0.1,V396="Completed"),"Platinum",AND(P396&gt;=50000,P396&lt;=99999,Q396&gt;=3,V396="Completed"),"Golde",AND(P396&lt;50000,V396="Completed"),"Silver",OR(Q396&lt;=2,V396="Cancelled"),"BlackListed",TRUE,"Other")</f>
        <v>BlackListed</v>
      </c>
    </row>
    <row r="397" spans="1:23" ht="15" thickBot="1" x14ac:dyDescent="0.4">
      <c r="A397" s="30" t="s">
        <v>526</v>
      </c>
      <c r="B397" s="30" t="s">
        <v>87</v>
      </c>
      <c r="C397" s="30" t="s">
        <v>36</v>
      </c>
      <c r="D397" s="31">
        <v>45872</v>
      </c>
      <c r="E397" s="31">
        <v>45884</v>
      </c>
      <c r="F397" s="30" t="s">
        <v>88</v>
      </c>
      <c r="G397" s="30" t="s">
        <v>58</v>
      </c>
      <c r="H397" s="31">
        <v>29253</v>
      </c>
      <c r="I397" s="30" t="s">
        <v>27</v>
      </c>
      <c r="J397" s="30" t="s">
        <v>28</v>
      </c>
      <c r="K397" s="30" t="s">
        <v>39</v>
      </c>
      <c r="L397" s="30" t="s">
        <v>40</v>
      </c>
      <c r="M397" s="30">
        <v>19</v>
      </c>
      <c r="N397" s="30">
        <v>12000</v>
      </c>
      <c r="O397" s="30">
        <v>20</v>
      </c>
      <c r="P397" s="30">
        <v>182400</v>
      </c>
      <c r="Q397" s="30">
        <v>5</v>
      </c>
      <c r="R397" s="30" t="s">
        <v>31</v>
      </c>
      <c r="S397" s="30" t="s">
        <v>80</v>
      </c>
      <c r="T397" s="30" t="s">
        <v>89</v>
      </c>
      <c r="U397" s="30">
        <v>9677606427</v>
      </c>
      <c r="V397" s="36" t="s">
        <v>34</v>
      </c>
      <c r="W397" s="40" t="str" cm="1">
        <f t="array" ref="W397">_xlfn.IFS(AND(P397&gt;=100000,Q397&gt;=4,O397&lt;=0.1,V397="Completed"),"Platinum",AND(P397&gt;=50000,P397&lt;=99999,Q397&gt;=3,V397="Completed"),"Golde",AND(P397&lt;50000,V397="Completed"),"Silver",OR(Q397&lt;=2,V397="Cancelled"),"BlackListed",TRUE,"Other")</f>
        <v>Other</v>
      </c>
    </row>
    <row r="398" spans="1:23" ht="15" thickBot="1" x14ac:dyDescent="0.4">
      <c r="A398" s="27" t="s">
        <v>527</v>
      </c>
      <c r="B398" s="27" t="s">
        <v>63</v>
      </c>
      <c r="C398" s="27" t="s">
        <v>112</v>
      </c>
      <c r="D398" s="28">
        <v>45672</v>
      </c>
      <c r="E398" s="28">
        <v>45675</v>
      </c>
      <c r="F398" s="27" t="s">
        <v>110</v>
      </c>
      <c r="G398" s="27" t="s">
        <v>58</v>
      </c>
      <c r="H398" s="28">
        <v>33109</v>
      </c>
      <c r="I398" s="27" t="s">
        <v>37</v>
      </c>
      <c r="J398" s="27" t="s">
        <v>38</v>
      </c>
      <c r="K398" s="27" t="s">
        <v>39</v>
      </c>
      <c r="L398" s="27" t="s">
        <v>114</v>
      </c>
      <c r="M398" s="27">
        <v>5</v>
      </c>
      <c r="N398" s="27">
        <v>700</v>
      </c>
      <c r="O398" s="27">
        <v>0</v>
      </c>
      <c r="P398" s="27">
        <v>3500</v>
      </c>
      <c r="Q398" s="27">
        <v>2</v>
      </c>
      <c r="R398" s="27" t="s">
        <v>60</v>
      </c>
      <c r="S398" s="27" t="s">
        <v>50</v>
      </c>
      <c r="T398" s="27" t="s">
        <v>66</v>
      </c>
      <c r="U398" s="27">
        <v>9161631566</v>
      </c>
      <c r="V398" s="37" t="s">
        <v>53</v>
      </c>
      <c r="W398" s="40" t="str" cm="1">
        <f t="array" ref="W398">_xlfn.IFS(AND(P398&gt;=100000,Q398&gt;=4,O398&lt;=0.1,V398="Completed"),"Platinum",AND(P398&gt;=50000,P398&lt;=99999,Q398&gt;=3,V398="Completed"),"Golde",AND(P398&lt;50000,V398="Completed"),"Silver",OR(Q398&lt;=2,V398="Cancelled"),"BlackListed",TRUE,"Other")</f>
        <v>BlackListed</v>
      </c>
    </row>
    <row r="399" spans="1:23" ht="15" thickBot="1" x14ac:dyDescent="0.4">
      <c r="A399" s="30" t="s">
        <v>528</v>
      </c>
      <c r="B399" s="30" t="s">
        <v>63</v>
      </c>
      <c r="C399" s="30" t="s">
        <v>36</v>
      </c>
      <c r="D399" s="31">
        <v>45688</v>
      </c>
      <c r="E399" s="31">
        <v>45692</v>
      </c>
      <c r="F399" s="30" t="s">
        <v>110</v>
      </c>
      <c r="G399" s="30" t="s">
        <v>58</v>
      </c>
      <c r="H399" s="31">
        <v>28834</v>
      </c>
      <c r="I399" s="30" t="s">
        <v>147</v>
      </c>
      <c r="J399" s="30" t="s">
        <v>148</v>
      </c>
      <c r="K399" s="30" t="s">
        <v>39</v>
      </c>
      <c r="L399" s="30" t="s">
        <v>40</v>
      </c>
      <c r="M399" s="30">
        <v>19</v>
      </c>
      <c r="N399" s="30">
        <v>12000</v>
      </c>
      <c r="O399" s="30">
        <v>0</v>
      </c>
      <c r="P399" s="30">
        <v>228000</v>
      </c>
      <c r="Q399" s="30">
        <v>4</v>
      </c>
      <c r="R399" s="30" t="s">
        <v>65</v>
      </c>
      <c r="S399" s="30" t="s">
        <v>50</v>
      </c>
      <c r="T399" s="30" t="s">
        <v>66</v>
      </c>
      <c r="U399" s="30">
        <v>9136906750</v>
      </c>
      <c r="V399" s="38" t="s">
        <v>52</v>
      </c>
      <c r="W399" s="40" t="str" cm="1">
        <f t="array" ref="W399">_xlfn.IFS(AND(P399&gt;=100000,Q399&gt;=4,O399&lt;=0.1,V399="Completed"),"Platinum",AND(P399&gt;=50000,P399&lt;=99999,Q399&gt;=3,V399="Completed"),"Golde",AND(P399&lt;50000,V399="Completed"),"Silver",OR(Q399&lt;=2,V399="Cancelled"),"BlackListed",TRUE,"Other")</f>
        <v>Other</v>
      </c>
    </row>
    <row r="400" spans="1:23" ht="15" thickBot="1" x14ac:dyDescent="0.4">
      <c r="A400" s="27" t="s">
        <v>529</v>
      </c>
      <c r="B400" s="27" t="s">
        <v>156</v>
      </c>
      <c r="C400" s="27" t="s">
        <v>112</v>
      </c>
      <c r="D400" s="27"/>
      <c r="E400" s="28">
        <v>45964</v>
      </c>
      <c r="F400" s="27" t="s">
        <v>106</v>
      </c>
      <c r="G400" s="27" t="s">
        <v>58</v>
      </c>
      <c r="H400" s="28">
        <v>29099</v>
      </c>
      <c r="I400" s="27" t="s">
        <v>48</v>
      </c>
      <c r="J400" s="27" t="s">
        <v>28</v>
      </c>
      <c r="K400" s="27" t="s">
        <v>39</v>
      </c>
      <c r="L400" s="27" t="s">
        <v>114</v>
      </c>
      <c r="M400" s="27">
        <v>12</v>
      </c>
      <c r="N400" s="27">
        <v>700</v>
      </c>
      <c r="O400" s="27">
        <v>15</v>
      </c>
      <c r="P400" s="27">
        <v>7140</v>
      </c>
      <c r="Q400" s="27">
        <v>3</v>
      </c>
      <c r="R400" s="27" t="s">
        <v>60</v>
      </c>
      <c r="S400" s="27" t="s">
        <v>32</v>
      </c>
      <c r="T400" s="27" t="s">
        <v>158</v>
      </c>
      <c r="U400" s="27">
        <v>9485286324</v>
      </c>
      <c r="V400" s="35" t="s">
        <v>34</v>
      </c>
      <c r="W400" s="40" t="str" cm="1">
        <f t="array" ref="W400">_xlfn.IFS(AND(P400&gt;=100000,Q400&gt;=4,O400&lt;=0.1,V400="Completed"),"Platinum",AND(P400&gt;=50000,P400&lt;=99999,Q400&gt;=3,V400="Completed"),"Golde",AND(P400&lt;50000,V400="Completed"),"Silver",OR(Q400&lt;=2,V400="Cancelled"),"BlackListed",TRUE,"Other")</f>
        <v>Silver</v>
      </c>
    </row>
    <row r="401" spans="1:23" ht="15" thickBot="1" x14ac:dyDescent="0.4">
      <c r="A401" s="30" t="s">
        <v>530</v>
      </c>
      <c r="B401" s="30" t="s">
        <v>23</v>
      </c>
      <c r="C401" s="30" t="s">
        <v>56</v>
      </c>
      <c r="D401" s="31">
        <v>45790</v>
      </c>
      <c r="E401" s="31">
        <v>45798</v>
      </c>
      <c r="F401" s="30" t="s">
        <v>25</v>
      </c>
      <c r="G401" s="30" t="s">
        <v>26</v>
      </c>
      <c r="H401" s="31">
        <v>36989</v>
      </c>
      <c r="I401" s="30" t="s">
        <v>37</v>
      </c>
      <c r="J401" s="30" t="s">
        <v>38</v>
      </c>
      <c r="K401" s="30" t="s">
        <v>39</v>
      </c>
      <c r="L401" s="30" t="s">
        <v>59</v>
      </c>
      <c r="M401" s="30">
        <v>16</v>
      </c>
      <c r="N401" s="30">
        <v>1200</v>
      </c>
      <c r="O401" s="30">
        <v>20</v>
      </c>
      <c r="P401" s="30">
        <v>15360</v>
      </c>
      <c r="Q401" s="30">
        <v>1</v>
      </c>
      <c r="R401" s="30" t="s">
        <v>31</v>
      </c>
      <c r="S401" s="30" t="s">
        <v>42</v>
      </c>
      <c r="T401" s="30" t="s">
        <v>43</v>
      </c>
      <c r="U401" s="30">
        <v>9414633966</v>
      </c>
      <c r="V401" s="38" t="s">
        <v>52</v>
      </c>
      <c r="W401" s="40" t="str" cm="1">
        <f t="array" ref="W401">_xlfn.IFS(AND(P401&gt;=100000,Q401&gt;=4,O401&lt;=0.1,V401="Completed"),"Platinum",AND(P401&gt;=50000,P401&lt;=99999,Q401&gt;=3,V401="Completed"),"Golde",AND(P401&lt;50000,V401="Completed"),"Silver",OR(Q401&lt;=2,V401="Cancelled"),"BlackListed",TRUE,"Other")</f>
        <v>BlackListed</v>
      </c>
    </row>
    <row r="402" spans="1:23" ht="15" thickBot="1" x14ac:dyDescent="0.4">
      <c r="A402" s="27" t="s">
        <v>531</v>
      </c>
      <c r="B402" s="27" t="s">
        <v>55</v>
      </c>
      <c r="C402" s="27" t="s">
        <v>105</v>
      </c>
      <c r="D402" s="28">
        <v>46018</v>
      </c>
      <c r="E402" s="28">
        <v>46026</v>
      </c>
      <c r="F402" s="27" t="s">
        <v>57</v>
      </c>
      <c r="G402" s="27" t="s">
        <v>58</v>
      </c>
      <c r="H402" s="28">
        <v>30317</v>
      </c>
      <c r="I402" s="27" t="s">
        <v>27</v>
      </c>
      <c r="J402" s="27" t="s">
        <v>28</v>
      </c>
      <c r="K402" s="27" t="s">
        <v>29</v>
      </c>
      <c r="L402" s="27" t="s">
        <v>107</v>
      </c>
      <c r="M402" s="27">
        <v>10</v>
      </c>
      <c r="N402" s="27">
        <v>8500</v>
      </c>
      <c r="O402" s="27">
        <v>5</v>
      </c>
      <c r="P402" s="27">
        <v>80750</v>
      </c>
      <c r="Q402" s="27">
        <v>5</v>
      </c>
      <c r="R402" s="27" t="s">
        <v>41</v>
      </c>
      <c r="S402" s="27" t="s">
        <v>32</v>
      </c>
      <c r="T402" s="27" t="s">
        <v>61</v>
      </c>
      <c r="U402" s="27">
        <v>9833735234</v>
      </c>
      <c r="V402" s="35" t="s">
        <v>34</v>
      </c>
      <c r="W402" s="40" t="str" cm="1">
        <f t="array" ref="W402">_xlfn.IFS(AND(P402&gt;=100000,Q402&gt;=4,O402&lt;=0.1,V402="Completed"),"Platinum",AND(P402&gt;=50000,P402&lt;=99999,Q402&gt;=3,V402="Completed"),"Golde",AND(P402&lt;50000,V402="Completed"),"Silver",OR(Q402&lt;=2,V402="Cancelled"),"BlackListed",TRUE,"Other")</f>
        <v>Golde</v>
      </c>
    </row>
    <row r="403" spans="1:23" ht="15" thickBot="1" x14ac:dyDescent="0.4">
      <c r="A403" s="30" t="s">
        <v>532</v>
      </c>
      <c r="B403" s="30" t="s">
        <v>23</v>
      </c>
      <c r="C403" s="30" t="s">
        <v>125</v>
      </c>
      <c r="D403" s="31">
        <v>45699</v>
      </c>
      <c r="E403" s="31">
        <v>45709</v>
      </c>
      <c r="F403" s="30" t="s">
        <v>25</v>
      </c>
      <c r="G403" s="30" t="s">
        <v>26</v>
      </c>
      <c r="H403" s="31">
        <v>32729</v>
      </c>
      <c r="I403" s="30" t="s">
        <v>91</v>
      </c>
      <c r="J403" s="30" t="s">
        <v>75</v>
      </c>
      <c r="K403" s="30" t="s">
        <v>83</v>
      </c>
      <c r="L403" s="30" t="s">
        <v>127</v>
      </c>
      <c r="M403" s="30">
        <v>18</v>
      </c>
      <c r="N403" s="30">
        <v>20</v>
      </c>
      <c r="O403" s="30">
        <v>20</v>
      </c>
      <c r="P403" s="30">
        <v>288</v>
      </c>
      <c r="Q403" s="30">
        <v>1</v>
      </c>
      <c r="R403" s="30" t="s">
        <v>65</v>
      </c>
      <c r="S403" s="30" t="s">
        <v>32</v>
      </c>
      <c r="T403" s="30" t="s">
        <v>43</v>
      </c>
      <c r="U403" s="30">
        <v>9523689108</v>
      </c>
      <c r="V403" s="38" t="s">
        <v>52</v>
      </c>
      <c r="W403" s="40" t="str" cm="1">
        <f t="array" ref="W403">_xlfn.IFS(AND(P403&gt;=100000,Q403&gt;=4,O403&lt;=0.1,V403="Completed"),"Platinum",AND(P403&gt;=50000,P403&lt;=99999,Q403&gt;=3,V403="Completed"),"Golde",AND(P403&lt;50000,V403="Completed"),"Silver",OR(Q403&lt;=2,V403="Cancelled"),"BlackListed",TRUE,"Other")</f>
        <v>BlackListed</v>
      </c>
    </row>
    <row r="404" spans="1:23" ht="15" thickBot="1" x14ac:dyDescent="0.4">
      <c r="A404" s="27" t="s">
        <v>533</v>
      </c>
      <c r="B404" s="27" t="s">
        <v>55</v>
      </c>
      <c r="C404" s="27" t="s">
        <v>105</v>
      </c>
      <c r="D404" s="28">
        <v>46094</v>
      </c>
      <c r="E404" s="28">
        <v>46100</v>
      </c>
      <c r="F404" s="27" t="s">
        <v>57</v>
      </c>
      <c r="G404" s="27" t="s">
        <v>58</v>
      </c>
      <c r="H404" s="28">
        <v>34264</v>
      </c>
      <c r="I404" s="27" t="s">
        <v>74</v>
      </c>
      <c r="J404" s="27" t="s">
        <v>75</v>
      </c>
      <c r="K404" s="27" t="s">
        <v>29</v>
      </c>
      <c r="L404" s="27" t="s">
        <v>107</v>
      </c>
      <c r="M404" s="27">
        <v>9</v>
      </c>
      <c r="N404" s="27">
        <v>8500</v>
      </c>
      <c r="O404" s="27">
        <v>0</v>
      </c>
      <c r="P404" s="27">
        <v>76500</v>
      </c>
      <c r="Q404" s="27">
        <v>2</v>
      </c>
      <c r="R404" s="27" t="s">
        <v>60</v>
      </c>
      <c r="S404" s="27" t="s">
        <v>32</v>
      </c>
      <c r="T404" s="27" t="s">
        <v>61</v>
      </c>
      <c r="U404" s="27">
        <v>9812909831</v>
      </c>
      <c r="V404" s="37" t="s">
        <v>52</v>
      </c>
      <c r="W404" s="40" t="str" cm="1">
        <f t="array" ref="W404">_xlfn.IFS(AND(P404&gt;=100000,Q404&gt;=4,O404&lt;=0.1,V404="Completed"),"Platinum",AND(P404&gt;=50000,P404&lt;=99999,Q404&gt;=3,V404="Completed"),"Golde",AND(P404&lt;50000,V404="Completed"),"Silver",OR(Q404&lt;=2,V404="Cancelled"),"BlackListed",TRUE,"Other")</f>
        <v>BlackListed</v>
      </c>
    </row>
    <row r="405" spans="1:23" ht="15" thickBot="1" x14ac:dyDescent="0.4">
      <c r="A405" s="30" t="s">
        <v>534</v>
      </c>
      <c r="B405" s="30" t="s">
        <v>23</v>
      </c>
      <c r="C405" s="30" t="s">
        <v>105</v>
      </c>
      <c r="D405" s="31">
        <v>45931</v>
      </c>
      <c r="E405" s="31">
        <v>45942</v>
      </c>
      <c r="F405" s="30" t="s">
        <v>25</v>
      </c>
      <c r="G405" s="30" t="s">
        <v>26</v>
      </c>
      <c r="H405" s="31">
        <v>36651</v>
      </c>
      <c r="I405" s="30" t="s">
        <v>74</v>
      </c>
      <c r="J405" s="30" t="s">
        <v>75</v>
      </c>
      <c r="K405" s="30" t="s">
        <v>29</v>
      </c>
      <c r="L405" s="30" t="s">
        <v>107</v>
      </c>
      <c r="M405" s="30">
        <v>8</v>
      </c>
      <c r="N405" s="30">
        <v>8500</v>
      </c>
      <c r="O405" s="30">
        <v>10</v>
      </c>
      <c r="P405" s="30">
        <v>61200</v>
      </c>
      <c r="Q405" s="30">
        <v>4</v>
      </c>
      <c r="R405" s="30" t="s">
        <v>31</v>
      </c>
      <c r="S405" s="30" t="s">
        <v>80</v>
      </c>
      <c r="T405" s="30" t="s">
        <v>43</v>
      </c>
      <c r="U405" s="30">
        <v>9106290987</v>
      </c>
      <c r="V405" s="38" t="s">
        <v>53</v>
      </c>
      <c r="W405" s="40" t="str" cm="1">
        <f t="array" ref="W405">_xlfn.IFS(AND(P405&gt;=100000,Q405&gt;=4,O405&lt;=0.1,V405="Completed"),"Platinum",AND(P405&gt;=50000,P405&lt;=99999,Q405&gt;=3,V405="Completed"),"Golde",AND(P405&lt;50000,V405="Completed"),"Silver",OR(Q405&lt;=2,V405="Cancelled"),"BlackListed",TRUE,"Other")</f>
        <v>BlackListed</v>
      </c>
    </row>
    <row r="406" spans="1:23" ht="15" thickBot="1" x14ac:dyDescent="0.4">
      <c r="A406" s="27" t="s">
        <v>535</v>
      </c>
      <c r="B406" s="27" t="s">
        <v>45</v>
      </c>
      <c r="C406" s="27" t="s">
        <v>125</v>
      </c>
      <c r="D406" s="28">
        <v>46048</v>
      </c>
      <c r="E406" s="28">
        <v>46054</v>
      </c>
      <c r="F406" s="27" t="s">
        <v>101</v>
      </c>
      <c r="G406" s="27" t="s">
        <v>26</v>
      </c>
      <c r="H406" s="28">
        <v>30730</v>
      </c>
      <c r="I406" s="27" t="s">
        <v>79</v>
      </c>
      <c r="J406" s="27" t="s">
        <v>75</v>
      </c>
      <c r="K406" s="27" t="s">
        <v>83</v>
      </c>
      <c r="L406" s="27" t="s">
        <v>127</v>
      </c>
      <c r="M406" s="27">
        <v>3</v>
      </c>
      <c r="N406" s="27">
        <v>20</v>
      </c>
      <c r="O406" s="27">
        <v>10</v>
      </c>
      <c r="P406" s="27">
        <v>54</v>
      </c>
      <c r="Q406" s="27">
        <v>3</v>
      </c>
      <c r="R406" s="27" t="s">
        <v>60</v>
      </c>
      <c r="S406" s="27" t="s">
        <v>96</v>
      </c>
      <c r="T406" s="27" t="s">
        <v>51</v>
      </c>
      <c r="U406" s="27">
        <v>9767727724</v>
      </c>
      <c r="V406" s="37" t="s">
        <v>52</v>
      </c>
      <c r="W406" s="40" t="str" cm="1">
        <f t="array" ref="W406">_xlfn.IFS(AND(P406&gt;=100000,Q406&gt;=4,O406&lt;=0.1,V406="Completed"),"Platinum",AND(P406&gt;=50000,P406&lt;=99999,Q406&gt;=3,V406="Completed"),"Golde",AND(P406&lt;50000,V406="Completed"),"Silver",OR(Q406&lt;=2,V406="Cancelled"),"BlackListed",TRUE,"Other")</f>
        <v>Other</v>
      </c>
    </row>
    <row r="407" spans="1:23" ht="15" thickBot="1" x14ac:dyDescent="0.4">
      <c r="A407" s="30" t="s">
        <v>536</v>
      </c>
      <c r="B407" s="30" t="s">
        <v>104</v>
      </c>
      <c r="C407" s="30" t="s">
        <v>105</v>
      </c>
      <c r="D407" s="31">
        <v>45840</v>
      </c>
      <c r="E407" s="31">
        <v>45850</v>
      </c>
      <c r="F407" s="30" t="s">
        <v>166</v>
      </c>
      <c r="G407" s="30" t="s">
        <v>26</v>
      </c>
      <c r="H407" s="31">
        <v>33402</v>
      </c>
      <c r="I407" s="30" t="s">
        <v>147</v>
      </c>
      <c r="J407" s="30" t="s">
        <v>148</v>
      </c>
      <c r="K407" s="30" t="s">
        <v>29</v>
      </c>
      <c r="L407" s="30" t="s">
        <v>107</v>
      </c>
      <c r="M407" s="30">
        <v>18</v>
      </c>
      <c r="N407" s="30">
        <v>8500</v>
      </c>
      <c r="O407" s="30">
        <v>10</v>
      </c>
      <c r="P407" s="30">
        <v>137700</v>
      </c>
      <c r="Q407" s="30">
        <v>4</v>
      </c>
      <c r="R407" s="30" t="s">
        <v>31</v>
      </c>
      <c r="S407" s="30" t="s">
        <v>42</v>
      </c>
      <c r="T407" s="30" t="s">
        <v>108</v>
      </c>
      <c r="U407" s="30">
        <v>9865401727</v>
      </c>
      <c r="V407" s="38" t="s">
        <v>53</v>
      </c>
      <c r="W407" s="40" t="str" cm="1">
        <f t="array" ref="W407">_xlfn.IFS(AND(P407&gt;=100000,Q407&gt;=4,O407&lt;=0.1,V407="Completed"),"Platinum",AND(P407&gt;=50000,P407&lt;=99999,Q407&gt;=3,V407="Completed"),"Golde",AND(P407&lt;50000,V407="Completed"),"Silver",OR(Q407&lt;=2,V407="Cancelled"),"BlackListed",TRUE,"Other")</f>
        <v>BlackListed</v>
      </c>
    </row>
    <row r="408" spans="1:23" ht="15" thickBot="1" x14ac:dyDescent="0.4">
      <c r="A408" s="27" t="s">
        <v>537</v>
      </c>
      <c r="B408" s="27" t="s">
        <v>45</v>
      </c>
      <c r="C408" s="27" t="s">
        <v>138</v>
      </c>
      <c r="D408" s="28">
        <v>45935</v>
      </c>
      <c r="E408" s="28">
        <v>45939</v>
      </c>
      <c r="F408" s="27" t="s">
        <v>101</v>
      </c>
      <c r="G408" s="27" t="s">
        <v>26</v>
      </c>
      <c r="H408" s="28">
        <v>35204</v>
      </c>
      <c r="I408" s="27" t="s">
        <v>79</v>
      </c>
      <c r="J408" s="27" t="s">
        <v>75</v>
      </c>
      <c r="K408" s="27" t="s">
        <v>83</v>
      </c>
      <c r="L408" s="27" t="s">
        <v>139</v>
      </c>
      <c r="M408" s="27">
        <v>5</v>
      </c>
      <c r="N408" s="27">
        <v>45</v>
      </c>
      <c r="O408" s="27">
        <v>10</v>
      </c>
      <c r="P408" s="27">
        <v>202.5</v>
      </c>
      <c r="Q408" s="27">
        <v>3</v>
      </c>
      <c r="R408" s="27" t="s">
        <v>31</v>
      </c>
      <c r="S408" s="27" t="s">
        <v>80</v>
      </c>
      <c r="T408" s="27" t="s">
        <v>51</v>
      </c>
      <c r="U408" s="27">
        <v>9603848571</v>
      </c>
      <c r="V408" s="37" t="s">
        <v>52</v>
      </c>
      <c r="W408" s="40" t="str" cm="1">
        <f t="array" ref="W408">_xlfn.IFS(AND(P408&gt;=100000,Q408&gt;=4,O408&lt;=0.1,V408="Completed"),"Platinum",AND(P408&gt;=50000,P408&lt;=99999,Q408&gt;=3,V408="Completed"),"Golde",AND(P408&lt;50000,V408="Completed"),"Silver",OR(Q408&lt;=2,V408="Cancelled"),"BlackListed",TRUE,"Other")</f>
        <v>Other</v>
      </c>
    </row>
    <row r="409" spans="1:23" ht="15" thickBot="1" x14ac:dyDescent="0.4">
      <c r="A409" s="30" t="s">
        <v>538</v>
      </c>
      <c r="B409" s="30" t="s">
        <v>55</v>
      </c>
      <c r="C409" s="30" t="s">
        <v>138</v>
      </c>
      <c r="D409" s="31">
        <v>45807</v>
      </c>
      <c r="E409" s="31">
        <v>45810</v>
      </c>
      <c r="F409" s="30" t="s">
        <v>57</v>
      </c>
      <c r="G409" s="30" t="s">
        <v>58</v>
      </c>
      <c r="H409" s="31">
        <v>33747</v>
      </c>
      <c r="I409" s="30" t="s">
        <v>74</v>
      </c>
      <c r="J409" s="30" t="s">
        <v>75</v>
      </c>
      <c r="K409" s="30" t="s">
        <v>83</v>
      </c>
      <c r="L409" s="30" t="s">
        <v>139</v>
      </c>
      <c r="M409" s="30">
        <v>2</v>
      </c>
      <c r="N409" s="30">
        <v>45</v>
      </c>
      <c r="O409" s="30">
        <v>20</v>
      </c>
      <c r="P409" s="30">
        <v>72</v>
      </c>
      <c r="Q409" s="30">
        <v>5</v>
      </c>
      <c r="R409" s="30" t="s">
        <v>65</v>
      </c>
      <c r="S409" s="30" t="s">
        <v>50</v>
      </c>
      <c r="T409" s="30" t="s">
        <v>61</v>
      </c>
      <c r="U409" s="30">
        <v>9101231789</v>
      </c>
      <c r="V409" s="38" t="s">
        <v>53</v>
      </c>
      <c r="W409" s="40" t="str" cm="1">
        <f t="array" ref="W409">_xlfn.IFS(AND(P409&gt;=100000,Q409&gt;=4,O409&lt;=0.1,V409="Completed"),"Platinum",AND(P409&gt;=50000,P409&lt;=99999,Q409&gt;=3,V409="Completed"),"Golde",AND(P409&lt;50000,V409="Completed"),"Silver",OR(Q409&lt;=2,V409="Cancelled"),"BlackListed",TRUE,"Other")</f>
        <v>BlackListed</v>
      </c>
    </row>
    <row r="410" spans="1:23" ht="15" thickBot="1" x14ac:dyDescent="0.4">
      <c r="A410" s="27" t="s">
        <v>539</v>
      </c>
      <c r="B410" s="27" t="s">
        <v>72</v>
      </c>
      <c r="C410" s="27" t="s">
        <v>138</v>
      </c>
      <c r="D410" s="28">
        <v>45684</v>
      </c>
      <c r="E410" s="28">
        <v>45694</v>
      </c>
      <c r="F410" s="27" t="s">
        <v>73</v>
      </c>
      <c r="G410" s="27" t="s">
        <v>26</v>
      </c>
      <c r="H410" s="28">
        <v>32309</v>
      </c>
      <c r="I410" s="27" t="s">
        <v>27</v>
      </c>
      <c r="J410" s="27" t="s">
        <v>28</v>
      </c>
      <c r="K410" s="27" t="s">
        <v>83</v>
      </c>
      <c r="L410" s="27" t="s">
        <v>139</v>
      </c>
      <c r="M410" s="27">
        <v>18</v>
      </c>
      <c r="N410" s="27">
        <v>45</v>
      </c>
      <c r="O410" s="27">
        <v>10</v>
      </c>
      <c r="P410" s="27">
        <v>729</v>
      </c>
      <c r="Q410" s="27">
        <v>2</v>
      </c>
      <c r="R410" s="27" t="s">
        <v>41</v>
      </c>
      <c r="S410" s="27" t="s">
        <v>80</v>
      </c>
      <c r="T410" s="27" t="s">
        <v>93</v>
      </c>
      <c r="U410" s="27">
        <v>9485017802</v>
      </c>
      <c r="V410" s="37" t="s">
        <v>52</v>
      </c>
      <c r="W410" s="40" t="str" cm="1">
        <f t="array" ref="W410">_xlfn.IFS(AND(P410&gt;=100000,Q410&gt;=4,O410&lt;=0.1,V410="Completed"),"Platinum",AND(P410&gt;=50000,P410&lt;=99999,Q410&gt;=3,V410="Completed"),"Golde",AND(P410&lt;50000,V410="Completed"),"Silver",OR(Q410&lt;=2,V410="Cancelled"),"BlackListed",TRUE,"Other")</f>
        <v>BlackListed</v>
      </c>
    </row>
    <row r="411" spans="1:23" ht="15" thickBot="1" x14ac:dyDescent="0.4">
      <c r="A411" s="30" t="s">
        <v>540</v>
      </c>
      <c r="B411" s="30" t="s">
        <v>87</v>
      </c>
      <c r="C411" s="30" t="s">
        <v>56</v>
      </c>
      <c r="D411" s="31">
        <v>46015</v>
      </c>
      <c r="E411" s="31">
        <v>46023</v>
      </c>
      <c r="F411" s="30" t="s">
        <v>88</v>
      </c>
      <c r="G411" s="30" t="s">
        <v>58</v>
      </c>
      <c r="H411" s="31">
        <v>34172</v>
      </c>
      <c r="I411" s="30" t="s">
        <v>147</v>
      </c>
      <c r="J411" s="30" t="s">
        <v>148</v>
      </c>
      <c r="K411" s="30" t="s">
        <v>39</v>
      </c>
      <c r="L411" s="30" t="s">
        <v>59</v>
      </c>
      <c r="M411" s="30">
        <v>13</v>
      </c>
      <c r="N411" s="30">
        <v>1200</v>
      </c>
      <c r="O411" s="30">
        <v>5</v>
      </c>
      <c r="P411" s="30">
        <v>14820</v>
      </c>
      <c r="Q411" s="30">
        <v>4</v>
      </c>
      <c r="R411" s="30" t="s">
        <v>60</v>
      </c>
      <c r="S411" s="30" t="s">
        <v>80</v>
      </c>
      <c r="T411" s="30" t="s">
        <v>89</v>
      </c>
      <c r="U411" s="30">
        <v>9815464650</v>
      </c>
      <c r="V411" s="36" t="s">
        <v>34</v>
      </c>
      <c r="W411" s="40" t="str" cm="1">
        <f t="array" ref="W411">_xlfn.IFS(AND(P411&gt;=100000,Q411&gt;=4,O411&lt;=0.1,V411="Completed"),"Platinum",AND(P411&gt;=50000,P411&lt;=99999,Q411&gt;=3,V411="Completed"),"Golde",AND(P411&lt;50000,V411="Completed"),"Silver",OR(Q411&lt;=2,V411="Cancelled"),"BlackListed",TRUE,"Other")</f>
        <v>Silver</v>
      </c>
    </row>
    <row r="412" spans="1:23" ht="15" thickBot="1" x14ac:dyDescent="0.4">
      <c r="A412" s="27" t="s">
        <v>541</v>
      </c>
      <c r="B412" s="27" t="s">
        <v>23</v>
      </c>
      <c r="C412" s="27" t="s">
        <v>125</v>
      </c>
      <c r="D412" s="28">
        <v>46153</v>
      </c>
      <c r="E412" s="28">
        <v>46159</v>
      </c>
      <c r="F412" s="27" t="s">
        <v>25</v>
      </c>
      <c r="G412" s="27" t="s">
        <v>26</v>
      </c>
      <c r="H412" s="28">
        <v>38020</v>
      </c>
      <c r="I412" s="27" t="s">
        <v>27</v>
      </c>
      <c r="J412" s="27" t="s">
        <v>28</v>
      </c>
      <c r="K412" s="27" t="s">
        <v>83</v>
      </c>
      <c r="L412" s="27" t="s">
        <v>127</v>
      </c>
      <c r="M412" s="27">
        <v>14</v>
      </c>
      <c r="N412" s="27">
        <v>20</v>
      </c>
      <c r="O412" s="27">
        <v>20</v>
      </c>
      <c r="P412" s="27">
        <v>224</v>
      </c>
      <c r="Q412" s="27">
        <v>5</v>
      </c>
      <c r="R412" s="27" t="s">
        <v>65</v>
      </c>
      <c r="S412" s="27" t="s">
        <v>42</v>
      </c>
      <c r="T412" s="27" t="s">
        <v>43</v>
      </c>
      <c r="U412" s="27">
        <v>9860715839</v>
      </c>
      <c r="V412" s="37" t="s">
        <v>52</v>
      </c>
      <c r="W412" s="40" t="str" cm="1">
        <f t="array" ref="W412">_xlfn.IFS(AND(P412&gt;=100000,Q412&gt;=4,O412&lt;=0.1,V412="Completed"),"Platinum",AND(P412&gt;=50000,P412&lt;=99999,Q412&gt;=3,V412="Completed"),"Golde",AND(P412&lt;50000,V412="Completed"),"Silver",OR(Q412&lt;=2,V412="Cancelled"),"BlackListed",TRUE,"Other")</f>
        <v>Other</v>
      </c>
    </row>
    <row r="413" spans="1:23" ht="15" thickBot="1" x14ac:dyDescent="0.4">
      <c r="A413" s="30" t="s">
        <v>542</v>
      </c>
      <c r="B413" s="30" t="s">
        <v>72</v>
      </c>
      <c r="C413" s="30" t="s">
        <v>68</v>
      </c>
      <c r="D413" s="31">
        <v>46064</v>
      </c>
      <c r="E413" s="31">
        <v>46076</v>
      </c>
      <c r="F413" s="30" t="s">
        <v>73</v>
      </c>
      <c r="G413" s="30" t="s">
        <v>26</v>
      </c>
      <c r="H413" s="31">
        <v>28847</v>
      </c>
      <c r="I413" s="30" t="s">
        <v>27</v>
      </c>
      <c r="J413" s="30" t="s">
        <v>28</v>
      </c>
      <c r="K413" s="30" t="s">
        <v>29</v>
      </c>
      <c r="L413" s="30" t="s">
        <v>70</v>
      </c>
      <c r="M413" s="30">
        <v>16</v>
      </c>
      <c r="N413" s="30">
        <v>3500</v>
      </c>
      <c r="O413" s="30">
        <v>15</v>
      </c>
      <c r="P413" s="30">
        <v>47600</v>
      </c>
      <c r="Q413" s="30">
        <v>3</v>
      </c>
      <c r="R413" s="30" t="s">
        <v>65</v>
      </c>
      <c r="S413" s="30" t="s">
        <v>50</v>
      </c>
      <c r="T413" s="30" t="s">
        <v>93</v>
      </c>
      <c r="U413" s="30">
        <v>9207561051</v>
      </c>
      <c r="V413" s="38" t="s">
        <v>53</v>
      </c>
      <c r="W413" s="40" t="str" cm="1">
        <f t="array" ref="W413">_xlfn.IFS(AND(P413&gt;=100000,Q413&gt;=4,O413&lt;=0.1,V413="Completed"),"Platinum",AND(P413&gt;=50000,P413&lt;=99999,Q413&gt;=3,V413="Completed"),"Golde",AND(P413&lt;50000,V413="Completed"),"Silver",OR(Q413&lt;=2,V413="Cancelled"),"BlackListed",TRUE,"Other")</f>
        <v>BlackListed</v>
      </c>
    </row>
    <row r="414" spans="1:23" ht="15" thickBot="1" x14ac:dyDescent="0.4">
      <c r="A414" s="27" t="s">
        <v>543</v>
      </c>
      <c r="B414" s="27" t="s">
        <v>134</v>
      </c>
      <c r="C414" s="27" t="s">
        <v>125</v>
      </c>
      <c r="D414" s="28">
        <v>45704</v>
      </c>
      <c r="E414" s="28">
        <v>45712</v>
      </c>
      <c r="F414" s="27" t="s">
        <v>135</v>
      </c>
      <c r="G414" s="27" t="s">
        <v>26</v>
      </c>
      <c r="H414" s="28">
        <v>34257</v>
      </c>
      <c r="I414" s="27" t="s">
        <v>48</v>
      </c>
      <c r="J414" s="27" t="s">
        <v>28</v>
      </c>
      <c r="K414" s="27" t="s">
        <v>83</v>
      </c>
      <c r="L414" s="27" t="s">
        <v>127</v>
      </c>
      <c r="M414" s="27">
        <v>20</v>
      </c>
      <c r="N414" s="27">
        <v>20</v>
      </c>
      <c r="O414" s="27">
        <v>15</v>
      </c>
      <c r="P414" s="27">
        <v>340</v>
      </c>
      <c r="Q414" s="27">
        <v>1</v>
      </c>
      <c r="R414" s="27" t="s">
        <v>41</v>
      </c>
      <c r="S414" s="27" t="s">
        <v>50</v>
      </c>
      <c r="T414" s="27" t="s">
        <v>136</v>
      </c>
      <c r="U414" s="27">
        <v>9159894508</v>
      </c>
      <c r="V414" s="37" t="s">
        <v>53</v>
      </c>
      <c r="W414" s="40" t="str" cm="1">
        <f t="array" ref="W414">_xlfn.IFS(AND(P414&gt;=100000,Q414&gt;=4,O414&lt;=0.1,V414="Completed"),"Platinum",AND(P414&gt;=50000,P414&lt;=99999,Q414&gt;=3,V414="Completed"),"Golde",AND(P414&lt;50000,V414="Completed"),"Silver",OR(Q414&lt;=2,V414="Cancelled"),"BlackListed",TRUE,"Other")</f>
        <v>BlackListed</v>
      </c>
    </row>
    <row r="415" spans="1:23" ht="15" thickBot="1" x14ac:dyDescent="0.4">
      <c r="A415" s="30" t="s">
        <v>544</v>
      </c>
      <c r="B415" s="30" t="s">
        <v>104</v>
      </c>
      <c r="C415" s="30" t="s">
        <v>46</v>
      </c>
      <c r="D415" s="31">
        <v>45756</v>
      </c>
      <c r="E415" s="31">
        <v>45761</v>
      </c>
      <c r="F415" s="30" t="s">
        <v>166</v>
      </c>
      <c r="G415" s="30" t="s">
        <v>26</v>
      </c>
      <c r="H415" s="31">
        <v>29201</v>
      </c>
      <c r="I415" s="30" t="s">
        <v>91</v>
      </c>
      <c r="J415" s="30" t="s">
        <v>75</v>
      </c>
      <c r="K415" s="30" t="s">
        <v>39</v>
      </c>
      <c r="L415" s="30" t="s">
        <v>49</v>
      </c>
      <c r="M415" s="30">
        <v>1</v>
      </c>
      <c r="N415" s="30">
        <v>55000</v>
      </c>
      <c r="O415" s="30">
        <v>15</v>
      </c>
      <c r="P415" s="30">
        <v>46750</v>
      </c>
      <c r="Q415" s="30">
        <v>2</v>
      </c>
      <c r="R415" s="30" t="s">
        <v>65</v>
      </c>
      <c r="S415" s="30" t="s">
        <v>80</v>
      </c>
      <c r="T415" s="30" t="s">
        <v>108</v>
      </c>
      <c r="U415" s="30">
        <v>9531465024</v>
      </c>
      <c r="V415" s="38" t="s">
        <v>53</v>
      </c>
      <c r="W415" s="40" t="str" cm="1">
        <f t="array" ref="W415">_xlfn.IFS(AND(P415&gt;=100000,Q415&gt;=4,O415&lt;=0.1,V415="Completed"),"Platinum",AND(P415&gt;=50000,P415&lt;=99999,Q415&gt;=3,V415="Completed"),"Golde",AND(P415&lt;50000,V415="Completed"),"Silver",OR(Q415&lt;=2,V415="Cancelled"),"BlackListed",TRUE,"Other")</f>
        <v>BlackListed</v>
      </c>
    </row>
    <row r="416" spans="1:23" ht="15" thickBot="1" x14ac:dyDescent="0.4">
      <c r="A416" s="27" t="s">
        <v>545</v>
      </c>
      <c r="B416" s="27" t="s">
        <v>72</v>
      </c>
      <c r="C416" s="27" t="s">
        <v>82</v>
      </c>
      <c r="D416" s="28">
        <v>45672</v>
      </c>
      <c r="E416" s="28">
        <v>45677</v>
      </c>
      <c r="F416" s="27" t="s">
        <v>73</v>
      </c>
      <c r="G416" s="27" t="s">
        <v>26</v>
      </c>
      <c r="H416" s="28">
        <v>37400</v>
      </c>
      <c r="I416" s="27" t="s">
        <v>91</v>
      </c>
      <c r="J416" s="27" t="s">
        <v>75</v>
      </c>
      <c r="K416" s="27" t="s">
        <v>83</v>
      </c>
      <c r="L416" s="27" t="s">
        <v>84</v>
      </c>
      <c r="M416" s="27">
        <v>15</v>
      </c>
      <c r="N416" s="27">
        <v>60</v>
      </c>
      <c r="O416" s="27">
        <v>5</v>
      </c>
      <c r="P416" s="27">
        <v>855</v>
      </c>
      <c r="Q416" s="27">
        <v>4</v>
      </c>
      <c r="R416" s="27" t="s">
        <v>41</v>
      </c>
      <c r="S416" s="27" t="s">
        <v>50</v>
      </c>
      <c r="T416" s="27" t="s">
        <v>93</v>
      </c>
      <c r="U416" s="27">
        <v>9158813608</v>
      </c>
      <c r="V416" s="35" t="s">
        <v>34</v>
      </c>
      <c r="W416" s="40" t="str" cm="1">
        <f t="array" ref="W416">_xlfn.IFS(AND(P416&gt;=100000,Q416&gt;=4,O416&lt;=0.1,V416="Completed"),"Platinum",AND(P416&gt;=50000,P416&lt;=99999,Q416&gt;=3,V416="Completed"),"Golde",AND(P416&lt;50000,V416="Completed"),"Silver",OR(Q416&lt;=2,V416="Cancelled"),"BlackListed",TRUE,"Other")</f>
        <v>Silver</v>
      </c>
    </row>
    <row r="417" spans="1:23" ht="15" thickBot="1" x14ac:dyDescent="0.4">
      <c r="A417" s="30" t="s">
        <v>546</v>
      </c>
      <c r="B417" s="30" t="s">
        <v>63</v>
      </c>
      <c r="C417" s="30" t="s">
        <v>112</v>
      </c>
      <c r="D417" s="31">
        <v>46108</v>
      </c>
      <c r="E417" s="31">
        <v>46114</v>
      </c>
      <c r="F417" s="30" t="s">
        <v>110</v>
      </c>
      <c r="G417" s="30" t="s">
        <v>58</v>
      </c>
      <c r="H417" s="31">
        <v>27828</v>
      </c>
      <c r="I417" s="30" t="s">
        <v>74</v>
      </c>
      <c r="J417" s="30" t="s">
        <v>75</v>
      </c>
      <c r="K417" s="30" t="s">
        <v>39</v>
      </c>
      <c r="L417" s="30" t="s">
        <v>114</v>
      </c>
      <c r="M417" s="30">
        <v>15</v>
      </c>
      <c r="N417" s="30">
        <v>700</v>
      </c>
      <c r="O417" s="30">
        <v>0</v>
      </c>
      <c r="P417" s="30">
        <v>10500</v>
      </c>
      <c r="Q417" s="30">
        <v>5</v>
      </c>
      <c r="R417" s="30" t="s">
        <v>41</v>
      </c>
      <c r="S417" s="30" t="s">
        <v>80</v>
      </c>
      <c r="T417" s="30" t="s">
        <v>66</v>
      </c>
      <c r="U417" s="30">
        <v>9308461700</v>
      </c>
      <c r="V417" s="36" t="s">
        <v>34</v>
      </c>
      <c r="W417" s="40" t="str" cm="1">
        <f t="array" ref="W417">_xlfn.IFS(AND(P417&gt;=100000,Q417&gt;=4,O417&lt;=0.1,V417="Completed"),"Platinum",AND(P417&gt;=50000,P417&lt;=99999,Q417&gt;=3,V417="Completed"),"Golde",AND(P417&lt;50000,V417="Completed"),"Silver",OR(Q417&lt;=2,V417="Cancelled"),"BlackListed",TRUE,"Other")</f>
        <v>Silver</v>
      </c>
    </row>
    <row r="418" spans="1:23" ht="15" thickBot="1" x14ac:dyDescent="0.4">
      <c r="A418" s="27" t="s">
        <v>547</v>
      </c>
      <c r="B418" s="27" t="s">
        <v>124</v>
      </c>
      <c r="C418" s="27" t="s">
        <v>36</v>
      </c>
      <c r="D418" s="28">
        <v>46027</v>
      </c>
      <c r="E418" s="28">
        <v>46031</v>
      </c>
      <c r="F418" s="27" t="s">
        <v>126</v>
      </c>
      <c r="G418" s="27" t="s">
        <v>58</v>
      </c>
      <c r="H418" s="28">
        <v>29484</v>
      </c>
      <c r="I418" s="27" t="s">
        <v>147</v>
      </c>
      <c r="J418" s="27" t="s">
        <v>148</v>
      </c>
      <c r="K418" s="27" t="s">
        <v>39</v>
      </c>
      <c r="L418" s="27" t="s">
        <v>40</v>
      </c>
      <c r="M418" s="27">
        <v>13</v>
      </c>
      <c r="N418" s="27">
        <v>12000</v>
      </c>
      <c r="O418" s="27">
        <v>10</v>
      </c>
      <c r="P418" s="27">
        <v>140400</v>
      </c>
      <c r="Q418" s="27">
        <v>1</v>
      </c>
      <c r="R418" s="27" t="s">
        <v>31</v>
      </c>
      <c r="S418" s="27" t="s">
        <v>96</v>
      </c>
      <c r="T418" s="27" t="s">
        <v>128</v>
      </c>
      <c r="U418" s="27">
        <v>9882279049</v>
      </c>
      <c r="V418" s="37" t="s">
        <v>53</v>
      </c>
      <c r="W418" s="40" t="str" cm="1">
        <f t="array" ref="W418">_xlfn.IFS(AND(P418&gt;=100000,Q418&gt;=4,O418&lt;=0.1,V418="Completed"),"Platinum",AND(P418&gt;=50000,P418&lt;=99999,Q418&gt;=3,V418="Completed"),"Golde",AND(P418&lt;50000,V418="Completed"),"Silver",OR(Q418&lt;=2,V418="Cancelled"),"BlackListed",TRUE,"Other")</f>
        <v>BlackListed</v>
      </c>
    </row>
    <row r="419" spans="1:23" ht="15" thickBot="1" x14ac:dyDescent="0.4">
      <c r="A419" s="30" t="s">
        <v>548</v>
      </c>
      <c r="B419" s="30" t="s">
        <v>63</v>
      </c>
      <c r="C419" s="30" t="s">
        <v>36</v>
      </c>
      <c r="D419" s="31">
        <v>46129</v>
      </c>
      <c r="E419" s="31">
        <v>46141</v>
      </c>
      <c r="F419" s="30" t="s">
        <v>110</v>
      </c>
      <c r="G419" s="30" t="s">
        <v>58</v>
      </c>
      <c r="H419" s="31">
        <v>32318</v>
      </c>
      <c r="I419" s="30" t="s">
        <v>27</v>
      </c>
      <c r="J419" s="30" t="s">
        <v>28</v>
      </c>
      <c r="K419" s="30" t="s">
        <v>39</v>
      </c>
      <c r="L419" s="30" t="s">
        <v>40</v>
      </c>
      <c r="M419" s="30">
        <v>12</v>
      </c>
      <c r="N419" s="30">
        <v>12000</v>
      </c>
      <c r="O419" s="30">
        <v>20</v>
      </c>
      <c r="P419" s="30">
        <v>115200</v>
      </c>
      <c r="Q419" s="30">
        <v>2</v>
      </c>
      <c r="R419" s="30" t="s">
        <v>31</v>
      </c>
      <c r="S419" s="30" t="s">
        <v>32</v>
      </c>
      <c r="T419" s="30" t="s">
        <v>66</v>
      </c>
      <c r="U419" s="30">
        <v>9961801338</v>
      </c>
      <c r="V419" s="36" t="s">
        <v>34</v>
      </c>
      <c r="W419" s="40" t="str" cm="1">
        <f t="array" ref="W419">_xlfn.IFS(AND(P419&gt;=100000,Q419&gt;=4,O419&lt;=0.1,V419="Completed"),"Platinum",AND(P419&gt;=50000,P419&lt;=99999,Q419&gt;=3,V419="Completed"),"Golde",AND(P419&lt;50000,V419="Completed"),"Silver",OR(Q419&lt;=2,V419="Cancelled"),"BlackListed",TRUE,"Other")</f>
        <v>BlackListed</v>
      </c>
    </row>
    <row r="420" spans="1:23" ht="15" thickBot="1" x14ac:dyDescent="0.4">
      <c r="A420" s="27" t="s">
        <v>549</v>
      </c>
      <c r="B420" s="27" t="s">
        <v>63</v>
      </c>
      <c r="C420" s="27" t="s">
        <v>138</v>
      </c>
      <c r="D420" s="28">
        <v>45741</v>
      </c>
      <c r="E420" s="28">
        <v>45745</v>
      </c>
      <c r="F420" s="27" t="s">
        <v>110</v>
      </c>
      <c r="G420" s="27" t="s">
        <v>58</v>
      </c>
      <c r="H420" s="28">
        <v>37783</v>
      </c>
      <c r="I420" s="27" t="s">
        <v>74</v>
      </c>
      <c r="J420" s="27" t="s">
        <v>75</v>
      </c>
      <c r="K420" s="27" t="s">
        <v>83</v>
      </c>
      <c r="L420" s="27" t="s">
        <v>139</v>
      </c>
      <c r="M420" s="27">
        <v>10</v>
      </c>
      <c r="N420" s="27">
        <v>45</v>
      </c>
      <c r="O420" s="27">
        <v>0</v>
      </c>
      <c r="P420" s="27">
        <v>450</v>
      </c>
      <c r="Q420" s="27">
        <v>5</v>
      </c>
      <c r="R420" s="27" t="s">
        <v>60</v>
      </c>
      <c r="S420" s="27" t="s">
        <v>80</v>
      </c>
      <c r="T420" s="27" t="s">
        <v>66</v>
      </c>
      <c r="U420" s="27">
        <v>9853525026</v>
      </c>
      <c r="V420" s="37" t="s">
        <v>53</v>
      </c>
      <c r="W420" s="40" t="str" cm="1">
        <f t="array" ref="W420">_xlfn.IFS(AND(P420&gt;=100000,Q420&gt;=4,O420&lt;=0.1,V420="Completed"),"Platinum",AND(P420&gt;=50000,P420&lt;=99999,Q420&gt;=3,V420="Completed"),"Golde",AND(P420&lt;50000,V420="Completed"),"Silver",OR(Q420&lt;=2,V420="Cancelled"),"BlackListed",TRUE,"Other")</f>
        <v>BlackListed</v>
      </c>
    </row>
    <row r="421" spans="1:23" ht="15" thickBot="1" x14ac:dyDescent="0.4">
      <c r="A421" s="30" t="s">
        <v>550</v>
      </c>
      <c r="B421" s="30" t="s">
        <v>87</v>
      </c>
      <c r="C421" s="30" t="s">
        <v>56</v>
      </c>
      <c r="D421" s="31">
        <v>45774</v>
      </c>
      <c r="E421" s="31">
        <v>45786</v>
      </c>
      <c r="F421" s="30" t="s">
        <v>88</v>
      </c>
      <c r="G421" s="30" t="s">
        <v>58</v>
      </c>
      <c r="H421" s="31">
        <v>29930</v>
      </c>
      <c r="I421" s="30" t="s">
        <v>74</v>
      </c>
      <c r="J421" s="30" t="s">
        <v>75</v>
      </c>
      <c r="K421" s="30" t="s">
        <v>39</v>
      </c>
      <c r="L421" s="30" t="s">
        <v>59</v>
      </c>
      <c r="M421" s="30">
        <v>20</v>
      </c>
      <c r="N421" s="30">
        <v>1200</v>
      </c>
      <c r="O421" s="30">
        <v>20</v>
      </c>
      <c r="P421" s="30">
        <v>19200</v>
      </c>
      <c r="Q421" s="30">
        <v>5</v>
      </c>
      <c r="R421" s="30" t="s">
        <v>41</v>
      </c>
      <c r="S421" s="30" t="s">
        <v>50</v>
      </c>
      <c r="T421" s="30" t="s">
        <v>89</v>
      </c>
      <c r="U421" s="30">
        <v>9209649485</v>
      </c>
      <c r="V421" s="38" t="s">
        <v>53</v>
      </c>
      <c r="W421" s="40" t="str" cm="1">
        <f t="array" ref="W421">_xlfn.IFS(AND(P421&gt;=100000,Q421&gt;=4,O421&lt;=0.1,V421="Completed"),"Platinum",AND(P421&gt;=50000,P421&lt;=99999,Q421&gt;=3,V421="Completed"),"Golde",AND(P421&lt;50000,V421="Completed"),"Silver",OR(Q421&lt;=2,V421="Cancelled"),"BlackListed",TRUE,"Other")</f>
        <v>BlackListed</v>
      </c>
    </row>
    <row r="422" spans="1:23" ht="15" thickBot="1" x14ac:dyDescent="0.4">
      <c r="A422" s="27" t="s">
        <v>551</v>
      </c>
      <c r="B422" s="27" t="s">
        <v>55</v>
      </c>
      <c r="C422" s="27" t="s">
        <v>56</v>
      </c>
      <c r="D422" s="28">
        <v>45919</v>
      </c>
      <c r="E422" s="28">
        <v>45926</v>
      </c>
      <c r="F422" s="27" t="s">
        <v>57</v>
      </c>
      <c r="G422" s="27" t="s">
        <v>58</v>
      </c>
      <c r="H422" s="28">
        <v>27449</v>
      </c>
      <c r="I422" s="27" t="s">
        <v>79</v>
      </c>
      <c r="J422" s="27" t="s">
        <v>75</v>
      </c>
      <c r="K422" s="27" t="s">
        <v>39</v>
      </c>
      <c r="L422" s="27" t="s">
        <v>59</v>
      </c>
      <c r="M422" s="27">
        <v>8</v>
      </c>
      <c r="N422" s="27">
        <v>1200</v>
      </c>
      <c r="O422" s="27">
        <v>10</v>
      </c>
      <c r="P422" s="27">
        <v>8640</v>
      </c>
      <c r="Q422" s="27">
        <v>4</v>
      </c>
      <c r="R422" s="27" t="s">
        <v>41</v>
      </c>
      <c r="S422" s="27" t="s">
        <v>50</v>
      </c>
      <c r="T422" s="27" t="s">
        <v>61</v>
      </c>
      <c r="U422" s="27">
        <v>9712905525</v>
      </c>
      <c r="V422" s="35" t="s">
        <v>34</v>
      </c>
      <c r="W422" s="40" t="str" cm="1">
        <f t="array" ref="W422">_xlfn.IFS(AND(P422&gt;=100000,Q422&gt;=4,O422&lt;=0.1,V422="Completed"),"Platinum",AND(P422&gt;=50000,P422&lt;=99999,Q422&gt;=3,V422="Completed"),"Golde",AND(P422&lt;50000,V422="Completed"),"Silver",OR(Q422&lt;=2,V422="Cancelled"),"BlackListed",TRUE,"Other")</f>
        <v>Silver</v>
      </c>
    </row>
    <row r="423" spans="1:23" ht="15" thickBot="1" x14ac:dyDescent="0.4">
      <c r="A423" s="30" t="s">
        <v>552</v>
      </c>
      <c r="B423" s="30" t="s">
        <v>87</v>
      </c>
      <c r="C423" s="30" t="s">
        <v>56</v>
      </c>
      <c r="D423" s="31">
        <v>45795</v>
      </c>
      <c r="E423" s="31">
        <v>45797</v>
      </c>
      <c r="F423" s="30" t="s">
        <v>88</v>
      </c>
      <c r="G423" s="30" t="s">
        <v>58</v>
      </c>
      <c r="H423" s="31">
        <v>28395</v>
      </c>
      <c r="I423" s="30" t="s">
        <v>121</v>
      </c>
      <c r="J423" s="30" t="s">
        <v>38</v>
      </c>
      <c r="K423" s="30" t="s">
        <v>39</v>
      </c>
      <c r="L423" s="30" t="s">
        <v>59</v>
      </c>
      <c r="M423" s="30">
        <v>8</v>
      </c>
      <c r="N423" s="30">
        <v>1200</v>
      </c>
      <c r="O423" s="30">
        <v>10</v>
      </c>
      <c r="P423" s="30">
        <v>8640</v>
      </c>
      <c r="Q423" s="30">
        <v>5</v>
      </c>
      <c r="R423" s="30" t="s">
        <v>60</v>
      </c>
      <c r="S423" s="30" t="s">
        <v>42</v>
      </c>
      <c r="T423" s="30" t="s">
        <v>89</v>
      </c>
      <c r="U423" s="30">
        <v>9812472447</v>
      </c>
      <c r="V423" s="38" t="s">
        <v>53</v>
      </c>
      <c r="W423" s="40" t="str" cm="1">
        <f t="array" ref="W423">_xlfn.IFS(AND(P423&gt;=100000,Q423&gt;=4,O423&lt;=0.1,V423="Completed"),"Platinum",AND(P423&gt;=50000,P423&lt;=99999,Q423&gt;=3,V423="Completed"),"Golde",AND(P423&lt;50000,V423="Completed"),"Silver",OR(Q423&lt;=2,V423="Cancelled"),"BlackListed",TRUE,"Other")</f>
        <v>BlackListed</v>
      </c>
    </row>
    <row r="424" spans="1:23" ht="15" thickBot="1" x14ac:dyDescent="0.4">
      <c r="A424" s="27" t="s">
        <v>553</v>
      </c>
      <c r="B424" s="27" t="s">
        <v>156</v>
      </c>
      <c r="C424" s="27" t="s">
        <v>24</v>
      </c>
      <c r="D424" s="28">
        <v>46020</v>
      </c>
      <c r="E424" s="28">
        <v>46021</v>
      </c>
      <c r="F424" s="27" t="s">
        <v>106</v>
      </c>
      <c r="G424" s="27" t="s">
        <v>58</v>
      </c>
      <c r="H424" s="28">
        <v>32136</v>
      </c>
      <c r="I424" s="27" t="s">
        <v>121</v>
      </c>
      <c r="J424" s="27" t="s">
        <v>38</v>
      </c>
      <c r="K424" s="27" t="s">
        <v>29</v>
      </c>
      <c r="L424" s="27" t="s">
        <v>30</v>
      </c>
      <c r="M424" s="27">
        <v>9</v>
      </c>
      <c r="N424" s="27">
        <v>2200</v>
      </c>
      <c r="O424" s="27">
        <v>20</v>
      </c>
      <c r="P424" s="27">
        <v>15840</v>
      </c>
      <c r="Q424" s="27">
        <v>1</v>
      </c>
      <c r="R424" s="27" t="s">
        <v>41</v>
      </c>
      <c r="S424" s="27" t="s">
        <v>80</v>
      </c>
      <c r="T424" s="27" t="s">
        <v>158</v>
      </c>
      <c r="U424" s="27">
        <v>9281127052</v>
      </c>
      <c r="V424" s="35" t="s">
        <v>34</v>
      </c>
      <c r="W424" s="40" t="str" cm="1">
        <f t="array" ref="W424">_xlfn.IFS(AND(P424&gt;=100000,Q424&gt;=4,O424&lt;=0.1,V424="Completed"),"Platinum",AND(P424&gt;=50000,P424&lt;=99999,Q424&gt;=3,V424="Completed"),"Golde",AND(P424&lt;50000,V424="Completed"),"Silver",OR(Q424&lt;=2,V424="Cancelled"),"BlackListed",TRUE,"Other")</f>
        <v>Silver</v>
      </c>
    </row>
    <row r="425" spans="1:23" ht="15" thickBot="1" x14ac:dyDescent="0.4">
      <c r="A425" s="30" t="s">
        <v>554</v>
      </c>
      <c r="B425" s="30" t="s">
        <v>87</v>
      </c>
      <c r="C425" s="30" t="s">
        <v>125</v>
      </c>
      <c r="D425" s="31">
        <v>45669</v>
      </c>
      <c r="E425" s="31">
        <v>45673</v>
      </c>
      <c r="F425" s="30" t="s">
        <v>88</v>
      </c>
      <c r="G425" s="30" t="s">
        <v>58</v>
      </c>
      <c r="H425" s="31">
        <v>36973</v>
      </c>
      <c r="I425" s="30" t="s">
        <v>147</v>
      </c>
      <c r="J425" s="30" t="s">
        <v>148</v>
      </c>
      <c r="K425" s="30" t="s">
        <v>83</v>
      </c>
      <c r="L425" s="30" t="s">
        <v>127</v>
      </c>
      <c r="M425" s="30">
        <v>8</v>
      </c>
      <c r="N425" s="30">
        <v>20</v>
      </c>
      <c r="O425" s="30">
        <v>20</v>
      </c>
      <c r="P425" s="30">
        <v>128</v>
      </c>
      <c r="Q425" s="30">
        <v>4</v>
      </c>
      <c r="R425" s="30" t="s">
        <v>31</v>
      </c>
      <c r="S425" s="30" t="s">
        <v>32</v>
      </c>
      <c r="T425" s="30" t="s">
        <v>89</v>
      </c>
      <c r="U425" s="30">
        <v>9346312555</v>
      </c>
      <c r="V425" s="38" t="s">
        <v>53</v>
      </c>
      <c r="W425" s="40" t="str" cm="1">
        <f t="array" ref="W425">_xlfn.IFS(AND(P425&gt;=100000,Q425&gt;=4,O425&lt;=0.1,V425="Completed"),"Platinum",AND(P425&gt;=50000,P425&lt;=99999,Q425&gt;=3,V425="Completed"),"Golde",AND(P425&lt;50000,V425="Completed"),"Silver",OR(Q425&lt;=2,V425="Cancelled"),"BlackListed",TRUE,"Other")</f>
        <v>BlackListed</v>
      </c>
    </row>
    <row r="426" spans="1:23" ht="15" thickBot="1" x14ac:dyDescent="0.4">
      <c r="A426" s="27" t="s">
        <v>555</v>
      </c>
      <c r="B426" s="27" t="s">
        <v>124</v>
      </c>
      <c r="C426" s="27" t="s">
        <v>46</v>
      </c>
      <c r="D426" s="28">
        <v>46035</v>
      </c>
      <c r="E426" s="28">
        <v>46044</v>
      </c>
      <c r="F426" s="27" t="s">
        <v>126</v>
      </c>
      <c r="G426" s="27" t="s">
        <v>58</v>
      </c>
      <c r="H426" s="28">
        <v>30216</v>
      </c>
      <c r="I426" s="27" t="s">
        <v>79</v>
      </c>
      <c r="J426" s="27" t="s">
        <v>75</v>
      </c>
      <c r="K426" s="27" t="s">
        <v>39</v>
      </c>
      <c r="L426" s="27" t="s">
        <v>49</v>
      </c>
      <c r="M426" s="27">
        <v>5</v>
      </c>
      <c r="N426" s="27">
        <v>55000</v>
      </c>
      <c r="O426" s="27">
        <v>0</v>
      </c>
      <c r="P426" s="27">
        <v>275000</v>
      </c>
      <c r="Q426" s="27">
        <v>1</v>
      </c>
      <c r="R426" s="27" t="s">
        <v>60</v>
      </c>
      <c r="S426" s="27" t="s">
        <v>80</v>
      </c>
      <c r="T426" s="27" t="s">
        <v>128</v>
      </c>
      <c r="U426" s="27">
        <v>9443786067</v>
      </c>
      <c r="V426" s="35" t="s">
        <v>34</v>
      </c>
      <c r="W426" s="40" t="str" cm="1">
        <f t="array" ref="W426">_xlfn.IFS(AND(P426&gt;=100000,Q426&gt;=4,O426&lt;=0.1,V426="Completed"),"Platinum",AND(P426&gt;=50000,P426&lt;=99999,Q426&gt;=3,V426="Completed"),"Golde",AND(P426&lt;50000,V426="Completed"),"Silver",OR(Q426&lt;=2,V426="Cancelled"),"BlackListed",TRUE,"Other")</f>
        <v>BlackListed</v>
      </c>
    </row>
    <row r="427" spans="1:23" ht="15" thickBot="1" x14ac:dyDescent="0.4">
      <c r="A427" s="30" t="s">
        <v>556</v>
      </c>
      <c r="B427" s="30" t="s">
        <v>72</v>
      </c>
      <c r="C427" s="30" t="s">
        <v>56</v>
      </c>
      <c r="D427" s="31">
        <v>46096</v>
      </c>
      <c r="E427" s="31">
        <v>46099</v>
      </c>
      <c r="F427" s="30" t="s">
        <v>73</v>
      </c>
      <c r="G427" s="30" t="s">
        <v>26</v>
      </c>
      <c r="H427" s="31">
        <v>31670</v>
      </c>
      <c r="I427" s="30" t="s">
        <v>74</v>
      </c>
      <c r="J427" s="30" t="s">
        <v>75</v>
      </c>
      <c r="K427" s="30" t="s">
        <v>39</v>
      </c>
      <c r="L427" s="30" t="s">
        <v>59</v>
      </c>
      <c r="M427" s="30">
        <v>13</v>
      </c>
      <c r="N427" s="30">
        <v>1200</v>
      </c>
      <c r="O427" s="30">
        <v>5</v>
      </c>
      <c r="P427" s="30">
        <v>14820</v>
      </c>
      <c r="Q427" s="30">
        <v>2</v>
      </c>
      <c r="R427" s="30" t="s">
        <v>60</v>
      </c>
      <c r="S427" s="30" t="s">
        <v>32</v>
      </c>
      <c r="T427" s="30" t="s">
        <v>93</v>
      </c>
      <c r="U427" s="30">
        <v>9452540528</v>
      </c>
      <c r="V427" s="38" t="s">
        <v>53</v>
      </c>
      <c r="W427" s="40" t="str" cm="1">
        <f t="array" ref="W427">_xlfn.IFS(AND(P427&gt;=100000,Q427&gt;=4,O427&lt;=0.1,V427="Completed"),"Platinum",AND(P427&gt;=50000,P427&lt;=99999,Q427&gt;=3,V427="Completed"),"Golde",AND(P427&lt;50000,V427="Completed"),"Silver",OR(Q427&lt;=2,V427="Cancelled"),"BlackListed",TRUE,"Other")</f>
        <v>BlackListed</v>
      </c>
    </row>
    <row r="428" spans="1:23" ht="15" thickBot="1" x14ac:dyDescent="0.4">
      <c r="A428" s="27" t="s">
        <v>557</v>
      </c>
      <c r="B428" s="27" t="s">
        <v>63</v>
      </c>
      <c r="C428" s="27" t="s">
        <v>105</v>
      </c>
      <c r="D428" s="28">
        <v>45986</v>
      </c>
      <c r="E428" s="28">
        <v>45991</v>
      </c>
      <c r="F428" s="27" t="s">
        <v>110</v>
      </c>
      <c r="G428" s="27" t="s">
        <v>58</v>
      </c>
      <c r="H428" s="28">
        <v>37602</v>
      </c>
      <c r="I428" s="27" t="s">
        <v>121</v>
      </c>
      <c r="J428" s="27" t="s">
        <v>38</v>
      </c>
      <c r="K428" s="27" t="s">
        <v>29</v>
      </c>
      <c r="L428" s="27" t="s">
        <v>107</v>
      </c>
      <c r="M428" s="27">
        <v>13</v>
      </c>
      <c r="N428" s="27">
        <v>8500</v>
      </c>
      <c r="O428" s="27">
        <v>20</v>
      </c>
      <c r="P428" s="27">
        <v>88400</v>
      </c>
      <c r="Q428" s="27">
        <v>5</v>
      </c>
      <c r="R428" s="27" t="s">
        <v>31</v>
      </c>
      <c r="S428" s="27" t="s">
        <v>42</v>
      </c>
      <c r="T428" s="27" t="s">
        <v>66</v>
      </c>
      <c r="U428" s="27">
        <v>9750918728</v>
      </c>
      <c r="V428" s="37" t="s">
        <v>52</v>
      </c>
      <c r="W428" s="40" t="str" cm="1">
        <f t="array" ref="W428">_xlfn.IFS(AND(P428&gt;=100000,Q428&gt;=4,O428&lt;=0.1,V428="Completed"),"Platinum",AND(P428&gt;=50000,P428&lt;=99999,Q428&gt;=3,V428="Completed"),"Golde",AND(P428&lt;50000,V428="Completed"),"Silver",OR(Q428&lt;=2,V428="Cancelled"),"BlackListed",TRUE,"Other")</f>
        <v>Other</v>
      </c>
    </row>
    <row r="429" spans="1:23" ht="15" thickBot="1" x14ac:dyDescent="0.4">
      <c r="A429" s="30" t="s">
        <v>558</v>
      </c>
      <c r="B429" s="30" t="s">
        <v>55</v>
      </c>
      <c r="C429" s="30" t="s">
        <v>82</v>
      </c>
      <c r="D429" s="31">
        <v>45692</v>
      </c>
      <c r="E429" s="31">
        <v>45703</v>
      </c>
      <c r="F429" s="30" t="s">
        <v>57</v>
      </c>
      <c r="G429" s="30" t="s">
        <v>58</v>
      </c>
      <c r="H429" s="31">
        <v>36053</v>
      </c>
      <c r="I429" s="30" t="s">
        <v>79</v>
      </c>
      <c r="J429" s="30" t="s">
        <v>75</v>
      </c>
      <c r="K429" s="30" t="s">
        <v>83</v>
      </c>
      <c r="L429" s="30" t="s">
        <v>84</v>
      </c>
      <c r="M429" s="30">
        <v>14</v>
      </c>
      <c r="N429" s="30">
        <v>60</v>
      </c>
      <c r="O429" s="30">
        <v>10</v>
      </c>
      <c r="P429" s="30">
        <v>756</v>
      </c>
      <c r="Q429" s="30">
        <v>1</v>
      </c>
      <c r="R429" s="30" t="s">
        <v>31</v>
      </c>
      <c r="S429" s="30" t="s">
        <v>50</v>
      </c>
      <c r="T429" s="30" t="s">
        <v>61</v>
      </c>
      <c r="U429" s="30">
        <v>9375975834</v>
      </c>
      <c r="V429" s="38" t="s">
        <v>53</v>
      </c>
      <c r="W429" s="40" t="str" cm="1">
        <f t="array" ref="W429">_xlfn.IFS(AND(P429&gt;=100000,Q429&gt;=4,O429&lt;=0.1,V429="Completed"),"Platinum",AND(P429&gt;=50000,P429&lt;=99999,Q429&gt;=3,V429="Completed"),"Golde",AND(P429&lt;50000,V429="Completed"),"Silver",OR(Q429&lt;=2,V429="Cancelled"),"BlackListed",TRUE,"Other")</f>
        <v>BlackListed</v>
      </c>
    </row>
    <row r="430" spans="1:23" ht="15" thickBot="1" x14ac:dyDescent="0.4">
      <c r="A430" s="27" t="s">
        <v>559</v>
      </c>
      <c r="B430" s="27" t="s">
        <v>134</v>
      </c>
      <c r="C430" s="27" t="s">
        <v>24</v>
      </c>
      <c r="D430" s="28">
        <v>45775</v>
      </c>
      <c r="E430" s="28">
        <v>45776</v>
      </c>
      <c r="F430" s="27" t="s">
        <v>135</v>
      </c>
      <c r="G430" s="27" t="s">
        <v>26</v>
      </c>
      <c r="H430" s="28">
        <v>31337</v>
      </c>
      <c r="I430" s="27" t="s">
        <v>48</v>
      </c>
      <c r="J430" s="27" t="s">
        <v>28</v>
      </c>
      <c r="K430" s="27" t="s">
        <v>29</v>
      </c>
      <c r="L430" s="27" t="s">
        <v>30</v>
      </c>
      <c r="M430" s="27">
        <v>15</v>
      </c>
      <c r="N430" s="27">
        <v>2200</v>
      </c>
      <c r="O430" s="27">
        <v>0</v>
      </c>
      <c r="P430" s="27">
        <v>33000</v>
      </c>
      <c r="Q430" s="27">
        <v>1</v>
      </c>
      <c r="R430" s="27" t="s">
        <v>31</v>
      </c>
      <c r="S430" s="27" t="s">
        <v>50</v>
      </c>
      <c r="T430" s="27" t="s">
        <v>136</v>
      </c>
      <c r="U430" s="27">
        <v>9497321112</v>
      </c>
      <c r="V430" s="35" t="s">
        <v>34</v>
      </c>
      <c r="W430" s="40" t="str" cm="1">
        <f t="array" ref="W430">_xlfn.IFS(AND(P430&gt;=100000,Q430&gt;=4,O430&lt;=0.1,V430="Completed"),"Platinum",AND(P430&gt;=50000,P430&lt;=99999,Q430&gt;=3,V430="Completed"),"Golde",AND(P430&lt;50000,V430="Completed"),"Silver",OR(Q430&lt;=2,V430="Cancelled"),"BlackListed",TRUE,"Other")</f>
        <v>Silver</v>
      </c>
    </row>
    <row r="431" spans="1:23" ht="15" thickBot="1" x14ac:dyDescent="0.4">
      <c r="A431" s="30" t="s">
        <v>560</v>
      </c>
      <c r="B431" s="30" t="s">
        <v>63</v>
      </c>
      <c r="C431" s="30" t="s">
        <v>82</v>
      </c>
      <c r="D431" s="31">
        <v>45896</v>
      </c>
      <c r="E431" s="31">
        <v>45898</v>
      </c>
      <c r="F431" s="30" t="s">
        <v>110</v>
      </c>
      <c r="G431" s="30" t="s">
        <v>58</v>
      </c>
      <c r="H431" s="31">
        <v>34926</v>
      </c>
      <c r="I431" s="30" t="s">
        <v>121</v>
      </c>
      <c r="J431" s="30" t="s">
        <v>38</v>
      </c>
      <c r="K431" s="30" t="s">
        <v>83</v>
      </c>
      <c r="L431" s="30" t="s">
        <v>84</v>
      </c>
      <c r="M431" s="30">
        <v>19</v>
      </c>
      <c r="N431" s="30">
        <v>60</v>
      </c>
      <c r="O431" s="30">
        <v>20</v>
      </c>
      <c r="P431" s="30">
        <v>912</v>
      </c>
      <c r="Q431" s="30">
        <v>3</v>
      </c>
      <c r="R431" s="30" t="s">
        <v>31</v>
      </c>
      <c r="S431" s="30" t="s">
        <v>96</v>
      </c>
      <c r="T431" s="30" t="s">
        <v>66</v>
      </c>
      <c r="U431" s="30">
        <v>9828749888</v>
      </c>
      <c r="V431" s="38" t="s">
        <v>52</v>
      </c>
      <c r="W431" s="40" t="str" cm="1">
        <f t="array" ref="W431">_xlfn.IFS(AND(P431&gt;=100000,Q431&gt;=4,O431&lt;=0.1,V431="Completed"),"Platinum",AND(P431&gt;=50000,P431&lt;=99999,Q431&gt;=3,V431="Completed"),"Golde",AND(P431&lt;50000,V431="Completed"),"Silver",OR(Q431&lt;=2,V431="Cancelled"),"BlackListed",TRUE,"Other")</f>
        <v>Other</v>
      </c>
    </row>
    <row r="432" spans="1:23" ht="15" thickBot="1" x14ac:dyDescent="0.4">
      <c r="A432" s="27" t="s">
        <v>561</v>
      </c>
      <c r="B432" s="27" t="s">
        <v>45</v>
      </c>
      <c r="C432" s="27" t="s">
        <v>138</v>
      </c>
      <c r="D432" s="28">
        <v>45942</v>
      </c>
      <c r="E432" s="28">
        <v>45953</v>
      </c>
      <c r="F432" s="27" t="s">
        <v>101</v>
      </c>
      <c r="G432" s="27" t="s">
        <v>26</v>
      </c>
      <c r="H432" s="28">
        <v>31286</v>
      </c>
      <c r="I432" s="27" t="s">
        <v>121</v>
      </c>
      <c r="J432" s="27" t="s">
        <v>38</v>
      </c>
      <c r="K432" s="27" t="s">
        <v>83</v>
      </c>
      <c r="L432" s="27" t="s">
        <v>139</v>
      </c>
      <c r="M432" s="27">
        <v>13</v>
      </c>
      <c r="N432" s="27">
        <v>45</v>
      </c>
      <c r="O432" s="27">
        <v>15</v>
      </c>
      <c r="P432" s="27">
        <v>497.25</v>
      </c>
      <c r="Q432" s="27">
        <v>2</v>
      </c>
      <c r="R432" s="27" t="s">
        <v>31</v>
      </c>
      <c r="S432" s="27" t="s">
        <v>42</v>
      </c>
      <c r="T432" s="27" t="s">
        <v>51</v>
      </c>
      <c r="U432" s="27">
        <v>9814267382</v>
      </c>
      <c r="V432" s="35" t="s">
        <v>34</v>
      </c>
      <c r="W432" s="40" t="str" cm="1">
        <f t="array" ref="W432">_xlfn.IFS(AND(P432&gt;=100000,Q432&gt;=4,O432&lt;=0.1,V432="Completed"),"Platinum",AND(P432&gt;=50000,P432&lt;=99999,Q432&gt;=3,V432="Completed"),"Golde",AND(P432&lt;50000,V432="Completed"),"Silver",OR(Q432&lt;=2,V432="Cancelled"),"BlackListed",TRUE,"Other")</f>
        <v>Silver</v>
      </c>
    </row>
    <row r="433" spans="1:23" ht="15" thickBot="1" x14ac:dyDescent="0.4">
      <c r="A433" s="30" t="s">
        <v>562</v>
      </c>
      <c r="B433" s="30" t="s">
        <v>134</v>
      </c>
      <c r="C433" s="30" t="s">
        <v>36</v>
      </c>
      <c r="D433" s="31">
        <v>46036</v>
      </c>
      <c r="E433" s="31">
        <v>46046</v>
      </c>
      <c r="F433" s="30" t="s">
        <v>135</v>
      </c>
      <c r="G433" s="30" t="s">
        <v>26</v>
      </c>
      <c r="H433" s="31">
        <v>27550</v>
      </c>
      <c r="I433" s="30" t="s">
        <v>74</v>
      </c>
      <c r="J433" s="30" t="s">
        <v>75</v>
      </c>
      <c r="K433" s="30" t="s">
        <v>39</v>
      </c>
      <c r="L433" s="30" t="s">
        <v>40</v>
      </c>
      <c r="M433" s="30">
        <v>7</v>
      </c>
      <c r="N433" s="30">
        <v>12000</v>
      </c>
      <c r="O433" s="30">
        <v>5</v>
      </c>
      <c r="P433" s="30">
        <v>79800</v>
      </c>
      <c r="Q433" s="30">
        <v>4</v>
      </c>
      <c r="R433" s="30" t="s">
        <v>60</v>
      </c>
      <c r="S433" s="30" t="s">
        <v>96</v>
      </c>
      <c r="T433" s="30" t="s">
        <v>136</v>
      </c>
      <c r="U433" s="30">
        <v>9937007439</v>
      </c>
      <c r="V433" s="38" t="s">
        <v>53</v>
      </c>
      <c r="W433" s="40" t="str" cm="1">
        <f t="array" ref="W433">_xlfn.IFS(AND(P433&gt;=100000,Q433&gt;=4,O433&lt;=0.1,V433="Completed"),"Platinum",AND(P433&gt;=50000,P433&lt;=99999,Q433&gt;=3,V433="Completed"),"Golde",AND(P433&lt;50000,V433="Completed"),"Silver",OR(Q433&lt;=2,V433="Cancelled"),"BlackListed",TRUE,"Other")</f>
        <v>BlackListed</v>
      </c>
    </row>
    <row r="434" spans="1:23" ht="15" thickBot="1" x14ac:dyDescent="0.4">
      <c r="A434" s="27" t="s">
        <v>563</v>
      </c>
      <c r="B434" s="27" t="s">
        <v>156</v>
      </c>
      <c r="C434" s="27" t="s">
        <v>125</v>
      </c>
      <c r="D434" s="23">
        <v>46152</v>
      </c>
      <c r="E434" s="27"/>
      <c r="F434" s="27" t="s">
        <v>106</v>
      </c>
      <c r="G434" s="27" t="s">
        <v>58</v>
      </c>
      <c r="H434" s="28">
        <v>35514</v>
      </c>
      <c r="I434" s="27" t="s">
        <v>147</v>
      </c>
      <c r="J434" s="27" t="s">
        <v>148</v>
      </c>
      <c r="K434" s="27" t="s">
        <v>83</v>
      </c>
      <c r="L434" s="27" t="s">
        <v>127</v>
      </c>
      <c r="M434" s="27">
        <v>8</v>
      </c>
      <c r="N434" s="27">
        <v>20</v>
      </c>
      <c r="O434" s="27">
        <v>0</v>
      </c>
      <c r="P434" s="27">
        <v>160</v>
      </c>
      <c r="Q434" s="27">
        <v>4</v>
      </c>
      <c r="R434" s="27" t="s">
        <v>60</v>
      </c>
      <c r="S434" s="27" t="s">
        <v>50</v>
      </c>
      <c r="T434" s="27" t="s">
        <v>158</v>
      </c>
      <c r="U434" s="27">
        <v>9657513435</v>
      </c>
      <c r="V434" s="37" t="s">
        <v>52</v>
      </c>
      <c r="W434" s="40" t="str" cm="1">
        <f t="array" ref="W434">_xlfn.IFS(AND(P434&gt;=100000,Q434&gt;=4,O434&lt;=0.1,V434="Completed"),"Platinum",AND(P434&gt;=50000,P434&lt;=99999,Q434&gt;=3,V434="Completed"),"Golde",AND(P434&lt;50000,V434="Completed"),"Silver",OR(Q434&lt;=2,V434="Cancelled"),"BlackListed",TRUE,"Other")</f>
        <v>Other</v>
      </c>
    </row>
    <row r="435" spans="1:23" ht="15" thickBot="1" x14ac:dyDescent="0.4">
      <c r="A435" s="30" t="s">
        <v>564</v>
      </c>
      <c r="B435" s="30" t="s">
        <v>23</v>
      </c>
      <c r="C435" s="30" t="s">
        <v>68</v>
      </c>
      <c r="D435" s="31">
        <v>45689</v>
      </c>
      <c r="E435" s="31">
        <v>45694</v>
      </c>
      <c r="F435" s="30" t="s">
        <v>25</v>
      </c>
      <c r="G435" s="30" t="s">
        <v>26</v>
      </c>
      <c r="H435" s="31">
        <v>35538</v>
      </c>
      <c r="I435" s="30" t="s">
        <v>147</v>
      </c>
      <c r="J435" s="30" t="s">
        <v>148</v>
      </c>
      <c r="K435" s="30" t="s">
        <v>29</v>
      </c>
      <c r="L435" s="30" t="s">
        <v>70</v>
      </c>
      <c r="M435" s="30">
        <v>16</v>
      </c>
      <c r="N435" s="30">
        <v>3500</v>
      </c>
      <c r="O435" s="30">
        <v>5</v>
      </c>
      <c r="P435" s="30">
        <v>53200</v>
      </c>
      <c r="Q435" s="30">
        <v>1</v>
      </c>
      <c r="R435" s="30" t="s">
        <v>60</v>
      </c>
      <c r="S435" s="30" t="s">
        <v>50</v>
      </c>
      <c r="T435" s="30" t="s">
        <v>43</v>
      </c>
      <c r="U435" s="30">
        <v>9999406260</v>
      </c>
      <c r="V435" s="38" t="s">
        <v>53</v>
      </c>
      <c r="W435" s="40" t="str" cm="1">
        <f t="array" ref="W435">_xlfn.IFS(AND(P435&gt;=100000,Q435&gt;=4,O435&lt;=0.1,V435="Completed"),"Platinum",AND(P435&gt;=50000,P435&lt;=99999,Q435&gt;=3,V435="Completed"),"Golde",AND(P435&lt;50000,V435="Completed"),"Silver",OR(Q435&lt;=2,V435="Cancelled"),"BlackListed",TRUE,"Other")</f>
        <v>BlackListed</v>
      </c>
    </row>
    <row r="436" spans="1:23" ht="15" thickBot="1" x14ac:dyDescent="0.4">
      <c r="A436" s="27" t="s">
        <v>565</v>
      </c>
      <c r="B436" s="27" t="s">
        <v>156</v>
      </c>
      <c r="C436" s="27" t="s">
        <v>105</v>
      </c>
      <c r="D436" s="28">
        <v>45710</v>
      </c>
      <c r="E436" s="28">
        <v>45720</v>
      </c>
      <c r="F436" s="27" t="s">
        <v>106</v>
      </c>
      <c r="G436" s="27" t="s">
        <v>58</v>
      </c>
      <c r="H436" s="28">
        <v>36308</v>
      </c>
      <c r="I436" s="27" t="s">
        <v>74</v>
      </c>
      <c r="J436" s="27" t="s">
        <v>75</v>
      </c>
      <c r="K436" s="27" t="s">
        <v>29</v>
      </c>
      <c r="L436" s="27" t="s">
        <v>107</v>
      </c>
      <c r="M436" s="27">
        <v>12</v>
      </c>
      <c r="N436" s="27">
        <v>8500</v>
      </c>
      <c r="O436" s="27">
        <v>10</v>
      </c>
      <c r="P436" s="27">
        <v>91800</v>
      </c>
      <c r="Q436" s="27">
        <v>3</v>
      </c>
      <c r="R436" s="27" t="s">
        <v>60</v>
      </c>
      <c r="S436" s="27" t="s">
        <v>32</v>
      </c>
      <c r="T436" s="27" t="s">
        <v>158</v>
      </c>
      <c r="U436" s="27">
        <v>9233727886</v>
      </c>
      <c r="V436" s="35" t="s">
        <v>34</v>
      </c>
      <c r="W436" s="40" t="str" cm="1">
        <f t="array" ref="W436">_xlfn.IFS(AND(P436&gt;=100000,Q436&gt;=4,O436&lt;=0.1,V436="Completed"),"Platinum",AND(P436&gt;=50000,P436&lt;=99999,Q436&gt;=3,V436="Completed"),"Golde",AND(P436&lt;50000,V436="Completed"),"Silver",OR(Q436&lt;=2,V436="Cancelled"),"BlackListed",TRUE,"Other")</f>
        <v>Golde</v>
      </c>
    </row>
    <row r="437" spans="1:23" ht="15" thickBot="1" x14ac:dyDescent="0.4">
      <c r="A437" s="30" t="s">
        <v>566</v>
      </c>
      <c r="B437" s="30" t="s">
        <v>23</v>
      </c>
      <c r="C437" s="30" t="s">
        <v>82</v>
      </c>
      <c r="D437" s="31">
        <v>45765</v>
      </c>
      <c r="E437" s="31">
        <v>45767</v>
      </c>
      <c r="F437" s="30" t="s">
        <v>25</v>
      </c>
      <c r="G437" s="30" t="s">
        <v>26</v>
      </c>
      <c r="H437" s="31">
        <v>30492</v>
      </c>
      <c r="I437" s="30" t="s">
        <v>91</v>
      </c>
      <c r="J437" s="30" t="s">
        <v>75</v>
      </c>
      <c r="K437" s="30" t="s">
        <v>83</v>
      </c>
      <c r="L437" s="30" t="s">
        <v>84</v>
      </c>
      <c r="M437" s="30">
        <v>1</v>
      </c>
      <c r="N437" s="30">
        <v>60</v>
      </c>
      <c r="O437" s="30">
        <v>20</v>
      </c>
      <c r="P437" s="30">
        <v>48</v>
      </c>
      <c r="Q437" s="30">
        <v>2</v>
      </c>
      <c r="R437" s="30" t="s">
        <v>60</v>
      </c>
      <c r="S437" s="30" t="s">
        <v>96</v>
      </c>
      <c r="T437" s="30" t="s">
        <v>43</v>
      </c>
      <c r="U437" s="30">
        <v>9831688801</v>
      </c>
      <c r="V437" s="36" t="s">
        <v>34</v>
      </c>
      <c r="W437" s="40" t="str" cm="1">
        <f t="array" ref="W437">_xlfn.IFS(AND(P437&gt;=100000,Q437&gt;=4,O437&lt;=0.1,V437="Completed"),"Platinum",AND(P437&gt;=50000,P437&lt;=99999,Q437&gt;=3,V437="Completed"),"Golde",AND(P437&lt;50000,V437="Completed"),"Silver",OR(Q437&lt;=2,V437="Cancelled"),"BlackListed",TRUE,"Other")</f>
        <v>Silver</v>
      </c>
    </row>
    <row r="438" spans="1:23" ht="15" thickBot="1" x14ac:dyDescent="0.4">
      <c r="A438" s="27" t="s">
        <v>567</v>
      </c>
      <c r="B438" s="27" t="s">
        <v>87</v>
      </c>
      <c r="C438" s="27" t="s">
        <v>82</v>
      </c>
      <c r="D438" s="28">
        <v>45967</v>
      </c>
      <c r="E438" s="28">
        <v>45972</v>
      </c>
      <c r="F438" s="27" t="s">
        <v>88</v>
      </c>
      <c r="G438" s="27" t="s">
        <v>58</v>
      </c>
      <c r="H438" s="28">
        <v>33995</v>
      </c>
      <c r="I438" s="27" t="s">
        <v>27</v>
      </c>
      <c r="J438" s="27" t="s">
        <v>28</v>
      </c>
      <c r="K438" s="27" t="s">
        <v>83</v>
      </c>
      <c r="L438" s="27" t="s">
        <v>84</v>
      </c>
      <c r="M438" s="27">
        <v>3</v>
      </c>
      <c r="N438" s="27">
        <v>60</v>
      </c>
      <c r="O438" s="27">
        <v>15</v>
      </c>
      <c r="P438" s="27">
        <v>153</v>
      </c>
      <c r="Q438" s="27">
        <v>4</v>
      </c>
      <c r="R438" s="27" t="s">
        <v>60</v>
      </c>
      <c r="S438" s="27" t="s">
        <v>32</v>
      </c>
      <c r="T438" s="27" t="s">
        <v>89</v>
      </c>
      <c r="U438" s="27">
        <v>9982849508</v>
      </c>
      <c r="V438" s="35" t="s">
        <v>34</v>
      </c>
      <c r="W438" s="40" t="str" cm="1">
        <f t="array" ref="W438">_xlfn.IFS(AND(P438&gt;=100000,Q438&gt;=4,O438&lt;=0.1,V438="Completed"),"Platinum",AND(P438&gt;=50000,P438&lt;=99999,Q438&gt;=3,V438="Completed"),"Golde",AND(P438&lt;50000,V438="Completed"),"Silver",OR(Q438&lt;=2,V438="Cancelled"),"BlackListed",TRUE,"Other")</f>
        <v>Silver</v>
      </c>
    </row>
    <row r="439" spans="1:23" ht="15" thickBot="1" x14ac:dyDescent="0.4">
      <c r="A439" s="30" t="s">
        <v>568</v>
      </c>
      <c r="B439" s="30" t="s">
        <v>72</v>
      </c>
      <c r="C439" s="30" t="s">
        <v>112</v>
      </c>
      <c r="D439" s="31">
        <v>45736</v>
      </c>
      <c r="E439" s="31">
        <v>45741</v>
      </c>
      <c r="F439" s="30" t="s">
        <v>73</v>
      </c>
      <c r="G439" s="30" t="s">
        <v>26</v>
      </c>
      <c r="H439" s="31">
        <v>28917</v>
      </c>
      <c r="I439" s="30" t="s">
        <v>147</v>
      </c>
      <c r="J439" s="30" t="s">
        <v>148</v>
      </c>
      <c r="K439" s="30" t="s">
        <v>39</v>
      </c>
      <c r="L439" s="30" t="s">
        <v>114</v>
      </c>
      <c r="M439" s="30">
        <v>10</v>
      </c>
      <c r="N439" s="30">
        <v>700</v>
      </c>
      <c r="O439" s="30">
        <v>15</v>
      </c>
      <c r="P439" s="30">
        <v>5950</v>
      </c>
      <c r="Q439" s="30">
        <v>3</v>
      </c>
      <c r="R439" s="30" t="s">
        <v>41</v>
      </c>
      <c r="S439" s="30" t="s">
        <v>32</v>
      </c>
      <c r="T439" s="30" t="s">
        <v>93</v>
      </c>
      <c r="U439" s="30">
        <v>9288309246</v>
      </c>
      <c r="V439" s="38" t="s">
        <v>52</v>
      </c>
      <c r="W439" s="40" t="str" cm="1">
        <f t="array" ref="W439">_xlfn.IFS(AND(P439&gt;=100000,Q439&gt;=4,O439&lt;=0.1,V439="Completed"),"Platinum",AND(P439&gt;=50000,P439&lt;=99999,Q439&gt;=3,V439="Completed"),"Golde",AND(P439&lt;50000,V439="Completed"),"Silver",OR(Q439&lt;=2,V439="Cancelled"),"BlackListed",TRUE,"Other")</f>
        <v>Other</v>
      </c>
    </row>
    <row r="440" spans="1:23" ht="15" thickBot="1" x14ac:dyDescent="0.4">
      <c r="A440" s="27" t="s">
        <v>569</v>
      </c>
      <c r="B440" s="27" t="s">
        <v>63</v>
      </c>
      <c r="C440" s="27" t="s">
        <v>125</v>
      </c>
      <c r="D440" s="28">
        <v>45952</v>
      </c>
      <c r="E440" s="28">
        <v>45955</v>
      </c>
      <c r="F440" s="27" t="s">
        <v>110</v>
      </c>
      <c r="G440" s="27" t="s">
        <v>58</v>
      </c>
      <c r="H440" s="28">
        <v>28016</v>
      </c>
      <c r="I440" s="27" t="s">
        <v>91</v>
      </c>
      <c r="J440" s="27" t="s">
        <v>75</v>
      </c>
      <c r="K440" s="27" t="s">
        <v>83</v>
      </c>
      <c r="L440" s="27" t="s">
        <v>127</v>
      </c>
      <c r="M440" s="27">
        <v>2</v>
      </c>
      <c r="N440" s="27">
        <v>20</v>
      </c>
      <c r="O440" s="27">
        <v>10</v>
      </c>
      <c r="P440" s="27">
        <v>36</v>
      </c>
      <c r="Q440" s="27">
        <v>2</v>
      </c>
      <c r="R440" s="27" t="s">
        <v>65</v>
      </c>
      <c r="S440" s="27" t="s">
        <v>50</v>
      </c>
      <c r="T440" s="27" t="s">
        <v>66</v>
      </c>
      <c r="U440" s="27">
        <v>9808476235</v>
      </c>
      <c r="V440" s="35" t="s">
        <v>34</v>
      </c>
      <c r="W440" s="40" t="str" cm="1">
        <f t="array" ref="W440">_xlfn.IFS(AND(P440&gt;=100000,Q440&gt;=4,O440&lt;=0.1,V440="Completed"),"Platinum",AND(P440&gt;=50000,P440&lt;=99999,Q440&gt;=3,V440="Completed"),"Golde",AND(P440&lt;50000,V440="Completed"),"Silver",OR(Q440&lt;=2,V440="Cancelled"),"BlackListed",TRUE,"Other")</f>
        <v>Silver</v>
      </c>
    </row>
    <row r="441" spans="1:23" ht="15" thickBot="1" x14ac:dyDescent="0.4">
      <c r="A441" s="30" t="s">
        <v>570</v>
      </c>
      <c r="B441" s="30" t="s">
        <v>63</v>
      </c>
      <c r="C441" s="30" t="s">
        <v>125</v>
      </c>
      <c r="D441" s="31">
        <v>46022</v>
      </c>
      <c r="E441" s="31">
        <v>46027</v>
      </c>
      <c r="F441" s="30" t="s">
        <v>110</v>
      </c>
      <c r="G441" s="30" t="s">
        <v>58</v>
      </c>
      <c r="H441" s="31">
        <v>33446</v>
      </c>
      <c r="I441" s="30" t="s">
        <v>37</v>
      </c>
      <c r="J441" s="30" t="s">
        <v>38</v>
      </c>
      <c r="K441" s="30" t="s">
        <v>83</v>
      </c>
      <c r="L441" s="30" t="s">
        <v>127</v>
      </c>
      <c r="M441" s="30">
        <v>14</v>
      </c>
      <c r="N441" s="30">
        <v>20</v>
      </c>
      <c r="O441" s="30">
        <v>20</v>
      </c>
      <c r="P441" s="30">
        <v>224</v>
      </c>
      <c r="Q441" s="30">
        <v>5</v>
      </c>
      <c r="R441" s="30" t="s">
        <v>31</v>
      </c>
      <c r="S441" s="30" t="s">
        <v>96</v>
      </c>
      <c r="T441" s="30" t="s">
        <v>66</v>
      </c>
      <c r="U441" s="30">
        <v>9869056117</v>
      </c>
      <c r="V441" s="38" t="s">
        <v>52</v>
      </c>
      <c r="W441" s="40" t="str" cm="1">
        <f t="array" ref="W441">_xlfn.IFS(AND(P441&gt;=100000,Q441&gt;=4,O441&lt;=0.1,V441="Completed"),"Platinum",AND(P441&gt;=50000,P441&lt;=99999,Q441&gt;=3,V441="Completed"),"Golde",AND(P441&lt;50000,V441="Completed"),"Silver",OR(Q441&lt;=2,V441="Cancelled"),"BlackListed",TRUE,"Other")</f>
        <v>Other</v>
      </c>
    </row>
    <row r="442" spans="1:23" ht="15" thickBot="1" x14ac:dyDescent="0.4">
      <c r="A442" s="27" t="s">
        <v>571</v>
      </c>
      <c r="B442" s="27" t="s">
        <v>156</v>
      </c>
      <c r="C442" s="27" t="s">
        <v>68</v>
      </c>
      <c r="D442" s="28">
        <v>45829</v>
      </c>
      <c r="E442" s="28">
        <v>45833</v>
      </c>
      <c r="F442" s="27" t="s">
        <v>106</v>
      </c>
      <c r="G442" s="27" t="s">
        <v>58</v>
      </c>
      <c r="H442" s="28">
        <v>32075</v>
      </c>
      <c r="I442" s="27" t="s">
        <v>91</v>
      </c>
      <c r="J442" s="27" t="s">
        <v>75</v>
      </c>
      <c r="K442" s="27" t="s">
        <v>29</v>
      </c>
      <c r="L442" s="27" t="s">
        <v>70</v>
      </c>
      <c r="M442" s="27">
        <v>4</v>
      </c>
      <c r="N442" s="27">
        <v>3500</v>
      </c>
      <c r="O442" s="27">
        <v>0</v>
      </c>
      <c r="P442" s="27">
        <v>14000</v>
      </c>
      <c r="Q442" s="27">
        <v>2</v>
      </c>
      <c r="R442" s="27" t="s">
        <v>65</v>
      </c>
      <c r="S442" s="27" t="s">
        <v>32</v>
      </c>
      <c r="T442" s="27" t="s">
        <v>158</v>
      </c>
      <c r="U442" s="27">
        <v>9734229772</v>
      </c>
      <c r="V442" s="37" t="s">
        <v>53</v>
      </c>
      <c r="W442" s="40" t="str" cm="1">
        <f t="array" ref="W442">_xlfn.IFS(AND(P442&gt;=100000,Q442&gt;=4,O442&lt;=0.1,V442="Completed"),"Platinum",AND(P442&gt;=50000,P442&lt;=99999,Q442&gt;=3,V442="Completed"),"Golde",AND(P442&lt;50000,V442="Completed"),"Silver",OR(Q442&lt;=2,V442="Cancelled"),"BlackListed",TRUE,"Other")</f>
        <v>BlackListed</v>
      </c>
    </row>
    <row r="443" spans="1:23" ht="15" thickBot="1" x14ac:dyDescent="0.4">
      <c r="A443" s="30" t="s">
        <v>572</v>
      </c>
      <c r="B443" s="30" t="s">
        <v>63</v>
      </c>
      <c r="C443" s="30" t="s">
        <v>68</v>
      </c>
      <c r="D443" s="31">
        <v>45812</v>
      </c>
      <c r="E443" s="31">
        <v>45813</v>
      </c>
      <c r="F443" s="30" t="s">
        <v>110</v>
      </c>
      <c r="G443" s="30" t="s">
        <v>58</v>
      </c>
      <c r="H443" s="31">
        <v>30629</v>
      </c>
      <c r="I443" s="30" t="s">
        <v>121</v>
      </c>
      <c r="J443" s="30" t="s">
        <v>38</v>
      </c>
      <c r="K443" s="30" t="s">
        <v>29</v>
      </c>
      <c r="L443" s="30" t="s">
        <v>70</v>
      </c>
      <c r="M443" s="30">
        <v>9</v>
      </c>
      <c r="N443" s="30">
        <v>3500</v>
      </c>
      <c r="O443" s="30">
        <v>5</v>
      </c>
      <c r="P443" s="30">
        <v>29925</v>
      </c>
      <c r="Q443" s="30">
        <v>3</v>
      </c>
      <c r="R443" s="30" t="s">
        <v>60</v>
      </c>
      <c r="S443" s="30" t="s">
        <v>50</v>
      </c>
      <c r="T443" s="30" t="s">
        <v>66</v>
      </c>
      <c r="U443" s="30">
        <v>9791617906</v>
      </c>
      <c r="V443" s="36" t="s">
        <v>34</v>
      </c>
      <c r="W443" s="40" t="str" cm="1">
        <f t="array" ref="W443">_xlfn.IFS(AND(P443&gt;=100000,Q443&gt;=4,O443&lt;=0.1,V443="Completed"),"Platinum",AND(P443&gt;=50000,P443&lt;=99999,Q443&gt;=3,V443="Completed"),"Golde",AND(P443&lt;50000,V443="Completed"),"Silver",OR(Q443&lt;=2,V443="Cancelled"),"BlackListed",TRUE,"Other")</f>
        <v>Silver</v>
      </c>
    </row>
    <row r="444" spans="1:23" ht="15" thickBot="1" x14ac:dyDescent="0.4">
      <c r="A444" s="27" t="s">
        <v>573</v>
      </c>
      <c r="B444" s="27" t="s">
        <v>87</v>
      </c>
      <c r="C444" s="27" t="s">
        <v>82</v>
      </c>
      <c r="D444" s="28">
        <v>45807</v>
      </c>
      <c r="E444" s="28">
        <v>45811</v>
      </c>
      <c r="F444" s="27" t="s">
        <v>88</v>
      </c>
      <c r="G444" s="27" t="s">
        <v>58</v>
      </c>
      <c r="H444" s="28">
        <v>30678</v>
      </c>
      <c r="I444" s="27" t="s">
        <v>74</v>
      </c>
      <c r="J444" s="27" t="s">
        <v>75</v>
      </c>
      <c r="K444" s="27" t="s">
        <v>83</v>
      </c>
      <c r="L444" s="27" t="s">
        <v>84</v>
      </c>
      <c r="M444" s="27">
        <v>9</v>
      </c>
      <c r="N444" s="27">
        <v>60</v>
      </c>
      <c r="O444" s="27">
        <v>0</v>
      </c>
      <c r="P444" s="27">
        <v>540</v>
      </c>
      <c r="Q444" s="27">
        <v>3</v>
      </c>
      <c r="R444" s="27" t="s">
        <v>65</v>
      </c>
      <c r="S444" s="27" t="s">
        <v>32</v>
      </c>
      <c r="T444" s="27" t="s">
        <v>89</v>
      </c>
      <c r="U444" s="27">
        <v>9286316823</v>
      </c>
      <c r="V444" s="37" t="s">
        <v>52</v>
      </c>
      <c r="W444" s="40" t="str" cm="1">
        <f t="array" ref="W444">_xlfn.IFS(AND(P444&gt;=100000,Q444&gt;=4,O444&lt;=0.1,V444="Completed"),"Platinum",AND(P444&gt;=50000,P444&lt;=99999,Q444&gt;=3,V444="Completed"),"Golde",AND(P444&lt;50000,V444="Completed"),"Silver",OR(Q444&lt;=2,V444="Cancelled"),"BlackListed",TRUE,"Other")</f>
        <v>Other</v>
      </c>
    </row>
    <row r="445" spans="1:23" ht="15" thickBot="1" x14ac:dyDescent="0.4">
      <c r="A445" s="30" t="s">
        <v>574</v>
      </c>
      <c r="B445" s="30" t="s">
        <v>104</v>
      </c>
      <c r="C445" s="30" t="s">
        <v>56</v>
      </c>
      <c r="D445" s="31">
        <v>45779</v>
      </c>
      <c r="E445" s="31">
        <v>45780</v>
      </c>
      <c r="F445" s="30" t="s">
        <v>166</v>
      </c>
      <c r="G445" s="30" t="s">
        <v>26</v>
      </c>
      <c r="H445" s="31">
        <v>33862</v>
      </c>
      <c r="I445" s="30" t="s">
        <v>91</v>
      </c>
      <c r="J445" s="30" t="s">
        <v>75</v>
      </c>
      <c r="K445" s="30" t="s">
        <v>39</v>
      </c>
      <c r="L445" s="30" t="s">
        <v>59</v>
      </c>
      <c r="M445" s="30">
        <v>4</v>
      </c>
      <c r="N445" s="30">
        <v>1200</v>
      </c>
      <c r="O445" s="30">
        <v>0</v>
      </c>
      <c r="P445" s="30">
        <v>4800</v>
      </c>
      <c r="Q445" s="30">
        <v>1</v>
      </c>
      <c r="R445" s="30" t="s">
        <v>41</v>
      </c>
      <c r="S445" s="30" t="s">
        <v>50</v>
      </c>
      <c r="T445" s="30" t="s">
        <v>108</v>
      </c>
      <c r="U445" s="30">
        <v>9810569252</v>
      </c>
      <c r="V445" s="36" t="s">
        <v>34</v>
      </c>
      <c r="W445" s="40" t="str" cm="1">
        <f t="array" ref="W445">_xlfn.IFS(AND(P445&gt;=100000,Q445&gt;=4,O445&lt;=0.1,V445="Completed"),"Platinum",AND(P445&gt;=50000,P445&lt;=99999,Q445&gt;=3,V445="Completed"),"Golde",AND(P445&lt;50000,V445="Completed"),"Silver",OR(Q445&lt;=2,V445="Cancelled"),"BlackListed",TRUE,"Other")</f>
        <v>Silver</v>
      </c>
    </row>
    <row r="446" spans="1:23" ht="15" thickBot="1" x14ac:dyDescent="0.4">
      <c r="A446" s="27" t="s">
        <v>575</v>
      </c>
      <c r="B446" s="27" t="s">
        <v>45</v>
      </c>
      <c r="C446" s="27" t="s">
        <v>46</v>
      </c>
      <c r="D446" s="28">
        <v>45691</v>
      </c>
      <c r="E446" s="28">
        <v>45701</v>
      </c>
      <c r="F446" s="27" t="s">
        <v>101</v>
      </c>
      <c r="G446" s="27" t="s">
        <v>26</v>
      </c>
      <c r="H446" s="28">
        <v>36381</v>
      </c>
      <c r="I446" s="27" t="s">
        <v>27</v>
      </c>
      <c r="J446" s="27" t="s">
        <v>28</v>
      </c>
      <c r="K446" s="27" t="s">
        <v>39</v>
      </c>
      <c r="L446" s="27" t="s">
        <v>49</v>
      </c>
      <c r="M446" s="27">
        <v>10</v>
      </c>
      <c r="N446" s="27">
        <v>55000</v>
      </c>
      <c r="O446" s="27">
        <v>5</v>
      </c>
      <c r="P446" s="27">
        <v>522500</v>
      </c>
      <c r="Q446" s="27">
        <v>5</v>
      </c>
      <c r="R446" s="27" t="s">
        <v>65</v>
      </c>
      <c r="S446" s="27" t="s">
        <v>80</v>
      </c>
      <c r="T446" s="27" t="s">
        <v>51</v>
      </c>
      <c r="U446" s="27">
        <v>9771745925</v>
      </c>
      <c r="V446" s="35" t="s">
        <v>34</v>
      </c>
      <c r="W446" s="40" t="str" cm="1">
        <f t="array" ref="W446">_xlfn.IFS(AND(P446&gt;=100000,Q446&gt;=4,O446&lt;=0.1,V446="Completed"),"Platinum",AND(P446&gt;=50000,P446&lt;=99999,Q446&gt;=3,V446="Completed"),"Golde",AND(P446&lt;50000,V446="Completed"),"Silver",OR(Q446&lt;=2,V446="Cancelled"),"BlackListed",TRUE,"Other")</f>
        <v>Other</v>
      </c>
    </row>
    <row r="447" spans="1:23" ht="15" thickBot="1" x14ac:dyDescent="0.4">
      <c r="A447" s="30" t="s">
        <v>576</v>
      </c>
      <c r="B447" s="30" t="s">
        <v>124</v>
      </c>
      <c r="C447" s="30" t="s">
        <v>138</v>
      </c>
      <c r="D447" s="31">
        <v>45837</v>
      </c>
      <c r="E447" s="31">
        <v>45844</v>
      </c>
      <c r="F447" s="30" t="s">
        <v>126</v>
      </c>
      <c r="G447" s="30" t="s">
        <v>58</v>
      </c>
      <c r="H447" s="31">
        <v>32931</v>
      </c>
      <c r="I447" s="30" t="s">
        <v>27</v>
      </c>
      <c r="J447" s="30" t="s">
        <v>28</v>
      </c>
      <c r="K447" s="30" t="s">
        <v>83</v>
      </c>
      <c r="L447" s="30" t="s">
        <v>139</v>
      </c>
      <c r="M447" s="30">
        <v>20</v>
      </c>
      <c r="N447" s="30">
        <v>45</v>
      </c>
      <c r="O447" s="30">
        <v>15</v>
      </c>
      <c r="P447" s="30">
        <v>765</v>
      </c>
      <c r="Q447" s="30">
        <v>2</v>
      </c>
      <c r="R447" s="30" t="s">
        <v>60</v>
      </c>
      <c r="S447" s="30" t="s">
        <v>32</v>
      </c>
      <c r="T447" s="30" t="s">
        <v>128</v>
      </c>
      <c r="U447" s="30">
        <v>9820683063</v>
      </c>
      <c r="V447" s="38" t="s">
        <v>53</v>
      </c>
      <c r="W447" s="40" t="str" cm="1">
        <f t="array" ref="W447">_xlfn.IFS(AND(P447&gt;=100000,Q447&gt;=4,O447&lt;=0.1,V447="Completed"),"Platinum",AND(P447&gt;=50000,P447&lt;=99999,Q447&gt;=3,V447="Completed"),"Golde",AND(P447&lt;50000,V447="Completed"),"Silver",OR(Q447&lt;=2,V447="Cancelled"),"BlackListed",TRUE,"Other")</f>
        <v>BlackListed</v>
      </c>
    </row>
    <row r="448" spans="1:23" ht="15" thickBot="1" x14ac:dyDescent="0.4">
      <c r="A448" s="27" t="s">
        <v>577</v>
      </c>
      <c r="B448" s="27" t="s">
        <v>23</v>
      </c>
      <c r="C448" s="27" t="s">
        <v>125</v>
      </c>
      <c r="D448" s="28">
        <v>46065</v>
      </c>
      <c r="E448" s="28">
        <v>46075</v>
      </c>
      <c r="F448" s="27" t="s">
        <v>25</v>
      </c>
      <c r="G448" s="27" t="s">
        <v>26</v>
      </c>
      <c r="H448" s="28">
        <v>34420</v>
      </c>
      <c r="I448" s="27" t="s">
        <v>74</v>
      </c>
      <c r="J448" s="27" t="s">
        <v>75</v>
      </c>
      <c r="K448" s="27" t="s">
        <v>83</v>
      </c>
      <c r="L448" s="27" t="s">
        <v>127</v>
      </c>
      <c r="M448" s="27">
        <v>9</v>
      </c>
      <c r="N448" s="27">
        <v>20</v>
      </c>
      <c r="O448" s="27">
        <v>20</v>
      </c>
      <c r="P448" s="27">
        <v>144</v>
      </c>
      <c r="Q448" s="27">
        <v>3</v>
      </c>
      <c r="R448" s="27" t="s">
        <v>60</v>
      </c>
      <c r="S448" s="27" t="s">
        <v>50</v>
      </c>
      <c r="T448" s="27" t="s">
        <v>43</v>
      </c>
      <c r="U448" s="27">
        <v>9292891941</v>
      </c>
      <c r="V448" s="35" t="s">
        <v>34</v>
      </c>
      <c r="W448" s="40" t="str" cm="1">
        <f t="array" ref="W448">_xlfn.IFS(AND(P448&gt;=100000,Q448&gt;=4,O448&lt;=0.1,V448="Completed"),"Platinum",AND(P448&gt;=50000,P448&lt;=99999,Q448&gt;=3,V448="Completed"),"Golde",AND(P448&lt;50000,V448="Completed"),"Silver",OR(Q448&lt;=2,V448="Cancelled"),"BlackListed",TRUE,"Other")</f>
        <v>Silver</v>
      </c>
    </row>
    <row r="449" spans="1:23" ht="15" thickBot="1" x14ac:dyDescent="0.4">
      <c r="A449" s="30" t="s">
        <v>578</v>
      </c>
      <c r="B449" s="30" t="s">
        <v>23</v>
      </c>
      <c r="C449" s="30" t="s">
        <v>46</v>
      </c>
      <c r="D449" s="31">
        <v>45719</v>
      </c>
      <c r="E449" s="31">
        <v>45730</v>
      </c>
      <c r="F449" s="30" t="s">
        <v>25</v>
      </c>
      <c r="G449" s="30" t="s">
        <v>26</v>
      </c>
      <c r="H449" s="31">
        <v>29383</v>
      </c>
      <c r="I449" s="30" t="s">
        <v>79</v>
      </c>
      <c r="J449" s="30" t="s">
        <v>75</v>
      </c>
      <c r="K449" s="30" t="s">
        <v>39</v>
      </c>
      <c r="L449" s="30" t="s">
        <v>49</v>
      </c>
      <c r="M449" s="30">
        <v>8</v>
      </c>
      <c r="N449" s="30">
        <v>55000</v>
      </c>
      <c r="O449" s="30">
        <v>0</v>
      </c>
      <c r="P449" s="30">
        <v>440000</v>
      </c>
      <c r="Q449" s="30">
        <v>4</v>
      </c>
      <c r="R449" s="30" t="s">
        <v>31</v>
      </c>
      <c r="S449" s="30" t="s">
        <v>80</v>
      </c>
      <c r="T449" s="30" t="s">
        <v>43</v>
      </c>
      <c r="U449" s="30">
        <v>9413789556</v>
      </c>
      <c r="V449" s="36" t="s">
        <v>34</v>
      </c>
      <c r="W449" s="40" t="str" cm="1">
        <f t="array" ref="W449">_xlfn.IFS(AND(P449&gt;=100000,Q449&gt;=4,O449&lt;=0.1,V449="Completed"),"Platinum",AND(P449&gt;=50000,P449&lt;=99999,Q449&gt;=3,V449="Completed"),"Golde",AND(P449&lt;50000,V449="Completed"),"Silver",OR(Q449&lt;=2,V449="Cancelled"),"BlackListed",TRUE,"Other")</f>
        <v>Platinum</v>
      </c>
    </row>
    <row r="450" spans="1:23" ht="15" thickBot="1" x14ac:dyDescent="0.4">
      <c r="A450" s="27" t="s">
        <v>579</v>
      </c>
      <c r="B450" s="27" t="s">
        <v>156</v>
      </c>
      <c r="C450" s="27" t="s">
        <v>56</v>
      </c>
      <c r="D450" s="28">
        <v>46136</v>
      </c>
      <c r="E450" s="28">
        <v>46140</v>
      </c>
      <c r="F450" s="27" t="s">
        <v>106</v>
      </c>
      <c r="G450" s="27" t="s">
        <v>58</v>
      </c>
      <c r="H450" s="28">
        <v>36687</v>
      </c>
      <c r="I450" s="27" t="s">
        <v>91</v>
      </c>
      <c r="J450" s="27" t="s">
        <v>75</v>
      </c>
      <c r="K450" s="27" t="s">
        <v>39</v>
      </c>
      <c r="L450" s="27" t="s">
        <v>59</v>
      </c>
      <c r="M450" s="27">
        <v>4</v>
      </c>
      <c r="N450" s="27">
        <v>1200</v>
      </c>
      <c r="O450" s="27">
        <v>10</v>
      </c>
      <c r="P450" s="27">
        <v>4320</v>
      </c>
      <c r="Q450" s="27">
        <v>4</v>
      </c>
      <c r="R450" s="27" t="s">
        <v>65</v>
      </c>
      <c r="S450" s="27" t="s">
        <v>32</v>
      </c>
      <c r="T450" s="29" t="s">
        <v>580</v>
      </c>
      <c r="U450" s="27">
        <v>98765</v>
      </c>
      <c r="V450" s="37" t="s">
        <v>53</v>
      </c>
      <c r="W450" s="40" t="str" cm="1">
        <f t="array" ref="W450">_xlfn.IFS(AND(P450&gt;=100000,Q450&gt;=4,O450&lt;=0.1,V450="Completed"),"Platinum",AND(P450&gt;=50000,P450&lt;=99999,Q450&gt;=3,V450="Completed"),"Golde",AND(P450&lt;50000,V450="Completed"),"Silver",OR(Q450&lt;=2,V450="Cancelled"),"BlackListed",TRUE,"Other")</f>
        <v>BlackListed</v>
      </c>
    </row>
    <row r="451" spans="1:23" ht="15" thickBot="1" x14ac:dyDescent="0.4">
      <c r="A451" s="30" t="s">
        <v>581</v>
      </c>
      <c r="B451" s="30" t="s">
        <v>156</v>
      </c>
      <c r="C451" s="30" t="s">
        <v>105</v>
      </c>
      <c r="D451" s="31">
        <v>46145</v>
      </c>
      <c r="E451" s="31">
        <v>46155</v>
      </c>
      <c r="F451" s="30" t="s">
        <v>106</v>
      </c>
      <c r="G451" s="30" t="s">
        <v>58</v>
      </c>
      <c r="H451" s="31">
        <v>35906</v>
      </c>
      <c r="I451" s="30" t="s">
        <v>147</v>
      </c>
      <c r="J451" s="30" t="s">
        <v>148</v>
      </c>
      <c r="K451" s="30" t="s">
        <v>29</v>
      </c>
      <c r="L451" s="30" t="s">
        <v>107</v>
      </c>
      <c r="M451" s="30">
        <v>14</v>
      </c>
      <c r="N451" s="30">
        <v>8500</v>
      </c>
      <c r="O451" s="30">
        <v>10</v>
      </c>
      <c r="P451" s="30">
        <v>107100</v>
      </c>
      <c r="Q451" s="30">
        <v>4</v>
      </c>
      <c r="R451" s="30" t="s">
        <v>31</v>
      </c>
      <c r="S451" s="30" t="s">
        <v>32</v>
      </c>
      <c r="T451" s="30" t="s">
        <v>158</v>
      </c>
      <c r="U451" s="30">
        <v>9211936331</v>
      </c>
      <c r="V451" s="36" t="s">
        <v>34</v>
      </c>
      <c r="W451" s="40" t="str" cm="1">
        <f t="array" ref="W451">_xlfn.IFS(AND(P451&gt;=100000,Q451&gt;=4,O451&lt;=0.1,V451="Completed"),"Platinum",AND(P451&gt;=50000,P451&lt;=99999,Q451&gt;=3,V451="Completed"),"Golde",AND(P451&lt;50000,V451="Completed"),"Silver",OR(Q451&lt;=2,V451="Cancelled"),"BlackListed",TRUE,"Other")</f>
        <v>Other</v>
      </c>
    </row>
    <row r="452" spans="1:23" ht="15" thickBot="1" x14ac:dyDescent="0.4">
      <c r="A452" s="27" t="s">
        <v>582</v>
      </c>
      <c r="B452" s="27" t="s">
        <v>55</v>
      </c>
      <c r="C452" s="27" t="s">
        <v>138</v>
      </c>
      <c r="D452" s="28">
        <v>45807</v>
      </c>
      <c r="E452" s="28">
        <v>45815</v>
      </c>
      <c r="F452" s="27" t="s">
        <v>57</v>
      </c>
      <c r="G452" s="27" t="s">
        <v>58</v>
      </c>
      <c r="H452" s="28">
        <v>30812</v>
      </c>
      <c r="I452" s="27" t="s">
        <v>27</v>
      </c>
      <c r="J452" s="27" t="s">
        <v>28</v>
      </c>
      <c r="K452" s="27" t="s">
        <v>83</v>
      </c>
      <c r="L452" s="27" t="s">
        <v>139</v>
      </c>
      <c r="M452" s="27">
        <v>1</v>
      </c>
      <c r="N452" s="27">
        <v>45</v>
      </c>
      <c r="O452" s="27">
        <v>0</v>
      </c>
      <c r="P452" s="27">
        <v>45</v>
      </c>
      <c r="Q452" s="27">
        <v>3</v>
      </c>
      <c r="R452" s="27" t="s">
        <v>65</v>
      </c>
      <c r="S452" s="27" t="s">
        <v>96</v>
      </c>
      <c r="T452" s="27" t="s">
        <v>61</v>
      </c>
      <c r="U452" s="27">
        <v>9167291747</v>
      </c>
      <c r="V452" s="37" t="s">
        <v>53</v>
      </c>
      <c r="W452" s="40" t="str" cm="1">
        <f t="array" ref="W452">_xlfn.IFS(AND(P452&gt;=100000,Q452&gt;=4,O452&lt;=0.1,V452="Completed"),"Platinum",AND(P452&gt;=50000,P452&lt;=99999,Q452&gt;=3,V452="Completed"),"Golde",AND(P452&lt;50000,V452="Completed"),"Silver",OR(Q452&lt;=2,V452="Cancelled"),"BlackListed",TRUE,"Other")</f>
        <v>BlackListed</v>
      </c>
    </row>
    <row r="453" spans="1:23" ht="15" thickBot="1" x14ac:dyDescent="0.4">
      <c r="A453" s="30" t="s">
        <v>583</v>
      </c>
      <c r="B453" s="30" t="s">
        <v>55</v>
      </c>
      <c r="C453" s="30" t="s">
        <v>46</v>
      </c>
      <c r="D453" s="31">
        <v>45705</v>
      </c>
      <c r="E453" s="31">
        <v>45716</v>
      </c>
      <c r="F453" s="30" t="s">
        <v>57</v>
      </c>
      <c r="G453" s="30" t="s">
        <v>58</v>
      </c>
      <c r="H453" s="31">
        <v>31692</v>
      </c>
      <c r="I453" s="30" t="s">
        <v>37</v>
      </c>
      <c r="J453" s="30" t="s">
        <v>38</v>
      </c>
      <c r="K453" s="30" t="s">
        <v>39</v>
      </c>
      <c r="L453" s="30" t="s">
        <v>49</v>
      </c>
      <c r="M453" s="30">
        <v>16</v>
      </c>
      <c r="N453" s="30">
        <v>55000</v>
      </c>
      <c r="O453" s="30">
        <v>15</v>
      </c>
      <c r="P453" s="30">
        <v>748000</v>
      </c>
      <c r="Q453" s="30">
        <v>1</v>
      </c>
      <c r="R453" s="30" t="s">
        <v>60</v>
      </c>
      <c r="S453" s="30" t="s">
        <v>96</v>
      </c>
      <c r="T453" s="30" t="s">
        <v>61</v>
      </c>
      <c r="U453" s="30">
        <v>9637283597</v>
      </c>
      <c r="V453" s="38" t="s">
        <v>53</v>
      </c>
      <c r="W453" s="40" t="str" cm="1">
        <f t="array" ref="W453">_xlfn.IFS(AND(P453&gt;=100000,Q453&gt;=4,O453&lt;=0.1,V453="Completed"),"Platinum",AND(P453&gt;=50000,P453&lt;=99999,Q453&gt;=3,V453="Completed"),"Golde",AND(P453&lt;50000,V453="Completed"),"Silver",OR(Q453&lt;=2,V453="Cancelled"),"BlackListed",TRUE,"Other")</f>
        <v>BlackListed</v>
      </c>
    </row>
    <row r="454" spans="1:23" ht="15" thickBot="1" x14ac:dyDescent="0.4">
      <c r="A454" s="27" t="s">
        <v>584</v>
      </c>
      <c r="B454" s="27" t="s">
        <v>45</v>
      </c>
      <c r="C454" s="27" t="s">
        <v>112</v>
      </c>
      <c r="D454" s="28">
        <v>46103</v>
      </c>
      <c r="E454" s="28">
        <v>46110</v>
      </c>
      <c r="F454" s="27" t="s">
        <v>101</v>
      </c>
      <c r="G454" s="27" t="s">
        <v>26</v>
      </c>
      <c r="H454" s="28">
        <v>37926</v>
      </c>
      <c r="I454" s="27" t="s">
        <v>91</v>
      </c>
      <c r="J454" s="27" t="s">
        <v>75</v>
      </c>
      <c r="K454" s="27" t="s">
        <v>39</v>
      </c>
      <c r="L454" s="27" t="s">
        <v>114</v>
      </c>
      <c r="M454" s="27">
        <v>8</v>
      </c>
      <c r="N454" s="27">
        <v>700</v>
      </c>
      <c r="O454" s="27">
        <v>0</v>
      </c>
      <c r="P454" s="27">
        <v>5600</v>
      </c>
      <c r="Q454" s="27">
        <v>3</v>
      </c>
      <c r="R454" s="27" t="s">
        <v>31</v>
      </c>
      <c r="S454" s="27" t="s">
        <v>42</v>
      </c>
      <c r="T454" s="27" t="s">
        <v>51</v>
      </c>
      <c r="U454" s="27">
        <v>9514269002</v>
      </c>
      <c r="V454" s="35" t="s">
        <v>34</v>
      </c>
      <c r="W454" s="40" t="str" cm="1">
        <f t="array" ref="W454">_xlfn.IFS(AND(P454&gt;=100000,Q454&gt;=4,O454&lt;=0.1,V454="Completed"),"Platinum",AND(P454&gt;=50000,P454&lt;=99999,Q454&gt;=3,V454="Completed"),"Golde",AND(P454&lt;50000,V454="Completed"),"Silver",OR(Q454&lt;=2,V454="Cancelled"),"BlackListed",TRUE,"Other")</f>
        <v>Silver</v>
      </c>
    </row>
    <row r="455" spans="1:23" ht="15" thickBot="1" x14ac:dyDescent="0.4">
      <c r="A455" s="30" t="s">
        <v>585</v>
      </c>
      <c r="B455" s="30" t="s">
        <v>134</v>
      </c>
      <c r="C455" s="30" t="s">
        <v>56</v>
      </c>
      <c r="D455" s="31">
        <v>46114</v>
      </c>
      <c r="E455" s="31">
        <v>46125</v>
      </c>
      <c r="F455" s="30" t="s">
        <v>135</v>
      </c>
      <c r="G455" s="30" t="s">
        <v>26</v>
      </c>
      <c r="H455" s="31">
        <v>37782</v>
      </c>
      <c r="I455" s="30" t="s">
        <v>91</v>
      </c>
      <c r="J455" s="30" t="s">
        <v>75</v>
      </c>
      <c r="K455" s="30" t="s">
        <v>39</v>
      </c>
      <c r="L455" s="30" t="s">
        <v>59</v>
      </c>
      <c r="M455" s="30">
        <v>3</v>
      </c>
      <c r="N455" s="30">
        <v>1200</v>
      </c>
      <c r="O455" s="30">
        <v>0</v>
      </c>
      <c r="P455" s="30">
        <v>3600</v>
      </c>
      <c r="Q455" s="30">
        <v>1</v>
      </c>
      <c r="R455" s="30" t="s">
        <v>60</v>
      </c>
      <c r="S455" s="30" t="s">
        <v>42</v>
      </c>
      <c r="T455" s="30" t="s">
        <v>136</v>
      </c>
      <c r="U455" s="30">
        <v>9778908233</v>
      </c>
      <c r="V455" s="38" t="s">
        <v>53</v>
      </c>
      <c r="W455" s="40" t="str" cm="1">
        <f t="array" ref="W455">_xlfn.IFS(AND(P455&gt;=100000,Q455&gt;=4,O455&lt;=0.1,V455="Completed"),"Platinum",AND(P455&gt;=50000,P455&lt;=99999,Q455&gt;=3,V455="Completed"),"Golde",AND(P455&lt;50000,V455="Completed"),"Silver",OR(Q455&lt;=2,V455="Cancelled"),"BlackListed",TRUE,"Other")</f>
        <v>BlackListed</v>
      </c>
    </row>
    <row r="456" spans="1:23" ht="15" thickBot="1" x14ac:dyDescent="0.4">
      <c r="A456" s="27" t="s">
        <v>586</v>
      </c>
      <c r="B456" s="27" t="s">
        <v>55</v>
      </c>
      <c r="C456" s="27" t="s">
        <v>68</v>
      </c>
      <c r="D456" s="28">
        <v>45706</v>
      </c>
      <c r="E456" s="28">
        <v>45714</v>
      </c>
      <c r="F456" s="27" t="s">
        <v>57</v>
      </c>
      <c r="G456" s="27" t="s">
        <v>58</v>
      </c>
      <c r="H456" s="28">
        <v>32959</v>
      </c>
      <c r="I456" s="27" t="s">
        <v>147</v>
      </c>
      <c r="J456" s="27" t="s">
        <v>148</v>
      </c>
      <c r="K456" s="27" t="s">
        <v>29</v>
      </c>
      <c r="L456" s="27" t="s">
        <v>70</v>
      </c>
      <c r="M456" s="27">
        <v>7</v>
      </c>
      <c r="N456" s="27">
        <v>3500</v>
      </c>
      <c r="O456" s="27">
        <v>15</v>
      </c>
      <c r="P456" s="27">
        <v>20825</v>
      </c>
      <c r="Q456" s="27">
        <v>4</v>
      </c>
      <c r="R456" s="27" t="s">
        <v>60</v>
      </c>
      <c r="S456" s="27" t="s">
        <v>50</v>
      </c>
      <c r="T456" s="27" t="s">
        <v>61</v>
      </c>
      <c r="U456" s="27">
        <v>9981118755</v>
      </c>
      <c r="V456" s="37" t="s">
        <v>52</v>
      </c>
      <c r="W456" s="40" t="str" cm="1">
        <f t="array" ref="W456">_xlfn.IFS(AND(P456&gt;=100000,Q456&gt;=4,O456&lt;=0.1,V456="Completed"),"Platinum",AND(P456&gt;=50000,P456&lt;=99999,Q456&gt;=3,V456="Completed"),"Golde",AND(P456&lt;50000,V456="Completed"),"Silver",OR(Q456&lt;=2,V456="Cancelled"),"BlackListed",TRUE,"Other")</f>
        <v>Other</v>
      </c>
    </row>
    <row r="457" spans="1:23" ht="15" thickBot="1" x14ac:dyDescent="0.4">
      <c r="A457" s="30" t="s">
        <v>587</v>
      </c>
      <c r="B457" s="30" t="s">
        <v>45</v>
      </c>
      <c r="C457" s="30" t="s">
        <v>46</v>
      </c>
      <c r="D457" s="31">
        <v>46110</v>
      </c>
      <c r="E457" s="31">
        <v>46116</v>
      </c>
      <c r="F457" s="30" t="s">
        <v>101</v>
      </c>
      <c r="G457" s="30" t="s">
        <v>26</v>
      </c>
      <c r="H457" s="31">
        <v>37769</v>
      </c>
      <c r="I457" s="30" t="s">
        <v>79</v>
      </c>
      <c r="J457" s="30" t="s">
        <v>75</v>
      </c>
      <c r="K457" s="30" t="s">
        <v>39</v>
      </c>
      <c r="L457" s="30" t="s">
        <v>49</v>
      </c>
      <c r="M457" s="30">
        <v>9</v>
      </c>
      <c r="N457" s="30">
        <v>55000</v>
      </c>
      <c r="O457" s="30">
        <v>15</v>
      </c>
      <c r="P457" s="30">
        <v>420750</v>
      </c>
      <c r="Q457" s="30">
        <v>3</v>
      </c>
      <c r="R457" s="30" t="s">
        <v>65</v>
      </c>
      <c r="S457" s="30" t="s">
        <v>32</v>
      </c>
      <c r="T457" s="30" t="s">
        <v>51</v>
      </c>
      <c r="U457" s="30">
        <v>9887896743</v>
      </c>
      <c r="V457" s="38" t="s">
        <v>53</v>
      </c>
      <c r="W457" s="40" t="str" cm="1">
        <f t="array" ref="W457">_xlfn.IFS(AND(P457&gt;=100000,Q457&gt;=4,O457&lt;=0.1,V457="Completed"),"Platinum",AND(P457&gt;=50000,P457&lt;=99999,Q457&gt;=3,V457="Completed"),"Golde",AND(P457&lt;50000,V457="Completed"),"Silver",OR(Q457&lt;=2,V457="Cancelled"),"BlackListed",TRUE,"Other")</f>
        <v>BlackListed</v>
      </c>
    </row>
    <row r="458" spans="1:23" ht="15" thickBot="1" x14ac:dyDescent="0.4">
      <c r="A458" s="27" t="s">
        <v>588</v>
      </c>
      <c r="B458" s="27" t="s">
        <v>156</v>
      </c>
      <c r="C458" s="27" t="s">
        <v>36</v>
      </c>
      <c r="D458" s="28">
        <v>45992</v>
      </c>
      <c r="E458" s="28">
        <v>45993</v>
      </c>
      <c r="F458" s="27" t="s">
        <v>106</v>
      </c>
      <c r="G458" s="27" t="s">
        <v>58</v>
      </c>
      <c r="H458" s="28">
        <v>34006</v>
      </c>
      <c r="I458" s="27" t="s">
        <v>48</v>
      </c>
      <c r="J458" s="27" t="s">
        <v>28</v>
      </c>
      <c r="K458" s="27" t="s">
        <v>39</v>
      </c>
      <c r="L458" s="27" t="s">
        <v>40</v>
      </c>
      <c r="M458" s="27">
        <v>12</v>
      </c>
      <c r="N458" s="27">
        <v>12000</v>
      </c>
      <c r="O458" s="27">
        <v>0</v>
      </c>
      <c r="P458" s="27">
        <v>144000</v>
      </c>
      <c r="Q458" s="27">
        <v>3</v>
      </c>
      <c r="R458" s="27" t="s">
        <v>60</v>
      </c>
      <c r="S458" s="27" t="s">
        <v>96</v>
      </c>
      <c r="T458" s="27" t="s">
        <v>158</v>
      </c>
      <c r="U458" s="27">
        <v>9585330043</v>
      </c>
      <c r="V458" s="37" t="s">
        <v>53</v>
      </c>
      <c r="W458" s="40" t="str" cm="1">
        <f t="array" ref="W458">_xlfn.IFS(AND(P458&gt;=100000,Q458&gt;=4,O458&lt;=0.1,V458="Completed"),"Platinum",AND(P458&gt;=50000,P458&lt;=99999,Q458&gt;=3,V458="Completed"),"Golde",AND(P458&lt;50000,V458="Completed"),"Silver",OR(Q458&lt;=2,V458="Cancelled"),"BlackListed",TRUE,"Other")</f>
        <v>BlackListed</v>
      </c>
    </row>
    <row r="459" spans="1:23" ht="15" thickBot="1" x14ac:dyDescent="0.4">
      <c r="A459" s="30" t="s">
        <v>589</v>
      </c>
      <c r="B459" s="30" t="s">
        <v>72</v>
      </c>
      <c r="C459" s="30" t="s">
        <v>82</v>
      </c>
      <c r="D459" s="31">
        <v>45781</v>
      </c>
      <c r="E459" s="31">
        <v>45788</v>
      </c>
      <c r="F459" s="30" t="s">
        <v>73</v>
      </c>
      <c r="G459" s="30" t="s">
        <v>26</v>
      </c>
      <c r="H459" s="31">
        <v>27639</v>
      </c>
      <c r="I459" s="30" t="s">
        <v>91</v>
      </c>
      <c r="J459" s="30" t="s">
        <v>75</v>
      </c>
      <c r="K459" s="30" t="s">
        <v>83</v>
      </c>
      <c r="L459" s="30" t="s">
        <v>84</v>
      </c>
      <c r="M459" s="30">
        <v>7</v>
      </c>
      <c r="N459" s="30">
        <v>60</v>
      </c>
      <c r="O459" s="30">
        <v>10</v>
      </c>
      <c r="P459" s="30">
        <v>378</v>
      </c>
      <c r="Q459" s="30">
        <v>4</v>
      </c>
      <c r="R459" s="30" t="s">
        <v>31</v>
      </c>
      <c r="S459" s="30" t="s">
        <v>42</v>
      </c>
      <c r="T459" s="30" t="s">
        <v>93</v>
      </c>
      <c r="U459" s="30">
        <v>9423719975</v>
      </c>
      <c r="V459" s="38" t="s">
        <v>53</v>
      </c>
      <c r="W459" s="40" t="str" cm="1">
        <f t="array" ref="W459">_xlfn.IFS(AND(P459&gt;=100000,Q459&gt;=4,O459&lt;=0.1,V459="Completed"),"Platinum",AND(P459&gt;=50000,P459&lt;=99999,Q459&gt;=3,V459="Completed"),"Golde",AND(P459&lt;50000,V459="Completed"),"Silver",OR(Q459&lt;=2,V459="Cancelled"),"BlackListed",TRUE,"Other")</f>
        <v>BlackListed</v>
      </c>
    </row>
    <row r="460" spans="1:23" ht="15" thickBot="1" x14ac:dyDescent="0.4">
      <c r="A460" s="27" t="s">
        <v>590</v>
      </c>
      <c r="B460" s="27" t="s">
        <v>124</v>
      </c>
      <c r="C460" s="27" t="s">
        <v>24</v>
      </c>
      <c r="D460" s="28">
        <v>45892</v>
      </c>
      <c r="E460" s="28">
        <v>45900</v>
      </c>
      <c r="F460" s="27" t="s">
        <v>126</v>
      </c>
      <c r="G460" s="27" t="s">
        <v>58</v>
      </c>
      <c r="H460" s="28">
        <v>34586</v>
      </c>
      <c r="I460" s="27" t="s">
        <v>74</v>
      </c>
      <c r="J460" s="27" t="s">
        <v>75</v>
      </c>
      <c r="K460" s="27" t="s">
        <v>29</v>
      </c>
      <c r="L460" s="27" t="s">
        <v>30</v>
      </c>
      <c r="M460" s="27">
        <v>17</v>
      </c>
      <c r="N460" s="27">
        <v>2200</v>
      </c>
      <c r="O460" s="27">
        <v>15</v>
      </c>
      <c r="P460" s="27">
        <v>31790</v>
      </c>
      <c r="Q460" s="27">
        <v>3</v>
      </c>
      <c r="R460" s="27" t="s">
        <v>65</v>
      </c>
      <c r="S460" s="27" t="s">
        <v>96</v>
      </c>
      <c r="T460" s="27" t="s">
        <v>128</v>
      </c>
      <c r="U460" s="27">
        <v>9270746961</v>
      </c>
      <c r="V460" s="37" t="s">
        <v>52</v>
      </c>
      <c r="W460" s="40" t="str" cm="1">
        <f t="array" ref="W460">_xlfn.IFS(AND(P460&gt;=100000,Q460&gt;=4,O460&lt;=0.1,V460="Completed"),"Platinum",AND(P460&gt;=50000,P460&lt;=99999,Q460&gt;=3,V460="Completed"),"Golde",AND(P460&lt;50000,V460="Completed"),"Silver",OR(Q460&lt;=2,V460="Cancelled"),"BlackListed",TRUE,"Other")</f>
        <v>Other</v>
      </c>
    </row>
    <row r="461" spans="1:23" ht="15" thickBot="1" x14ac:dyDescent="0.4">
      <c r="A461" s="30" t="s">
        <v>591</v>
      </c>
      <c r="B461" s="30" t="s">
        <v>156</v>
      </c>
      <c r="C461" s="30" t="s">
        <v>112</v>
      </c>
      <c r="D461" s="31">
        <v>45988</v>
      </c>
      <c r="E461" s="31">
        <v>45997</v>
      </c>
      <c r="F461" s="30" t="s">
        <v>106</v>
      </c>
      <c r="G461" s="30" t="s">
        <v>58</v>
      </c>
      <c r="H461" s="31">
        <v>33884</v>
      </c>
      <c r="I461" s="30" t="s">
        <v>48</v>
      </c>
      <c r="J461" s="30" t="s">
        <v>28</v>
      </c>
      <c r="K461" s="30" t="s">
        <v>39</v>
      </c>
      <c r="L461" s="30" t="s">
        <v>114</v>
      </c>
      <c r="M461" s="30">
        <v>17</v>
      </c>
      <c r="N461" s="30">
        <v>700</v>
      </c>
      <c r="O461" s="30">
        <v>10</v>
      </c>
      <c r="P461" s="30">
        <v>10710</v>
      </c>
      <c r="Q461" s="30">
        <v>2</v>
      </c>
      <c r="R461" s="30" t="s">
        <v>31</v>
      </c>
      <c r="S461" s="30" t="s">
        <v>50</v>
      </c>
      <c r="T461" s="30" t="s">
        <v>158</v>
      </c>
      <c r="U461" s="30">
        <v>9333162025</v>
      </c>
      <c r="V461" s="38" t="s">
        <v>52</v>
      </c>
      <c r="W461" s="40" t="str" cm="1">
        <f t="array" ref="W461">_xlfn.IFS(AND(P461&gt;=100000,Q461&gt;=4,O461&lt;=0.1,V461="Completed"),"Platinum",AND(P461&gt;=50000,P461&lt;=99999,Q461&gt;=3,V461="Completed"),"Golde",AND(P461&lt;50000,V461="Completed"),"Silver",OR(Q461&lt;=2,V461="Cancelled"),"BlackListed",TRUE,"Other")</f>
        <v>BlackListed</v>
      </c>
    </row>
    <row r="462" spans="1:23" ht="15" thickBot="1" x14ac:dyDescent="0.4">
      <c r="A462" s="27" t="s">
        <v>592</v>
      </c>
      <c r="B462" s="27" t="s">
        <v>156</v>
      </c>
      <c r="C462" s="27" t="s">
        <v>46</v>
      </c>
      <c r="D462" s="28">
        <v>45806</v>
      </c>
      <c r="E462" s="28">
        <v>45809</v>
      </c>
      <c r="F462" s="27" t="s">
        <v>106</v>
      </c>
      <c r="G462" s="27" t="s">
        <v>58</v>
      </c>
      <c r="H462" s="28">
        <v>37454</v>
      </c>
      <c r="I462" s="27" t="s">
        <v>37</v>
      </c>
      <c r="J462" s="27" t="s">
        <v>38</v>
      </c>
      <c r="K462" s="27" t="s">
        <v>39</v>
      </c>
      <c r="L462" s="27" t="s">
        <v>49</v>
      </c>
      <c r="M462" s="27">
        <v>19</v>
      </c>
      <c r="N462" s="27">
        <v>55000</v>
      </c>
      <c r="O462" s="27">
        <v>20</v>
      </c>
      <c r="P462" s="27">
        <v>836000</v>
      </c>
      <c r="Q462" s="27">
        <v>5</v>
      </c>
      <c r="R462" s="27" t="s">
        <v>41</v>
      </c>
      <c r="S462" s="27" t="s">
        <v>50</v>
      </c>
      <c r="T462" s="27" t="s">
        <v>158</v>
      </c>
      <c r="U462" s="27">
        <v>9247023285</v>
      </c>
      <c r="V462" s="35" t="s">
        <v>34</v>
      </c>
      <c r="W462" s="40" t="str" cm="1">
        <f t="array" ref="W462">_xlfn.IFS(AND(P462&gt;=100000,Q462&gt;=4,O462&lt;=0.1,V462="Completed"),"Platinum",AND(P462&gt;=50000,P462&lt;=99999,Q462&gt;=3,V462="Completed"),"Golde",AND(P462&lt;50000,V462="Completed"),"Silver",OR(Q462&lt;=2,V462="Cancelled"),"BlackListed",TRUE,"Other")</f>
        <v>Other</v>
      </c>
    </row>
    <row r="463" spans="1:23" ht="15" thickBot="1" x14ac:dyDescent="0.4">
      <c r="A463" s="30" t="s">
        <v>593</v>
      </c>
      <c r="B463" s="30" t="s">
        <v>87</v>
      </c>
      <c r="C463" s="30" t="s">
        <v>82</v>
      </c>
      <c r="D463" s="31">
        <v>45912</v>
      </c>
      <c r="E463" s="31">
        <v>45919</v>
      </c>
      <c r="F463" s="30" t="s">
        <v>88</v>
      </c>
      <c r="G463" s="30" t="s">
        <v>58</v>
      </c>
      <c r="H463" s="31">
        <v>36925</v>
      </c>
      <c r="I463" s="30" t="s">
        <v>37</v>
      </c>
      <c r="J463" s="30" t="s">
        <v>38</v>
      </c>
      <c r="K463" s="30" t="s">
        <v>83</v>
      </c>
      <c r="L463" s="30" t="s">
        <v>84</v>
      </c>
      <c r="M463" s="30">
        <v>1</v>
      </c>
      <c r="N463" s="30">
        <v>60</v>
      </c>
      <c r="O463" s="30">
        <v>10</v>
      </c>
      <c r="P463" s="30">
        <v>54</v>
      </c>
      <c r="Q463" s="30">
        <v>4</v>
      </c>
      <c r="R463" s="22" t="s">
        <v>41</v>
      </c>
      <c r="S463" s="30"/>
      <c r="T463" s="32" t="s">
        <v>594</v>
      </c>
      <c r="U463" s="30">
        <v>9448658297</v>
      </c>
      <c r="V463" s="38" t="s">
        <v>53</v>
      </c>
      <c r="W463" s="40" t="str" cm="1">
        <f t="array" ref="W463">_xlfn.IFS(AND(P463&gt;=100000,Q463&gt;=4,O463&lt;=0.1,V463="Completed"),"Platinum",AND(P463&gt;=50000,P463&lt;=99999,Q463&gt;=3,V463="Completed"),"Golde",AND(P463&lt;50000,V463="Completed"),"Silver",OR(Q463&lt;=2,V463="Cancelled"),"BlackListed",TRUE,"Other")</f>
        <v>BlackListed</v>
      </c>
    </row>
    <row r="464" spans="1:23" ht="15" thickBot="1" x14ac:dyDescent="0.4">
      <c r="A464" s="27" t="s">
        <v>595</v>
      </c>
      <c r="B464" s="27" t="s">
        <v>55</v>
      </c>
      <c r="C464" s="27" t="s">
        <v>68</v>
      </c>
      <c r="D464" s="28">
        <v>46085</v>
      </c>
      <c r="E464" s="28">
        <v>46092</v>
      </c>
      <c r="F464" s="27" t="s">
        <v>57</v>
      </c>
      <c r="G464" s="27" t="s">
        <v>58</v>
      </c>
      <c r="H464" s="28">
        <v>33047</v>
      </c>
      <c r="I464" s="27" t="s">
        <v>27</v>
      </c>
      <c r="J464" s="27" t="s">
        <v>28</v>
      </c>
      <c r="K464" s="27" t="s">
        <v>29</v>
      </c>
      <c r="L464" s="27" t="s">
        <v>70</v>
      </c>
      <c r="M464" s="27">
        <v>16</v>
      </c>
      <c r="N464" s="27">
        <v>3500</v>
      </c>
      <c r="O464" s="27">
        <v>0</v>
      </c>
      <c r="P464" s="27">
        <v>56000</v>
      </c>
      <c r="Q464" s="27">
        <v>4</v>
      </c>
      <c r="R464" s="27" t="s">
        <v>41</v>
      </c>
      <c r="S464" s="27" t="s">
        <v>32</v>
      </c>
      <c r="T464" s="27" t="s">
        <v>61</v>
      </c>
      <c r="U464" s="27">
        <v>9906748486</v>
      </c>
      <c r="V464" s="37" t="s">
        <v>52</v>
      </c>
      <c r="W464" s="40" t="str" cm="1">
        <f t="array" ref="W464">_xlfn.IFS(AND(P464&gt;=100000,Q464&gt;=4,O464&lt;=0.1,V464="Completed"),"Platinum",AND(P464&gt;=50000,P464&lt;=99999,Q464&gt;=3,V464="Completed"),"Golde",AND(P464&lt;50000,V464="Completed"),"Silver",OR(Q464&lt;=2,V464="Cancelled"),"BlackListed",TRUE,"Other")</f>
        <v>Other</v>
      </c>
    </row>
    <row r="465" spans="1:23" ht="15" thickBot="1" x14ac:dyDescent="0.4">
      <c r="A465" s="30" t="s">
        <v>596</v>
      </c>
      <c r="B465" s="30" t="s">
        <v>87</v>
      </c>
      <c r="C465" s="30" t="s">
        <v>125</v>
      </c>
      <c r="D465" s="31">
        <v>45681</v>
      </c>
      <c r="E465" s="31">
        <v>45693</v>
      </c>
      <c r="F465" s="30" t="s">
        <v>88</v>
      </c>
      <c r="G465" s="30" t="s">
        <v>58</v>
      </c>
      <c r="H465" s="31">
        <v>28623</v>
      </c>
      <c r="I465" s="30" t="s">
        <v>79</v>
      </c>
      <c r="J465" s="30" t="s">
        <v>75</v>
      </c>
      <c r="K465" s="30" t="s">
        <v>83</v>
      </c>
      <c r="L465" s="30" t="s">
        <v>127</v>
      </c>
      <c r="M465" s="30">
        <v>14</v>
      </c>
      <c r="N465" s="30">
        <v>20</v>
      </c>
      <c r="O465" s="30">
        <v>10</v>
      </c>
      <c r="P465" s="30">
        <v>252</v>
      </c>
      <c r="Q465" s="30">
        <v>1</v>
      </c>
      <c r="R465" s="30" t="s">
        <v>41</v>
      </c>
      <c r="S465" s="30" t="s">
        <v>50</v>
      </c>
      <c r="T465" s="30" t="s">
        <v>89</v>
      </c>
      <c r="U465" s="30">
        <v>9365182725</v>
      </c>
      <c r="V465" s="38" t="s">
        <v>52</v>
      </c>
      <c r="W465" s="40" t="str" cm="1">
        <f t="array" ref="W465">_xlfn.IFS(AND(P465&gt;=100000,Q465&gt;=4,O465&lt;=0.1,V465="Completed"),"Platinum",AND(P465&gt;=50000,P465&lt;=99999,Q465&gt;=3,V465="Completed"),"Golde",AND(P465&lt;50000,V465="Completed"),"Silver",OR(Q465&lt;=2,V465="Cancelled"),"BlackListed",TRUE,"Other")</f>
        <v>BlackListed</v>
      </c>
    </row>
    <row r="466" spans="1:23" ht="15" thickBot="1" x14ac:dyDescent="0.4">
      <c r="A466" s="27" t="s">
        <v>597</v>
      </c>
      <c r="B466" s="27" t="s">
        <v>55</v>
      </c>
      <c r="C466" s="27" t="s">
        <v>24</v>
      </c>
      <c r="D466" s="28">
        <v>46004</v>
      </c>
      <c r="E466" s="28">
        <v>46005</v>
      </c>
      <c r="F466" s="27" t="s">
        <v>57</v>
      </c>
      <c r="G466" s="27" t="s">
        <v>58</v>
      </c>
      <c r="H466" s="28">
        <v>36729</v>
      </c>
      <c r="I466" s="27" t="s">
        <v>48</v>
      </c>
      <c r="J466" s="27" t="s">
        <v>28</v>
      </c>
      <c r="K466" s="27" t="s">
        <v>29</v>
      </c>
      <c r="L466" s="27" t="s">
        <v>30</v>
      </c>
      <c r="M466" s="27">
        <v>11</v>
      </c>
      <c r="N466" s="27">
        <v>2200</v>
      </c>
      <c r="O466" s="27">
        <v>15</v>
      </c>
      <c r="P466" s="27">
        <v>20570</v>
      </c>
      <c r="Q466" s="27">
        <v>4</v>
      </c>
      <c r="R466" s="27" t="s">
        <v>41</v>
      </c>
      <c r="S466" s="27" t="s">
        <v>42</v>
      </c>
      <c r="T466" s="27" t="s">
        <v>61</v>
      </c>
      <c r="U466" s="27">
        <v>9937119494</v>
      </c>
      <c r="V466" s="37" t="s">
        <v>53</v>
      </c>
      <c r="W466" s="40" t="str" cm="1">
        <f t="array" ref="W466">_xlfn.IFS(AND(P466&gt;=100000,Q466&gt;=4,O466&lt;=0.1,V466="Completed"),"Platinum",AND(P466&gt;=50000,P466&lt;=99999,Q466&gt;=3,V466="Completed"),"Golde",AND(P466&lt;50000,V466="Completed"),"Silver",OR(Q466&lt;=2,V466="Cancelled"),"BlackListed",TRUE,"Other")</f>
        <v>BlackListed</v>
      </c>
    </row>
    <row r="467" spans="1:23" ht="15" thickBot="1" x14ac:dyDescent="0.4">
      <c r="A467" s="30" t="s">
        <v>598</v>
      </c>
      <c r="B467" s="30" t="s">
        <v>63</v>
      </c>
      <c r="C467" s="30" t="s">
        <v>46</v>
      </c>
      <c r="D467" s="31">
        <v>45870</v>
      </c>
      <c r="E467" s="31">
        <v>45878</v>
      </c>
      <c r="F467" s="30" t="s">
        <v>110</v>
      </c>
      <c r="G467" s="30" t="s">
        <v>58</v>
      </c>
      <c r="H467" s="31">
        <v>31126</v>
      </c>
      <c r="I467" s="30" t="s">
        <v>121</v>
      </c>
      <c r="J467" s="30" t="s">
        <v>38</v>
      </c>
      <c r="K467" s="30" t="s">
        <v>39</v>
      </c>
      <c r="L467" s="30" t="s">
        <v>49</v>
      </c>
      <c r="M467" s="30">
        <v>2</v>
      </c>
      <c r="N467" s="30">
        <v>55000</v>
      </c>
      <c r="O467" s="30">
        <v>0</v>
      </c>
      <c r="P467" s="30">
        <v>110000</v>
      </c>
      <c r="Q467" s="30">
        <v>4</v>
      </c>
      <c r="R467" s="30" t="s">
        <v>41</v>
      </c>
      <c r="S467" s="30" t="s">
        <v>42</v>
      </c>
      <c r="T467" s="30" t="s">
        <v>66</v>
      </c>
      <c r="U467" s="30">
        <v>9828015293</v>
      </c>
      <c r="V467" s="38" t="s">
        <v>53</v>
      </c>
      <c r="W467" s="40" t="str" cm="1">
        <f t="array" ref="W467">_xlfn.IFS(AND(P467&gt;=100000,Q467&gt;=4,O467&lt;=0.1,V467="Completed"),"Platinum",AND(P467&gt;=50000,P467&lt;=99999,Q467&gt;=3,V467="Completed"),"Golde",AND(P467&lt;50000,V467="Completed"),"Silver",OR(Q467&lt;=2,V467="Cancelled"),"BlackListed",TRUE,"Other")</f>
        <v>BlackListed</v>
      </c>
    </row>
    <row r="468" spans="1:23" ht="15" thickBot="1" x14ac:dyDescent="0.4">
      <c r="A468" s="27" t="s">
        <v>599</v>
      </c>
      <c r="B468" s="27" t="s">
        <v>45</v>
      </c>
      <c r="C468" s="27" t="s">
        <v>24</v>
      </c>
      <c r="D468" s="28">
        <v>45658</v>
      </c>
      <c r="E468" s="28">
        <v>45664</v>
      </c>
      <c r="F468" s="27" t="s">
        <v>101</v>
      </c>
      <c r="G468" s="27" t="s">
        <v>26</v>
      </c>
      <c r="H468" s="28">
        <v>32181</v>
      </c>
      <c r="I468" s="27" t="s">
        <v>79</v>
      </c>
      <c r="J468" s="27" t="s">
        <v>75</v>
      </c>
      <c r="K468" s="27" t="s">
        <v>29</v>
      </c>
      <c r="L468" s="27" t="s">
        <v>30</v>
      </c>
      <c r="M468" s="27">
        <v>7</v>
      </c>
      <c r="N468" s="27">
        <v>2200</v>
      </c>
      <c r="O468" s="27">
        <v>5</v>
      </c>
      <c r="P468" s="27">
        <v>14630</v>
      </c>
      <c r="Q468" s="27">
        <v>4</v>
      </c>
      <c r="R468" s="27" t="s">
        <v>60</v>
      </c>
      <c r="S468" s="27" t="s">
        <v>80</v>
      </c>
      <c r="T468" s="27" t="s">
        <v>51</v>
      </c>
      <c r="U468" s="27">
        <v>9864206250</v>
      </c>
      <c r="V468" s="37" t="s">
        <v>53</v>
      </c>
      <c r="W468" s="40" t="str" cm="1">
        <f t="array" ref="W468">_xlfn.IFS(AND(P468&gt;=100000,Q468&gt;=4,O468&lt;=0.1,V468="Completed"),"Platinum",AND(P468&gt;=50000,P468&lt;=99999,Q468&gt;=3,V468="Completed"),"Golde",AND(P468&lt;50000,V468="Completed"),"Silver",OR(Q468&lt;=2,V468="Cancelled"),"BlackListed",TRUE,"Other")</f>
        <v>BlackListed</v>
      </c>
    </row>
    <row r="469" spans="1:23" ht="15" thickBot="1" x14ac:dyDescent="0.4">
      <c r="A469" s="30" t="s">
        <v>600</v>
      </c>
      <c r="B469" s="30" t="s">
        <v>23</v>
      </c>
      <c r="C469" s="30" t="s">
        <v>138</v>
      </c>
      <c r="D469" s="31">
        <v>45755</v>
      </c>
      <c r="E469" s="31">
        <v>45759</v>
      </c>
      <c r="F469" s="30" t="s">
        <v>25</v>
      </c>
      <c r="G469" s="30" t="s">
        <v>26</v>
      </c>
      <c r="H469" s="31">
        <v>35546</v>
      </c>
      <c r="I469" s="30" t="s">
        <v>91</v>
      </c>
      <c r="J469" s="30" t="s">
        <v>75</v>
      </c>
      <c r="K469" s="30" t="s">
        <v>83</v>
      </c>
      <c r="L469" s="30" t="s">
        <v>139</v>
      </c>
      <c r="M469" s="30">
        <v>11</v>
      </c>
      <c r="N469" s="30">
        <v>45</v>
      </c>
      <c r="O469" s="30">
        <v>15</v>
      </c>
      <c r="P469" s="30">
        <v>420.75</v>
      </c>
      <c r="Q469" s="30">
        <v>4</v>
      </c>
      <c r="R469" s="30" t="s">
        <v>60</v>
      </c>
      <c r="S469" s="30" t="s">
        <v>50</v>
      </c>
      <c r="T469" s="30" t="s">
        <v>43</v>
      </c>
      <c r="U469" s="30">
        <v>9519293104</v>
      </c>
      <c r="V469" s="38" t="s">
        <v>52</v>
      </c>
      <c r="W469" s="40" t="str" cm="1">
        <f t="array" ref="W469">_xlfn.IFS(AND(P469&gt;=100000,Q469&gt;=4,O469&lt;=0.1,V469="Completed"),"Platinum",AND(P469&gt;=50000,P469&lt;=99999,Q469&gt;=3,V469="Completed"),"Golde",AND(P469&lt;50000,V469="Completed"),"Silver",OR(Q469&lt;=2,V469="Cancelled"),"BlackListed",TRUE,"Other")</f>
        <v>Other</v>
      </c>
    </row>
    <row r="470" spans="1:23" ht="15" thickBot="1" x14ac:dyDescent="0.4">
      <c r="A470" s="27" t="s">
        <v>601</v>
      </c>
      <c r="B470" s="27" t="s">
        <v>72</v>
      </c>
      <c r="C470" s="27" t="s">
        <v>82</v>
      </c>
      <c r="D470" s="28">
        <v>45767</v>
      </c>
      <c r="E470" s="28">
        <v>45777</v>
      </c>
      <c r="F470" s="27" t="s">
        <v>73</v>
      </c>
      <c r="G470" s="27" t="s">
        <v>26</v>
      </c>
      <c r="H470" s="28">
        <v>37033</v>
      </c>
      <c r="I470" s="27" t="s">
        <v>74</v>
      </c>
      <c r="J470" s="27" t="s">
        <v>75</v>
      </c>
      <c r="K470" s="27" t="s">
        <v>83</v>
      </c>
      <c r="L470" s="27" t="s">
        <v>84</v>
      </c>
      <c r="M470" s="27">
        <v>16</v>
      </c>
      <c r="N470" s="27">
        <v>60</v>
      </c>
      <c r="O470" s="27">
        <v>5</v>
      </c>
      <c r="P470" s="27">
        <v>912</v>
      </c>
      <c r="Q470" s="27">
        <v>2</v>
      </c>
      <c r="R470" s="27" t="s">
        <v>31</v>
      </c>
      <c r="S470" s="27" t="s">
        <v>80</v>
      </c>
      <c r="T470" s="27" t="s">
        <v>93</v>
      </c>
      <c r="U470" s="27">
        <v>9296075245</v>
      </c>
      <c r="V470" s="37" t="s">
        <v>53</v>
      </c>
      <c r="W470" s="40" t="str" cm="1">
        <f t="array" ref="W470">_xlfn.IFS(AND(P470&gt;=100000,Q470&gt;=4,O470&lt;=0.1,V470="Completed"),"Platinum",AND(P470&gt;=50000,P470&lt;=99999,Q470&gt;=3,V470="Completed"),"Golde",AND(P470&lt;50000,V470="Completed"),"Silver",OR(Q470&lt;=2,V470="Cancelled"),"BlackListed",TRUE,"Other")</f>
        <v>BlackListed</v>
      </c>
    </row>
    <row r="471" spans="1:23" ht="15" thickBot="1" x14ac:dyDescent="0.4">
      <c r="A471" s="30" t="s">
        <v>602</v>
      </c>
      <c r="B471" s="30" t="s">
        <v>156</v>
      </c>
      <c r="C471" s="30" t="s">
        <v>46</v>
      </c>
      <c r="D471" s="31">
        <v>45963</v>
      </c>
      <c r="E471" s="31">
        <v>45965</v>
      </c>
      <c r="F471" s="30" t="s">
        <v>106</v>
      </c>
      <c r="G471" s="30" t="s">
        <v>58</v>
      </c>
      <c r="H471" s="31">
        <v>30121</v>
      </c>
      <c r="I471" s="30" t="s">
        <v>79</v>
      </c>
      <c r="J471" s="30" t="s">
        <v>75</v>
      </c>
      <c r="K471" s="30" t="s">
        <v>39</v>
      </c>
      <c r="L471" s="30" t="s">
        <v>49</v>
      </c>
      <c r="M471" s="30">
        <v>18</v>
      </c>
      <c r="N471" s="30">
        <v>55000</v>
      </c>
      <c r="O471" s="30">
        <v>0</v>
      </c>
      <c r="P471" s="30">
        <v>990000</v>
      </c>
      <c r="Q471" s="30">
        <v>5</v>
      </c>
      <c r="R471" s="30" t="s">
        <v>41</v>
      </c>
      <c r="S471" s="30" t="s">
        <v>42</v>
      </c>
      <c r="T471" s="30" t="s">
        <v>158</v>
      </c>
      <c r="U471" s="30">
        <v>9316770206</v>
      </c>
      <c r="V471" s="38" t="s">
        <v>52</v>
      </c>
      <c r="W471" s="40" t="str" cm="1">
        <f t="array" ref="W471">_xlfn.IFS(AND(P471&gt;=100000,Q471&gt;=4,O471&lt;=0.1,V471="Completed"),"Platinum",AND(P471&gt;=50000,P471&lt;=99999,Q471&gt;=3,V471="Completed"),"Golde",AND(P471&lt;50000,V471="Completed"),"Silver",OR(Q471&lt;=2,V471="Cancelled"),"BlackListed",TRUE,"Other")</f>
        <v>Other</v>
      </c>
    </row>
    <row r="472" spans="1:23" ht="15" thickBot="1" x14ac:dyDescent="0.4">
      <c r="A472" s="27" t="s">
        <v>603</v>
      </c>
      <c r="B472" s="27" t="s">
        <v>23</v>
      </c>
      <c r="C472" s="27" t="s">
        <v>56</v>
      </c>
      <c r="D472" s="28">
        <v>45948</v>
      </c>
      <c r="E472" s="28">
        <v>45952</v>
      </c>
      <c r="F472" s="27" t="s">
        <v>25</v>
      </c>
      <c r="G472" s="27" t="s">
        <v>26</v>
      </c>
      <c r="H472" s="28">
        <v>36334</v>
      </c>
      <c r="I472" s="27" t="s">
        <v>48</v>
      </c>
      <c r="J472" s="27" t="s">
        <v>28</v>
      </c>
      <c r="K472" s="27" t="s">
        <v>39</v>
      </c>
      <c r="L472" s="27" t="s">
        <v>59</v>
      </c>
      <c r="M472" s="27">
        <v>17</v>
      </c>
      <c r="N472" s="27">
        <v>1200</v>
      </c>
      <c r="O472" s="27">
        <v>5</v>
      </c>
      <c r="P472" s="27">
        <v>19380</v>
      </c>
      <c r="Q472" s="27">
        <v>1</v>
      </c>
      <c r="R472" s="27" t="s">
        <v>41</v>
      </c>
      <c r="S472" s="27" t="s">
        <v>32</v>
      </c>
      <c r="T472" s="27" t="s">
        <v>43</v>
      </c>
      <c r="U472" s="27">
        <v>9706553861</v>
      </c>
      <c r="V472" s="37" t="s">
        <v>52</v>
      </c>
      <c r="W472" s="40" t="str" cm="1">
        <f t="array" ref="W472">_xlfn.IFS(AND(P472&gt;=100000,Q472&gt;=4,O472&lt;=0.1,V472="Completed"),"Platinum",AND(P472&gt;=50000,P472&lt;=99999,Q472&gt;=3,V472="Completed"),"Golde",AND(P472&lt;50000,V472="Completed"),"Silver",OR(Q472&lt;=2,V472="Cancelled"),"BlackListed",TRUE,"Other")</f>
        <v>BlackListed</v>
      </c>
    </row>
    <row r="473" spans="1:23" ht="15" thickBot="1" x14ac:dyDescent="0.4">
      <c r="A473" s="30" t="s">
        <v>604</v>
      </c>
      <c r="B473" s="30" t="s">
        <v>45</v>
      </c>
      <c r="C473" s="30" t="s">
        <v>46</v>
      </c>
      <c r="D473" s="31">
        <v>45774</v>
      </c>
      <c r="E473" s="31">
        <v>45782</v>
      </c>
      <c r="F473" s="30" t="s">
        <v>101</v>
      </c>
      <c r="G473" s="30" t="s">
        <v>26</v>
      </c>
      <c r="H473" s="31">
        <v>36924</v>
      </c>
      <c r="I473" s="30" t="s">
        <v>79</v>
      </c>
      <c r="J473" s="30" t="s">
        <v>75</v>
      </c>
      <c r="K473" s="30" t="s">
        <v>39</v>
      </c>
      <c r="L473" s="30" t="s">
        <v>49</v>
      </c>
      <c r="M473" s="30">
        <v>11</v>
      </c>
      <c r="N473" s="30">
        <v>55000</v>
      </c>
      <c r="O473" s="30">
        <v>0</v>
      </c>
      <c r="P473" s="30">
        <v>605000</v>
      </c>
      <c r="Q473" s="30">
        <v>2</v>
      </c>
      <c r="R473" s="30" t="s">
        <v>31</v>
      </c>
      <c r="S473" s="30" t="s">
        <v>50</v>
      </c>
      <c r="T473" s="30" t="s">
        <v>51</v>
      </c>
      <c r="U473" s="30">
        <v>9524904662</v>
      </c>
      <c r="V473" s="38" t="s">
        <v>52</v>
      </c>
      <c r="W473" s="40" t="str" cm="1">
        <f t="array" ref="W473">_xlfn.IFS(AND(P473&gt;=100000,Q473&gt;=4,O473&lt;=0.1,V473="Completed"),"Platinum",AND(P473&gt;=50000,P473&lt;=99999,Q473&gt;=3,V473="Completed"),"Golde",AND(P473&lt;50000,V473="Completed"),"Silver",OR(Q473&lt;=2,V473="Cancelled"),"BlackListed",TRUE,"Other")</f>
        <v>BlackListed</v>
      </c>
    </row>
    <row r="474" spans="1:23" ht="15" thickBot="1" x14ac:dyDescent="0.4">
      <c r="A474" s="27" t="s">
        <v>605</v>
      </c>
      <c r="B474" s="27" t="s">
        <v>134</v>
      </c>
      <c r="C474" s="27" t="s">
        <v>112</v>
      </c>
      <c r="D474" s="28">
        <v>45799</v>
      </c>
      <c r="E474" s="28">
        <v>45808</v>
      </c>
      <c r="F474" s="27" t="s">
        <v>135</v>
      </c>
      <c r="G474" s="27" t="s">
        <v>26</v>
      </c>
      <c r="H474" s="28">
        <v>36200</v>
      </c>
      <c r="I474" s="27" t="s">
        <v>37</v>
      </c>
      <c r="J474" s="27" t="s">
        <v>38</v>
      </c>
      <c r="K474" s="27" t="s">
        <v>39</v>
      </c>
      <c r="L474" s="27" t="s">
        <v>114</v>
      </c>
      <c r="M474" s="27">
        <v>20</v>
      </c>
      <c r="N474" s="27">
        <v>700</v>
      </c>
      <c r="O474" s="27">
        <v>20</v>
      </c>
      <c r="P474" s="27">
        <v>11200</v>
      </c>
      <c r="Q474" s="27">
        <v>5</v>
      </c>
      <c r="R474" s="27" t="s">
        <v>41</v>
      </c>
      <c r="S474" s="27" t="s">
        <v>50</v>
      </c>
      <c r="T474" s="27" t="s">
        <v>136</v>
      </c>
      <c r="U474" s="27">
        <v>9577624596</v>
      </c>
      <c r="V474" s="35" t="s">
        <v>34</v>
      </c>
      <c r="W474" s="40" t="str" cm="1">
        <f t="array" ref="W474">_xlfn.IFS(AND(P474&gt;=100000,Q474&gt;=4,O474&lt;=0.1,V474="Completed"),"Platinum",AND(P474&gt;=50000,P474&lt;=99999,Q474&gt;=3,V474="Completed"),"Golde",AND(P474&lt;50000,V474="Completed"),"Silver",OR(Q474&lt;=2,V474="Cancelled"),"BlackListed",TRUE,"Other")</f>
        <v>Silver</v>
      </c>
    </row>
    <row r="475" spans="1:23" ht="15" thickBot="1" x14ac:dyDescent="0.4">
      <c r="A475" s="30" t="s">
        <v>606</v>
      </c>
      <c r="B475" s="30" t="s">
        <v>55</v>
      </c>
      <c r="C475" s="30" t="s">
        <v>125</v>
      </c>
      <c r="D475" s="31">
        <v>46050</v>
      </c>
      <c r="E475" s="31">
        <v>46061</v>
      </c>
      <c r="F475" s="30" t="s">
        <v>57</v>
      </c>
      <c r="G475" s="30" t="s">
        <v>58</v>
      </c>
      <c r="H475" s="31">
        <v>32269</v>
      </c>
      <c r="I475" s="30" t="s">
        <v>37</v>
      </c>
      <c r="J475" s="30" t="s">
        <v>38</v>
      </c>
      <c r="K475" s="30" t="s">
        <v>83</v>
      </c>
      <c r="L475" s="30" t="s">
        <v>127</v>
      </c>
      <c r="M475" s="30">
        <v>5</v>
      </c>
      <c r="N475" s="30">
        <v>20</v>
      </c>
      <c r="O475" s="30">
        <v>5</v>
      </c>
      <c r="P475" s="30">
        <v>95</v>
      </c>
      <c r="Q475" s="30">
        <v>4</v>
      </c>
      <c r="R475" s="30" t="s">
        <v>31</v>
      </c>
      <c r="S475" s="30" t="s">
        <v>42</v>
      </c>
      <c r="T475" s="30" t="s">
        <v>61</v>
      </c>
      <c r="U475" s="30">
        <v>9898452436</v>
      </c>
      <c r="V475" s="38" t="s">
        <v>53</v>
      </c>
      <c r="W475" s="40" t="str" cm="1">
        <f t="array" ref="W475">_xlfn.IFS(AND(P475&gt;=100000,Q475&gt;=4,O475&lt;=0.1,V475="Completed"),"Platinum",AND(P475&gt;=50000,P475&lt;=99999,Q475&gt;=3,V475="Completed"),"Golde",AND(P475&lt;50000,V475="Completed"),"Silver",OR(Q475&lt;=2,V475="Cancelled"),"BlackListed",TRUE,"Other")</f>
        <v>BlackListed</v>
      </c>
    </row>
    <row r="476" spans="1:23" ht="15" thickBot="1" x14ac:dyDescent="0.4">
      <c r="A476" s="27" t="s">
        <v>607</v>
      </c>
      <c r="B476" s="27" t="s">
        <v>156</v>
      </c>
      <c r="C476" s="27" t="s">
        <v>46</v>
      </c>
      <c r="D476" s="28">
        <v>45692</v>
      </c>
      <c r="E476" s="28">
        <v>45699</v>
      </c>
      <c r="F476" s="27" t="s">
        <v>106</v>
      </c>
      <c r="G476" s="27" t="s">
        <v>58</v>
      </c>
      <c r="H476" s="28">
        <v>27437</v>
      </c>
      <c r="I476" s="27" t="s">
        <v>74</v>
      </c>
      <c r="J476" s="27" t="s">
        <v>75</v>
      </c>
      <c r="K476" s="27" t="s">
        <v>39</v>
      </c>
      <c r="L476" s="27" t="s">
        <v>49</v>
      </c>
      <c r="M476" s="27">
        <v>13</v>
      </c>
      <c r="N476" s="27">
        <v>55000</v>
      </c>
      <c r="O476" s="27">
        <v>5</v>
      </c>
      <c r="P476" s="27">
        <v>679250</v>
      </c>
      <c r="Q476" s="27">
        <v>1</v>
      </c>
      <c r="R476" s="27" t="s">
        <v>41</v>
      </c>
      <c r="S476" s="27" t="s">
        <v>42</v>
      </c>
      <c r="T476" s="27" t="s">
        <v>158</v>
      </c>
      <c r="U476" s="27">
        <v>9960757012</v>
      </c>
      <c r="V476" s="37" t="s">
        <v>52</v>
      </c>
      <c r="W476" s="40" t="str" cm="1">
        <f t="array" ref="W476">_xlfn.IFS(AND(P476&gt;=100000,Q476&gt;=4,O476&lt;=0.1,V476="Completed"),"Platinum",AND(P476&gt;=50000,P476&lt;=99999,Q476&gt;=3,V476="Completed"),"Golde",AND(P476&lt;50000,V476="Completed"),"Silver",OR(Q476&lt;=2,V476="Cancelled"),"BlackListed",TRUE,"Other")</f>
        <v>BlackListed</v>
      </c>
    </row>
    <row r="477" spans="1:23" ht="15" thickBot="1" x14ac:dyDescent="0.4">
      <c r="A477" s="30" t="s">
        <v>608</v>
      </c>
      <c r="B477" s="30" t="s">
        <v>87</v>
      </c>
      <c r="C477" s="30" t="s">
        <v>46</v>
      </c>
      <c r="D477" s="31">
        <v>45766</v>
      </c>
      <c r="E477" s="31">
        <v>45767</v>
      </c>
      <c r="F477" s="30" t="s">
        <v>88</v>
      </c>
      <c r="G477" s="30" t="s">
        <v>58</v>
      </c>
      <c r="H477" s="31">
        <v>37987</v>
      </c>
      <c r="I477" s="30" t="s">
        <v>147</v>
      </c>
      <c r="J477" s="30" t="s">
        <v>148</v>
      </c>
      <c r="K477" s="30" t="s">
        <v>39</v>
      </c>
      <c r="L477" s="30" t="s">
        <v>49</v>
      </c>
      <c r="M477" s="30">
        <v>12</v>
      </c>
      <c r="N477" s="30">
        <v>55000</v>
      </c>
      <c r="O477" s="30">
        <v>5</v>
      </c>
      <c r="P477" s="30">
        <v>627000</v>
      </c>
      <c r="Q477" s="30">
        <v>1</v>
      </c>
      <c r="R477" s="30" t="s">
        <v>41</v>
      </c>
      <c r="S477" s="30" t="s">
        <v>80</v>
      </c>
      <c r="T477" s="30" t="s">
        <v>89</v>
      </c>
      <c r="U477" s="30">
        <v>9331268182</v>
      </c>
      <c r="V477" s="38" t="s">
        <v>53</v>
      </c>
      <c r="W477" s="40" t="str" cm="1">
        <f t="array" ref="W477">_xlfn.IFS(AND(P477&gt;=100000,Q477&gt;=4,O477&lt;=0.1,V477="Completed"),"Platinum",AND(P477&gt;=50000,P477&lt;=99999,Q477&gt;=3,V477="Completed"),"Golde",AND(P477&lt;50000,V477="Completed"),"Silver",OR(Q477&lt;=2,V477="Cancelled"),"BlackListed",TRUE,"Other")</f>
        <v>BlackListed</v>
      </c>
    </row>
    <row r="478" spans="1:23" ht="15" thickBot="1" x14ac:dyDescent="0.4">
      <c r="A478" s="27" t="s">
        <v>609</v>
      </c>
      <c r="B478" s="27" t="s">
        <v>45</v>
      </c>
      <c r="C478" s="27" t="s">
        <v>138</v>
      </c>
      <c r="D478" s="28">
        <v>45678</v>
      </c>
      <c r="E478" s="28">
        <v>45685</v>
      </c>
      <c r="F478" s="27" t="s">
        <v>101</v>
      </c>
      <c r="G478" s="27" t="s">
        <v>26</v>
      </c>
      <c r="H478" s="28">
        <v>37126</v>
      </c>
      <c r="I478" s="27" t="s">
        <v>74</v>
      </c>
      <c r="J478" s="27" t="s">
        <v>75</v>
      </c>
      <c r="K478" s="27" t="s">
        <v>83</v>
      </c>
      <c r="L478" s="27" t="s">
        <v>139</v>
      </c>
      <c r="M478" s="27">
        <v>16</v>
      </c>
      <c r="N478" s="27">
        <v>45</v>
      </c>
      <c r="O478" s="27">
        <v>20</v>
      </c>
      <c r="P478" s="27">
        <v>576</v>
      </c>
      <c r="Q478" s="27">
        <v>2</v>
      </c>
      <c r="R478" s="27" t="s">
        <v>31</v>
      </c>
      <c r="S478" s="27" t="s">
        <v>42</v>
      </c>
      <c r="T478" s="27" t="s">
        <v>51</v>
      </c>
      <c r="U478" s="27">
        <v>9135996862</v>
      </c>
      <c r="V478" s="37" t="s">
        <v>52</v>
      </c>
      <c r="W478" s="40" t="str" cm="1">
        <f t="array" ref="W478">_xlfn.IFS(AND(P478&gt;=100000,Q478&gt;=4,O478&lt;=0.1,V478="Completed"),"Platinum",AND(P478&gt;=50000,P478&lt;=99999,Q478&gt;=3,V478="Completed"),"Golde",AND(P478&lt;50000,V478="Completed"),"Silver",OR(Q478&lt;=2,V478="Cancelled"),"BlackListed",TRUE,"Other")</f>
        <v>BlackListed</v>
      </c>
    </row>
    <row r="479" spans="1:23" ht="15" thickBot="1" x14ac:dyDescent="0.4">
      <c r="A479" s="30" t="s">
        <v>610</v>
      </c>
      <c r="B479" s="30" t="s">
        <v>23</v>
      </c>
      <c r="C479" s="30" t="s">
        <v>56</v>
      </c>
      <c r="D479" s="31">
        <v>45918</v>
      </c>
      <c r="E479" s="31">
        <v>45927</v>
      </c>
      <c r="F479" s="30" t="s">
        <v>25</v>
      </c>
      <c r="G479" s="30" t="s">
        <v>26</v>
      </c>
      <c r="H479" s="31">
        <v>35818</v>
      </c>
      <c r="I479" s="30" t="s">
        <v>48</v>
      </c>
      <c r="J479" s="30" t="s">
        <v>28</v>
      </c>
      <c r="K479" s="30" t="s">
        <v>39</v>
      </c>
      <c r="L479" s="30" t="s">
        <v>59</v>
      </c>
      <c r="M479" s="30">
        <v>5</v>
      </c>
      <c r="N479" s="30">
        <v>1200</v>
      </c>
      <c r="O479" s="30">
        <v>10</v>
      </c>
      <c r="P479" s="30">
        <v>5400</v>
      </c>
      <c r="Q479" s="30">
        <v>1</v>
      </c>
      <c r="R479" s="30" t="s">
        <v>31</v>
      </c>
      <c r="S479" s="30"/>
      <c r="T479" s="32" t="s">
        <v>611</v>
      </c>
      <c r="U479" s="30">
        <v>9540813143</v>
      </c>
      <c r="V479" s="36" t="s">
        <v>34</v>
      </c>
      <c r="W479" s="40" t="str" cm="1">
        <f t="array" ref="W479">_xlfn.IFS(AND(P479&gt;=100000,Q479&gt;=4,O479&lt;=0.1,V479="Completed"),"Platinum",AND(P479&gt;=50000,P479&lt;=99999,Q479&gt;=3,V479="Completed"),"Golde",AND(P479&lt;50000,V479="Completed"),"Silver",OR(Q479&lt;=2,V479="Cancelled"),"BlackListed",TRUE,"Other")</f>
        <v>Silver</v>
      </c>
    </row>
    <row r="480" spans="1:23" ht="15" thickBot="1" x14ac:dyDescent="0.4">
      <c r="A480" s="27" t="s">
        <v>612</v>
      </c>
      <c r="B480" s="27" t="s">
        <v>104</v>
      </c>
      <c r="C480" s="27" t="s">
        <v>138</v>
      </c>
      <c r="D480" s="28">
        <v>45949</v>
      </c>
      <c r="E480" s="28">
        <v>45950</v>
      </c>
      <c r="F480" s="27" t="s">
        <v>166</v>
      </c>
      <c r="G480" s="27" t="s">
        <v>26</v>
      </c>
      <c r="H480" s="28">
        <v>38135</v>
      </c>
      <c r="I480" s="27" t="s">
        <v>147</v>
      </c>
      <c r="J480" s="27" t="s">
        <v>148</v>
      </c>
      <c r="K480" s="27" t="s">
        <v>83</v>
      </c>
      <c r="L480" s="27" t="s">
        <v>139</v>
      </c>
      <c r="M480" s="27">
        <v>2</v>
      </c>
      <c r="N480" s="27">
        <v>45</v>
      </c>
      <c r="O480" s="27">
        <v>10</v>
      </c>
      <c r="P480" s="27">
        <v>81</v>
      </c>
      <c r="Q480" s="27">
        <v>4</v>
      </c>
      <c r="R480" s="27" t="s">
        <v>65</v>
      </c>
      <c r="S480" s="27" t="s">
        <v>42</v>
      </c>
      <c r="T480" s="27" t="s">
        <v>108</v>
      </c>
      <c r="U480" s="27">
        <v>9910913552</v>
      </c>
      <c r="V480" s="37" t="s">
        <v>52</v>
      </c>
      <c r="W480" s="40" t="str" cm="1">
        <f t="array" ref="W480">_xlfn.IFS(AND(P480&gt;=100000,Q480&gt;=4,O480&lt;=0.1,V480="Completed"),"Platinum",AND(P480&gt;=50000,P480&lt;=99999,Q480&gt;=3,V480="Completed"),"Golde",AND(P480&lt;50000,V480="Completed"),"Silver",OR(Q480&lt;=2,V480="Cancelled"),"BlackListed",TRUE,"Other")</f>
        <v>Other</v>
      </c>
    </row>
    <row r="481" spans="1:23" ht="15" thickBot="1" x14ac:dyDescent="0.4">
      <c r="A481" s="30" t="s">
        <v>613</v>
      </c>
      <c r="B481" s="30" t="s">
        <v>87</v>
      </c>
      <c r="C481" s="30" t="s">
        <v>36</v>
      </c>
      <c r="D481" s="31">
        <v>46034</v>
      </c>
      <c r="E481" s="31">
        <v>46040</v>
      </c>
      <c r="F481" s="30" t="s">
        <v>88</v>
      </c>
      <c r="G481" s="30" t="s">
        <v>58</v>
      </c>
      <c r="H481" s="31">
        <v>31112</v>
      </c>
      <c r="I481" s="30" t="s">
        <v>91</v>
      </c>
      <c r="J481" s="30" t="s">
        <v>75</v>
      </c>
      <c r="K481" s="30" t="s">
        <v>39</v>
      </c>
      <c r="L481" s="30" t="s">
        <v>40</v>
      </c>
      <c r="M481" s="30">
        <v>3</v>
      </c>
      <c r="N481" s="30">
        <v>12000</v>
      </c>
      <c r="O481" s="30">
        <v>0</v>
      </c>
      <c r="P481" s="30">
        <v>36000</v>
      </c>
      <c r="Q481" s="30">
        <v>2</v>
      </c>
      <c r="R481" s="30" t="s">
        <v>65</v>
      </c>
      <c r="S481" s="30" t="s">
        <v>96</v>
      </c>
      <c r="T481" s="30" t="s">
        <v>89</v>
      </c>
      <c r="U481" s="30">
        <v>9282751683</v>
      </c>
      <c r="V481" s="38" t="s">
        <v>52</v>
      </c>
      <c r="W481" s="40" t="str" cm="1">
        <f t="array" ref="W481">_xlfn.IFS(AND(P481&gt;=100000,Q481&gt;=4,O481&lt;=0.1,V481="Completed"),"Platinum",AND(P481&gt;=50000,P481&lt;=99999,Q481&gt;=3,V481="Completed"),"Golde",AND(P481&lt;50000,V481="Completed"),"Silver",OR(Q481&lt;=2,V481="Cancelled"),"BlackListed",TRUE,"Other")</f>
        <v>BlackListed</v>
      </c>
    </row>
    <row r="482" spans="1:23" ht="15" thickBot="1" x14ac:dyDescent="0.4">
      <c r="A482" s="27" t="s">
        <v>614</v>
      </c>
      <c r="B482" s="27" t="s">
        <v>23</v>
      </c>
      <c r="C482" s="27" t="s">
        <v>36</v>
      </c>
      <c r="D482" s="28">
        <v>45683</v>
      </c>
      <c r="E482" s="28">
        <v>45689</v>
      </c>
      <c r="F482" s="27" t="s">
        <v>25</v>
      </c>
      <c r="G482" s="27" t="s">
        <v>26</v>
      </c>
      <c r="H482" s="28">
        <v>31661</v>
      </c>
      <c r="I482" s="27" t="s">
        <v>48</v>
      </c>
      <c r="J482" s="27" t="s">
        <v>28</v>
      </c>
      <c r="K482" s="27" t="s">
        <v>39</v>
      </c>
      <c r="L482" s="27" t="s">
        <v>40</v>
      </c>
      <c r="M482" s="27">
        <v>3</v>
      </c>
      <c r="N482" s="27">
        <v>12000</v>
      </c>
      <c r="O482" s="27">
        <v>20</v>
      </c>
      <c r="P482" s="27">
        <v>28800</v>
      </c>
      <c r="Q482" s="27">
        <v>3</v>
      </c>
      <c r="R482" s="27" t="s">
        <v>65</v>
      </c>
      <c r="S482" s="27" t="s">
        <v>80</v>
      </c>
      <c r="T482" s="27" t="s">
        <v>43</v>
      </c>
      <c r="U482" s="27">
        <v>9939332058</v>
      </c>
      <c r="V482" s="35" t="s">
        <v>34</v>
      </c>
      <c r="W482" s="40" t="str" cm="1">
        <f t="array" ref="W482">_xlfn.IFS(AND(P482&gt;=100000,Q482&gt;=4,O482&lt;=0.1,V482="Completed"),"Platinum",AND(P482&gt;=50000,P482&lt;=99999,Q482&gt;=3,V482="Completed"),"Golde",AND(P482&lt;50000,V482="Completed"),"Silver",OR(Q482&lt;=2,V482="Cancelled"),"BlackListed",TRUE,"Other")</f>
        <v>Silver</v>
      </c>
    </row>
    <row r="483" spans="1:23" ht="15" thickBot="1" x14ac:dyDescent="0.4">
      <c r="A483" s="30" t="s">
        <v>615</v>
      </c>
      <c r="B483" s="30" t="s">
        <v>87</v>
      </c>
      <c r="C483" s="30" t="s">
        <v>105</v>
      </c>
      <c r="D483" s="31">
        <v>46119</v>
      </c>
      <c r="E483" s="31">
        <v>46120</v>
      </c>
      <c r="F483" s="30" t="s">
        <v>88</v>
      </c>
      <c r="G483" s="30" t="s">
        <v>58</v>
      </c>
      <c r="H483" s="31">
        <v>29819</v>
      </c>
      <c r="I483" s="30" t="s">
        <v>147</v>
      </c>
      <c r="J483" s="30" t="s">
        <v>148</v>
      </c>
      <c r="K483" s="30" t="s">
        <v>29</v>
      </c>
      <c r="L483" s="30" t="s">
        <v>107</v>
      </c>
      <c r="M483" s="30">
        <v>9</v>
      </c>
      <c r="N483" s="30">
        <v>8500</v>
      </c>
      <c r="O483" s="30">
        <v>15</v>
      </c>
      <c r="P483" s="30">
        <v>65025</v>
      </c>
      <c r="Q483" s="30">
        <v>5</v>
      </c>
      <c r="R483" s="30" t="s">
        <v>31</v>
      </c>
      <c r="S483" s="30" t="s">
        <v>42</v>
      </c>
      <c r="T483" s="30" t="s">
        <v>89</v>
      </c>
      <c r="U483" s="30">
        <v>9780626473</v>
      </c>
      <c r="V483" s="38" t="s">
        <v>52</v>
      </c>
      <c r="W483" s="40" t="str" cm="1">
        <f t="array" ref="W483">_xlfn.IFS(AND(P483&gt;=100000,Q483&gt;=4,O483&lt;=0.1,V483="Completed"),"Platinum",AND(P483&gt;=50000,P483&lt;=99999,Q483&gt;=3,V483="Completed"),"Golde",AND(P483&lt;50000,V483="Completed"),"Silver",OR(Q483&lt;=2,V483="Cancelled"),"BlackListed",TRUE,"Other")</f>
        <v>Other</v>
      </c>
    </row>
    <row r="484" spans="1:23" ht="15" thickBot="1" x14ac:dyDescent="0.4">
      <c r="A484" s="27" t="s">
        <v>616</v>
      </c>
      <c r="B484" s="27" t="s">
        <v>55</v>
      </c>
      <c r="C484" s="27" t="s">
        <v>112</v>
      </c>
      <c r="D484" s="28">
        <v>45834</v>
      </c>
      <c r="E484" s="28">
        <v>45844</v>
      </c>
      <c r="F484" s="27" t="s">
        <v>617</v>
      </c>
      <c r="G484" s="27" t="s">
        <v>58</v>
      </c>
      <c r="H484" s="28">
        <v>33717</v>
      </c>
      <c r="I484" s="27" t="s">
        <v>147</v>
      </c>
      <c r="J484" s="27" t="s">
        <v>148</v>
      </c>
      <c r="K484" s="27" t="s">
        <v>39</v>
      </c>
      <c r="L484" s="27" t="s">
        <v>114</v>
      </c>
      <c r="M484" s="27">
        <v>17</v>
      </c>
      <c r="N484" s="27">
        <v>700</v>
      </c>
      <c r="O484" s="27">
        <v>0</v>
      </c>
      <c r="P484" s="27">
        <v>11900</v>
      </c>
      <c r="Q484" s="27">
        <v>2</v>
      </c>
      <c r="R484" s="27" t="s">
        <v>31</v>
      </c>
      <c r="S484" s="27" t="s">
        <v>50</v>
      </c>
      <c r="T484" s="27" t="s">
        <v>61</v>
      </c>
      <c r="U484" s="27">
        <v>9347298020</v>
      </c>
      <c r="V484" s="37" t="s">
        <v>53</v>
      </c>
      <c r="W484" s="40" t="str" cm="1">
        <f t="array" ref="W484">_xlfn.IFS(AND(P484&gt;=100000,Q484&gt;=4,O484&lt;=0.1,V484="Completed"),"Platinum",AND(P484&gt;=50000,P484&lt;=99999,Q484&gt;=3,V484="Completed"),"Golde",AND(P484&lt;50000,V484="Completed"),"Silver",OR(Q484&lt;=2,V484="Cancelled"),"BlackListed",TRUE,"Other")</f>
        <v>BlackListed</v>
      </c>
    </row>
    <row r="485" spans="1:23" ht="15" thickBot="1" x14ac:dyDescent="0.4">
      <c r="A485" s="30" t="s">
        <v>618</v>
      </c>
      <c r="B485" s="30" t="s">
        <v>23</v>
      </c>
      <c r="C485" s="30" t="s">
        <v>112</v>
      </c>
      <c r="D485" s="31">
        <v>45846</v>
      </c>
      <c r="E485" s="31">
        <v>45856</v>
      </c>
      <c r="F485" s="30" t="s">
        <v>25</v>
      </c>
      <c r="G485" s="30" t="s">
        <v>26</v>
      </c>
      <c r="H485" s="31">
        <v>33422</v>
      </c>
      <c r="I485" s="30" t="s">
        <v>27</v>
      </c>
      <c r="J485" s="30" t="s">
        <v>28</v>
      </c>
      <c r="K485" s="30" t="s">
        <v>39</v>
      </c>
      <c r="L485" s="30" t="s">
        <v>114</v>
      </c>
      <c r="M485" s="30">
        <v>20</v>
      </c>
      <c r="N485" s="30">
        <v>700</v>
      </c>
      <c r="O485" s="30">
        <v>5</v>
      </c>
      <c r="P485" s="30">
        <v>13300</v>
      </c>
      <c r="Q485" s="30">
        <v>2</v>
      </c>
      <c r="R485" s="30" t="s">
        <v>65</v>
      </c>
      <c r="S485" s="30" t="s">
        <v>32</v>
      </c>
      <c r="T485" s="30" t="s">
        <v>43</v>
      </c>
      <c r="U485" s="30">
        <v>9345328522</v>
      </c>
      <c r="V485" s="36" t="s">
        <v>34</v>
      </c>
      <c r="W485" s="40" t="str" cm="1">
        <f t="array" ref="W485">_xlfn.IFS(AND(P485&gt;=100000,Q485&gt;=4,O485&lt;=0.1,V485="Completed"),"Platinum",AND(P485&gt;=50000,P485&lt;=99999,Q485&gt;=3,V485="Completed"),"Golde",AND(P485&lt;50000,V485="Completed"),"Silver",OR(Q485&lt;=2,V485="Cancelled"),"BlackListed",TRUE,"Other")</f>
        <v>Silver</v>
      </c>
    </row>
    <row r="486" spans="1:23" ht="15" thickBot="1" x14ac:dyDescent="0.4">
      <c r="A486" s="27" t="s">
        <v>619</v>
      </c>
      <c r="B486" s="27" t="s">
        <v>156</v>
      </c>
      <c r="C486" s="27" t="s">
        <v>56</v>
      </c>
      <c r="D486" s="28">
        <v>46092</v>
      </c>
      <c r="E486" s="28">
        <v>46102</v>
      </c>
      <c r="F486" s="27" t="s">
        <v>106</v>
      </c>
      <c r="G486" s="27" t="s">
        <v>58</v>
      </c>
      <c r="H486" s="28">
        <v>28526</v>
      </c>
      <c r="I486" s="27" t="s">
        <v>91</v>
      </c>
      <c r="J486" s="27" t="s">
        <v>75</v>
      </c>
      <c r="K486" s="27" t="s">
        <v>39</v>
      </c>
      <c r="L486" s="27" t="s">
        <v>59</v>
      </c>
      <c r="M486" s="27">
        <v>13</v>
      </c>
      <c r="N486" s="27">
        <v>1200</v>
      </c>
      <c r="O486" s="27">
        <v>20</v>
      </c>
      <c r="P486" s="27">
        <v>12480</v>
      </c>
      <c r="Q486" s="27">
        <v>5</v>
      </c>
      <c r="R486" s="27" t="s">
        <v>60</v>
      </c>
      <c r="S486" s="27" t="s">
        <v>80</v>
      </c>
      <c r="T486" s="27" t="s">
        <v>158</v>
      </c>
      <c r="U486" s="27">
        <v>9160310438</v>
      </c>
      <c r="V486" s="35" t="s">
        <v>34</v>
      </c>
      <c r="W486" s="40" t="str" cm="1">
        <f t="array" ref="W486">_xlfn.IFS(AND(P486&gt;=100000,Q486&gt;=4,O486&lt;=0.1,V486="Completed"),"Platinum",AND(P486&gt;=50000,P486&lt;=99999,Q486&gt;=3,V486="Completed"),"Golde",AND(P486&lt;50000,V486="Completed"),"Silver",OR(Q486&lt;=2,V486="Cancelled"),"BlackListed",TRUE,"Other")</f>
        <v>Silver</v>
      </c>
    </row>
    <row r="487" spans="1:23" ht="15" thickBot="1" x14ac:dyDescent="0.4">
      <c r="A487" s="30" t="s">
        <v>620</v>
      </c>
      <c r="B487" s="30" t="s">
        <v>72</v>
      </c>
      <c r="C487" s="30" t="s">
        <v>46</v>
      </c>
      <c r="D487" s="31">
        <v>46104</v>
      </c>
      <c r="E487" s="31">
        <v>46110</v>
      </c>
      <c r="F487" s="30" t="s">
        <v>73</v>
      </c>
      <c r="G487" s="30" t="s">
        <v>26</v>
      </c>
      <c r="H487" s="31">
        <v>36359</v>
      </c>
      <c r="I487" s="30" t="s">
        <v>121</v>
      </c>
      <c r="J487" s="30" t="s">
        <v>38</v>
      </c>
      <c r="K487" s="30" t="s">
        <v>39</v>
      </c>
      <c r="L487" s="30" t="s">
        <v>49</v>
      </c>
      <c r="M487" s="30">
        <v>20</v>
      </c>
      <c r="N487" s="30">
        <v>55000</v>
      </c>
      <c r="O487" s="30">
        <v>10</v>
      </c>
      <c r="P487" s="30">
        <v>990000</v>
      </c>
      <c r="Q487" s="30">
        <v>1</v>
      </c>
      <c r="R487" s="30" t="s">
        <v>65</v>
      </c>
      <c r="S487" s="30" t="s">
        <v>32</v>
      </c>
      <c r="T487" s="30" t="s">
        <v>93</v>
      </c>
      <c r="U487" s="30">
        <v>9343776153</v>
      </c>
      <c r="V487" s="38" t="s">
        <v>52</v>
      </c>
      <c r="W487" s="40" t="str" cm="1">
        <f t="array" ref="W487">_xlfn.IFS(AND(P487&gt;=100000,Q487&gt;=4,O487&lt;=0.1,V487="Completed"),"Platinum",AND(P487&gt;=50000,P487&lt;=99999,Q487&gt;=3,V487="Completed"),"Golde",AND(P487&lt;50000,V487="Completed"),"Silver",OR(Q487&lt;=2,V487="Cancelled"),"BlackListed",TRUE,"Other")</f>
        <v>BlackListed</v>
      </c>
    </row>
    <row r="488" spans="1:23" ht="15" thickBot="1" x14ac:dyDescent="0.4">
      <c r="A488" s="27" t="s">
        <v>621</v>
      </c>
      <c r="B488" s="27" t="s">
        <v>134</v>
      </c>
      <c r="C488" s="27" t="s">
        <v>56</v>
      </c>
      <c r="D488" s="28">
        <v>45961</v>
      </c>
      <c r="E488" s="28">
        <v>45966</v>
      </c>
      <c r="F488" s="27" t="s">
        <v>135</v>
      </c>
      <c r="G488" s="27" t="s">
        <v>26</v>
      </c>
      <c r="H488" s="28">
        <v>32236</v>
      </c>
      <c r="I488" s="27" t="s">
        <v>147</v>
      </c>
      <c r="J488" s="27" t="s">
        <v>148</v>
      </c>
      <c r="K488" s="27" t="s">
        <v>39</v>
      </c>
      <c r="L488" s="27" t="s">
        <v>59</v>
      </c>
      <c r="M488" s="27">
        <v>8</v>
      </c>
      <c r="N488" s="27">
        <v>1200</v>
      </c>
      <c r="O488" s="27">
        <v>0</v>
      </c>
      <c r="P488" s="27">
        <v>9600</v>
      </c>
      <c r="Q488" s="27">
        <v>2</v>
      </c>
      <c r="R488" s="27" t="s">
        <v>41</v>
      </c>
      <c r="S488" s="27" t="s">
        <v>96</v>
      </c>
      <c r="T488" s="27" t="s">
        <v>136</v>
      </c>
      <c r="U488" s="27">
        <v>9458599727</v>
      </c>
      <c r="V488" s="35" t="s">
        <v>34</v>
      </c>
      <c r="W488" s="40" t="str" cm="1">
        <f t="array" ref="W488">_xlfn.IFS(AND(P488&gt;=100000,Q488&gt;=4,O488&lt;=0.1,V488="Completed"),"Platinum",AND(P488&gt;=50000,P488&lt;=99999,Q488&gt;=3,V488="Completed"),"Golde",AND(P488&lt;50000,V488="Completed"),"Silver",OR(Q488&lt;=2,V488="Cancelled"),"BlackListed",TRUE,"Other")</f>
        <v>Silver</v>
      </c>
    </row>
    <row r="489" spans="1:23" ht="15" thickBot="1" x14ac:dyDescent="0.4">
      <c r="A489" s="30" t="s">
        <v>622</v>
      </c>
      <c r="B489" s="30" t="s">
        <v>45</v>
      </c>
      <c r="C489" s="30" t="s">
        <v>125</v>
      </c>
      <c r="D489" s="31">
        <v>46147</v>
      </c>
      <c r="E489" s="31">
        <v>46151</v>
      </c>
      <c r="F489" s="30" t="s">
        <v>101</v>
      </c>
      <c r="G489" s="30" t="s">
        <v>26</v>
      </c>
      <c r="H489" s="31">
        <v>28805</v>
      </c>
      <c r="I489" s="30" t="s">
        <v>147</v>
      </c>
      <c r="J489" s="30" t="s">
        <v>148</v>
      </c>
      <c r="K489" s="30" t="s">
        <v>83</v>
      </c>
      <c r="L489" s="30" t="s">
        <v>127</v>
      </c>
      <c r="M489" s="30">
        <v>18</v>
      </c>
      <c r="N489" s="30">
        <v>20</v>
      </c>
      <c r="O489" s="30">
        <v>10</v>
      </c>
      <c r="P489" s="30">
        <v>324</v>
      </c>
      <c r="Q489" s="30">
        <v>5</v>
      </c>
      <c r="R489" s="30" t="s">
        <v>60</v>
      </c>
      <c r="S489" s="30"/>
      <c r="T489" s="32" t="s">
        <v>623</v>
      </c>
      <c r="U489" s="30">
        <v>9218660140</v>
      </c>
      <c r="V489" s="38" t="s">
        <v>52</v>
      </c>
      <c r="W489" s="40" t="str" cm="1">
        <f t="array" ref="W489">_xlfn.IFS(AND(P489&gt;=100000,Q489&gt;=4,O489&lt;=0.1,V489="Completed"),"Platinum",AND(P489&gt;=50000,P489&lt;=99999,Q489&gt;=3,V489="Completed"),"Golde",AND(P489&lt;50000,V489="Completed"),"Silver",OR(Q489&lt;=2,V489="Cancelled"),"BlackListed",TRUE,"Other")</f>
        <v>Other</v>
      </c>
    </row>
    <row r="490" spans="1:23" ht="15" thickBot="1" x14ac:dyDescent="0.4">
      <c r="A490" s="27" t="s">
        <v>624</v>
      </c>
      <c r="B490" s="27" t="s">
        <v>104</v>
      </c>
      <c r="C490" s="27" t="s">
        <v>36</v>
      </c>
      <c r="D490" s="28">
        <v>45711</v>
      </c>
      <c r="E490" s="28">
        <v>45723</v>
      </c>
      <c r="F490" s="27" t="s">
        <v>166</v>
      </c>
      <c r="G490" s="27" t="s">
        <v>26</v>
      </c>
      <c r="H490" s="28">
        <v>34426</v>
      </c>
      <c r="I490" s="27" t="s">
        <v>79</v>
      </c>
      <c r="J490" s="27" t="s">
        <v>75</v>
      </c>
      <c r="K490" s="27" t="s">
        <v>39</v>
      </c>
      <c r="L490" s="27" t="s">
        <v>40</v>
      </c>
      <c r="M490" s="27">
        <v>11</v>
      </c>
      <c r="N490" s="27">
        <v>12000</v>
      </c>
      <c r="O490" s="27">
        <v>10</v>
      </c>
      <c r="P490" s="27">
        <v>118800</v>
      </c>
      <c r="Q490" s="27">
        <v>1</v>
      </c>
      <c r="R490" s="27" t="s">
        <v>60</v>
      </c>
      <c r="S490" s="27" t="s">
        <v>42</v>
      </c>
      <c r="T490" s="27" t="s">
        <v>108</v>
      </c>
      <c r="U490" s="27">
        <v>9341979199</v>
      </c>
      <c r="V490" s="37" t="s">
        <v>53</v>
      </c>
      <c r="W490" s="40" t="str" cm="1">
        <f t="array" ref="W490">_xlfn.IFS(AND(P490&gt;=100000,Q490&gt;=4,O490&lt;=0.1,V490="Completed"),"Platinum",AND(P490&gt;=50000,P490&lt;=99999,Q490&gt;=3,V490="Completed"),"Golde",AND(P490&lt;50000,V490="Completed"),"Silver",OR(Q490&lt;=2,V490="Cancelled"),"BlackListed",TRUE,"Other")</f>
        <v>BlackListed</v>
      </c>
    </row>
    <row r="491" spans="1:23" ht="15" thickBot="1" x14ac:dyDescent="0.4">
      <c r="A491" s="30" t="s">
        <v>625</v>
      </c>
      <c r="B491" s="30" t="s">
        <v>156</v>
      </c>
      <c r="C491" s="30" t="s">
        <v>105</v>
      </c>
      <c r="D491" s="31">
        <v>45672</v>
      </c>
      <c r="E491" s="31">
        <v>45674</v>
      </c>
      <c r="F491" s="30" t="s">
        <v>106</v>
      </c>
      <c r="G491" s="30" t="s">
        <v>58</v>
      </c>
      <c r="H491" s="31">
        <v>34098</v>
      </c>
      <c r="I491" s="30" t="s">
        <v>27</v>
      </c>
      <c r="J491" s="30" t="s">
        <v>28</v>
      </c>
      <c r="K491" s="30" t="s">
        <v>29</v>
      </c>
      <c r="L491" s="30" t="s">
        <v>107</v>
      </c>
      <c r="M491" s="30">
        <v>2</v>
      </c>
      <c r="N491" s="30">
        <v>8500</v>
      </c>
      <c r="O491" s="30">
        <v>5</v>
      </c>
      <c r="P491" s="30">
        <v>16150</v>
      </c>
      <c r="Q491" s="30">
        <v>1</v>
      </c>
      <c r="R491" s="30" t="s">
        <v>60</v>
      </c>
      <c r="S491" s="30" t="s">
        <v>50</v>
      </c>
      <c r="T491" s="30" t="s">
        <v>158</v>
      </c>
      <c r="U491" s="30">
        <v>9823080381</v>
      </c>
      <c r="V491" s="36" t="s">
        <v>34</v>
      </c>
      <c r="W491" s="40" t="str" cm="1">
        <f t="array" ref="W491">_xlfn.IFS(AND(P491&gt;=100000,Q491&gt;=4,O491&lt;=0.1,V491="Completed"),"Platinum",AND(P491&gt;=50000,P491&lt;=99999,Q491&gt;=3,V491="Completed"),"Golde",AND(P491&lt;50000,V491="Completed"),"Silver",OR(Q491&lt;=2,V491="Cancelled"),"BlackListed",TRUE,"Other")</f>
        <v>Silver</v>
      </c>
    </row>
    <row r="492" spans="1:23" ht="15" thickBot="1" x14ac:dyDescent="0.4">
      <c r="A492" s="27" t="s">
        <v>626</v>
      </c>
      <c r="B492" s="27" t="s">
        <v>72</v>
      </c>
      <c r="C492" s="27" t="s">
        <v>24</v>
      </c>
      <c r="D492" s="28">
        <v>45746</v>
      </c>
      <c r="E492" s="28">
        <v>45755</v>
      </c>
      <c r="F492" s="27" t="s">
        <v>73</v>
      </c>
      <c r="G492" s="27" t="s">
        <v>26</v>
      </c>
      <c r="H492" s="28">
        <v>34526</v>
      </c>
      <c r="I492" s="27" t="s">
        <v>79</v>
      </c>
      <c r="J492" s="27" t="s">
        <v>75</v>
      </c>
      <c r="K492" s="27" t="s">
        <v>29</v>
      </c>
      <c r="L492" s="27" t="s">
        <v>30</v>
      </c>
      <c r="M492" s="27">
        <v>7</v>
      </c>
      <c r="N492" s="27">
        <v>2200</v>
      </c>
      <c r="O492" s="27">
        <v>0</v>
      </c>
      <c r="P492" s="27">
        <v>15400</v>
      </c>
      <c r="Q492" s="27">
        <v>5</v>
      </c>
      <c r="R492" s="27" t="s">
        <v>41</v>
      </c>
      <c r="S492" s="27" t="s">
        <v>32</v>
      </c>
      <c r="T492" s="27" t="s">
        <v>93</v>
      </c>
      <c r="U492" s="27">
        <v>9981183477</v>
      </c>
      <c r="V492" s="37" t="s">
        <v>52</v>
      </c>
      <c r="W492" s="40" t="str" cm="1">
        <f t="array" ref="W492">_xlfn.IFS(AND(P492&gt;=100000,Q492&gt;=4,O492&lt;=0.1,V492="Completed"),"Platinum",AND(P492&gt;=50000,P492&lt;=99999,Q492&gt;=3,V492="Completed"),"Golde",AND(P492&lt;50000,V492="Completed"),"Silver",OR(Q492&lt;=2,V492="Cancelled"),"BlackListed",TRUE,"Other")</f>
        <v>Other</v>
      </c>
    </row>
    <row r="493" spans="1:23" ht="15" thickBot="1" x14ac:dyDescent="0.4">
      <c r="A493" s="30" t="s">
        <v>627</v>
      </c>
      <c r="B493" s="30" t="s">
        <v>63</v>
      </c>
      <c r="C493" s="30" t="s">
        <v>105</v>
      </c>
      <c r="D493" s="31">
        <v>46136</v>
      </c>
      <c r="E493" s="31">
        <v>46144</v>
      </c>
      <c r="F493" s="30" t="s">
        <v>110</v>
      </c>
      <c r="G493" s="30" t="s">
        <v>58</v>
      </c>
      <c r="H493" s="31">
        <v>30304</v>
      </c>
      <c r="I493" s="30" t="s">
        <v>37</v>
      </c>
      <c r="J493" s="30" t="s">
        <v>38</v>
      </c>
      <c r="K493" s="30" t="s">
        <v>29</v>
      </c>
      <c r="L493" s="30" t="s">
        <v>107</v>
      </c>
      <c r="M493" s="30">
        <v>20</v>
      </c>
      <c r="N493" s="30">
        <v>8500</v>
      </c>
      <c r="O493" s="30">
        <v>0</v>
      </c>
      <c r="P493" s="30">
        <v>170000</v>
      </c>
      <c r="Q493" s="30">
        <v>3</v>
      </c>
      <c r="R493" s="30" t="s">
        <v>41</v>
      </c>
      <c r="S493" s="30" t="s">
        <v>42</v>
      </c>
      <c r="T493" s="30" t="s">
        <v>66</v>
      </c>
      <c r="U493" s="30">
        <v>9281596011</v>
      </c>
      <c r="V493" s="36" t="s">
        <v>34</v>
      </c>
      <c r="W493" s="40" t="str" cm="1">
        <f t="array" ref="W493">_xlfn.IFS(AND(P493&gt;=100000,Q493&gt;=4,O493&lt;=0.1,V493="Completed"),"Platinum",AND(P493&gt;=50000,P493&lt;=99999,Q493&gt;=3,V493="Completed"),"Golde",AND(P493&lt;50000,V493="Completed"),"Silver",OR(Q493&lt;=2,V493="Cancelled"),"BlackListed",TRUE,"Other")</f>
        <v>Other</v>
      </c>
    </row>
    <row r="494" spans="1:23" ht="15" thickBot="1" x14ac:dyDescent="0.4">
      <c r="A494" s="27" t="s">
        <v>628</v>
      </c>
      <c r="B494" s="27" t="s">
        <v>87</v>
      </c>
      <c r="C494" s="27" t="s">
        <v>56</v>
      </c>
      <c r="D494" s="28">
        <v>45858</v>
      </c>
      <c r="E494" s="28">
        <v>45867</v>
      </c>
      <c r="F494" s="27" t="s">
        <v>88</v>
      </c>
      <c r="G494" s="27" t="s">
        <v>58</v>
      </c>
      <c r="H494" s="28">
        <v>37197</v>
      </c>
      <c r="I494" s="27" t="s">
        <v>27</v>
      </c>
      <c r="J494" s="27" t="s">
        <v>28</v>
      </c>
      <c r="K494" s="27" t="s">
        <v>39</v>
      </c>
      <c r="L494" s="27" t="s">
        <v>59</v>
      </c>
      <c r="M494" s="27">
        <v>11</v>
      </c>
      <c r="N494" s="27">
        <v>1200</v>
      </c>
      <c r="O494" s="27">
        <v>5</v>
      </c>
      <c r="P494" s="27">
        <v>12540</v>
      </c>
      <c r="Q494" s="27">
        <v>2</v>
      </c>
      <c r="R494" s="27" t="s">
        <v>31</v>
      </c>
      <c r="S494" s="27" t="s">
        <v>32</v>
      </c>
      <c r="T494" s="27" t="s">
        <v>89</v>
      </c>
      <c r="U494" s="27">
        <v>9211734022</v>
      </c>
      <c r="V494" s="37" t="s">
        <v>52</v>
      </c>
      <c r="W494" s="40" t="str" cm="1">
        <f t="array" ref="W494">_xlfn.IFS(AND(P494&gt;=100000,Q494&gt;=4,O494&lt;=0.1,V494="Completed"),"Platinum",AND(P494&gt;=50000,P494&lt;=99999,Q494&gt;=3,V494="Completed"),"Golde",AND(P494&lt;50000,V494="Completed"),"Silver",OR(Q494&lt;=2,V494="Cancelled"),"BlackListed",TRUE,"Other")</f>
        <v>BlackListed</v>
      </c>
    </row>
    <row r="495" spans="1:23" ht="15" thickBot="1" x14ac:dyDescent="0.4">
      <c r="A495" s="30" t="s">
        <v>629</v>
      </c>
      <c r="B495" s="30" t="s">
        <v>63</v>
      </c>
      <c r="C495" s="30" t="s">
        <v>112</v>
      </c>
      <c r="D495" s="31">
        <v>45867</v>
      </c>
      <c r="E495" s="31">
        <v>45870</v>
      </c>
      <c r="F495" s="30" t="s">
        <v>110</v>
      </c>
      <c r="G495" s="30" t="s">
        <v>58</v>
      </c>
      <c r="H495" s="31">
        <v>37182</v>
      </c>
      <c r="I495" s="30" t="s">
        <v>91</v>
      </c>
      <c r="J495" s="30" t="s">
        <v>75</v>
      </c>
      <c r="K495" s="30" t="s">
        <v>39</v>
      </c>
      <c r="L495" s="30" t="s">
        <v>114</v>
      </c>
      <c r="M495" s="30">
        <v>14</v>
      </c>
      <c r="N495" s="30">
        <v>700</v>
      </c>
      <c r="O495" s="30">
        <v>0</v>
      </c>
      <c r="P495" s="30">
        <v>9800</v>
      </c>
      <c r="Q495" s="30">
        <v>2</v>
      </c>
      <c r="R495" s="30" t="s">
        <v>60</v>
      </c>
      <c r="S495" s="30" t="s">
        <v>96</v>
      </c>
      <c r="T495" s="30" t="s">
        <v>66</v>
      </c>
      <c r="U495" s="30">
        <v>9447151666</v>
      </c>
      <c r="V495" s="38" t="s">
        <v>53</v>
      </c>
      <c r="W495" s="40" t="str" cm="1">
        <f t="array" ref="W495">_xlfn.IFS(AND(P495&gt;=100000,Q495&gt;=4,O495&lt;=0.1,V495="Completed"),"Platinum",AND(P495&gt;=50000,P495&lt;=99999,Q495&gt;=3,V495="Completed"),"Golde",AND(P495&lt;50000,V495="Completed"),"Silver",OR(Q495&lt;=2,V495="Cancelled"),"BlackListed",TRUE,"Other")</f>
        <v>BlackListed</v>
      </c>
    </row>
    <row r="496" spans="1:23" ht="15" thickBot="1" x14ac:dyDescent="0.4">
      <c r="A496" s="27" t="s">
        <v>630</v>
      </c>
      <c r="B496" s="27" t="s">
        <v>55</v>
      </c>
      <c r="C496" s="27" t="s">
        <v>56</v>
      </c>
      <c r="D496" s="28">
        <v>45951</v>
      </c>
      <c r="E496" s="28">
        <v>45962</v>
      </c>
      <c r="F496" s="27" t="s">
        <v>57</v>
      </c>
      <c r="G496" s="27" t="s">
        <v>58</v>
      </c>
      <c r="H496" s="28">
        <v>36881</v>
      </c>
      <c r="I496" s="27" t="s">
        <v>79</v>
      </c>
      <c r="J496" s="27" t="s">
        <v>75</v>
      </c>
      <c r="K496" s="27" t="s">
        <v>39</v>
      </c>
      <c r="L496" s="27" t="s">
        <v>59</v>
      </c>
      <c r="M496" s="27">
        <v>16</v>
      </c>
      <c r="N496" s="27">
        <v>1200</v>
      </c>
      <c r="O496" s="27">
        <v>15</v>
      </c>
      <c r="P496" s="27">
        <v>16320</v>
      </c>
      <c r="Q496" s="27">
        <v>4</v>
      </c>
      <c r="R496" s="27" t="s">
        <v>31</v>
      </c>
      <c r="S496" s="27" t="s">
        <v>96</v>
      </c>
      <c r="T496" s="27" t="s">
        <v>61</v>
      </c>
      <c r="U496" s="27">
        <v>9345342793</v>
      </c>
      <c r="V496" s="37" t="s">
        <v>52</v>
      </c>
      <c r="W496" s="40" t="str" cm="1">
        <f t="array" ref="W496">_xlfn.IFS(AND(P496&gt;=100000,Q496&gt;=4,O496&lt;=0.1,V496="Completed"),"Platinum",AND(P496&gt;=50000,P496&lt;=99999,Q496&gt;=3,V496="Completed"),"Golde",AND(P496&lt;50000,V496="Completed"),"Silver",OR(Q496&lt;=2,V496="Cancelled"),"BlackListed",TRUE,"Other")</f>
        <v>Other</v>
      </c>
    </row>
    <row r="497" spans="1:23" ht="15" thickBot="1" x14ac:dyDescent="0.4">
      <c r="A497" s="30" t="s">
        <v>631</v>
      </c>
      <c r="B497" s="30" t="s">
        <v>104</v>
      </c>
      <c r="C497" s="30" t="s">
        <v>24</v>
      </c>
      <c r="D497" s="31">
        <v>46098</v>
      </c>
      <c r="E497" s="31">
        <v>46110</v>
      </c>
      <c r="F497" s="30" t="s">
        <v>166</v>
      </c>
      <c r="G497" s="30" t="s">
        <v>26</v>
      </c>
      <c r="H497" s="31">
        <v>30367</v>
      </c>
      <c r="I497" s="30" t="s">
        <v>121</v>
      </c>
      <c r="J497" s="30" t="s">
        <v>38</v>
      </c>
      <c r="K497" s="30" t="s">
        <v>29</v>
      </c>
      <c r="L497" s="30" t="s">
        <v>30</v>
      </c>
      <c r="M497" s="30">
        <v>20</v>
      </c>
      <c r="N497" s="30">
        <v>2200</v>
      </c>
      <c r="O497" s="30">
        <v>0</v>
      </c>
      <c r="P497" s="30">
        <v>44000</v>
      </c>
      <c r="Q497" s="30">
        <v>5</v>
      </c>
      <c r="R497" s="30" t="s">
        <v>31</v>
      </c>
      <c r="S497" s="30" t="s">
        <v>32</v>
      </c>
      <c r="T497" s="30" t="s">
        <v>108</v>
      </c>
      <c r="U497" s="30">
        <v>9329668173</v>
      </c>
      <c r="V497" s="38" t="s">
        <v>53</v>
      </c>
      <c r="W497" s="40" t="str" cm="1">
        <f t="array" ref="W497">_xlfn.IFS(AND(P497&gt;=100000,Q497&gt;=4,O497&lt;=0.1,V497="Completed"),"Platinum",AND(P497&gt;=50000,P497&lt;=99999,Q497&gt;=3,V497="Completed"),"Golde",AND(P497&lt;50000,V497="Completed"),"Silver",OR(Q497&lt;=2,V497="Cancelled"),"BlackListed",TRUE,"Other")</f>
        <v>BlackListed</v>
      </c>
    </row>
    <row r="498" spans="1:23" ht="15" thickBot="1" x14ac:dyDescent="0.4">
      <c r="A498" s="27" t="s">
        <v>632</v>
      </c>
      <c r="B498" s="27" t="s">
        <v>63</v>
      </c>
      <c r="C498" s="27" t="s">
        <v>36</v>
      </c>
      <c r="D498" s="28">
        <v>45711</v>
      </c>
      <c r="E498" s="28">
        <v>45723</v>
      </c>
      <c r="F498" s="27" t="s">
        <v>110</v>
      </c>
      <c r="G498" s="27" t="s">
        <v>58</v>
      </c>
      <c r="H498" s="28">
        <v>32307</v>
      </c>
      <c r="I498" s="27" t="s">
        <v>121</v>
      </c>
      <c r="J498" s="27" t="s">
        <v>38</v>
      </c>
      <c r="K498" s="27" t="s">
        <v>39</v>
      </c>
      <c r="L498" s="27" t="s">
        <v>40</v>
      </c>
      <c r="M498" s="27">
        <v>12</v>
      </c>
      <c r="N498" s="27">
        <v>12000</v>
      </c>
      <c r="O498" s="27">
        <v>15</v>
      </c>
      <c r="P498" s="27">
        <v>122400</v>
      </c>
      <c r="Q498" s="27">
        <v>5</v>
      </c>
      <c r="R498" s="27" t="s">
        <v>31</v>
      </c>
      <c r="S498" s="27" t="s">
        <v>96</v>
      </c>
      <c r="T498" s="27" t="s">
        <v>66</v>
      </c>
      <c r="U498" s="27">
        <v>9294740227</v>
      </c>
      <c r="V498" s="35" t="s">
        <v>34</v>
      </c>
      <c r="W498" s="40" t="str" cm="1">
        <f t="array" ref="W498">_xlfn.IFS(AND(P498&gt;=100000,Q498&gt;=4,O498&lt;=0.1,V498="Completed"),"Platinum",AND(P498&gt;=50000,P498&lt;=99999,Q498&gt;=3,V498="Completed"),"Golde",AND(P498&lt;50000,V498="Completed"),"Silver",OR(Q498&lt;=2,V498="Cancelled"),"BlackListed",TRUE,"Other")</f>
        <v>Other</v>
      </c>
    </row>
    <row r="499" spans="1:23" ht="15" thickBot="1" x14ac:dyDescent="0.4">
      <c r="A499" s="30" t="s">
        <v>633</v>
      </c>
      <c r="B499" s="30" t="s">
        <v>124</v>
      </c>
      <c r="C499" s="30" t="s">
        <v>56</v>
      </c>
      <c r="D499" s="31">
        <v>46002</v>
      </c>
      <c r="E499" s="31">
        <v>46011</v>
      </c>
      <c r="F499" s="30" t="s">
        <v>126</v>
      </c>
      <c r="G499" s="30" t="s">
        <v>58</v>
      </c>
      <c r="H499" s="31">
        <v>33807</v>
      </c>
      <c r="I499" s="30" t="s">
        <v>37</v>
      </c>
      <c r="J499" s="30" t="s">
        <v>38</v>
      </c>
      <c r="K499" s="30" t="s">
        <v>39</v>
      </c>
      <c r="L499" s="30" t="s">
        <v>59</v>
      </c>
      <c r="M499" s="30">
        <v>3</v>
      </c>
      <c r="N499" s="30">
        <v>1200</v>
      </c>
      <c r="O499" s="30">
        <v>20</v>
      </c>
      <c r="P499" s="30">
        <v>2880</v>
      </c>
      <c r="Q499" s="30">
        <v>2</v>
      </c>
      <c r="R499" s="30" t="s">
        <v>41</v>
      </c>
      <c r="S499" s="30" t="s">
        <v>80</v>
      </c>
      <c r="T499" s="30" t="s">
        <v>298</v>
      </c>
      <c r="U499" s="30">
        <v>9549426303</v>
      </c>
      <c r="V499" s="38" t="s">
        <v>52</v>
      </c>
      <c r="W499" s="40" t="str" cm="1">
        <f t="array" ref="W499">_xlfn.IFS(AND(P499&gt;=100000,Q499&gt;=4,O499&lt;=0.1,V499="Completed"),"Platinum",AND(P499&gt;=50000,P499&lt;=99999,Q499&gt;=3,V499="Completed"),"Golde",AND(P499&lt;50000,V499="Completed"),"Silver",OR(Q499&lt;=2,V499="Cancelled"),"BlackListed",TRUE,"Other")</f>
        <v>BlackListed</v>
      </c>
    </row>
    <row r="500" spans="1:23" ht="15" thickBot="1" x14ac:dyDescent="0.4">
      <c r="A500" s="27" t="s">
        <v>634</v>
      </c>
      <c r="B500" s="27" t="s">
        <v>72</v>
      </c>
      <c r="C500" s="27" t="s">
        <v>46</v>
      </c>
      <c r="D500" s="28">
        <v>45842</v>
      </c>
      <c r="E500" s="28">
        <v>45843</v>
      </c>
      <c r="F500" s="27" t="s">
        <v>73</v>
      </c>
      <c r="G500" s="27" t="s">
        <v>26</v>
      </c>
      <c r="H500" s="28">
        <v>29079</v>
      </c>
      <c r="I500" s="27" t="s">
        <v>74</v>
      </c>
      <c r="J500" s="27" t="s">
        <v>75</v>
      </c>
      <c r="K500" s="27" t="s">
        <v>39</v>
      </c>
      <c r="L500" s="27" t="s">
        <v>635</v>
      </c>
      <c r="M500" s="27">
        <v>6</v>
      </c>
      <c r="N500" s="27">
        <v>55000</v>
      </c>
      <c r="O500" s="27">
        <v>20</v>
      </c>
      <c r="P500" s="27">
        <v>264000</v>
      </c>
      <c r="Q500" s="27">
        <v>3</v>
      </c>
      <c r="R500" s="27" t="s">
        <v>31</v>
      </c>
      <c r="S500" s="27" t="s">
        <v>96</v>
      </c>
      <c r="T500" s="27" t="s">
        <v>93</v>
      </c>
      <c r="U500" s="27">
        <v>9374249303</v>
      </c>
      <c r="V500" s="35" t="s">
        <v>34</v>
      </c>
      <c r="W500" s="40" t="str" cm="1">
        <f t="array" ref="W500">_xlfn.IFS(AND(P500&gt;=100000,Q500&gt;=4,O500&lt;=0.1,V500="Completed"),"Platinum",AND(P500&gt;=50000,P500&lt;=99999,Q500&gt;=3,V500="Completed"),"Golde",AND(P500&lt;50000,V500="Completed"),"Silver",OR(Q500&lt;=2,V500="Cancelled"),"BlackListed",TRUE,"Other")</f>
        <v>Other</v>
      </c>
    </row>
    <row r="501" spans="1:23" ht="15" thickBot="1" x14ac:dyDescent="0.4">
      <c r="A501" s="33" t="s">
        <v>636</v>
      </c>
      <c r="B501" s="33" t="s">
        <v>72</v>
      </c>
      <c r="C501" s="33" t="s">
        <v>68</v>
      </c>
      <c r="D501" s="34">
        <v>45916</v>
      </c>
      <c r="E501" s="34">
        <v>45923</v>
      </c>
      <c r="F501" s="33" t="s">
        <v>73</v>
      </c>
      <c r="G501" s="33" t="s">
        <v>26</v>
      </c>
      <c r="H501" s="34">
        <v>28088</v>
      </c>
      <c r="I501" s="33" t="s">
        <v>48</v>
      </c>
      <c r="J501" s="33" t="s">
        <v>28</v>
      </c>
      <c r="K501" s="33" t="s">
        <v>29</v>
      </c>
      <c r="L501" s="33" t="s">
        <v>70</v>
      </c>
      <c r="M501" s="33">
        <v>20</v>
      </c>
      <c r="N501" s="33">
        <v>3500</v>
      </c>
      <c r="O501" s="33">
        <v>0</v>
      </c>
      <c r="P501" s="33">
        <v>70000</v>
      </c>
      <c r="Q501" s="33">
        <v>1</v>
      </c>
      <c r="R501" s="33" t="s">
        <v>41</v>
      </c>
      <c r="S501" s="33" t="s">
        <v>96</v>
      </c>
      <c r="T501" s="33" t="s">
        <v>93</v>
      </c>
      <c r="U501" s="33">
        <v>9810334941</v>
      </c>
      <c r="V501" s="39" t="s">
        <v>52</v>
      </c>
      <c r="W501" s="40" t="str" cm="1">
        <f t="array" ref="W501">_xlfn.IFS(AND(P501&gt;=100000,Q501&gt;=4,O501&lt;=0.1,V501="Completed"),"Platinum",AND(P501&gt;=50000,P501&lt;=99999,Q501&gt;=3,V501="Completed"),"Golde",AND(P501&lt;50000,V501="Completed"),"Silver",OR(Q501&lt;=2,V501="Cancelled"),"BlackListed",TRUE,"Other")</f>
        <v>BlackListed</v>
      </c>
    </row>
  </sheetData>
  <hyperlinks>
    <hyperlink ref="T2" r:id="rId1" display="mailto:KAvya.nair@company.com" xr:uid="{791AA3D3-F76B-47C1-8EE6-F2EDF3CBA92C}"/>
    <hyperlink ref="T5" r:id="rId2" display="mailto:kavya.nair@company.com" xr:uid="{1C94FDC3-58B6-4E81-B194-562F2AFE4F20}"/>
    <hyperlink ref="T9" r:id="rId3" display="mailto:priYa.patel@company.com" xr:uid="{FCC15DFE-3957-4A60-BB52-B8C0BEC0A73E}"/>
    <hyperlink ref="T11" r:id="rId4" display="mailto:PRiya.patel@company.com" xr:uid="{0F5C5BF9-B88D-40A5-A396-AF2C975339E7}"/>
    <hyperlink ref="T15" r:id="rId5" display="mailto:rOhit.singh@company.com" xr:uid="{3C739DDE-FFED-4339-9AAE-C925C78D0F97}"/>
    <hyperlink ref="T16" r:id="rId6" display="mailto:kavya.nair@company.com" xr:uid="{B1DB1FF9-38DB-47DE-BB73-7224BEA75B06}"/>
    <hyperlink ref="T20" r:id="rId7" display="mailto:arjun.Rao@company.com" xr:uid="{6835CA27-7977-4889-ACBD-41DF0F387671}"/>
    <hyperlink ref="T61" r:id="rId8" display="mailto:Vikas.mehta@company.com" xr:uid="{2068303F-DE7B-450F-A380-53D0F04E1D37}"/>
    <hyperlink ref="T72" r:id="rId9" display="mailto:Anita.gupta@company.com" xr:uid="{4122FE59-0CB4-47F9-A87A-B47F0C0DFF68}"/>
    <hyperlink ref="T294" r:id="rId10" display="mailto:Pooja.shah@company.com" xr:uid="{3379325C-1FCA-4A21-9678-4E599FA0494A}"/>
    <hyperlink ref="T450" r:id="rId11" display="mailto:amit.SHarma@company.com" xr:uid="{95ED7618-242B-40CB-8837-CFEF3A6236CD}"/>
    <hyperlink ref="T463" r:id="rId12" display="mailto:rohit.sinGh@company.com" xr:uid="{E29DC3D4-9A13-4BE3-9446-110BC9CB2D96}"/>
    <hyperlink ref="T479" r:id="rId13" display="mailto:kavya.Nair@company.com" xr:uid="{A5C264F1-A795-45EC-BB34-551793C6BE3B}"/>
    <hyperlink ref="T489" r:id="rId14" display="mailto:pOOja.shah@company.com" xr:uid="{8DBDC2C1-FBB4-4438-9664-40692CA28C1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7461-4881-49F0-A522-7787F1C6CD8C}">
  <dimension ref="A1:D501"/>
  <sheetViews>
    <sheetView workbookViewId="0">
      <selection activeCell="F3" sqref="F3"/>
    </sheetView>
  </sheetViews>
  <sheetFormatPr defaultRowHeight="14.5" x14ac:dyDescent="0.35"/>
  <cols>
    <col min="1" max="1" width="14.36328125" customWidth="1"/>
    <col min="2" max="2" width="16" customWidth="1"/>
    <col min="3" max="3" width="25.6328125" customWidth="1"/>
    <col min="4" max="4" width="19" customWidth="1"/>
    <col min="5" max="5" width="8.7265625" customWidth="1"/>
    <col min="7" max="8" width="8.7265625" customWidth="1"/>
    <col min="10" max="14" width="8.7265625" customWidth="1"/>
    <col min="17" max="21" width="8.7265625" customWidth="1"/>
  </cols>
  <sheetData>
    <row r="1" spans="1:4" x14ac:dyDescent="0.35">
      <c r="A1" s="41" t="s">
        <v>654</v>
      </c>
      <c r="B1" s="41" t="s">
        <v>655</v>
      </c>
      <c r="C1" s="44" t="s">
        <v>656</v>
      </c>
      <c r="D1" s="44" t="s">
        <v>657</v>
      </c>
    </row>
    <row r="2" spans="1:4" x14ac:dyDescent="0.35">
      <c r="A2" s="42" t="str" cm="1">
        <f t="array" ref="A2:A501">PROPER(TRIM(Sales_Data!$F$2:$F$501))</f>
        <v>Kavya Nair</v>
      </c>
      <c r="B2" s="43" t="str" cm="1">
        <f t="array" ref="B2:B501">LEFT(Sales_Data!$F$2:$F$501,3)&amp;RIGHT(Sales_Data!$B$2:$B$501,3)&amp;LEFT(Sales_Data!$I$2:$I$501,2)</f>
        <v>Kav008Hy</v>
      </c>
      <c r="C2" s="45" t="str" cm="1">
        <f t="array" ref="C2:C501">LOWER(TRIM(Sales_Data!$T$2:$T$501))</f>
        <v>kavya.nair@company.com</v>
      </c>
      <c r="D2" s="46" t="str">
        <f>IF(ISNUMBER(SEARCH("@", C2)), "Valid", "Invalid Email")</f>
        <v>Valid</v>
      </c>
    </row>
    <row r="3" spans="1:4" x14ac:dyDescent="0.35">
      <c r="A3" s="42" t="str">
        <v>Kavya Nair</v>
      </c>
      <c r="B3" s="43" t="str">
        <v>Kav008De</v>
      </c>
      <c r="C3" s="45" t="str">
        <v>kavya.nair@company.com</v>
      </c>
      <c r="D3" s="46" t="str">
        <f t="shared" ref="D3:D66" si="0">IF(ISNUMBER(SEARCH("@", C3)), "Valid", "Invalid Email")</f>
        <v>Valid</v>
      </c>
    </row>
    <row r="4" spans="1:4" x14ac:dyDescent="0.35">
      <c r="A4" s="42" t="str">
        <v>Pooja Shah</v>
      </c>
      <c r="B4" s="43" t="str">
        <v>poo010Be</v>
      </c>
      <c r="C4" s="45" t="str">
        <v>pooja.shah@company.com</v>
      </c>
      <c r="D4" s="46" t="str">
        <f t="shared" si="0"/>
        <v>Valid</v>
      </c>
    </row>
    <row r="5" spans="1:4" x14ac:dyDescent="0.35">
      <c r="A5" s="42" t="str">
        <v>Kavya Nair</v>
      </c>
      <c r="B5" s="43" t="str">
        <v>Kav008Be</v>
      </c>
      <c r="C5" s="45" t="str">
        <v>kavya.nair@company.com</v>
      </c>
      <c r="D5" s="46" t="str">
        <f t="shared" si="0"/>
        <v>Valid</v>
      </c>
    </row>
    <row r="6" spans="1:4" x14ac:dyDescent="0.35">
      <c r="A6" s="42" t="str">
        <v>Mohit Verma</v>
      </c>
      <c r="B6" s="43" t="str">
        <v>Moh009De</v>
      </c>
      <c r="C6" s="45" t="str">
        <v>mohit.verma@company.com</v>
      </c>
      <c r="D6" s="46" t="str">
        <f t="shared" si="0"/>
        <v>Valid</v>
      </c>
    </row>
    <row r="7" spans="1:4" x14ac:dyDescent="0.35">
      <c r="A7" s="42" t="str">
        <v>Arjun Rao</v>
      </c>
      <c r="B7" s="43" t="str">
        <v>arj007Hy</v>
      </c>
      <c r="C7" s="45" t="str">
        <v>arjun.rao@company.com</v>
      </c>
      <c r="D7" s="46" t="str">
        <f t="shared" si="0"/>
        <v>Valid</v>
      </c>
    </row>
    <row r="8" spans="1:4" x14ac:dyDescent="0.35">
      <c r="A8" s="42" t="str">
        <v>Kavya Nair</v>
      </c>
      <c r="B8" s="43" t="str">
        <v>Kav008Hy</v>
      </c>
      <c r="C8" s="45" t="str">
        <v>kavya.nair@company.com</v>
      </c>
      <c r="D8" s="46" t="str">
        <f t="shared" si="0"/>
        <v>Valid</v>
      </c>
    </row>
    <row r="9" spans="1:4" x14ac:dyDescent="0.35">
      <c r="A9" s="42" t="str">
        <v>Priya Patel</v>
      </c>
      <c r="B9" s="43" t="str">
        <v>Pri002Mu</v>
      </c>
      <c r="C9" s="45" t="str">
        <v>priya.patel@company.com</v>
      </c>
      <c r="D9" s="46" t="str">
        <f t="shared" si="0"/>
        <v>Valid</v>
      </c>
    </row>
    <row r="10" spans="1:4" x14ac:dyDescent="0.35">
      <c r="A10" s="42" t="str">
        <v>Kavya Nair</v>
      </c>
      <c r="B10" s="43" t="str">
        <v>kav008Pu</v>
      </c>
      <c r="C10" s="45" t="str">
        <v>kavya.nair@company.com</v>
      </c>
      <c r="D10" s="46" t="str">
        <f t="shared" si="0"/>
        <v>Valid</v>
      </c>
    </row>
    <row r="11" spans="1:4" x14ac:dyDescent="0.35">
      <c r="A11" s="42" t="str">
        <v>Priya Patel</v>
      </c>
      <c r="B11" s="43" t="str">
        <v>Pri002Mu</v>
      </c>
      <c r="C11" s="45" t="str">
        <v>priya.patel@company.com</v>
      </c>
      <c r="D11" s="46" t="str">
        <f t="shared" si="0"/>
        <v>Valid</v>
      </c>
    </row>
    <row r="12" spans="1:4" x14ac:dyDescent="0.35">
      <c r="A12" s="42" t="str">
        <v>Rohit Singh</v>
      </c>
      <c r="B12" s="43" t="str">
        <v>Roh003De</v>
      </c>
      <c r="C12" s="45" t="str">
        <v>rohit.singh@company.com</v>
      </c>
      <c r="D12" s="46" t="str">
        <f t="shared" si="0"/>
        <v>Valid</v>
      </c>
    </row>
    <row r="13" spans="1:4" x14ac:dyDescent="0.35">
      <c r="A13" s="42" t="str">
        <v>Kavya Nair</v>
      </c>
      <c r="B13" s="43" t="str">
        <v>Kav008Ah</v>
      </c>
      <c r="C13" s="45" t="str">
        <v>kavya.nair@company.com</v>
      </c>
      <c r="D13" s="46" t="str">
        <f t="shared" si="0"/>
        <v>Valid</v>
      </c>
    </row>
    <row r="14" spans="1:4" x14ac:dyDescent="0.35">
      <c r="A14" s="42" t="str">
        <v>Priya Patel</v>
      </c>
      <c r="B14" s="43" t="str">
        <v>Pri002Pu</v>
      </c>
      <c r="C14" s="45" t="str">
        <v>priya.patel@company.com</v>
      </c>
      <c r="D14" s="46" t="str">
        <f t="shared" si="0"/>
        <v>Valid</v>
      </c>
    </row>
    <row r="15" spans="1:4" x14ac:dyDescent="0.35">
      <c r="A15" s="42" t="str">
        <v>Rohit Singh</v>
      </c>
      <c r="B15" s="43" t="str">
        <v>roh003Mu</v>
      </c>
      <c r="C15" s="45" t="str">
        <v>rohit.singh@company.com</v>
      </c>
      <c r="D15" s="46" t="str">
        <f t="shared" si="0"/>
        <v>Valid</v>
      </c>
    </row>
    <row r="16" spans="1:4" x14ac:dyDescent="0.35">
      <c r="A16" s="42" t="str">
        <v>Kavya Nair</v>
      </c>
      <c r="B16" s="43" t="str">
        <v>Kav008Mu</v>
      </c>
      <c r="C16" s="45" t="str">
        <v>kavya.nair@company.com</v>
      </c>
      <c r="D16" s="46" t="str">
        <f t="shared" si="0"/>
        <v>Valid</v>
      </c>
    </row>
    <row r="17" spans="1:4" x14ac:dyDescent="0.35">
      <c r="A17" s="42" t="str">
        <v>Pooja Shah</v>
      </c>
      <c r="B17" s="43" t="str">
        <v>Poo010Hy</v>
      </c>
      <c r="C17" s="45" t="str">
        <v>pooja.shahcompany.com</v>
      </c>
      <c r="D17" s="46" t="str">
        <f t="shared" si="0"/>
        <v>Invalid Email</v>
      </c>
    </row>
    <row r="18" spans="1:4" x14ac:dyDescent="0.35">
      <c r="A18" s="42" t="str">
        <v>Amit Sharma</v>
      </c>
      <c r="B18" s="43" t="str">
        <v>Ami004Pu</v>
      </c>
      <c r="C18" s="45" t="str">
        <v>anita.gupta@company.com</v>
      </c>
      <c r="D18" s="46" t="str">
        <f t="shared" si="0"/>
        <v>Valid</v>
      </c>
    </row>
    <row r="19" spans="1:4" x14ac:dyDescent="0.35">
      <c r="A19" s="42" t="str">
        <v>Arjun Rao</v>
      </c>
      <c r="B19" s="43" t="str">
        <v>Arj007Ah</v>
      </c>
      <c r="C19" s="45" t="str">
        <v>arjun.rao@company.com</v>
      </c>
      <c r="D19" s="46" t="str">
        <f t="shared" si="0"/>
        <v>Valid</v>
      </c>
    </row>
    <row r="20" spans="1:4" x14ac:dyDescent="0.35">
      <c r="A20" s="42" t="str">
        <v>Arjun Rao</v>
      </c>
      <c r="B20" s="43" t="str">
        <v>arj007Mu</v>
      </c>
      <c r="C20" s="45" t="str">
        <v>arjun.rao@company.com</v>
      </c>
      <c r="D20" s="46" t="str">
        <f t="shared" si="0"/>
        <v>Valid</v>
      </c>
    </row>
    <row r="21" spans="1:4" x14ac:dyDescent="0.35">
      <c r="A21" s="42" t="str">
        <v>Kavya Nair</v>
      </c>
      <c r="B21" s="43" t="str">
        <v>Kav008Ah</v>
      </c>
      <c r="C21" s="45" t="str">
        <v>kavya.nair@company.com</v>
      </c>
      <c r="D21" s="46" t="str">
        <f t="shared" si="0"/>
        <v>Valid</v>
      </c>
    </row>
    <row r="22" spans="1:4" x14ac:dyDescent="0.35">
      <c r="A22" s="42" t="str">
        <v>Rohit Singh</v>
      </c>
      <c r="B22" s="43" t="str">
        <v>Roh003De</v>
      </c>
      <c r="C22" s="45" t="str">
        <v>rohit.singh@company.com</v>
      </c>
      <c r="D22" s="46" t="str">
        <f t="shared" si="0"/>
        <v>Valid</v>
      </c>
    </row>
    <row r="23" spans="1:4" x14ac:dyDescent="0.35">
      <c r="A23" s="42" t="str">
        <v>Kavya Nair</v>
      </c>
      <c r="B23" s="43" t="str">
        <v>kav008Be</v>
      </c>
      <c r="C23" s="45" t="str">
        <v>kavya.nair@company.com</v>
      </c>
      <c r="D23" s="46" t="str">
        <f t="shared" si="0"/>
        <v>Valid</v>
      </c>
    </row>
    <row r="24" spans="1:4" x14ac:dyDescent="0.35">
      <c r="A24" s="42" t="str">
        <v>Priya Patel</v>
      </c>
      <c r="B24" s="43" t="str">
        <v>Pri002Ja</v>
      </c>
      <c r="C24" s="45" t="str">
        <v>priya.patel@company.com</v>
      </c>
      <c r="D24" s="46" t="str">
        <f t="shared" si="0"/>
        <v>Valid</v>
      </c>
    </row>
    <row r="25" spans="1:4" x14ac:dyDescent="0.35">
      <c r="A25" s="42" t="str">
        <v>Mohit Verma</v>
      </c>
      <c r="B25" s="43" t="str">
        <v>Moh009Be</v>
      </c>
      <c r="C25" s="45" t="str">
        <v>mohit.verma@company.com</v>
      </c>
      <c r="D25" s="46" t="str">
        <f t="shared" si="0"/>
        <v>Valid</v>
      </c>
    </row>
    <row r="26" spans="1:4" x14ac:dyDescent="0.35">
      <c r="A26" s="42" t="str">
        <v>Vikas Mehta</v>
      </c>
      <c r="B26" s="43" t="str">
        <v>Vik005Mu</v>
      </c>
      <c r="C26" s="45" t="str">
        <v>vikas.mehta@company.com</v>
      </c>
      <c r="D26" s="46" t="str">
        <f t="shared" si="0"/>
        <v>Valid</v>
      </c>
    </row>
    <row r="27" spans="1:4" x14ac:dyDescent="0.35">
      <c r="A27" s="42" t="str">
        <v>Arjun Rao</v>
      </c>
      <c r="B27" s="43" t="str">
        <v>Arj007Mu</v>
      </c>
      <c r="C27" s="45" t="str">
        <v>arjun.rao@company.com</v>
      </c>
      <c r="D27" s="46" t="str">
        <f t="shared" si="0"/>
        <v>Valid</v>
      </c>
    </row>
    <row r="28" spans="1:4" x14ac:dyDescent="0.35">
      <c r="A28" s="42" t="str">
        <v>Mohit Verma</v>
      </c>
      <c r="B28" s="43" t="str">
        <v>Moh009Ah</v>
      </c>
      <c r="C28" s="45" t="str">
        <v>mohit.verma@company.com</v>
      </c>
      <c r="D28" s="46" t="str">
        <f t="shared" si="0"/>
        <v>Valid</v>
      </c>
    </row>
    <row r="29" spans="1:4" x14ac:dyDescent="0.35">
      <c r="A29" s="42" t="str">
        <v>Kavya Nair</v>
      </c>
      <c r="B29" s="43" t="str">
        <v>Kav008Ah</v>
      </c>
      <c r="C29" s="45" t="str">
        <v>kavya.nair@company.com</v>
      </c>
      <c r="D29" s="46" t="str">
        <f t="shared" si="0"/>
        <v>Valid</v>
      </c>
    </row>
    <row r="30" spans="1:4" x14ac:dyDescent="0.35">
      <c r="A30" s="42" t="str">
        <v>Rohit Singh</v>
      </c>
      <c r="B30" s="43" t="str">
        <v>Roh003Pu</v>
      </c>
      <c r="C30" s="45" t="str">
        <v>rohit.singh@company.com</v>
      </c>
      <c r="D30" s="46" t="str">
        <f t="shared" si="0"/>
        <v>Valid</v>
      </c>
    </row>
    <row r="31" spans="1:4" x14ac:dyDescent="0.35">
      <c r="A31" s="42" t="str">
        <v>Sneha Joshi</v>
      </c>
      <c r="B31" s="43" t="str">
        <v>Sne006Pu</v>
      </c>
      <c r="C31" s="45" t="str">
        <v>sneha.joshi@company.com</v>
      </c>
      <c r="D31" s="46" t="str">
        <f t="shared" si="0"/>
        <v>Valid</v>
      </c>
    </row>
    <row r="32" spans="1:4" x14ac:dyDescent="0.35">
      <c r="A32" s="42" t="str">
        <v>Kavya Nair</v>
      </c>
      <c r="B32" s="43" t="str">
        <v>Kav008Be</v>
      </c>
      <c r="C32" s="45" t="str">
        <v>kavya.nair@company.com</v>
      </c>
      <c r="D32" s="46" t="str">
        <f t="shared" si="0"/>
        <v>Valid</v>
      </c>
    </row>
    <row r="33" spans="1:4" x14ac:dyDescent="0.35">
      <c r="A33" s="42" t="str">
        <v>Priya Patel</v>
      </c>
      <c r="B33" s="43" t="str">
        <v>Pri002Ah</v>
      </c>
      <c r="C33" s="45" t="str">
        <v>priya.patel@company.com</v>
      </c>
      <c r="D33" s="46" t="str">
        <f t="shared" si="0"/>
        <v>Valid</v>
      </c>
    </row>
    <row r="34" spans="1:4" x14ac:dyDescent="0.35">
      <c r="A34" s="42" t="str">
        <v>Sneha Joshi</v>
      </c>
      <c r="B34" s="43" t="str">
        <v>Sne006Be</v>
      </c>
      <c r="C34" s="45" t="str">
        <v>sneha.joshi@company.com</v>
      </c>
      <c r="D34" s="46" t="str">
        <f t="shared" si="0"/>
        <v>Valid</v>
      </c>
    </row>
    <row r="35" spans="1:4" x14ac:dyDescent="0.35">
      <c r="A35" s="42" t="str">
        <v>Arjun Rao</v>
      </c>
      <c r="B35" s="43" t="str">
        <v>Arj007Ah</v>
      </c>
      <c r="C35" s="45" t="str">
        <v>wrongmail</v>
      </c>
      <c r="D35" s="46" t="str">
        <f t="shared" si="0"/>
        <v>Invalid Email</v>
      </c>
    </row>
    <row r="36" spans="1:4" x14ac:dyDescent="0.35">
      <c r="A36" s="42" t="str">
        <v>Rohit Singh</v>
      </c>
      <c r="B36" s="43" t="str">
        <v>Roh003Pu</v>
      </c>
      <c r="C36" s="45" t="str">
        <v>rohit.singh@company.com</v>
      </c>
      <c r="D36" s="46" t="str">
        <f t="shared" si="0"/>
        <v>Valid</v>
      </c>
    </row>
    <row r="37" spans="1:4" x14ac:dyDescent="0.35">
      <c r="A37" s="42" t="str">
        <v>Rohit Singh</v>
      </c>
      <c r="B37" s="43" t="str">
        <v>Roh003Be</v>
      </c>
      <c r="C37" s="45" t="str">
        <v>rohit.singh@company.com</v>
      </c>
      <c r="D37" s="46" t="str">
        <f t="shared" si="0"/>
        <v>Valid</v>
      </c>
    </row>
    <row r="38" spans="1:4" x14ac:dyDescent="0.35">
      <c r="A38" s="42" t="str">
        <v>Mohit Verma</v>
      </c>
      <c r="B38" s="43" t="str">
        <v>Moh009Ko</v>
      </c>
      <c r="C38" s="45" t="str">
        <v>mohit.verma@company.com</v>
      </c>
      <c r="D38" s="46" t="str">
        <f t="shared" si="0"/>
        <v>Valid</v>
      </c>
    </row>
    <row r="39" spans="1:4" x14ac:dyDescent="0.35">
      <c r="A39" s="42" t="str">
        <v>Sneha Joshi</v>
      </c>
      <c r="B39" s="43" t="str">
        <v>Sne006De</v>
      </c>
      <c r="C39" s="45" t="str">
        <v>sneha.joshi@company.com</v>
      </c>
      <c r="D39" s="46" t="str">
        <f t="shared" si="0"/>
        <v>Valid</v>
      </c>
    </row>
    <row r="40" spans="1:4" x14ac:dyDescent="0.35">
      <c r="A40" s="42" t="str">
        <v>Kavya Nair</v>
      </c>
      <c r="B40" s="43" t="str">
        <v>Kav008Pu</v>
      </c>
      <c r="C40" s="45" t="str">
        <v>kavya.nair@company.com</v>
      </c>
      <c r="D40" s="46" t="str">
        <f t="shared" si="0"/>
        <v>Valid</v>
      </c>
    </row>
    <row r="41" spans="1:4" x14ac:dyDescent="0.35">
      <c r="A41" s="42" t="str">
        <v>Pooja Shah</v>
      </c>
      <c r="B41" s="43" t="str">
        <v>Poo010Mu</v>
      </c>
      <c r="C41" s="45" t="str">
        <v>pooja.shah@company.com</v>
      </c>
      <c r="D41" s="46" t="str">
        <f t="shared" si="0"/>
        <v>Valid</v>
      </c>
    </row>
    <row r="42" spans="1:4" x14ac:dyDescent="0.35">
      <c r="A42" s="42" t="str">
        <v>Arjun Rao</v>
      </c>
      <c r="B42" s="43" t="str">
        <v>Arj007Be</v>
      </c>
      <c r="C42" s="45" t="str">
        <v>arjun.rao@company.com</v>
      </c>
      <c r="D42" s="46" t="str">
        <f t="shared" si="0"/>
        <v>Valid</v>
      </c>
    </row>
    <row r="43" spans="1:4" x14ac:dyDescent="0.35">
      <c r="A43" s="42" t="str">
        <v>Pooja Shah</v>
      </c>
      <c r="B43" s="43" t="str">
        <v>Poo010Pu</v>
      </c>
      <c r="C43" s="45" t="str">
        <v>pooja.shah@company.com</v>
      </c>
      <c r="D43" s="46" t="str">
        <f t="shared" si="0"/>
        <v>Valid</v>
      </c>
    </row>
    <row r="44" spans="1:4" x14ac:dyDescent="0.35">
      <c r="A44" s="42" t="str">
        <v>Mohit Verma</v>
      </c>
      <c r="B44" s="43" t="str">
        <v>Moh009Ja</v>
      </c>
      <c r="C44" s="45" t="str">
        <v>mohit.verma@company.com</v>
      </c>
      <c r="D44" s="46" t="str">
        <f t="shared" si="0"/>
        <v>Valid</v>
      </c>
    </row>
    <row r="45" spans="1:4" x14ac:dyDescent="0.35">
      <c r="A45" s="42" t="str">
        <v>Amit Sharma</v>
      </c>
      <c r="B45" s="43" t="str">
        <v>ami001Pu</v>
      </c>
      <c r="C45" s="45" t="str">
        <v>amit.sharma@company.com</v>
      </c>
      <c r="D45" s="46" t="str">
        <f t="shared" si="0"/>
        <v>Valid</v>
      </c>
    </row>
    <row r="46" spans="1:4" x14ac:dyDescent="0.35">
      <c r="A46" s="42" t="str">
        <v>Sneha Joshi</v>
      </c>
      <c r="B46" s="43" t="str">
        <v>Sne006Pu</v>
      </c>
      <c r="C46" s="45" t="str">
        <v>sneha.joshi@company.com</v>
      </c>
      <c r="D46" s="46" t="str">
        <f t="shared" si="0"/>
        <v>Valid</v>
      </c>
    </row>
    <row r="47" spans="1:4" x14ac:dyDescent="0.35">
      <c r="A47" s="42" t="str">
        <v>Mohit Verma</v>
      </c>
      <c r="B47" s="43" t="str">
        <v>Moh009Be</v>
      </c>
      <c r="C47" s="45" t="str">
        <v>mohit.verma@company.com</v>
      </c>
      <c r="D47" s="46" t="str">
        <f t="shared" si="0"/>
        <v>Valid</v>
      </c>
    </row>
    <row r="48" spans="1:4" x14ac:dyDescent="0.35">
      <c r="A48" s="42" t="str">
        <v>Sneha Joshi</v>
      </c>
      <c r="B48" s="43" t="str">
        <v>Sne006Pu</v>
      </c>
      <c r="C48" s="45" t="str">
        <v>sneha.joshicompany.com</v>
      </c>
      <c r="D48" s="46" t="str">
        <f t="shared" si="0"/>
        <v>Invalid Email</v>
      </c>
    </row>
    <row r="49" spans="1:4" x14ac:dyDescent="0.35">
      <c r="A49" s="42" t="str">
        <v>Sneha Joshi</v>
      </c>
      <c r="B49" s="43" t="str">
        <v>Sne006Ja</v>
      </c>
      <c r="C49" s="45" t="str">
        <v>sneha.joshi@company.com</v>
      </c>
      <c r="D49" s="46" t="str">
        <f t="shared" si="0"/>
        <v>Valid</v>
      </c>
    </row>
    <row r="50" spans="1:4" x14ac:dyDescent="0.35">
      <c r="A50" s="42" t="str">
        <v>Mohit Verma</v>
      </c>
      <c r="B50" s="43" t="str">
        <v>Moh009De</v>
      </c>
      <c r="C50" s="45" t="str">
        <v>mohit.verma@company.com</v>
      </c>
      <c r="D50" s="46" t="str">
        <f t="shared" si="0"/>
        <v>Valid</v>
      </c>
    </row>
    <row r="51" spans="1:4" x14ac:dyDescent="0.35">
      <c r="A51" s="42" t="str">
        <v>Anita Gupta</v>
      </c>
      <c r="B51" s="43" t="str">
        <v>Ani004Pu</v>
      </c>
      <c r="C51" s="45" t="str">
        <v>anita.gupta@company.com</v>
      </c>
      <c r="D51" s="46" t="str">
        <f t="shared" si="0"/>
        <v>Valid</v>
      </c>
    </row>
    <row r="52" spans="1:4" x14ac:dyDescent="0.35">
      <c r="A52" s="42" t="str">
        <v>Pooja Shah</v>
      </c>
      <c r="B52" s="43" t="str">
        <v>POo010Be</v>
      </c>
      <c r="C52" s="45" t="str">
        <v>pooja.shah@company.com</v>
      </c>
      <c r="D52" s="46" t="str">
        <f t="shared" si="0"/>
        <v>Valid</v>
      </c>
    </row>
    <row r="53" spans="1:4" x14ac:dyDescent="0.35">
      <c r="A53" s="42" t="str">
        <v>Priya Patel</v>
      </c>
      <c r="B53" s="43" t="str">
        <v>Pri002Ja</v>
      </c>
      <c r="C53" s="45" t="str">
        <v>priya.patel@company.com</v>
      </c>
      <c r="D53" s="46" t="str">
        <f t="shared" si="0"/>
        <v>Valid</v>
      </c>
    </row>
    <row r="54" spans="1:4" x14ac:dyDescent="0.35">
      <c r="A54" s="42" t="str">
        <v>Vikas Mehta</v>
      </c>
      <c r="B54" s="43" t="str">
        <v>Vik005Ko</v>
      </c>
      <c r="C54" s="45" t="str">
        <v>vikas.mehta@company.com</v>
      </c>
      <c r="D54" s="46" t="str">
        <f t="shared" si="0"/>
        <v>Valid</v>
      </c>
    </row>
    <row r="55" spans="1:4" x14ac:dyDescent="0.35">
      <c r="A55" s="42" t="str">
        <v>Kavya Nair</v>
      </c>
      <c r="B55" s="43" t="str">
        <v>Kav008Ja</v>
      </c>
      <c r="C55" s="45" t="str">
        <v>kavya.nair@company.com</v>
      </c>
      <c r="D55" s="46" t="str">
        <f t="shared" si="0"/>
        <v>Valid</v>
      </c>
    </row>
    <row r="56" spans="1:4" x14ac:dyDescent="0.35">
      <c r="A56" s="42" t="str">
        <v>Rohit Singh</v>
      </c>
      <c r="B56" s="43" t="str">
        <v>RoH003Ah</v>
      </c>
      <c r="C56" s="45" t="str">
        <v>rohit.singh@company.com</v>
      </c>
      <c r="D56" s="46" t="str">
        <f t="shared" si="0"/>
        <v>Valid</v>
      </c>
    </row>
    <row r="57" spans="1:4" x14ac:dyDescent="0.35">
      <c r="A57" s="42" t="str">
        <v>Amit Sharma</v>
      </c>
      <c r="B57" s="43" t="str">
        <v>Ami001Ja</v>
      </c>
      <c r="C57" s="45" t="str">
        <v>amit.sharma@company.com</v>
      </c>
      <c r="D57" s="46" t="str">
        <f t="shared" si="0"/>
        <v>Valid</v>
      </c>
    </row>
    <row r="58" spans="1:4" x14ac:dyDescent="0.35">
      <c r="A58" s="42" t="str">
        <v>Amit Sharma</v>
      </c>
      <c r="B58" s="43" t="str">
        <v>Ami001Be</v>
      </c>
      <c r="C58" s="45" t="str">
        <v>amit.sharmcompany.com</v>
      </c>
      <c r="D58" s="46" t="str">
        <f t="shared" si="0"/>
        <v>Invalid Email</v>
      </c>
    </row>
    <row r="59" spans="1:4" x14ac:dyDescent="0.35">
      <c r="A59" s="42" t="str">
        <v>Rohit Singh</v>
      </c>
      <c r="B59" s="43" t="str">
        <v>Roh003De</v>
      </c>
      <c r="C59" s="45" t="str">
        <v>rohit.singh@company.com</v>
      </c>
      <c r="D59" s="46" t="str">
        <f t="shared" si="0"/>
        <v>Valid</v>
      </c>
    </row>
    <row r="60" spans="1:4" x14ac:dyDescent="0.35">
      <c r="A60" s="42" t="str">
        <v>Arjun Rao</v>
      </c>
      <c r="B60" s="43" t="str">
        <v>Arj007Ja</v>
      </c>
      <c r="C60" s="45" t="str">
        <v>arjun.rao@company.com</v>
      </c>
      <c r="D60" s="46" t="str">
        <f t="shared" si="0"/>
        <v>Valid</v>
      </c>
    </row>
    <row r="61" spans="1:4" x14ac:dyDescent="0.35">
      <c r="A61" s="42" t="str">
        <v>Vikas Mehta</v>
      </c>
      <c r="B61" s="43" t="str">
        <v>Vik005Ja</v>
      </c>
      <c r="C61" s="45" t="str">
        <v>vikas.mehta@company.com</v>
      </c>
      <c r="D61" s="46" t="str">
        <f t="shared" si="0"/>
        <v>Valid</v>
      </c>
    </row>
    <row r="62" spans="1:4" x14ac:dyDescent="0.35">
      <c r="A62" s="42" t="str">
        <v>Kavya Nair</v>
      </c>
      <c r="B62" s="43" t="str">
        <v>Kav008De</v>
      </c>
      <c r="C62" s="45" t="str">
        <v>kavya.nair@company.com</v>
      </c>
      <c r="D62" s="46" t="str">
        <f t="shared" si="0"/>
        <v>Valid</v>
      </c>
    </row>
    <row r="63" spans="1:4" x14ac:dyDescent="0.35">
      <c r="A63" s="42" t="str">
        <v>Priya Patel</v>
      </c>
      <c r="B63" s="43" t="str">
        <v>Pri002Pu</v>
      </c>
      <c r="C63" s="45" t="str">
        <v>priya.patel@company.com</v>
      </c>
      <c r="D63" s="46" t="str">
        <f t="shared" si="0"/>
        <v>Valid</v>
      </c>
    </row>
    <row r="64" spans="1:4" x14ac:dyDescent="0.35">
      <c r="A64" s="42" t="str">
        <v>Pooja Shah</v>
      </c>
      <c r="B64" s="43" t="str">
        <v>Poo010Mu</v>
      </c>
      <c r="C64" s="45" t="str">
        <v>pooja.shah@company.com</v>
      </c>
      <c r="D64" s="46" t="str">
        <f t="shared" si="0"/>
        <v>Valid</v>
      </c>
    </row>
    <row r="65" spans="1:4" x14ac:dyDescent="0.35">
      <c r="A65" s="42" t="str">
        <v>Sneha Joshi</v>
      </c>
      <c r="B65" s="43" t="str">
        <v>Sne006Ah</v>
      </c>
      <c r="C65" s="45" t="str">
        <v>sneha.joshi@company.com</v>
      </c>
      <c r="D65" s="46" t="str">
        <f t="shared" si="0"/>
        <v>Valid</v>
      </c>
    </row>
    <row r="66" spans="1:4" x14ac:dyDescent="0.35">
      <c r="A66" s="42" t="str">
        <v>Pooja Shah</v>
      </c>
      <c r="B66" s="43" t="str">
        <v>Poo010Ko</v>
      </c>
      <c r="C66" s="45" t="str">
        <v>pooja.shah@company.com</v>
      </c>
      <c r="D66" s="46" t="str">
        <f t="shared" si="0"/>
        <v>Valid</v>
      </c>
    </row>
    <row r="67" spans="1:4" x14ac:dyDescent="0.35">
      <c r="A67" s="42" t="str">
        <v>Priya Patel</v>
      </c>
      <c r="B67" s="43" t="str">
        <v>Pri002Ko</v>
      </c>
      <c r="C67" s="45" t="str">
        <v>priya.patel@company.com</v>
      </c>
      <c r="D67" s="46" t="str">
        <f t="shared" ref="D67:D130" si="1">IF(ISNUMBER(SEARCH("@", C67)), "Valid", "Invalid Email")</f>
        <v>Valid</v>
      </c>
    </row>
    <row r="68" spans="1:4" x14ac:dyDescent="0.35">
      <c r="A68" s="42" t="str">
        <v>Kavya Nair</v>
      </c>
      <c r="B68" s="43" t="str">
        <v>Kav008De</v>
      </c>
      <c r="C68" s="45" t="str">
        <v>kavya.nair@company.com</v>
      </c>
      <c r="D68" s="46" t="str">
        <f t="shared" si="1"/>
        <v>Valid</v>
      </c>
    </row>
    <row r="69" spans="1:4" x14ac:dyDescent="0.35">
      <c r="A69" s="42" t="str">
        <v>Sneha Joshi</v>
      </c>
      <c r="B69" s="43" t="str">
        <v>Sne006Hy</v>
      </c>
      <c r="C69" s="45" t="str">
        <v>sneha.joshi@company.com</v>
      </c>
      <c r="D69" s="46" t="str">
        <f t="shared" si="1"/>
        <v>Valid</v>
      </c>
    </row>
    <row r="70" spans="1:4" x14ac:dyDescent="0.35">
      <c r="A70" s="42" t="str">
        <v>Pooja Shah</v>
      </c>
      <c r="B70" s="43" t="str">
        <v>Poo010Ja</v>
      </c>
      <c r="C70" s="45" t="str">
        <v>pooja.shah@company.com</v>
      </c>
      <c r="D70" s="46" t="str">
        <f t="shared" si="1"/>
        <v>Valid</v>
      </c>
    </row>
    <row r="71" spans="1:4" x14ac:dyDescent="0.35">
      <c r="A71" s="42" t="str">
        <v>Kavya Nair</v>
      </c>
      <c r="B71" s="43" t="str">
        <v>Kav008Be</v>
      </c>
      <c r="C71" s="45" t="str">
        <v>kavya.nair@company.com</v>
      </c>
      <c r="D71" s="46" t="str">
        <f t="shared" si="1"/>
        <v>Valid</v>
      </c>
    </row>
    <row r="72" spans="1:4" x14ac:dyDescent="0.35">
      <c r="A72" s="42" t="str">
        <v>Anita Gupta</v>
      </c>
      <c r="B72" s="43" t="str">
        <v>Ani004Mu</v>
      </c>
      <c r="C72" s="45" t="str">
        <v>anita.gupta@company.com</v>
      </c>
      <c r="D72" s="46" t="str">
        <f t="shared" si="1"/>
        <v>Valid</v>
      </c>
    </row>
    <row r="73" spans="1:4" x14ac:dyDescent="0.35">
      <c r="A73" s="42" t="str">
        <v>Rohit Singh</v>
      </c>
      <c r="B73" s="43" t="str">
        <v>Roh003Be</v>
      </c>
      <c r="C73" s="45" t="str">
        <v>rohit.singh@company.com</v>
      </c>
      <c r="D73" s="46" t="str">
        <f t="shared" si="1"/>
        <v>Valid</v>
      </c>
    </row>
    <row r="74" spans="1:4" x14ac:dyDescent="0.35">
      <c r="A74" s="42" t="str">
        <v>Kavya Nair</v>
      </c>
      <c r="B74" s="43" t="str">
        <v>Kav008Ja</v>
      </c>
      <c r="C74" s="45" t="str">
        <v>kavya.nair@company.com</v>
      </c>
      <c r="D74" s="46" t="str">
        <f t="shared" si="1"/>
        <v>Valid</v>
      </c>
    </row>
    <row r="75" spans="1:4" x14ac:dyDescent="0.35">
      <c r="A75" s="42" t="str">
        <v>Pooja Shah</v>
      </c>
      <c r="B75" s="43" t="str">
        <v>Poo010</v>
      </c>
      <c r="C75" s="45" t="str">
        <v>pooja.shah@company.com</v>
      </c>
      <c r="D75" s="46" t="str">
        <f t="shared" si="1"/>
        <v>Valid</v>
      </c>
    </row>
    <row r="76" spans="1:4" x14ac:dyDescent="0.35">
      <c r="A76" s="42" t="str">
        <v>Rohit Singh</v>
      </c>
      <c r="B76" s="43" t="str">
        <v>Roh003Pu</v>
      </c>
      <c r="C76" s="45" t="str">
        <v>rohit.singh@company.com</v>
      </c>
      <c r="D76" s="46" t="str">
        <f t="shared" si="1"/>
        <v>Valid</v>
      </c>
    </row>
    <row r="77" spans="1:4" x14ac:dyDescent="0.35">
      <c r="A77" s="42" t="str">
        <v>Kavya Nair</v>
      </c>
      <c r="B77" s="43" t="str">
        <v>Kav008Be</v>
      </c>
      <c r="C77" s="45" t="str">
        <v>kavya.nair@company.com</v>
      </c>
      <c r="D77" s="46" t="str">
        <f t="shared" si="1"/>
        <v>Valid</v>
      </c>
    </row>
    <row r="78" spans="1:4" x14ac:dyDescent="0.35">
      <c r="A78" s="42" t="str">
        <v>Arjun Rao</v>
      </c>
      <c r="B78" s="43" t="str">
        <v>Arj007De</v>
      </c>
      <c r="C78" s="45" t="str">
        <v>arjun.rao@company.com</v>
      </c>
      <c r="D78" s="46" t="str">
        <f t="shared" si="1"/>
        <v>Valid</v>
      </c>
    </row>
    <row r="79" spans="1:4" x14ac:dyDescent="0.35">
      <c r="A79" s="42" t="str">
        <v>Vikas Mehta</v>
      </c>
      <c r="B79" s="43" t="str">
        <v>Vik005Be</v>
      </c>
      <c r="C79" s="45" t="str">
        <v>vikas.mehta@company.com</v>
      </c>
      <c r="D79" s="46" t="str">
        <f t="shared" si="1"/>
        <v>Valid</v>
      </c>
    </row>
    <row r="80" spans="1:4" x14ac:dyDescent="0.35">
      <c r="A80" s="42" t="str">
        <v>Mohit Verma</v>
      </c>
      <c r="B80" s="43" t="str">
        <v>Moh009Mu</v>
      </c>
      <c r="C80" s="45" t="str">
        <v>mohit.verma@company.com</v>
      </c>
      <c r="D80" s="46" t="str">
        <f t="shared" si="1"/>
        <v>Valid</v>
      </c>
    </row>
    <row r="81" spans="1:4" x14ac:dyDescent="0.35">
      <c r="A81" s="42" t="str">
        <v>Rohit Singh</v>
      </c>
      <c r="B81" s="43" t="str">
        <v>Roh003Pu</v>
      </c>
      <c r="C81" s="45" t="str">
        <v>rohit.singh@company.com</v>
      </c>
      <c r="D81" s="46" t="str">
        <f t="shared" si="1"/>
        <v>Valid</v>
      </c>
    </row>
    <row r="82" spans="1:4" x14ac:dyDescent="0.35">
      <c r="A82" s="42" t="str">
        <v>Amit Sharma</v>
      </c>
      <c r="B82" s="43" t="str">
        <v>Ami001Pu</v>
      </c>
      <c r="C82" s="45" t="str">
        <v>amit.sharma@company.com</v>
      </c>
      <c r="D82" s="46" t="str">
        <f t="shared" si="1"/>
        <v>Valid</v>
      </c>
    </row>
    <row r="83" spans="1:4" x14ac:dyDescent="0.35">
      <c r="A83" s="42" t="str">
        <v>Vikas Mehta</v>
      </c>
      <c r="B83" s="43" t="str">
        <v>Vik005Ko</v>
      </c>
      <c r="C83" s="45" t="str">
        <v>vikas.mehta@company.com</v>
      </c>
      <c r="D83" s="46" t="str">
        <f t="shared" si="1"/>
        <v>Valid</v>
      </c>
    </row>
    <row r="84" spans="1:4" x14ac:dyDescent="0.35">
      <c r="A84" s="42" t="str">
        <v>Rohit Singh</v>
      </c>
      <c r="B84" s="43" t="str">
        <v>Roh003Mu</v>
      </c>
      <c r="C84" s="45" t="str">
        <v>rohit.singh@company.com</v>
      </c>
      <c r="D84" s="46" t="str">
        <f t="shared" si="1"/>
        <v>Valid</v>
      </c>
    </row>
    <row r="85" spans="1:4" x14ac:dyDescent="0.35">
      <c r="A85" s="42" t="str">
        <v>Rohit Singh</v>
      </c>
      <c r="B85" s="43" t="str">
        <v>Roh003Hy</v>
      </c>
      <c r="C85" s="45" t="str">
        <v>rohit.singh@company.com</v>
      </c>
      <c r="D85" s="46" t="str">
        <f t="shared" si="1"/>
        <v>Valid</v>
      </c>
    </row>
    <row r="86" spans="1:4" x14ac:dyDescent="0.35">
      <c r="A86" s="42" t="str">
        <v>Kavya Nair</v>
      </c>
      <c r="B86" s="43" t="str">
        <v>Kav008Mu</v>
      </c>
      <c r="C86" s="45" t="str">
        <v>kavya.nair@company.com</v>
      </c>
      <c r="D86" s="46" t="str">
        <f t="shared" si="1"/>
        <v>Valid</v>
      </c>
    </row>
    <row r="87" spans="1:4" x14ac:dyDescent="0.35">
      <c r="A87" s="42" t="str">
        <v>Arjun Rao</v>
      </c>
      <c r="B87" s="43" t="str">
        <v>Arj007Ah</v>
      </c>
      <c r="C87" s="45" t="str">
        <v>arjun.rao@company.com</v>
      </c>
      <c r="D87" s="46" t="str">
        <f t="shared" si="1"/>
        <v>Valid</v>
      </c>
    </row>
    <row r="88" spans="1:4" x14ac:dyDescent="0.35">
      <c r="A88" s="42" t="str">
        <v>Sneha Joshi</v>
      </c>
      <c r="B88" s="43" t="str">
        <v>Sne006Pu</v>
      </c>
      <c r="C88" s="45" t="str">
        <v>sneha.joshi@company.com</v>
      </c>
      <c r="D88" s="46" t="str">
        <f t="shared" si="1"/>
        <v>Valid</v>
      </c>
    </row>
    <row r="89" spans="1:4" x14ac:dyDescent="0.35">
      <c r="A89" s="42" t="str">
        <v>Priya Patel</v>
      </c>
      <c r="B89" s="43" t="str">
        <v>Pri002Ah</v>
      </c>
      <c r="C89" s="45" t="str">
        <v>priya.patel@company.com</v>
      </c>
      <c r="D89" s="46" t="str">
        <f t="shared" si="1"/>
        <v>Valid</v>
      </c>
    </row>
    <row r="90" spans="1:4" x14ac:dyDescent="0.35">
      <c r="A90" s="42" t="str">
        <v>Amit Sharma</v>
      </c>
      <c r="B90" s="43" t="str">
        <v>Ami001Ah</v>
      </c>
      <c r="C90" s="45" t="str">
        <v>amit.sharma@company.com</v>
      </c>
      <c r="D90" s="46" t="str">
        <f t="shared" si="1"/>
        <v>Valid</v>
      </c>
    </row>
    <row r="91" spans="1:4" x14ac:dyDescent="0.35">
      <c r="A91" s="42" t="str">
        <v>Kavya Nair</v>
      </c>
      <c r="B91" s="43" t="str">
        <v>Kav008Pu</v>
      </c>
      <c r="C91" s="45" t="str">
        <v>kavya.nair@company.com</v>
      </c>
      <c r="D91" s="46" t="str">
        <f t="shared" si="1"/>
        <v>Valid</v>
      </c>
    </row>
    <row r="92" spans="1:4" x14ac:dyDescent="0.35">
      <c r="A92" s="42" t="str">
        <v>Pooja Shah</v>
      </c>
      <c r="B92" s="43" t="str">
        <v>Poo010Ja</v>
      </c>
      <c r="C92" s="45" t="str">
        <v>pooja.shah@company.com</v>
      </c>
      <c r="D92" s="46" t="str">
        <f t="shared" si="1"/>
        <v>Valid</v>
      </c>
    </row>
    <row r="93" spans="1:4" x14ac:dyDescent="0.35">
      <c r="A93" s="42" t="str">
        <v>Pooja Shah</v>
      </c>
      <c r="B93" s="43" t="str">
        <v>Poo010Hy</v>
      </c>
      <c r="C93" s="45" t="str">
        <v>pooja.shah@company.com</v>
      </c>
      <c r="D93" s="46" t="str">
        <f t="shared" si="1"/>
        <v>Valid</v>
      </c>
    </row>
    <row r="94" spans="1:4" x14ac:dyDescent="0.35">
      <c r="A94" s="42" t="str">
        <v>Kavya Nair</v>
      </c>
      <c r="B94" s="43" t="str">
        <v>Kav008Be</v>
      </c>
      <c r="C94" s="45" t="str">
        <v>kavya.nair@company.com</v>
      </c>
      <c r="D94" s="46" t="str">
        <f t="shared" si="1"/>
        <v>Valid</v>
      </c>
    </row>
    <row r="95" spans="1:4" x14ac:dyDescent="0.35">
      <c r="A95" s="42" t="str">
        <v>Anita Gupta</v>
      </c>
      <c r="B95" s="43" t="str">
        <v>Ani004De</v>
      </c>
      <c r="C95" s="45" t="str">
        <v>anita.gupta@company.com</v>
      </c>
      <c r="D95" s="46" t="str">
        <f t="shared" si="1"/>
        <v>Valid</v>
      </c>
    </row>
    <row r="96" spans="1:4" x14ac:dyDescent="0.35">
      <c r="A96" s="42" t="str">
        <v>Amit Sharma</v>
      </c>
      <c r="B96" s="43" t="str">
        <v>Ami001De</v>
      </c>
      <c r="C96" s="45" t="str">
        <v>amit.sharma@company.com</v>
      </c>
      <c r="D96" s="46" t="str">
        <f t="shared" si="1"/>
        <v>Valid</v>
      </c>
    </row>
    <row r="97" spans="1:4" x14ac:dyDescent="0.35">
      <c r="A97" s="42" t="str">
        <v>Priya Patel</v>
      </c>
      <c r="B97" s="43" t="str">
        <v>Pri002Ko</v>
      </c>
      <c r="C97" s="45" t="str">
        <v>priya.patel@company.com</v>
      </c>
      <c r="D97" s="46" t="str">
        <f t="shared" si="1"/>
        <v>Valid</v>
      </c>
    </row>
    <row r="98" spans="1:4" x14ac:dyDescent="0.35">
      <c r="A98" s="42" t="str">
        <v>Sneha Joshi</v>
      </c>
      <c r="B98" s="43" t="str">
        <v>Sne006Ah</v>
      </c>
      <c r="C98" s="45" t="str">
        <v>sneha.joshi@company.com</v>
      </c>
      <c r="D98" s="46" t="str">
        <f t="shared" si="1"/>
        <v>Valid</v>
      </c>
    </row>
    <row r="99" spans="1:4" x14ac:dyDescent="0.35">
      <c r="A99" s="42" t="str">
        <v>Amit Sharma</v>
      </c>
      <c r="B99" s="43" t="str">
        <v>Ami001Pu</v>
      </c>
      <c r="C99" s="45" t="str">
        <v>amit.sharma@company.com</v>
      </c>
      <c r="D99" s="46" t="str">
        <f t="shared" si="1"/>
        <v>Valid</v>
      </c>
    </row>
    <row r="100" spans="1:4" x14ac:dyDescent="0.35">
      <c r="A100" s="42" t="str">
        <v>Anita Gupta</v>
      </c>
      <c r="B100" s="43" t="str">
        <v>Ani004De</v>
      </c>
      <c r="C100" s="45" t="str">
        <v>anita.gupta@company.com</v>
      </c>
      <c r="D100" s="46" t="str">
        <f t="shared" si="1"/>
        <v>Valid</v>
      </c>
    </row>
    <row r="101" spans="1:4" x14ac:dyDescent="0.35">
      <c r="A101" s="42" t="str">
        <v>Arjun Rao</v>
      </c>
      <c r="B101" s="43" t="str">
        <v>Arj007Be</v>
      </c>
      <c r="C101" s="45" t="str">
        <v>arjun.rao@company.com</v>
      </c>
      <c r="D101" s="46" t="str">
        <f t="shared" si="1"/>
        <v>Valid</v>
      </c>
    </row>
    <row r="102" spans="1:4" x14ac:dyDescent="0.35">
      <c r="A102" s="42" t="str">
        <v>Rohit Singh</v>
      </c>
      <c r="B102" s="43" t="str">
        <v>Roh003Ko</v>
      </c>
      <c r="C102" s="45" t="str">
        <v>rohit.singh@company.com</v>
      </c>
      <c r="D102" s="46" t="str">
        <f t="shared" si="1"/>
        <v>Valid</v>
      </c>
    </row>
    <row r="103" spans="1:4" x14ac:dyDescent="0.35">
      <c r="A103" s="42" t="str">
        <v>Amit Sharma</v>
      </c>
      <c r="B103" s="43" t="str">
        <v>Ami001Ah</v>
      </c>
      <c r="C103" s="45" t="str">
        <v>amit.sharma@company.com</v>
      </c>
      <c r="D103" s="46" t="str">
        <f t="shared" si="1"/>
        <v>Valid</v>
      </c>
    </row>
    <row r="104" spans="1:4" x14ac:dyDescent="0.35">
      <c r="A104" s="42" t="str">
        <v>Amit Sharma</v>
      </c>
      <c r="B104" s="43" t="str">
        <v>Ami001Pu</v>
      </c>
      <c r="C104" s="45" t="str">
        <v>amit.sharma@company.com</v>
      </c>
      <c r="D104" s="46" t="str">
        <f t="shared" si="1"/>
        <v>Valid</v>
      </c>
    </row>
    <row r="105" spans="1:4" x14ac:dyDescent="0.35">
      <c r="A105" s="42" t="str">
        <v>Sneha Joshi</v>
      </c>
      <c r="B105" s="43" t="str">
        <v>Sne006Be</v>
      </c>
      <c r="C105" s="45" t="str">
        <v>sneha.joshi@company.com</v>
      </c>
      <c r="D105" s="46" t="str">
        <f t="shared" si="1"/>
        <v>Valid</v>
      </c>
    </row>
    <row r="106" spans="1:4" x14ac:dyDescent="0.35">
      <c r="A106" s="42" t="str">
        <v>Arjun Rao</v>
      </c>
      <c r="B106" s="43" t="str">
        <v>Arj007Mu</v>
      </c>
      <c r="C106" s="45" t="str">
        <v>arjun.rao@company.com</v>
      </c>
      <c r="D106" s="46" t="str">
        <f t="shared" si="1"/>
        <v>Valid</v>
      </c>
    </row>
    <row r="107" spans="1:4" x14ac:dyDescent="0.35">
      <c r="A107" s="42" t="str">
        <v>Pooja Shah</v>
      </c>
      <c r="B107" s="43" t="str">
        <v>Poo010De</v>
      </c>
      <c r="C107" s="45" t="str">
        <v>pooja.shah@company.com</v>
      </c>
      <c r="D107" s="46" t="str">
        <f t="shared" si="1"/>
        <v>Valid</v>
      </c>
    </row>
    <row r="108" spans="1:4" x14ac:dyDescent="0.35">
      <c r="A108" s="42" t="str">
        <v>Priya Patel</v>
      </c>
      <c r="B108" s="43" t="str">
        <v>Pri002De</v>
      </c>
      <c r="C108" s="45" t="str">
        <v>priya.patel@company.com</v>
      </c>
      <c r="D108" s="46" t="str">
        <f t="shared" si="1"/>
        <v>Valid</v>
      </c>
    </row>
    <row r="109" spans="1:4" x14ac:dyDescent="0.35">
      <c r="A109" s="42" t="str">
        <v>Vikas Mehta</v>
      </c>
      <c r="B109" s="43" t="str">
        <v>Vik005Mu</v>
      </c>
      <c r="C109" s="45" t="str">
        <v>vikas.mehta@company.com</v>
      </c>
      <c r="D109" s="46" t="str">
        <f t="shared" si="1"/>
        <v>Valid</v>
      </c>
    </row>
    <row r="110" spans="1:4" x14ac:dyDescent="0.35">
      <c r="A110" s="42" t="str">
        <v>Arjun Rao</v>
      </c>
      <c r="B110" s="43" t="str">
        <v>Arj007Ja</v>
      </c>
      <c r="C110" s="45" t="str">
        <v>arjun.rao@company.com</v>
      </c>
      <c r="D110" s="46" t="str">
        <f t="shared" si="1"/>
        <v>Valid</v>
      </c>
    </row>
    <row r="111" spans="1:4" x14ac:dyDescent="0.35">
      <c r="A111" s="42" t="str">
        <v>Vikas Mehta</v>
      </c>
      <c r="B111" s="43" t="str">
        <v>Vik005Be</v>
      </c>
      <c r="C111" s="45" t="str">
        <v>vikas.mehta@company.com</v>
      </c>
      <c r="D111" s="46" t="str">
        <f t="shared" si="1"/>
        <v>Valid</v>
      </c>
    </row>
    <row r="112" spans="1:4" x14ac:dyDescent="0.35">
      <c r="A112" s="42" t="str">
        <v>Rohit Singh</v>
      </c>
      <c r="B112" s="43" t="str">
        <v>Roh003Hy</v>
      </c>
      <c r="C112" s="45" t="str">
        <v>rohit.singh@company.com</v>
      </c>
      <c r="D112" s="46" t="str">
        <f t="shared" si="1"/>
        <v>Valid</v>
      </c>
    </row>
    <row r="113" spans="1:4" x14ac:dyDescent="0.35">
      <c r="A113" s="42" t="str">
        <v>Rohit Singh</v>
      </c>
      <c r="B113" s="43" t="str">
        <v>Roh003Ko</v>
      </c>
      <c r="C113" s="45" t="str">
        <v>rohit.singh@company.com</v>
      </c>
      <c r="D113" s="46" t="str">
        <f t="shared" si="1"/>
        <v>Valid</v>
      </c>
    </row>
    <row r="114" spans="1:4" x14ac:dyDescent="0.35">
      <c r="A114" s="42" t="str">
        <v>Pooja Shah</v>
      </c>
      <c r="B114" s="43" t="str">
        <v>Poo010Hy</v>
      </c>
      <c r="C114" s="45" t="str">
        <v>pooja.shah@company.com</v>
      </c>
      <c r="D114" s="46" t="str">
        <f t="shared" si="1"/>
        <v>Valid</v>
      </c>
    </row>
    <row r="115" spans="1:4" x14ac:dyDescent="0.35">
      <c r="A115" s="42" t="str">
        <v>Vikas Mehta</v>
      </c>
      <c r="B115" s="43" t="str">
        <v>Vik005Pu</v>
      </c>
      <c r="C115" s="45" t="str">
        <v>vikas.mehta@company.com</v>
      </c>
      <c r="D115" s="46" t="str">
        <f t="shared" si="1"/>
        <v>Valid</v>
      </c>
    </row>
    <row r="116" spans="1:4" x14ac:dyDescent="0.35">
      <c r="A116" s="42" t="str">
        <v>Pooja Shah</v>
      </c>
      <c r="B116" s="43" t="str">
        <v>Poo010Ko</v>
      </c>
      <c r="C116" s="45" t="str">
        <v>pooja.shah@company.com</v>
      </c>
      <c r="D116" s="46" t="str">
        <f t="shared" si="1"/>
        <v>Valid</v>
      </c>
    </row>
    <row r="117" spans="1:4" x14ac:dyDescent="0.35">
      <c r="A117" s="42" t="str">
        <v>Anita Gupta</v>
      </c>
      <c r="B117" s="43" t="str">
        <v>Ani004De</v>
      </c>
      <c r="C117" s="45" t="str">
        <v>anita.gupta@company.com</v>
      </c>
      <c r="D117" s="46" t="str">
        <f t="shared" si="1"/>
        <v>Valid</v>
      </c>
    </row>
    <row r="118" spans="1:4" x14ac:dyDescent="0.35">
      <c r="A118" s="42" t="str">
        <v>Priya Patel</v>
      </c>
      <c r="B118" s="43" t="str">
        <v>Pri002Be</v>
      </c>
      <c r="C118" s="45" t="str">
        <v>priya.patel@company.com</v>
      </c>
      <c r="D118" s="46" t="str">
        <f t="shared" si="1"/>
        <v>Valid</v>
      </c>
    </row>
    <row r="119" spans="1:4" x14ac:dyDescent="0.35">
      <c r="A119" s="42" t="str">
        <v>Amit Sharma</v>
      </c>
      <c r="B119" s="43" t="str">
        <v>Ami001Pu</v>
      </c>
      <c r="C119" s="45" t="str">
        <v>amit.sharma@company.com</v>
      </c>
      <c r="D119" s="46" t="str">
        <f t="shared" si="1"/>
        <v>Valid</v>
      </c>
    </row>
    <row r="120" spans="1:4" x14ac:dyDescent="0.35">
      <c r="A120" s="42" t="str">
        <v>Mohit Verma</v>
      </c>
      <c r="B120" s="43" t="str">
        <v>Moh009Ah</v>
      </c>
      <c r="C120" s="45" t="str">
        <v>mohit.verma@company.com</v>
      </c>
      <c r="D120" s="46" t="str">
        <f t="shared" si="1"/>
        <v>Valid</v>
      </c>
    </row>
    <row r="121" spans="1:4" x14ac:dyDescent="0.35">
      <c r="A121" s="42" t="str">
        <v>Priya Patel</v>
      </c>
      <c r="B121" s="43" t="str">
        <v>Pri002Ja</v>
      </c>
      <c r="C121" s="45" t="str">
        <v>priya.patel@company.com</v>
      </c>
      <c r="D121" s="46" t="str">
        <f t="shared" si="1"/>
        <v>Valid</v>
      </c>
    </row>
    <row r="122" spans="1:4" x14ac:dyDescent="0.35">
      <c r="A122" s="42" t="str">
        <v>Rohit Singh</v>
      </c>
      <c r="B122" s="43" t="str">
        <v>Roh003Pu</v>
      </c>
      <c r="C122" s="45" t="str">
        <v>rohit.singh@company.com</v>
      </c>
      <c r="D122" s="46" t="str">
        <f t="shared" si="1"/>
        <v>Valid</v>
      </c>
    </row>
    <row r="123" spans="1:4" x14ac:dyDescent="0.35">
      <c r="A123" s="42" t="str">
        <v>Arjun Rao</v>
      </c>
      <c r="B123" s="43" t="str">
        <v>Arj007Be</v>
      </c>
      <c r="C123" s="45" t="str">
        <v>arjun.rao@company.com</v>
      </c>
      <c r="D123" s="46" t="str">
        <f t="shared" si="1"/>
        <v>Valid</v>
      </c>
    </row>
    <row r="124" spans="1:4" x14ac:dyDescent="0.35">
      <c r="A124" s="42" t="str">
        <v>Amit Sharma</v>
      </c>
      <c r="B124" s="43" t="str">
        <v>Ami001Ja</v>
      </c>
      <c r="C124" s="45" t="str">
        <v>amit.sharma@company.com</v>
      </c>
      <c r="D124" s="46" t="str">
        <f t="shared" si="1"/>
        <v>Valid</v>
      </c>
    </row>
    <row r="125" spans="1:4" x14ac:dyDescent="0.35">
      <c r="A125" s="42" t="str">
        <v>Anita Gupta</v>
      </c>
      <c r="B125" s="43" t="str">
        <v>Ani004Mu</v>
      </c>
      <c r="C125" s="45" t="str">
        <v>anita.gupta@company.com</v>
      </c>
      <c r="D125" s="46" t="str">
        <f t="shared" si="1"/>
        <v>Valid</v>
      </c>
    </row>
    <row r="126" spans="1:4" x14ac:dyDescent="0.35">
      <c r="A126" s="42" t="str">
        <v>Priya Patel</v>
      </c>
      <c r="B126" s="43" t="str">
        <v>Pri002De</v>
      </c>
      <c r="C126" s="45" t="str">
        <v>priya.patel@company.com</v>
      </c>
      <c r="D126" s="46" t="str">
        <f t="shared" si="1"/>
        <v>Valid</v>
      </c>
    </row>
    <row r="127" spans="1:4" x14ac:dyDescent="0.35">
      <c r="A127" s="42" t="str">
        <v>Anita Gupta</v>
      </c>
      <c r="B127" s="43" t="str">
        <v>Ani004Be</v>
      </c>
      <c r="C127" s="45" t="str">
        <v>anita.gupta@company.com</v>
      </c>
      <c r="D127" s="46" t="str">
        <f t="shared" si="1"/>
        <v>Valid</v>
      </c>
    </row>
    <row r="128" spans="1:4" x14ac:dyDescent="0.35">
      <c r="A128" s="42" t="str">
        <v>Rohit Singh</v>
      </c>
      <c r="B128" s="43" t="str">
        <v>Roh003Be</v>
      </c>
      <c r="C128" s="45" t="str">
        <v>rohit.singh@company.com</v>
      </c>
      <c r="D128" s="46" t="str">
        <f t="shared" si="1"/>
        <v>Valid</v>
      </c>
    </row>
    <row r="129" spans="1:4" x14ac:dyDescent="0.35">
      <c r="A129" s="42" t="str">
        <v>Sneha Joshi</v>
      </c>
      <c r="B129" s="43" t="str">
        <v>Sne006Ja</v>
      </c>
      <c r="C129" s="45" t="str">
        <v>sneha.joshi@company.com</v>
      </c>
      <c r="D129" s="46" t="str">
        <f t="shared" si="1"/>
        <v>Valid</v>
      </c>
    </row>
    <row r="130" spans="1:4" x14ac:dyDescent="0.35">
      <c r="A130" s="42" t="str">
        <v>Priya Patel</v>
      </c>
      <c r="B130" s="43" t="str">
        <v>Pri002Be</v>
      </c>
      <c r="C130" s="45" t="str">
        <v>priya.patel@company.com</v>
      </c>
      <c r="D130" s="46" t="str">
        <f t="shared" si="1"/>
        <v>Valid</v>
      </c>
    </row>
    <row r="131" spans="1:4" x14ac:dyDescent="0.35">
      <c r="A131" s="42" t="str">
        <v>Sneha Joshi</v>
      </c>
      <c r="B131" s="43" t="str">
        <v>Sne006Pu</v>
      </c>
      <c r="C131" s="45" t="str">
        <v>sneha.joshi@company.com</v>
      </c>
      <c r="D131" s="46" t="str">
        <f t="shared" ref="D131:D194" si="2">IF(ISNUMBER(SEARCH("@", C131)), "Valid", "Invalid Email")</f>
        <v>Valid</v>
      </c>
    </row>
    <row r="132" spans="1:4" x14ac:dyDescent="0.35">
      <c r="A132" s="42" t="str">
        <v>Anita Gupta</v>
      </c>
      <c r="B132" s="43" t="str">
        <v>Ani004Be</v>
      </c>
      <c r="C132" s="45" t="str">
        <v>anita.gupta@company.com</v>
      </c>
      <c r="D132" s="46" t="str">
        <f t="shared" si="2"/>
        <v>Valid</v>
      </c>
    </row>
    <row r="133" spans="1:4" x14ac:dyDescent="0.35">
      <c r="A133" s="42" t="str">
        <v>Priya Patel</v>
      </c>
      <c r="B133" s="43" t="str">
        <v>Pri002De</v>
      </c>
      <c r="C133" s="45" t="str">
        <v>priya.patel@company.com</v>
      </c>
      <c r="D133" s="46" t="str">
        <f t="shared" si="2"/>
        <v>Valid</v>
      </c>
    </row>
    <row r="134" spans="1:4" x14ac:dyDescent="0.35">
      <c r="A134" s="42" t="str">
        <v>Mohit Verma</v>
      </c>
      <c r="B134" s="43" t="str">
        <v>Moh009Pu</v>
      </c>
      <c r="C134" s="45" t="str">
        <v>mohit.verma@company.com</v>
      </c>
      <c r="D134" s="46" t="str">
        <f t="shared" si="2"/>
        <v>Valid</v>
      </c>
    </row>
    <row r="135" spans="1:4" x14ac:dyDescent="0.35">
      <c r="A135" s="42" t="str">
        <v>Mohit Verma</v>
      </c>
      <c r="B135" s="43" t="str">
        <v>Moh009Hy</v>
      </c>
      <c r="C135" s="45" t="str">
        <v>mohit.verma@company.com</v>
      </c>
      <c r="D135" s="46" t="str">
        <f t="shared" si="2"/>
        <v>Valid</v>
      </c>
    </row>
    <row r="136" spans="1:4" x14ac:dyDescent="0.35">
      <c r="A136" s="42" t="str">
        <v>Pooja Shah</v>
      </c>
      <c r="B136" s="43" t="str">
        <v>Poo010De</v>
      </c>
      <c r="C136" s="45" t="str">
        <v>pooja.shah@company.com</v>
      </c>
      <c r="D136" s="46" t="str">
        <f t="shared" si="2"/>
        <v>Valid</v>
      </c>
    </row>
    <row r="137" spans="1:4" x14ac:dyDescent="0.35">
      <c r="A137" s="42" t="str">
        <v>Mohit Verma</v>
      </c>
      <c r="B137" s="43" t="str">
        <v>Moh009Hy</v>
      </c>
      <c r="C137" s="45" t="str">
        <v>mohit.verma@company.com</v>
      </c>
      <c r="D137" s="46" t="str">
        <f t="shared" si="2"/>
        <v>Valid</v>
      </c>
    </row>
    <row r="138" spans="1:4" x14ac:dyDescent="0.35">
      <c r="A138" s="42" t="str">
        <v>Kavya Nair</v>
      </c>
      <c r="B138" s="43" t="str">
        <v>Kav008Be</v>
      </c>
      <c r="C138" s="45" t="str">
        <v>kavya.nair@company.com</v>
      </c>
      <c r="D138" s="46" t="str">
        <f t="shared" si="2"/>
        <v>Valid</v>
      </c>
    </row>
    <row r="139" spans="1:4" x14ac:dyDescent="0.35">
      <c r="A139" s="42" t="str">
        <v>Amit Sharma</v>
      </c>
      <c r="B139" s="43" t="str">
        <v>Ami001Ah</v>
      </c>
      <c r="C139" s="45" t="str">
        <v>amit.sharma@company.com</v>
      </c>
      <c r="D139" s="46" t="str">
        <f t="shared" si="2"/>
        <v>Valid</v>
      </c>
    </row>
    <row r="140" spans="1:4" x14ac:dyDescent="0.35">
      <c r="A140" s="42" t="str">
        <v>Vikas Mehta</v>
      </c>
      <c r="B140" s="43" t="str">
        <v>Vik005De</v>
      </c>
      <c r="C140" s="45" t="str">
        <v>vikas.mehta@company.com</v>
      </c>
      <c r="D140" s="46" t="str">
        <f t="shared" si="2"/>
        <v>Valid</v>
      </c>
    </row>
    <row r="141" spans="1:4" x14ac:dyDescent="0.35">
      <c r="A141" s="42" t="str">
        <v>Arjun Rao</v>
      </c>
      <c r="B141" s="43" t="str">
        <v>Arj007Ah</v>
      </c>
      <c r="C141" s="45" t="str">
        <v>arjun.rao@company.com</v>
      </c>
      <c r="D141" s="46" t="str">
        <f t="shared" si="2"/>
        <v>Valid</v>
      </c>
    </row>
    <row r="142" spans="1:4" x14ac:dyDescent="0.35">
      <c r="A142" s="42" t="str">
        <v>Pooja Shah</v>
      </c>
      <c r="B142" s="43" t="str">
        <v>Poo010Pu</v>
      </c>
      <c r="C142" s="45" t="str">
        <v>pooja.shah@company.com</v>
      </c>
      <c r="D142" s="46" t="str">
        <f t="shared" si="2"/>
        <v>Valid</v>
      </c>
    </row>
    <row r="143" spans="1:4" x14ac:dyDescent="0.35">
      <c r="A143" s="42" t="str">
        <v>Arjun Rao</v>
      </c>
      <c r="B143" s="43" t="str">
        <v>Arj007Pu</v>
      </c>
      <c r="C143" s="45" t="str">
        <v>arjun.rao@company.com</v>
      </c>
      <c r="D143" s="46" t="str">
        <f t="shared" si="2"/>
        <v>Valid</v>
      </c>
    </row>
    <row r="144" spans="1:4" x14ac:dyDescent="0.35">
      <c r="A144" s="42" t="str">
        <v>Arjun Rao</v>
      </c>
      <c r="B144" s="43" t="str">
        <v>Arj007Pu</v>
      </c>
      <c r="C144" s="45" t="str">
        <v>arjun.rao@company.com</v>
      </c>
      <c r="D144" s="46" t="str">
        <f t="shared" si="2"/>
        <v>Valid</v>
      </c>
    </row>
    <row r="145" spans="1:4" x14ac:dyDescent="0.35">
      <c r="A145" s="42" t="str">
        <v>Vikas Mehta</v>
      </c>
      <c r="B145" s="43" t="str">
        <v>Vik005Hy</v>
      </c>
      <c r="C145" s="45" t="str">
        <v>vikas.mehta@company.com</v>
      </c>
      <c r="D145" s="46" t="str">
        <f t="shared" si="2"/>
        <v>Valid</v>
      </c>
    </row>
    <row r="146" spans="1:4" x14ac:dyDescent="0.35">
      <c r="A146" s="42" t="str">
        <v>Pooja Shah</v>
      </c>
      <c r="B146" s="43" t="str">
        <v>Poo010Mu</v>
      </c>
      <c r="C146" s="45" t="str">
        <v>pooja.shah@company.com</v>
      </c>
      <c r="D146" s="46" t="str">
        <f t="shared" si="2"/>
        <v>Valid</v>
      </c>
    </row>
    <row r="147" spans="1:4" x14ac:dyDescent="0.35">
      <c r="A147" s="42" t="str">
        <v>Mohit Verma</v>
      </c>
      <c r="B147" s="43" t="str">
        <v>Moh009De</v>
      </c>
      <c r="C147" s="45" t="str">
        <v>mohit.verma@company.com</v>
      </c>
      <c r="D147" s="46" t="str">
        <f t="shared" si="2"/>
        <v>Valid</v>
      </c>
    </row>
    <row r="148" spans="1:4" x14ac:dyDescent="0.35">
      <c r="A148" s="42" t="str">
        <v>Rohit Singh</v>
      </c>
      <c r="B148" s="43" t="str">
        <v>Roh003Pu</v>
      </c>
      <c r="C148" s="45" t="str">
        <v>rohit.singh@company.com</v>
      </c>
      <c r="D148" s="46" t="str">
        <f t="shared" si="2"/>
        <v>Valid</v>
      </c>
    </row>
    <row r="149" spans="1:4" x14ac:dyDescent="0.35">
      <c r="A149" s="42" t="str">
        <v>Sneha Joshi</v>
      </c>
      <c r="B149" s="43" t="str">
        <v>Sne006Ko</v>
      </c>
      <c r="C149" s="45" t="str">
        <v>sneha.joshi@company.com</v>
      </c>
      <c r="D149" s="46" t="str">
        <f t="shared" si="2"/>
        <v>Valid</v>
      </c>
    </row>
    <row r="150" spans="1:4" x14ac:dyDescent="0.35">
      <c r="A150" s="42" t="str">
        <v>Priya Patel</v>
      </c>
      <c r="B150" s="43" t="str">
        <v>Pri002Ja</v>
      </c>
      <c r="C150" s="45" t="str">
        <v>priya.patel@company.com</v>
      </c>
      <c r="D150" s="46" t="str">
        <f t="shared" si="2"/>
        <v>Valid</v>
      </c>
    </row>
    <row r="151" spans="1:4" x14ac:dyDescent="0.35">
      <c r="A151" s="42" t="str">
        <v>Rohit Singh</v>
      </c>
      <c r="B151" s="43" t="str">
        <v>Roh003Pu</v>
      </c>
      <c r="C151" s="45" t="str">
        <v>rohit.singh@company.com</v>
      </c>
      <c r="D151" s="46" t="str">
        <f t="shared" si="2"/>
        <v>Valid</v>
      </c>
    </row>
    <row r="152" spans="1:4" x14ac:dyDescent="0.35">
      <c r="A152" s="42" t="str">
        <v>Pooja Shah</v>
      </c>
      <c r="B152" s="43" t="str">
        <v>Poo010De</v>
      </c>
      <c r="C152" s="45" t="str">
        <v>pooja.shah@company.com</v>
      </c>
      <c r="D152" s="46" t="str">
        <f t="shared" si="2"/>
        <v>Valid</v>
      </c>
    </row>
    <row r="153" spans="1:4" x14ac:dyDescent="0.35">
      <c r="A153" s="42" t="str">
        <v>Kavya Nair</v>
      </c>
      <c r="B153" s="43" t="str">
        <v>Kav008Be</v>
      </c>
      <c r="C153" s="45" t="str">
        <v>kavya.nair@company.com</v>
      </c>
      <c r="D153" s="46" t="str">
        <f t="shared" si="2"/>
        <v>Valid</v>
      </c>
    </row>
    <row r="154" spans="1:4" x14ac:dyDescent="0.35">
      <c r="A154" s="42" t="str">
        <v>Priya Patel</v>
      </c>
      <c r="B154" s="43" t="str">
        <v>Pri002Pu</v>
      </c>
      <c r="C154" s="45" t="str">
        <v>priya.patel@company.com</v>
      </c>
      <c r="D154" s="46" t="str">
        <f t="shared" si="2"/>
        <v>Valid</v>
      </c>
    </row>
    <row r="155" spans="1:4" x14ac:dyDescent="0.35">
      <c r="A155" s="42" t="str">
        <v>Vikas Mehta</v>
      </c>
      <c r="B155" s="43" t="str">
        <v>Vik005Pu</v>
      </c>
      <c r="C155" s="45" t="str">
        <v>vikas.mehta@company.com</v>
      </c>
      <c r="D155" s="46" t="str">
        <f t="shared" si="2"/>
        <v>Valid</v>
      </c>
    </row>
    <row r="156" spans="1:4" x14ac:dyDescent="0.35">
      <c r="A156" s="42" t="str">
        <v>Kavya Nair</v>
      </c>
      <c r="B156" s="43" t="str">
        <v>Kav008De</v>
      </c>
      <c r="C156" s="45" t="str">
        <v>kavya.nair@company.com</v>
      </c>
      <c r="D156" s="46" t="str">
        <f t="shared" si="2"/>
        <v>Valid</v>
      </c>
    </row>
    <row r="157" spans="1:4" x14ac:dyDescent="0.35">
      <c r="A157" s="42" t="str">
        <v>Pooja Shah</v>
      </c>
      <c r="B157" s="43" t="str">
        <v>Poo010Hy</v>
      </c>
      <c r="C157" s="45" t="str">
        <v>pooja.shah@company.com</v>
      </c>
      <c r="D157" s="46" t="str">
        <f t="shared" si="2"/>
        <v>Valid</v>
      </c>
    </row>
    <row r="158" spans="1:4" x14ac:dyDescent="0.35">
      <c r="A158" s="42" t="str">
        <v>Vikas Mehta</v>
      </c>
      <c r="B158" s="43" t="str">
        <v>Vik005Ko</v>
      </c>
      <c r="C158" s="45" t="str">
        <v>vikas.mehta@company.com</v>
      </c>
      <c r="D158" s="46" t="str">
        <f t="shared" si="2"/>
        <v>Valid</v>
      </c>
    </row>
    <row r="159" spans="1:4" x14ac:dyDescent="0.35">
      <c r="A159" s="42" t="str">
        <v>Amit Sharma</v>
      </c>
      <c r="B159" s="43" t="str">
        <v>Ami001Hy</v>
      </c>
      <c r="C159" s="45" t="str">
        <v>amit.sharma@company.com</v>
      </c>
      <c r="D159" s="46" t="str">
        <f t="shared" si="2"/>
        <v>Valid</v>
      </c>
    </row>
    <row r="160" spans="1:4" x14ac:dyDescent="0.35">
      <c r="A160" s="42" t="str">
        <v>Mohit Verma</v>
      </c>
      <c r="B160" s="43" t="str">
        <v>Moh009De</v>
      </c>
      <c r="C160" s="45" t="str">
        <v>mohit.verma@company.com</v>
      </c>
      <c r="D160" s="46" t="str">
        <f t="shared" si="2"/>
        <v>Valid</v>
      </c>
    </row>
    <row r="161" spans="1:4" x14ac:dyDescent="0.35">
      <c r="A161" s="42" t="str">
        <v>Vikas Mehta</v>
      </c>
      <c r="B161" s="43" t="str">
        <v>Vik005Ja</v>
      </c>
      <c r="C161" s="45" t="str">
        <v>vikas.mehta@company.com</v>
      </c>
      <c r="D161" s="46" t="str">
        <f t="shared" si="2"/>
        <v>Valid</v>
      </c>
    </row>
    <row r="162" spans="1:4" x14ac:dyDescent="0.35">
      <c r="A162" s="42" t="str">
        <v>Amit Sharma</v>
      </c>
      <c r="B162" s="43" t="str">
        <v>Ami001De</v>
      </c>
      <c r="C162" s="45" t="str">
        <v>amit.sharma@company.com</v>
      </c>
      <c r="D162" s="46" t="str">
        <f t="shared" si="2"/>
        <v>Valid</v>
      </c>
    </row>
    <row r="163" spans="1:4" x14ac:dyDescent="0.35">
      <c r="A163" s="42" t="str">
        <v>Anita Gupta</v>
      </c>
      <c r="B163" s="43" t="str">
        <v>Ani004Ko</v>
      </c>
      <c r="C163" s="45" t="str">
        <v>anita.gupta@company.com</v>
      </c>
      <c r="D163" s="46" t="str">
        <f t="shared" si="2"/>
        <v>Valid</v>
      </c>
    </row>
    <row r="164" spans="1:4" x14ac:dyDescent="0.35">
      <c r="A164" s="42" t="str">
        <v>Anita Gupta</v>
      </c>
      <c r="B164" s="43" t="str">
        <v>Ani004Pu</v>
      </c>
      <c r="C164" s="45" t="str">
        <v>anita.gupta@company.com</v>
      </c>
      <c r="D164" s="46" t="str">
        <f t="shared" si="2"/>
        <v>Valid</v>
      </c>
    </row>
    <row r="165" spans="1:4" x14ac:dyDescent="0.35">
      <c r="A165" s="42" t="str">
        <v>Amit Sharma</v>
      </c>
      <c r="B165" s="43" t="str">
        <v>Ami001Ja</v>
      </c>
      <c r="C165" s="45" t="str">
        <v>amit.sharma@company.com</v>
      </c>
      <c r="D165" s="46" t="str">
        <f t="shared" si="2"/>
        <v>Valid</v>
      </c>
    </row>
    <row r="166" spans="1:4" x14ac:dyDescent="0.35">
      <c r="A166" s="42" t="str">
        <v>Anita Gupta</v>
      </c>
      <c r="B166" s="43" t="str">
        <v>Ani004Pu</v>
      </c>
      <c r="C166" s="45" t="str">
        <v>anita.gupta@company.com</v>
      </c>
      <c r="D166" s="46" t="str">
        <f t="shared" si="2"/>
        <v>Valid</v>
      </c>
    </row>
    <row r="167" spans="1:4" x14ac:dyDescent="0.35">
      <c r="A167" s="42" t="str">
        <v>Anita Gupta</v>
      </c>
      <c r="B167" s="43" t="str">
        <v>Ani004Ah</v>
      </c>
      <c r="C167" s="45" t="str">
        <v>anita.gupta@company.com</v>
      </c>
      <c r="D167" s="46" t="str">
        <f t="shared" si="2"/>
        <v>Valid</v>
      </c>
    </row>
    <row r="168" spans="1:4" x14ac:dyDescent="0.35">
      <c r="A168" s="42" t="str">
        <v>Rohit Singh</v>
      </c>
      <c r="B168" s="43" t="str">
        <v>Roh003Ko</v>
      </c>
      <c r="C168" s="45" t="str">
        <v>rohit.singh@company.com</v>
      </c>
      <c r="D168" s="46" t="str">
        <f t="shared" si="2"/>
        <v>Valid</v>
      </c>
    </row>
    <row r="169" spans="1:4" x14ac:dyDescent="0.35">
      <c r="A169" s="42" t="str">
        <v>Amit Sharma</v>
      </c>
      <c r="B169" s="43" t="str">
        <v>Ami001Be</v>
      </c>
      <c r="C169" s="45" t="str">
        <v>amit.sharma@company.com</v>
      </c>
      <c r="D169" s="46" t="str">
        <f t="shared" si="2"/>
        <v>Valid</v>
      </c>
    </row>
    <row r="170" spans="1:4" x14ac:dyDescent="0.35">
      <c r="A170" s="42" t="str">
        <v>Pooja Shah</v>
      </c>
      <c r="B170" s="43" t="str">
        <v>Poo010Mu</v>
      </c>
      <c r="C170" s="45" t="str">
        <v>pooja.shah@company.com</v>
      </c>
      <c r="D170" s="46" t="str">
        <f t="shared" si="2"/>
        <v>Valid</v>
      </c>
    </row>
    <row r="171" spans="1:4" x14ac:dyDescent="0.35">
      <c r="A171" s="42" t="str">
        <v>Sneha Joshi</v>
      </c>
      <c r="B171" s="43" t="str">
        <v>Sne006Hy</v>
      </c>
      <c r="C171" s="45" t="str">
        <v>sneha.joshi@company.com</v>
      </c>
      <c r="D171" s="46" t="str">
        <f t="shared" si="2"/>
        <v>Valid</v>
      </c>
    </row>
    <row r="172" spans="1:4" x14ac:dyDescent="0.35">
      <c r="A172" s="42" t="str">
        <v>Rohit Singh</v>
      </c>
      <c r="B172" s="43" t="str">
        <v>Roh003Ah</v>
      </c>
      <c r="C172" s="45" t="str">
        <v>rohit.singh@company.com</v>
      </c>
      <c r="D172" s="46" t="str">
        <f t="shared" si="2"/>
        <v>Valid</v>
      </c>
    </row>
    <row r="173" spans="1:4" x14ac:dyDescent="0.35">
      <c r="A173" s="42" t="str">
        <v>Vikas Mehta</v>
      </c>
      <c r="B173" s="43" t="str">
        <v>Vik005Ah</v>
      </c>
      <c r="C173" s="45" t="str">
        <v>vikas.mehta@company.com</v>
      </c>
      <c r="D173" s="46" t="str">
        <f t="shared" si="2"/>
        <v>Valid</v>
      </c>
    </row>
    <row r="174" spans="1:4" x14ac:dyDescent="0.35">
      <c r="A174" s="42" t="str">
        <v>Kavya Nair</v>
      </c>
      <c r="B174" s="43" t="str">
        <v>Kav008Ja</v>
      </c>
      <c r="C174" s="45" t="str">
        <v>kavya.nair@company.com</v>
      </c>
      <c r="D174" s="46" t="str">
        <f t="shared" si="2"/>
        <v>Valid</v>
      </c>
    </row>
    <row r="175" spans="1:4" x14ac:dyDescent="0.35">
      <c r="A175" s="42" t="str">
        <v>Vikas Mehta</v>
      </c>
      <c r="B175" s="43" t="str">
        <v>Vik005Ja</v>
      </c>
      <c r="C175" s="45" t="str">
        <v>vikas.mehtacompany.com</v>
      </c>
      <c r="D175" s="46" t="str">
        <f t="shared" si="2"/>
        <v>Invalid Email</v>
      </c>
    </row>
    <row r="176" spans="1:4" x14ac:dyDescent="0.35">
      <c r="A176" s="42" t="str">
        <v>Sneha Joshi</v>
      </c>
      <c r="B176" s="43" t="str">
        <v>Sne006Pu</v>
      </c>
      <c r="C176" s="45" t="str">
        <v>sneha.joshi@company.com</v>
      </c>
      <c r="D176" s="46" t="str">
        <f t="shared" si="2"/>
        <v>Valid</v>
      </c>
    </row>
    <row r="177" spans="1:4" x14ac:dyDescent="0.35">
      <c r="A177" s="42" t="str">
        <v>Kavya Nair</v>
      </c>
      <c r="B177" s="43" t="str">
        <v>Kav008Pu</v>
      </c>
      <c r="C177" s="45" t="str">
        <v>kavya.nair@company.com</v>
      </c>
      <c r="D177" s="46" t="str">
        <f t="shared" si="2"/>
        <v>Valid</v>
      </c>
    </row>
    <row r="178" spans="1:4" x14ac:dyDescent="0.35">
      <c r="A178" s="42" t="str">
        <v>Sneha Joshi</v>
      </c>
      <c r="B178" s="43" t="str">
        <v>Sne006Ah</v>
      </c>
      <c r="C178" s="45" t="str">
        <v>sneha.joshi@company.com</v>
      </c>
      <c r="D178" s="46" t="str">
        <f t="shared" si="2"/>
        <v>Valid</v>
      </c>
    </row>
    <row r="179" spans="1:4" x14ac:dyDescent="0.35">
      <c r="A179" s="42" t="str">
        <v>Anita Gupta</v>
      </c>
      <c r="B179" s="43" t="str">
        <v>Ani004De</v>
      </c>
      <c r="C179" s="45" t="str">
        <v>anita.gupta@company.com</v>
      </c>
      <c r="D179" s="46" t="str">
        <f t="shared" si="2"/>
        <v>Valid</v>
      </c>
    </row>
    <row r="180" spans="1:4" x14ac:dyDescent="0.35">
      <c r="A180" s="42" t="str">
        <v>Priya Patel</v>
      </c>
      <c r="B180" s="43" t="str">
        <v>Pri005Ko</v>
      </c>
      <c r="C180" s="45" t="str">
        <v>vikas.mehta@company.com</v>
      </c>
      <c r="D180" s="46" t="str">
        <f t="shared" si="2"/>
        <v>Valid</v>
      </c>
    </row>
    <row r="181" spans="1:4" x14ac:dyDescent="0.35">
      <c r="A181" s="42" t="str">
        <v>Kavya Nair</v>
      </c>
      <c r="B181" s="43" t="str">
        <v>Kav008Hy</v>
      </c>
      <c r="C181" s="45" t="str">
        <v>kavya.nair@company.com</v>
      </c>
      <c r="D181" s="46" t="str">
        <f t="shared" si="2"/>
        <v>Valid</v>
      </c>
    </row>
    <row r="182" spans="1:4" x14ac:dyDescent="0.35">
      <c r="A182" s="42" t="str">
        <v>Priya Patel</v>
      </c>
      <c r="B182" s="43" t="str">
        <v>Pri002Ah</v>
      </c>
      <c r="C182" s="45" t="str">
        <v>priya.patel@company.com</v>
      </c>
      <c r="D182" s="46" t="str">
        <f t="shared" si="2"/>
        <v>Valid</v>
      </c>
    </row>
    <row r="183" spans="1:4" x14ac:dyDescent="0.35">
      <c r="A183" s="42" t="str">
        <v>Sneha Joshi</v>
      </c>
      <c r="B183" s="43" t="str">
        <v>Sne006Ja</v>
      </c>
      <c r="C183" s="45" t="str">
        <v>sneha.joshi@company.com</v>
      </c>
      <c r="D183" s="46" t="str">
        <f t="shared" si="2"/>
        <v>Valid</v>
      </c>
    </row>
    <row r="184" spans="1:4" x14ac:dyDescent="0.35">
      <c r="A184" s="42" t="str">
        <v>Priya Patel</v>
      </c>
      <c r="B184" s="43" t="str">
        <v>Pri002Be</v>
      </c>
      <c r="C184" s="45" t="str">
        <v>priya.patel@company.com</v>
      </c>
      <c r="D184" s="46" t="str">
        <f t="shared" si="2"/>
        <v>Valid</v>
      </c>
    </row>
    <row r="185" spans="1:4" x14ac:dyDescent="0.35">
      <c r="A185" s="42" t="str">
        <v>Mohit Verma</v>
      </c>
      <c r="B185" s="43" t="str">
        <v>Moh009De</v>
      </c>
      <c r="C185" s="45" t="str">
        <v>mohit.verma@company.com</v>
      </c>
      <c r="D185" s="46" t="str">
        <f t="shared" si="2"/>
        <v>Valid</v>
      </c>
    </row>
    <row r="186" spans="1:4" x14ac:dyDescent="0.35">
      <c r="A186" s="42" t="str">
        <v>Priya Patel</v>
      </c>
      <c r="B186" s="43" t="str">
        <v>Pri002Ko</v>
      </c>
      <c r="C186" s="45" t="str">
        <v>priya.patel@company.com</v>
      </c>
      <c r="D186" s="46" t="str">
        <f t="shared" si="2"/>
        <v>Valid</v>
      </c>
    </row>
    <row r="187" spans="1:4" x14ac:dyDescent="0.35">
      <c r="A187" s="42" t="str">
        <v>Sneha Joshi</v>
      </c>
      <c r="B187" s="43" t="str">
        <v>Sne006Hy</v>
      </c>
      <c r="C187" s="45" t="str">
        <v>sneha.joshi@company.com</v>
      </c>
      <c r="D187" s="46" t="str">
        <f t="shared" si="2"/>
        <v>Valid</v>
      </c>
    </row>
    <row r="188" spans="1:4" x14ac:dyDescent="0.35">
      <c r="A188" s="42" t="str">
        <v>Rohit Singh</v>
      </c>
      <c r="B188" s="43" t="str">
        <v>Roh003Pu</v>
      </c>
      <c r="C188" s="45" t="str">
        <v>rohit.singh@company.com</v>
      </c>
      <c r="D188" s="46" t="str">
        <f t="shared" si="2"/>
        <v>Valid</v>
      </c>
    </row>
    <row r="189" spans="1:4" x14ac:dyDescent="0.35">
      <c r="A189" s="42" t="str">
        <v>Vikas Mehta</v>
      </c>
      <c r="B189" s="43" t="str">
        <v>Vik005Hy</v>
      </c>
      <c r="C189" s="45" t="str">
        <v>vikas.mehta@company.com</v>
      </c>
      <c r="D189" s="46" t="str">
        <f t="shared" si="2"/>
        <v>Valid</v>
      </c>
    </row>
    <row r="190" spans="1:4" x14ac:dyDescent="0.35">
      <c r="A190" s="42" t="str">
        <v>Amit Sharma</v>
      </c>
      <c r="B190" s="43" t="str">
        <v>Ami001Pu</v>
      </c>
      <c r="C190" s="45" t="str">
        <v>amit.sharma@company.com</v>
      </c>
      <c r="D190" s="46" t="str">
        <f t="shared" si="2"/>
        <v>Valid</v>
      </c>
    </row>
    <row r="191" spans="1:4" x14ac:dyDescent="0.35">
      <c r="A191" s="42" t="str">
        <v>Amit Sharma</v>
      </c>
      <c r="B191" s="43" t="str">
        <v>Ami001Be</v>
      </c>
      <c r="C191" s="45" t="str">
        <v>amit.sharma@company.com</v>
      </c>
      <c r="D191" s="46" t="str">
        <f t="shared" si="2"/>
        <v>Valid</v>
      </c>
    </row>
    <row r="192" spans="1:4" x14ac:dyDescent="0.35">
      <c r="A192" s="42" t="str">
        <v>Vikas Mehta</v>
      </c>
      <c r="B192" s="43" t="str">
        <v>Vik005Pu</v>
      </c>
      <c r="C192" s="45" t="str">
        <v>vikas.mehta@company.com</v>
      </c>
      <c r="D192" s="46" t="str">
        <f t="shared" si="2"/>
        <v>Valid</v>
      </c>
    </row>
    <row r="193" spans="1:4" x14ac:dyDescent="0.35">
      <c r="A193" s="42" t="str">
        <v>Amit Sharma</v>
      </c>
      <c r="B193" s="43" t="str">
        <v>Ami001Ja</v>
      </c>
      <c r="C193" s="45" t="str">
        <v>amit.sharma@company.com</v>
      </c>
      <c r="D193" s="46" t="str">
        <f t="shared" si="2"/>
        <v>Valid</v>
      </c>
    </row>
    <row r="194" spans="1:4" x14ac:dyDescent="0.35">
      <c r="A194" s="42" t="str">
        <v>Anita Gupta</v>
      </c>
      <c r="B194" s="43" t="str">
        <v>Ani004Ja</v>
      </c>
      <c r="C194" s="45" t="str">
        <v>anita.gupta@company.com</v>
      </c>
      <c r="D194" s="46" t="str">
        <f t="shared" si="2"/>
        <v>Valid</v>
      </c>
    </row>
    <row r="195" spans="1:4" x14ac:dyDescent="0.35">
      <c r="A195" s="42" t="str">
        <v>Sneha Joshi</v>
      </c>
      <c r="B195" s="43" t="str">
        <v>Sne006De</v>
      </c>
      <c r="C195" s="45" t="str">
        <v>sneha.joshi@company.com</v>
      </c>
      <c r="D195" s="46" t="str">
        <f t="shared" ref="D195:D258" si="3">IF(ISNUMBER(SEARCH("@", C195)), "Valid", "Invalid Email")</f>
        <v>Valid</v>
      </c>
    </row>
    <row r="196" spans="1:4" x14ac:dyDescent="0.35">
      <c r="A196" s="42" t="str">
        <v>Sneha Joshi</v>
      </c>
      <c r="B196" s="43" t="str">
        <v>Sne006Ah</v>
      </c>
      <c r="C196" s="45" t="str">
        <v>sneha.joshi@company.com</v>
      </c>
      <c r="D196" s="46" t="str">
        <f t="shared" si="3"/>
        <v>Valid</v>
      </c>
    </row>
    <row r="197" spans="1:4" x14ac:dyDescent="0.35">
      <c r="A197" s="42" t="str">
        <v>Arjun Rao</v>
      </c>
      <c r="B197" s="43" t="str">
        <v>Arj007De</v>
      </c>
      <c r="C197" s="45" t="str">
        <v>arjun.rao@company.com</v>
      </c>
      <c r="D197" s="46" t="str">
        <f t="shared" si="3"/>
        <v>Valid</v>
      </c>
    </row>
    <row r="198" spans="1:4" x14ac:dyDescent="0.35">
      <c r="A198" s="42" t="str">
        <v>Vikas Mehta</v>
      </c>
      <c r="B198" s="43" t="str">
        <v>Vik005Hy</v>
      </c>
      <c r="C198" s="45" t="str">
        <v>vikas.mehta@company.com</v>
      </c>
      <c r="D198" s="46" t="str">
        <f t="shared" si="3"/>
        <v>Valid</v>
      </c>
    </row>
    <row r="199" spans="1:4" x14ac:dyDescent="0.35">
      <c r="A199" s="42" t="str">
        <v>Priya Patel</v>
      </c>
      <c r="B199" s="43" t="str">
        <v>Pri002Pu</v>
      </c>
      <c r="C199" s="45" t="str">
        <v>priya.patel@company.com</v>
      </c>
      <c r="D199" s="46" t="str">
        <f t="shared" si="3"/>
        <v>Valid</v>
      </c>
    </row>
    <row r="200" spans="1:4" x14ac:dyDescent="0.35">
      <c r="A200" s="42" t="str">
        <v>Vikas Mehta</v>
      </c>
      <c r="B200" s="43" t="str">
        <v>Vik005Be</v>
      </c>
      <c r="C200" s="45" t="str">
        <v>vikas.mehta@company.com</v>
      </c>
      <c r="D200" s="46" t="str">
        <f t="shared" si="3"/>
        <v>Valid</v>
      </c>
    </row>
    <row r="201" spans="1:4" x14ac:dyDescent="0.35">
      <c r="A201" s="42" t="str">
        <v>Priya Patel</v>
      </c>
      <c r="B201" s="43" t="str">
        <v>Pri002Ja</v>
      </c>
      <c r="C201" s="45" t="str">
        <v>priya.patel@company.com</v>
      </c>
      <c r="D201" s="46" t="str">
        <f t="shared" si="3"/>
        <v>Valid</v>
      </c>
    </row>
    <row r="202" spans="1:4" x14ac:dyDescent="0.35">
      <c r="A202" s="42" t="str">
        <v>Vikas Mehta</v>
      </c>
      <c r="B202" s="43" t="str">
        <v>Vik005Ah</v>
      </c>
      <c r="C202" s="45" t="str">
        <v>vikas.mehta@company.com</v>
      </c>
      <c r="D202" s="46" t="str">
        <f t="shared" si="3"/>
        <v>Valid</v>
      </c>
    </row>
    <row r="203" spans="1:4" x14ac:dyDescent="0.35">
      <c r="A203" s="42" t="str">
        <v>Mohit Verma</v>
      </c>
      <c r="B203" s="43" t="str">
        <v>Moh009Hy</v>
      </c>
      <c r="C203" s="45" t="str">
        <v>mohit.verma@company.com</v>
      </c>
      <c r="D203" s="46" t="str">
        <f t="shared" si="3"/>
        <v>Valid</v>
      </c>
    </row>
    <row r="204" spans="1:4" x14ac:dyDescent="0.35">
      <c r="A204" s="42" t="str">
        <v>Pooja Shah</v>
      </c>
      <c r="B204" s="43" t="str">
        <v>Poo010Be</v>
      </c>
      <c r="C204" s="45" t="str">
        <v>pooja.shah@company.com</v>
      </c>
      <c r="D204" s="46" t="str">
        <f t="shared" si="3"/>
        <v>Valid</v>
      </c>
    </row>
    <row r="205" spans="1:4" x14ac:dyDescent="0.35">
      <c r="A205" s="42" t="str">
        <v>Rohit Singh</v>
      </c>
      <c r="B205" s="43" t="str">
        <v>Roh003Ja</v>
      </c>
      <c r="C205" s="45" t="str">
        <v>rohit.singh@company.com</v>
      </c>
      <c r="D205" s="46" t="str">
        <f t="shared" si="3"/>
        <v>Valid</v>
      </c>
    </row>
    <row r="206" spans="1:4" x14ac:dyDescent="0.35">
      <c r="A206" s="42" t="str">
        <v>Anita Gupta</v>
      </c>
      <c r="B206" s="43" t="str">
        <v>Ani004Pu</v>
      </c>
      <c r="C206" s="45" t="str">
        <v>anita.gupta@company.com</v>
      </c>
      <c r="D206" s="46" t="str">
        <f t="shared" si="3"/>
        <v>Valid</v>
      </c>
    </row>
    <row r="207" spans="1:4" x14ac:dyDescent="0.35">
      <c r="A207" s="42" t="str">
        <v>Amit Sharma</v>
      </c>
      <c r="B207" s="43" t="str">
        <v>Ami001Mu</v>
      </c>
      <c r="C207" s="45" t="str">
        <v>amit.sharma@company.com</v>
      </c>
      <c r="D207" s="46" t="str">
        <f t="shared" si="3"/>
        <v>Valid</v>
      </c>
    </row>
    <row r="208" spans="1:4" x14ac:dyDescent="0.35">
      <c r="A208" s="42" t="str">
        <v>Vikas Mehta</v>
      </c>
      <c r="B208" s="43" t="str">
        <v>Vik005Hy</v>
      </c>
      <c r="C208" s="45" t="str">
        <v>vikas.mehta@company.com</v>
      </c>
      <c r="D208" s="46" t="str">
        <f t="shared" si="3"/>
        <v>Valid</v>
      </c>
    </row>
    <row r="209" spans="1:4" x14ac:dyDescent="0.35">
      <c r="A209" s="42" t="str">
        <v>Amit Sharma</v>
      </c>
      <c r="B209" s="43" t="str">
        <v>Ami001Pu</v>
      </c>
      <c r="C209" s="45" t="str">
        <v>amit.sharma@company.com</v>
      </c>
      <c r="D209" s="46" t="str">
        <f t="shared" si="3"/>
        <v>Valid</v>
      </c>
    </row>
    <row r="210" spans="1:4" x14ac:dyDescent="0.35">
      <c r="A210" s="42" t="str">
        <v>Kavya Nair</v>
      </c>
      <c r="B210" s="43" t="str">
        <v>Kav008Mu</v>
      </c>
      <c r="C210" s="45" t="str">
        <v>kavya.nair@company.com</v>
      </c>
      <c r="D210" s="46" t="str">
        <f t="shared" si="3"/>
        <v>Valid</v>
      </c>
    </row>
    <row r="211" spans="1:4" x14ac:dyDescent="0.35">
      <c r="A211" s="42" t="str">
        <v>Sneha Joshi</v>
      </c>
      <c r="B211" s="43" t="str">
        <v>Sne006Mu</v>
      </c>
      <c r="C211" s="45" t="str">
        <v>sneha.joshi@company.com</v>
      </c>
      <c r="D211" s="46" t="str">
        <f t="shared" si="3"/>
        <v>Valid</v>
      </c>
    </row>
    <row r="212" spans="1:4" x14ac:dyDescent="0.35">
      <c r="A212" s="42" t="str">
        <v>Amit Sharma</v>
      </c>
      <c r="B212" s="43" t="str">
        <v>Ami001Mu</v>
      </c>
      <c r="C212" s="45" t="str">
        <v>amit.sharma@company.com</v>
      </c>
      <c r="D212" s="46" t="str">
        <f t="shared" si="3"/>
        <v>Valid</v>
      </c>
    </row>
    <row r="213" spans="1:4" x14ac:dyDescent="0.35">
      <c r="A213" s="42" t="str">
        <v>Sneha Joshi</v>
      </c>
      <c r="B213" s="43" t="str">
        <v>Sne006Ah</v>
      </c>
      <c r="C213" s="45" t="str">
        <v>sneha.joshi@company.com</v>
      </c>
      <c r="D213" s="46" t="str">
        <f t="shared" si="3"/>
        <v>Valid</v>
      </c>
    </row>
    <row r="214" spans="1:4" x14ac:dyDescent="0.35">
      <c r="A214" s="42" t="str">
        <v>Kavya Nair</v>
      </c>
      <c r="B214" s="43" t="str">
        <v>Kav008Hy</v>
      </c>
      <c r="C214" s="45" t="str">
        <v>kavya.nair@company.com</v>
      </c>
      <c r="D214" s="46" t="str">
        <f t="shared" si="3"/>
        <v>Valid</v>
      </c>
    </row>
    <row r="215" spans="1:4" x14ac:dyDescent="0.35">
      <c r="A215" s="42" t="str">
        <v>Pooja Shah</v>
      </c>
      <c r="B215" s="43" t="str">
        <v>Poo010Pu</v>
      </c>
      <c r="C215" s="45" t="str">
        <v>pooja.shah@company.com</v>
      </c>
      <c r="D215" s="46" t="str">
        <f t="shared" si="3"/>
        <v>Valid</v>
      </c>
    </row>
    <row r="216" spans="1:4" x14ac:dyDescent="0.35">
      <c r="A216" s="42" t="str">
        <v>Priya Patel</v>
      </c>
      <c r="B216" s="43" t="str">
        <v>Pri002Be</v>
      </c>
      <c r="C216" s="45" t="str">
        <v>priya.patel@company.com</v>
      </c>
      <c r="D216" s="46" t="str">
        <f t="shared" si="3"/>
        <v>Valid</v>
      </c>
    </row>
    <row r="217" spans="1:4" x14ac:dyDescent="0.35">
      <c r="A217" s="42" t="str">
        <v>Kavya Nair</v>
      </c>
      <c r="B217" s="43" t="str">
        <v>Kav008Ko</v>
      </c>
      <c r="C217" s="45" t="str">
        <v>kavya.nair@company.com</v>
      </c>
      <c r="D217" s="46" t="str">
        <f t="shared" si="3"/>
        <v>Valid</v>
      </c>
    </row>
    <row r="218" spans="1:4" x14ac:dyDescent="0.35">
      <c r="A218" s="42" t="str">
        <v>Vikas Mehta</v>
      </c>
      <c r="B218" s="43" t="str">
        <v>Vik005Be</v>
      </c>
      <c r="C218" s="45" t="str">
        <v>vikas.mehta@company.com</v>
      </c>
      <c r="D218" s="46" t="str">
        <f t="shared" si="3"/>
        <v>Valid</v>
      </c>
    </row>
    <row r="219" spans="1:4" x14ac:dyDescent="0.35">
      <c r="A219" s="42" t="str">
        <v>Arjun Rao</v>
      </c>
      <c r="B219" s="43" t="str">
        <v>Arj007Ko</v>
      </c>
      <c r="C219" s="45" t="str">
        <v>arjun.rao@company.com</v>
      </c>
      <c r="D219" s="46" t="str">
        <f t="shared" si="3"/>
        <v>Valid</v>
      </c>
    </row>
    <row r="220" spans="1:4" x14ac:dyDescent="0.35">
      <c r="A220" s="42" t="str">
        <v>Pooja Shah</v>
      </c>
      <c r="B220" s="43" t="str">
        <v>Poo010Pu</v>
      </c>
      <c r="C220" s="45" t="str">
        <v>pooja.shah@company.com</v>
      </c>
      <c r="D220" s="46" t="str">
        <f t="shared" si="3"/>
        <v>Valid</v>
      </c>
    </row>
    <row r="221" spans="1:4" x14ac:dyDescent="0.35">
      <c r="A221" s="42" t="str">
        <v>Priya Patel</v>
      </c>
      <c r="B221" s="43" t="str">
        <v>Pri002Ko</v>
      </c>
      <c r="C221" s="45" t="str">
        <v>priya.patel@company.com</v>
      </c>
      <c r="D221" s="46" t="str">
        <f t="shared" si="3"/>
        <v>Valid</v>
      </c>
    </row>
    <row r="222" spans="1:4" x14ac:dyDescent="0.35">
      <c r="A222" s="42" t="str">
        <v>Sneha Joshi</v>
      </c>
      <c r="B222" s="43" t="str">
        <v>Sne006De</v>
      </c>
      <c r="C222" s="45" t="str">
        <v>sneha.joshi@company.com</v>
      </c>
      <c r="D222" s="46" t="str">
        <f t="shared" si="3"/>
        <v>Valid</v>
      </c>
    </row>
    <row r="223" spans="1:4" x14ac:dyDescent="0.35">
      <c r="A223" s="42" t="str">
        <v>Pooja Shah</v>
      </c>
      <c r="B223" s="43" t="str">
        <v>Poo010Ko</v>
      </c>
      <c r="C223" s="45" t="str">
        <v>pooja.shah@company.com</v>
      </c>
      <c r="D223" s="46" t="str">
        <f t="shared" si="3"/>
        <v>Valid</v>
      </c>
    </row>
    <row r="224" spans="1:4" x14ac:dyDescent="0.35">
      <c r="A224" s="42" t="str">
        <v>Amit Sharma</v>
      </c>
      <c r="B224" s="43" t="str">
        <v>Ami001Ko</v>
      </c>
      <c r="C224" s="45" t="str">
        <v>amit.sharma@company.com</v>
      </c>
      <c r="D224" s="46" t="str">
        <f t="shared" si="3"/>
        <v>Valid</v>
      </c>
    </row>
    <row r="225" spans="1:4" x14ac:dyDescent="0.35">
      <c r="A225" s="42" t="str">
        <v>Kavya Nair</v>
      </c>
      <c r="B225" s="43" t="str">
        <v>Kav008De</v>
      </c>
      <c r="C225" s="45" t="str">
        <v>kavya.nair@company.com</v>
      </c>
      <c r="D225" s="46" t="str">
        <f t="shared" si="3"/>
        <v>Valid</v>
      </c>
    </row>
    <row r="226" spans="1:4" x14ac:dyDescent="0.35">
      <c r="A226" s="42" t="str">
        <v>Arjun Rao</v>
      </c>
      <c r="B226" s="43" t="str">
        <v>Arj007Mu</v>
      </c>
      <c r="C226" s="45" t="str">
        <v>arjun.rao@company.com</v>
      </c>
      <c r="D226" s="46" t="str">
        <f t="shared" si="3"/>
        <v>Valid</v>
      </c>
    </row>
    <row r="227" spans="1:4" x14ac:dyDescent="0.35">
      <c r="A227" s="42" t="str">
        <v>Priya Patel</v>
      </c>
      <c r="B227" s="43" t="str">
        <v>Pri002Hy</v>
      </c>
      <c r="C227" s="45" t="str">
        <v>priya.patel@company.com</v>
      </c>
      <c r="D227" s="46" t="str">
        <f t="shared" si="3"/>
        <v>Valid</v>
      </c>
    </row>
    <row r="228" spans="1:4" x14ac:dyDescent="0.35">
      <c r="A228" s="42" t="str">
        <v>Anita Gupta</v>
      </c>
      <c r="B228" s="43" t="str">
        <v>Ani004Hy</v>
      </c>
      <c r="C228" s="45" t="str">
        <v>anita.gupta@company.com</v>
      </c>
      <c r="D228" s="46" t="str">
        <f t="shared" si="3"/>
        <v>Valid</v>
      </c>
    </row>
    <row r="229" spans="1:4" x14ac:dyDescent="0.35">
      <c r="A229" s="42" t="str">
        <v>Mohit Verma</v>
      </c>
      <c r="B229" s="43" t="str">
        <v>Moh009Ko</v>
      </c>
      <c r="C229" s="45" t="str">
        <v>mohit.verma@company.com</v>
      </c>
      <c r="D229" s="46" t="str">
        <f t="shared" si="3"/>
        <v>Valid</v>
      </c>
    </row>
    <row r="230" spans="1:4" x14ac:dyDescent="0.35">
      <c r="A230" s="42" t="str">
        <v>Priya Patel</v>
      </c>
      <c r="B230" s="43" t="str">
        <v>Pri002Hy</v>
      </c>
      <c r="C230" s="45" t="str">
        <v>priya.patel@company.com</v>
      </c>
      <c r="D230" s="46" t="str">
        <f t="shared" si="3"/>
        <v>Valid</v>
      </c>
    </row>
    <row r="231" spans="1:4" x14ac:dyDescent="0.35">
      <c r="A231" s="42" t="str">
        <v>Mohit Verma</v>
      </c>
      <c r="B231" s="43" t="str">
        <v>Moh009Pu</v>
      </c>
      <c r="C231" s="45" t="str">
        <v>mohit.verma@company.com</v>
      </c>
      <c r="D231" s="46" t="str">
        <f t="shared" si="3"/>
        <v>Valid</v>
      </c>
    </row>
    <row r="232" spans="1:4" x14ac:dyDescent="0.35">
      <c r="A232" s="42" t="str">
        <v>Priya Patel</v>
      </c>
      <c r="B232" s="43" t="str">
        <v>Pri002Ko</v>
      </c>
      <c r="C232" s="45" t="str">
        <v>priya.patel@company.com</v>
      </c>
      <c r="D232" s="46" t="str">
        <f t="shared" si="3"/>
        <v>Valid</v>
      </c>
    </row>
    <row r="233" spans="1:4" x14ac:dyDescent="0.35">
      <c r="A233" s="42" t="str">
        <v>Priya Patel</v>
      </c>
      <c r="B233" s="43" t="str">
        <v>Pri002Mu</v>
      </c>
      <c r="C233" s="45" t="str">
        <v>priya.patel@company.com</v>
      </c>
      <c r="D233" s="46" t="str">
        <f t="shared" si="3"/>
        <v>Valid</v>
      </c>
    </row>
    <row r="234" spans="1:4" x14ac:dyDescent="0.35">
      <c r="A234" s="42" t="str">
        <v>Sneha Joshi</v>
      </c>
      <c r="B234" s="43" t="str">
        <v>Sne006Ko</v>
      </c>
      <c r="C234" s="45" t="str">
        <v>sneha.joshi@company.com</v>
      </c>
      <c r="D234" s="46" t="str">
        <f t="shared" si="3"/>
        <v>Valid</v>
      </c>
    </row>
    <row r="235" spans="1:4" x14ac:dyDescent="0.35">
      <c r="A235" s="42" t="str">
        <v>Kavya Nair</v>
      </c>
      <c r="B235" s="43" t="str">
        <v>Kav008Be</v>
      </c>
      <c r="C235" s="45" t="str">
        <v>kavya.nair@company.com</v>
      </c>
      <c r="D235" s="46" t="str">
        <f t="shared" si="3"/>
        <v>Valid</v>
      </c>
    </row>
    <row r="236" spans="1:4" x14ac:dyDescent="0.35">
      <c r="A236" s="42" t="str">
        <v>Mohit Verma</v>
      </c>
      <c r="B236" s="43" t="str">
        <v>Moh009Mu</v>
      </c>
      <c r="C236" s="45" t="str">
        <v>mohit.verma@company.com</v>
      </c>
      <c r="D236" s="46" t="str">
        <f t="shared" si="3"/>
        <v>Valid</v>
      </c>
    </row>
    <row r="237" spans="1:4" x14ac:dyDescent="0.35">
      <c r="A237" s="42" t="str">
        <v>Rohit Singh</v>
      </c>
      <c r="B237" s="43" t="str">
        <v>Roh003De</v>
      </c>
      <c r="C237" s="45" t="str">
        <v>rohit.singh@company.com</v>
      </c>
      <c r="D237" s="46" t="str">
        <f t="shared" si="3"/>
        <v>Valid</v>
      </c>
    </row>
    <row r="238" spans="1:4" x14ac:dyDescent="0.35">
      <c r="A238" s="42" t="str">
        <v>Rohit Singh</v>
      </c>
      <c r="B238" s="43" t="str">
        <v>Roh003Mu</v>
      </c>
      <c r="C238" s="45" t="str">
        <v>rohit.singh@company.com</v>
      </c>
      <c r="D238" s="46" t="str">
        <f t="shared" si="3"/>
        <v>Valid</v>
      </c>
    </row>
    <row r="239" spans="1:4" x14ac:dyDescent="0.35">
      <c r="A239" s="42" t="str">
        <v>Vikas Mehta</v>
      </c>
      <c r="B239" s="43" t="str">
        <v>Vik005Hy</v>
      </c>
      <c r="C239" s="45" t="str">
        <v>vikas.mehta@company.com</v>
      </c>
      <c r="D239" s="46" t="str">
        <f t="shared" si="3"/>
        <v>Valid</v>
      </c>
    </row>
    <row r="240" spans="1:4" x14ac:dyDescent="0.35">
      <c r="A240" s="42" t="str">
        <v>Pooja Shah</v>
      </c>
      <c r="B240" s="43" t="str">
        <v>Poo010Pu</v>
      </c>
      <c r="C240" s="45" t="str">
        <v>pooja.shah@company.com</v>
      </c>
      <c r="D240" s="46" t="str">
        <f t="shared" si="3"/>
        <v>Valid</v>
      </c>
    </row>
    <row r="241" spans="1:4" x14ac:dyDescent="0.35">
      <c r="A241" s="42" t="str">
        <v>Pooja Shah</v>
      </c>
      <c r="B241" s="43" t="str">
        <v>Poo010Hy</v>
      </c>
      <c r="C241" s="45" t="str">
        <v>pooja.shah@company.com</v>
      </c>
      <c r="D241" s="46" t="str">
        <f t="shared" si="3"/>
        <v>Valid</v>
      </c>
    </row>
    <row r="242" spans="1:4" x14ac:dyDescent="0.35">
      <c r="A242" s="42" t="str">
        <v>Anita Gupta</v>
      </c>
      <c r="B242" s="43" t="str">
        <v>Ani004Pu</v>
      </c>
      <c r="C242" s="45" t="str">
        <v>anita.gupta@company.com</v>
      </c>
      <c r="D242" s="46" t="str">
        <f t="shared" si="3"/>
        <v>Valid</v>
      </c>
    </row>
    <row r="243" spans="1:4" x14ac:dyDescent="0.35">
      <c r="A243" s="42" t="str">
        <v>Anita Gupta</v>
      </c>
      <c r="B243" s="43" t="str">
        <v>Ani004Ko</v>
      </c>
      <c r="C243" s="45" t="str">
        <v>anita.gupta@company.com</v>
      </c>
      <c r="D243" s="46" t="str">
        <f t="shared" si="3"/>
        <v>Valid</v>
      </c>
    </row>
    <row r="244" spans="1:4" x14ac:dyDescent="0.35">
      <c r="A244" s="42" t="str">
        <v>Arjun Rao</v>
      </c>
      <c r="B244" s="43" t="str">
        <v>Arj007Be</v>
      </c>
      <c r="C244" s="45" t="str">
        <v>arjun.rao@company.com</v>
      </c>
      <c r="D244" s="46" t="str">
        <f t="shared" si="3"/>
        <v>Valid</v>
      </c>
    </row>
    <row r="245" spans="1:4" x14ac:dyDescent="0.35">
      <c r="A245" s="42" t="str">
        <v>Pooja Shah</v>
      </c>
      <c r="B245" s="43" t="str">
        <v>Poo010Mu</v>
      </c>
      <c r="C245" s="45" t="str">
        <v>pooja.shah@company.com</v>
      </c>
      <c r="D245" s="46" t="str">
        <f t="shared" si="3"/>
        <v>Valid</v>
      </c>
    </row>
    <row r="246" spans="1:4" x14ac:dyDescent="0.35">
      <c r="A246" s="42" t="str">
        <v>Kavya Nair</v>
      </c>
      <c r="B246" s="43" t="str">
        <v>Kav008Be</v>
      </c>
      <c r="C246" s="45" t="str">
        <v>kavya.nair@company.com</v>
      </c>
      <c r="D246" s="46" t="str">
        <f t="shared" si="3"/>
        <v>Valid</v>
      </c>
    </row>
    <row r="247" spans="1:4" x14ac:dyDescent="0.35">
      <c r="A247" s="42" t="str">
        <v>Amit Sharma</v>
      </c>
      <c r="B247" s="43" t="str">
        <v>Ami001Hy</v>
      </c>
      <c r="C247" s="45" t="str">
        <v>amit.sharma@company.com</v>
      </c>
      <c r="D247" s="46" t="str">
        <f t="shared" si="3"/>
        <v>Valid</v>
      </c>
    </row>
    <row r="248" spans="1:4" x14ac:dyDescent="0.35">
      <c r="A248" s="42" t="str">
        <v>Rohit Singh</v>
      </c>
      <c r="B248" s="43" t="str">
        <v>Roh003Ko</v>
      </c>
      <c r="C248" s="45" t="str">
        <v>rohit.singh@company.com</v>
      </c>
      <c r="D248" s="46" t="str">
        <f t="shared" si="3"/>
        <v>Valid</v>
      </c>
    </row>
    <row r="249" spans="1:4" x14ac:dyDescent="0.35">
      <c r="A249" s="42" t="str">
        <v>Mohit Verma</v>
      </c>
      <c r="B249" s="43" t="str">
        <v>Moh009Mu</v>
      </c>
      <c r="C249" s="45" t="str">
        <v>mohit.verma@company.com</v>
      </c>
      <c r="D249" s="46" t="str">
        <f t="shared" si="3"/>
        <v>Valid</v>
      </c>
    </row>
    <row r="250" spans="1:4" x14ac:dyDescent="0.35">
      <c r="A250" s="42" t="str">
        <v>Mohit Verma</v>
      </c>
      <c r="B250" s="43" t="str">
        <v>Moh009Be</v>
      </c>
      <c r="C250" s="45" t="str">
        <v>mohit.verma@company.com</v>
      </c>
      <c r="D250" s="46" t="str">
        <f t="shared" si="3"/>
        <v>Valid</v>
      </c>
    </row>
    <row r="251" spans="1:4" x14ac:dyDescent="0.35">
      <c r="A251" s="42" t="str">
        <v>Amit Sharma</v>
      </c>
      <c r="B251" s="43" t="str">
        <v>Ami001Be</v>
      </c>
      <c r="C251" s="45" t="str">
        <v>amit.sharma@company.com</v>
      </c>
      <c r="D251" s="46" t="str">
        <f t="shared" si="3"/>
        <v>Valid</v>
      </c>
    </row>
    <row r="252" spans="1:4" x14ac:dyDescent="0.35">
      <c r="A252" s="42" t="str">
        <v>Vikas Mehta</v>
      </c>
      <c r="B252" s="43" t="str">
        <v>Vik005De</v>
      </c>
      <c r="C252" s="45" t="str">
        <v>vikas.mehta@company.com</v>
      </c>
      <c r="D252" s="46" t="str">
        <f t="shared" si="3"/>
        <v>Valid</v>
      </c>
    </row>
    <row r="253" spans="1:4" x14ac:dyDescent="0.35">
      <c r="A253" s="42" t="str">
        <v>Kavya Nair</v>
      </c>
      <c r="B253" s="43" t="str">
        <v>Kav008Ko</v>
      </c>
      <c r="C253" s="45" t="str">
        <v>kavya.nair@company.com</v>
      </c>
      <c r="D253" s="46" t="str">
        <f t="shared" si="3"/>
        <v>Valid</v>
      </c>
    </row>
    <row r="254" spans="1:4" x14ac:dyDescent="0.35">
      <c r="A254" s="42" t="str">
        <v>Amit Sharma</v>
      </c>
      <c r="B254" s="43" t="str">
        <v>Ami001De</v>
      </c>
      <c r="C254" s="45" t="str">
        <v>amit.sharma@company.com</v>
      </c>
      <c r="D254" s="46" t="str">
        <f t="shared" si="3"/>
        <v>Valid</v>
      </c>
    </row>
    <row r="255" spans="1:4" x14ac:dyDescent="0.35">
      <c r="A255" s="42" t="str">
        <v>Rohit Singh</v>
      </c>
      <c r="B255" s="43" t="str">
        <v>Roh003Ko</v>
      </c>
      <c r="C255" s="45" t="str">
        <v>rohit.singh@company.com</v>
      </c>
      <c r="D255" s="46" t="str">
        <f t="shared" si="3"/>
        <v>Valid</v>
      </c>
    </row>
    <row r="256" spans="1:4" x14ac:dyDescent="0.35">
      <c r="A256" s="42" t="str">
        <v>Vikas Mehta</v>
      </c>
      <c r="B256" s="43" t="str">
        <v>Vik005Pu</v>
      </c>
      <c r="C256" s="45" t="str">
        <v>vikas.mehta@company.com</v>
      </c>
      <c r="D256" s="46" t="str">
        <f t="shared" si="3"/>
        <v>Valid</v>
      </c>
    </row>
    <row r="257" spans="1:4" x14ac:dyDescent="0.35">
      <c r="A257" s="42" t="str">
        <v>Vikas Mehta</v>
      </c>
      <c r="B257" s="43" t="str">
        <v>Vik005Hy</v>
      </c>
      <c r="C257" s="45" t="str">
        <v>vikas.mehta@company.com</v>
      </c>
      <c r="D257" s="46" t="str">
        <f t="shared" si="3"/>
        <v>Valid</v>
      </c>
    </row>
    <row r="258" spans="1:4" x14ac:dyDescent="0.35">
      <c r="A258" s="42" t="str">
        <v>Rohit Singh</v>
      </c>
      <c r="B258" s="43" t="str">
        <v>Roh003Hy</v>
      </c>
      <c r="C258" s="45" t="str">
        <v>rohit.singh@company.com</v>
      </c>
      <c r="D258" s="46" t="str">
        <f t="shared" si="3"/>
        <v>Valid</v>
      </c>
    </row>
    <row r="259" spans="1:4" x14ac:dyDescent="0.35">
      <c r="A259" s="42" t="str">
        <v>Kavya Nair</v>
      </c>
      <c r="B259" s="43" t="str">
        <v>Kav008Be</v>
      </c>
      <c r="C259" s="45" t="str">
        <v>kavya.nair@company.com</v>
      </c>
      <c r="D259" s="46" t="str">
        <f t="shared" ref="D259:D322" si="4">IF(ISNUMBER(SEARCH("@", C259)), "Valid", "Invalid Email")</f>
        <v>Valid</v>
      </c>
    </row>
    <row r="260" spans="1:4" x14ac:dyDescent="0.35">
      <c r="A260" s="42" t="str">
        <v>Kavya Nair</v>
      </c>
      <c r="B260" s="43" t="str">
        <v>Kav008Mu</v>
      </c>
      <c r="C260" s="45" t="str">
        <v>kavya.nair@company.com</v>
      </c>
      <c r="D260" s="46" t="str">
        <f t="shared" si="4"/>
        <v>Valid</v>
      </c>
    </row>
    <row r="261" spans="1:4" x14ac:dyDescent="0.35">
      <c r="A261" s="42" t="str">
        <v>Arjun Rao</v>
      </c>
      <c r="B261" s="43" t="str">
        <v>Arj007Ja</v>
      </c>
      <c r="C261" s="45" t="str">
        <v>arjun.rao@company.com</v>
      </c>
      <c r="D261" s="46" t="str">
        <f t="shared" si="4"/>
        <v>Valid</v>
      </c>
    </row>
    <row r="262" spans="1:4" x14ac:dyDescent="0.35">
      <c r="A262" s="42" t="str">
        <v>Kavya Nair</v>
      </c>
      <c r="B262" s="43" t="str">
        <v>Kav008Ko</v>
      </c>
      <c r="C262" s="45" t="str">
        <v>kavya.nair@company.com</v>
      </c>
      <c r="D262" s="46" t="str">
        <f t="shared" si="4"/>
        <v>Valid</v>
      </c>
    </row>
    <row r="263" spans="1:4" x14ac:dyDescent="0.35">
      <c r="A263" s="42" t="str">
        <v>Amit Sharma</v>
      </c>
      <c r="B263" s="43" t="str">
        <v>Ami001Pu</v>
      </c>
      <c r="C263" s="45" t="str">
        <v>amit.sharma@company.com</v>
      </c>
      <c r="D263" s="46" t="str">
        <f t="shared" si="4"/>
        <v>Valid</v>
      </c>
    </row>
    <row r="264" spans="1:4" x14ac:dyDescent="0.35">
      <c r="A264" s="42" t="str">
        <v>Sneha Joshi</v>
      </c>
      <c r="B264" s="43" t="str">
        <v>Sne006Ko</v>
      </c>
      <c r="C264" s="45" t="str">
        <v>sneha.joshi@company.com</v>
      </c>
      <c r="D264" s="46" t="str">
        <f t="shared" si="4"/>
        <v>Valid</v>
      </c>
    </row>
    <row r="265" spans="1:4" x14ac:dyDescent="0.35">
      <c r="A265" s="42" t="str">
        <v>Kavya Nair</v>
      </c>
      <c r="B265" s="43" t="str">
        <v>Kav008Ah</v>
      </c>
      <c r="C265" s="45" t="str">
        <v>kavya.nair@company.com</v>
      </c>
      <c r="D265" s="46" t="str">
        <f t="shared" si="4"/>
        <v>Valid</v>
      </c>
    </row>
    <row r="266" spans="1:4" x14ac:dyDescent="0.35">
      <c r="A266" s="42" t="str">
        <v>Mohit Verma</v>
      </c>
      <c r="B266" s="43" t="str">
        <v>Moh009De</v>
      </c>
      <c r="C266" s="45" t="str">
        <v>mohit.verma@company.com</v>
      </c>
      <c r="D266" s="46" t="str">
        <f t="shared" si="4"/>
        <v>Valid</v>
      </c>
    </row>
    <row r="267" spans="1:4" x14ac:dyDescent="0.35">
      <c r="A267" s="42" t="str">
        <v>Kavya Nair</v>
      </c>
      <c r="B267" s="43" t="str">
        <v>Kav008Ja</v>
      </c>
      <c r="C267" s="45" t="str">
        <v>kavya.nair@company.com</v>
      </c>
      <c r="D267" s="46" t="str">
        <f t="shared" si="4"/>
        <v>Valid</v>
      </c>
    </row>
    <row r="268" spans="1:4" x14ac:dyDescent="0.35">
      <c r="A268" s="42" t="str">
        <v>Pooja Shah</v>
      </c>
      <c r="B268" s="43" t="str">
        <v>Poo010Mu</v>
      </c>
      <c r="C268" s="45" t="str">
        <v>pooja.shah@company.com</v>
      </c>
      <c r="D268" s="46" t="str">
        <f t="shared" si="4"/>
        <v>Valid</v>
      </c>
    </row>
    <row r="269" spans="1:4" x14ac:dyDescent="0.35">
      <c r="A269" s="42" t="str">
        <v>Rohit Singh</v>
      </c>
      <c r="B269" s="43" t="str">
        <v>Roh003Hy</v>
      </c>
      <c r="C269" s="45" t="str">
        <v>rohit.singh@company.com</v>
      </c>
      <c r="D269" s="46" t="str">
        <f t="shared" si="4"/>
        <v>Valid</v>
      </c>
    </row>
    <row r="270" spans="1:4" x14ac:dyDescent="0.35">
      <c r="A270" s="42" t="str">
        <v>Sneha Joshi</v>
      </c>
      <c r="B270" s="43" t="str">
        <v>Sne006Ja</v>
      </c>
      <c r="C270" s="45" t="str">
        <v>sneha.joshi@company.com</v>
      </c>
      <c r="D270" s="46" t="str">
        <f t="shared" si="4"/>
        <v>Valid</v>
      </c>
    </row>
    <row r="271" spans="1:4" x14ac:dyDescent="0.35">
      <c r="A271" s="42" t="str">
        <v>Mohit Verma</v>
      </c>
      <c r="B271" s="43" t="str">
        <v>Moh009Ko</v>
      </c>
      <c r="C271" s="45" t="str">
        <v>mohit.verma@company.com</v>
      </c>
      <c r="D271" s="46" t="str">
        <f t="shared" si="4"/>
        <v>Valid</v>
      </c>
    </row>
    <row r="272" spans="1:4" x14ac:dyDescent="0.35">
      <c r="A272" s="42" t="str">
        <v>Rohit Singh</v>
      </c>
      <c r="B272" s="43" t="str">
        <v>Roh003Ah</v>
      </c>
      <c r="C272" s="45" t="str">
        <v>rohit.singh@company.com</v>
      </c>
      <c r="D272" s="46" t="str">
        <f t="shared" si="4"/>
        <v>Valid</v>
      </c>
    </row>
    <row r="273" spans="1:4" x14ac:dyDescent="0.35">
      <c r="A273" s="42" t="str">
        <v>Kavya Nair</v>
      </c>
      <c r="B273" s="43" t="str">
        <v>Kav008Mu</v>
      </c>
      <c r="C273" s="45" t="str">
        <v>kavya.nair@company.com</v>
      </c>
      <c r="D273" s="46" t="str">
        <f t="shared" si="4"/>
        <v>Valid</v>
      </c>
    </row>
    <row r="274" spans="1:4" x14ac:dyDescent="0.35">
      <c r="A274" s="42" t="str">
        <v>Arjun Rao</v>
      </c>
      <c r="B274" s="43" t="str">
        <v>Arj007Ja</v>
      </c>
      <c r="C274" s="45" t="str">
        <v>arjun.rao@company.com</v>
      </c>
      <c r="D274" s="46" t="str">
        <f t="shared" si="4"/>
        <v>Valid</v>
      </c>
    </row>
    <row r="275" spans="1:4" x14ac:dyDescent="0.35">
      <c r="A275" s="42" t="str">
        <v>Pooja Shah</v>
      </c>
      <c r="B275" s="43" t="str">
        <v>Poo010Pu</v>
      </c>
      <c r="C275" s="45" t="str">
        <v>pooja.shah@company.com</v>
      </c>
      <c r="D275" s="46" t="str">
        <f t="shared" si="4"/>
        <v>Valid</v>
      </c>
    </row>
    <row r="276" spans="1:4" x14ac:dyDescent="0.35">
      <c r="A276" s="42" t="str">
        <v>Vikas Mehta</v>
      </c>
      <c r="B276" s="43" t="str">
        <v>Vik005Ko</v>
      </c>
      <c r="C276" s="45" t="str">
        <v>vikas.mehta@company.com</v>
      </c>
      <c r="D276" s="46" t="str">
        <f t="shared" si="4"/>
        <v>Valid</v>
      </c>
    </row>
    <row r="277" spans="1:4" x14ac:dyDescent="0.35">
      <c r="A277" s="42" t="str">
        <v>Priya Patel</v>
      </c>
      <c r="B277" s="43" t="str">
        <v>Pri002Ah</v>
      </c>
      <c r="C277" s="45" t="str">
        <v>priya.patel@company.com</v>
      </c>
      <c r="D277" s="46" t="str">
        <f t="shared" si="4"/>
        <v>Valid</v>
      </c>
    </row>
    <row r="278" spans="1:4" x14ac:dyDescent="0.35">
      <c r="A278" s="42" t="str">
        <v>Arjun Rao</v>
      </c>
      <c r="B278" s="43" t="str">
        <v>Arj007Be</v>
      </c>
      <c r="C278" s="45" t="str">
        <v>arjun.rao@company.com</v>
      </c>
      <c r="D278" s="46" t="str">
        <f t="shared" si="4"/>
        <v>Valid</v>
      </c>
    </row>
    <row r="279" spans="1:4" x14ac:dyDescent="0.35">
      <c r="A279" s="42" t="str">
        <v>Anita Gupta</v>
      </c>
      <c r="B279" s="43" t="str">
        <v>Ani004Mu</v>
      </c>
      <c r="C279" s="45" t="str">
        <v>anita.gupta@company.com</v>
      </c>
      <c r="D279" s="46" t="str">
        <f t="shared" si="4"/>
        <v>Valid</v>
      </c>
    </row>
    <row r="280" spans="1:4" x14ac:dyDescent="0.35">
      <c r="A280" s="42" t="str">
        <v>Priya Patel</v>
      </c>
      <c r="B280" s="43" t="str">
        <v>Pri002Mu</v>
      </c>
      <c r="C280" s="45" t="str">
        <v>priya.patel@company.com</v>
      </c>
      <c r="D280" s="46" t="str">
        <f t="shared" si="4"/>
        <v>Valid</v>
      </c>
    </row>
    <row r="281" spans="1:4" x14ac:dyDescent="0.35">
      <c r="A281" s="42" t="str">
        <v>Sneha Joshi</v>
      </c>
      <c r="B281" s="43" t="str">
        <v>Sne006Ah</v>
      </c>
      <c r="C281" s="45" t="str">
        <v>sneha.joshi@company.com</v>
      </c>
      <c r="D281" s="46" t="str">
        <f t="shared" si="4"/>
        <v>Valid</v>
      </c>
    </row>
    <row r="282" spans="1:4" x14ac:dyDescent="0.35">
      <c r="A282" s="42" t="str">
        <v>Mohit Verma</v>
      </c>
      <c r="B282" s="43" t="str">
        <v>Moh009Ja</v>
      </c>
      <c r="C282" s="45" t="str">
        <v>mohit.verma@company.com</v>
      </c>
      <c r="D282" s="46" t="str">
        <f t="shared" si="4"/>
        <v>Valid</v>
      </c>
    </row>
    <row r="283" spans="1:4" x14ac:dyDescent="0.35">
      <c r="A283" s="42" t="str">
        <v>Sneha Joshi</v>
      </c>
      <c r="B283" s="43" t="str">
        <v>Sne006Ja</v>
      </c>
      <c r="C283" s="45" t="str">
        <v>sneha.joshi@company.com</v>
      </c>
      <c r="D283" s="46" t="str">
        <f t="shared" si="4"/>
        <v>Valid</v>
      </c>
    </row>
    <row r="284" spans="1:4" x14ac:dyDescent="0.35">
      <c r="A284" s="42" t="str">
        <v>Arjun Rao</v>
      </c>
      <c r="B284" s="43" t="str">
        <v>Arj007Mu</v>
      </c>
      <c r="C284" s="45" t="str">
        <v>arjun.rao@company.com</v>
      </c>
      <c r="D284" s="46" t="str">
        <f t="shared" si="4"/>
        <v>Valid</v>
      </c>
    </row>
    <row r="285" spans="1:4" x14ac:dyDescent="0.35">
      <c r="A285" s="42" t="str">
        <v>Mohit Verma</v>
      </c>
      <c r="B285" s="43" t="str">
        <v>Moh009Ah</v>
      </c>
      <c r="C285" s="45" t="str">
        <v>mohit.verma@company.com</v>
      </c>
      <c r="D285" s="46" t="str">
        <f t="shared" si="4"/>
        <v>Valid</v>
      </c>
    </row>
    <row r="286" spans="1:4" x14ac:dyDescent="0.35">
      <c r="A286" s="42" t="str">
        <v>Sneha Joshi</v>
      </c>
      <c r="B286" s="43" t="str">
        <v>Sne006Hy</v>
      </c>
      <c r="C286" s="45" t="str">
        <v>sneha.joshi@company.com</v>
      </c>
      <c r="D286" s="46" t="str">
        <f t="shared" si="4"/>
        <v>Valid</v>
      </c>
    </row>
    <row r="287" spans="1:4" x14ac:dyDescent="0.35">
      <c r="A287" s="42" t="str">
        <v>Sneha Joshi</v>
      </c>
      <c r="B287" s="43" t="str">
        <v>Sne006Be</v>
      </c>
      <c r="C287" s="45" t="str">
        <v>sneha.joshi@company.com</v>
      </c>
      <c r="D287" s="46" t="str">
        <f t="shared" si="4"/>
        <v>Valid</v>
      </c>
    </row>
    <row r="288" spans="1:4" x14ac:dyDescent="0.35">
      <c r="A288" s="42" t="str">
        <v>Anita Gupta</v>
      </c>
      <c r="B288" s="43" t="str">
        <v>Ani004Hy</v>
      </c>
      <c r="C288" s="45" t="str">
        <v>anita.gupta@company.com</v>
      </c>
      <c r="D288" s="46" t="str">
        <f t="shared" si="4"/>
        <v>Valid</v>
      </c>
    </row>
    <row r="289" spans="1:4" x14ac:dyDescent="0.35">
      <c r="A289" s="42" t="str">
        <v>Priya Patel</v>
      </c>
      <c r="B289" s="43" t="str">
        <v>Pri002Mu</v>
      </c>
      <c r="C289" s="45" t="str">
        <v>priya.patecompany.com</v>
      </c>
      <c r="D289" s="46" t="str">
        <f t="shared" si="4"/>
        <v>Invalid Email</v>
      </c>
    </row>
    <row r="290" spans="1:4" x14ac:dyDescent="0.35">
      <c r="A290" s="42" t="str">
        <v>Mohit Verma</v>
      </c>
      <c r="B290" s="43" t="str">
        <v>Moh009Pu</v>
      </c>
      <c r="C290" s="45" t="str">
        <v>mohit.verma@company.com</v>
      </c>
      <c r="D290" s="46" t="str">
        <f t="shared" si="4"/>
        <v>Valid</v>
      </c>
    </row>
    <row r="291" spans="1:4" x14ac:dyDescent="0.35">
      <c r="A291" s="42" t="str">
        <v>Mohit Verma</v>
      </c>
      <c r="B291" s="43" t="str">
        <v>Moh009Pu</v>
      </c>
      <c r="C291" s="45" t="str">
        <v>mohit.verma@company.com</v>
      </c>
      <c r="D291" s="46" t="str">
        <f t="shared" si="4"/>
        <v>Valid</v>
      </c>
    </row>
    <row r="292" spans="1:4" x14ac:dyDescent="0.35">
      <c r="A292" s="42" t="str">
        <v>Rohit Singh</v>
      </c>
      <c r="B292" s="43" t="str">
        <v>Roh003Mu</v>
      </c>
      <c r="C292" s="45" t="str">
        <v>rohit.singh@company.com</v>
      </c>
      <c r="D292" s="46" t="str">
        <f t="shared" si="4"/>
        <v>Valid</v>
      </c>
    </row>
    <row r="293" spans="1:4" x14ac:dyDescent="0.35">
      <c r="A293" s="42" t="str">
        <v>Amit Sharma</v>
      </c>
      <c r="B293" s="43" t="str">
        <v>Ami001Ja</v>
      </c>
      <c r="C293" s="45" t="str">
        <v>amit.sharma@company.com</v>
      </c>
      <c r="D293" s="46" t="str">
        <f t="shared" si="4"/>
        <v>Valid</v>
      </c>
    </row>
    <row r="294" spans="1:4" x14ac:dyDescent="0.35">
      <c r="A294" s="42" t="str">
        <v>Pooja Shah</v>
      </c>
      <c r="B294" s="43" t="str">
        <v>Poo010Ja</v>
      </c>
      <c r="C294" s="45" t="str">
        <v>pooja.shah@company.com</v>
      </c>
      <c r="D294" s="46" t="str">
        <f t="shared" si="4"/>
        <v>Valid</v>
      </c>
    </row>
    <row r="295" spans="1:4" x14ac:dyDescent="0.35">
      <c r="A295" s="42" t="str">
        <v>Kavya Nair</v>
      </c>
      <c r="B295" s="43" t="str">
        <v>Kav008Ah</v>
      </c>
      <c r="C295" s="45" t="str">
        <v>kavya.nair@company.com</v>
      </c>
      <c r="D295" s="46" t="str">
        <f t="shared" si="4"/>
        <v>Valid</v>
      </c>
    </row>
    <row r="296" spans="1:4" x14ac:dyDescent="0.35">
      <c r="A296" s="42" t="str">
        <v>Anita Gupta</v>
      </c>
      <c r="B296" s="43" t="str">
        <v>Ani004Mu</v>
      </c>
      <c r="C296" s="45" t="str">
        <v>anita.gupta@company.com</v>
      </c>
      <c r="D296" s="46" t="str">
        <f t="shared" si="4"/>
        <v>Valid</v>
      </c>
    </row>
    <row r="297" spans="1:4" x14ac:dyDescent="0.35">
      <c r="A297" s="42" t="str">
        <v>Priya Patel</v>
      </c>
      <c r="B297" s="43" t="str">
        <v>Pri002De</v>
      </c>
      <c r="C297" s="45" t="str">
        <v>priya.patel@company.com</v>
      </c>
      <c r="D297" s="46" t="str">
        <f t="shared" si="4"/>
        <v>Valid</v>
      </c>
    </row>
    <row r="298" spans="1:4" x14ac:dyDescent="0.35">
      <c r="A298" s="42" t="str">
        <v>Amit Sharma</v>
      </c>
      <c r="B298" s="43" t="str">
        <v>Ami001Ah</v>
      </c>
      <c r="C298" s="45" t="str">
        <v>amit.sharma@company.com</v>
      </c>
      <c r="D298" s="46" t="str">
        <f t="shared" si="4"/>
        <v>Valid</v>
      </c>
    </row>
    <row r="299" spans="1:4" x14ac:dyDescent="0.35">
      <c r="A299" s="42" t="str">
        <v>Rohit Singh</v>
      </c>
      <c r="B299" s="43" t="str">
        <v>Roh003Hy</v>
      </c>
      <c r="C299" s="45" t="str">
        <v>rohit.singh@company.com</v>
      </c>
      <c r="D299" s="46" t="str">
        <f t="shared" si="4"/>
        <v>Valid</v>
      </c>
    </row>
    <row r="300" spans="1:4" x14ac:dyDescent="0.35">
      <c r="A300" s="42" t="str">
        <v>Arjun Rao</v>
      </c>
      <c r="B300" s="43" t="str">
        <v>Arj007Ja</v>
      </c>
      <c r="C300" s="45" t="str">
        <v>arjun.rao@company.com</v>
      </c>
      <c r="D300" s="46" t="str">
        <f t="shared" si="4"/>
        <v>Valid</v>
      </c>
    </row>
    <row r="301" spans="1:4" x14ac:dyDescent="0.35">
      <c r="A301" s="42" t="str">
        <v>Mohit Verma</v>
      </c>
      <c r="B301" s="43" t="str">
        <v>Moh009Hy</v>
      </c>
      <c r="C301" s="45" t="str">
        <v>mohit.verma@company.com</v>
      </c>
      <c r="D301" s="46" t="str">
        <f t="shared" si="4"/>
        <v>Valid</v>
      </c>
    </row>
    <row r="302" spans="1:4" x14ac:dyDescent="0.35">
      <c r="A302" s="42" t="str">
        <v>Amit Sharma</v>
      </c>
      <c r="B302" s="43" t="str">
        <v>Ami001Be</v>
      </c>
      <c r="C302" s="45" t="str">
        <v>amit.sharma@company.com</v>
      </c>
      <c r="D302" s="46" t="str">
        <f t="shared" si="4"/>
        <v>Valid</v>
      </c>
    </row>
    <row r="303" spans="1:4" x14ac:dyDescent="0.35">
      <c r="A303" s="42" t="str">
        <v>Rohit Singh</v>
      </c>
      <c r="B303" s="43" t="str">
        <v>Roh003Be</v>
      </c>
      <c r="C303" s="45" t="str">
        <v>rohit.singh@company.com</v>
      </c>
      <c r="D303" s="46" t="str">
        <f t="shared" si="4"/>
        <v>Valid</v>
      </c>
    </row>
    <row r="304" spans="1:4" x14ac:dyDescent="0.35">
      <c r="A304" s="42" t="str">
        <v>Sneha Joshi</v>
      </c>
      <c r="B304" s="43" t="str">
        <v>Sne006De</v>
      </c>
      <c r="C304" s="45" t="str">
        <v>sneha.joshi@company.com</v>
      </c>
      <c r="D304" s="46" t="str">
        <f t="shared" si="4"/>
        <v>Valid</v>
      </c>
    </row>
    <row r="305" spans="1:4" x14ac:dyDescent="0.35">
      <c r="A305" s="42" t="str">
        <v>Kavya Nair</v>
      </c>
      <c r="B305" s="43" t="str">
        <v>Kav008Ah</v>
      </c>
      <c r="C305" s="45" t="str">
        <v>kavya.nair@company.com</v>
      </c>
      <c r="D305" s="46" t="str">
        <f t="shared" si="4"/>
        <v>Valid</v>
      </c>
    </row>
    <row r="306" spans="1:4" x14ac:dyDescent="0.35">
      <c r="A306" s="42" t="str">
        <v>Vikas Mehta</v>
      </c>
      <c r="B306" s="43" t="str">
        <v>Vik005Ja</v>
      </c>
      <c r="C306" s="45" t="str">
        <v>vikas.mehta@company.com</v>
      </c>
      <c r="D306" s="46" t="str">
        <f t="shared" si="4"/>
        <v>Valid</v>
      </c>
    </row>
    <row r="307" spans="1:4" x14ac:dyDescent="0.35">
      <c r="A307" s="42" t="str">
        <v>Kavya Nair</v>
      </c>
      <c r="B307" s="43" t="str">
        <v>Kav008Hy</v>
      </c>
      <c r="C307" s="45" t="str">
        <v>kavya.nair@company.com</v>
      </c>
      <c r="D307" s="46" t="str">
        <f t="shared" si="4"/>
        <v>Valid</v>
      </c>
    </row>
    <row r="308" spans="1:4" x14ac:dyDescent="0.35">
      <c r="A308" s="42" t="str">
        <v>Sneha Joshi</v>
      </c>
      <c r="B308" s="43" t="str">
        <v>Sne006Mu</v>
      </c>
      <c r="C308" s="45" t="str">
        <v>sneha.joshi@company.com</v>
      </c>
      <c r="D308" s="46" t="str">
        <f t="shared" si="4"/>
        <v>Valid</v>
      </c>
    </row>
    <row r="309" spans="1:4" x14ac:dyDescent="0.35">
      <c r="A309" s="42" t="str">
        <v>Sneha Joshi</v>
      </c>
      <c r="B309" s="43" t="str">
        <v>Sne006Pu</v>
      </c>
      <c r="C309" s="45" t="str">
        <v>sneha.joshi@company.com</v>
      </c>
      <c r="D309" s="46" t="str">
        <f t="shared" si="4"/>
        <v>Valid</v>
      </c>
    </row>
    <row r="310" spans="1:4" x14ac:dyDescent="0.35">
      <c r="A310" s="42" t="str">
        <v>Pooja Shah</v>
      </c>
      <c r="B310" s="43" t="str">
        <v>Poo010Hy</v>
      </c>
      <c r="C310" s="45" t="str">
        <v>pooja.shah@company.com</v>
      </c>
      <c r="D310" s="46" t="str">
        <f t="shared" si="4"/>
        <v>Valid</v>
      </c>
    </row>
    <row r="311" spans="1:4" x14ac:dyDescent="0.35">
      <c r="A311" s="42" t="str">
        <v>Mohit Verma</v>
      </c>
      <c r="B311" s="43" t="str">
        <v>Moh009Ah</v>
      </c>
      <c r="C311" s="45" t="str">
        <v>mohit.verma@company.com</v>
      </c>
      <c r="D311" s="46" t="str">
        <f t="shared" si="4"/>
        <v>Valid</v>
      </c>
    </row>
    <row r="312" spans="1:4" x14ac:dyDescent="0.35">
      <c r="A312" s="42" t="str">
        <v>Vikas Mehta</v>
      </c>
      <c r="B312" s="43" t="str">
        <v>Vik005De</v>
      </c>
      <c r="C312" s="45" t="str">
        <v>vikas.mehta@company.com</v>
      </c>
      <c r="D312" s="46" t="str">
        <f t="shared" si="4"/>
        <v>Valid</v>
      </c>
    </row>
    <row r="313" spans="1:4" x14ac:dyDescent="0.35">
      <c r="A313" s="42" t="str">
        <v>Priya Patel</v>
      </c>
      <c r="B313" s="43" t="str">
        <v>Pri002Ko</v>
      </c>
      <c r="C313" s="45" t="str">
        <v>priya.patel@company.com</v>
      </c>
      <c r="D313" s="46" t="str">
        <f t="shared" si="4"/>
        <v>Valid</v>
      </c>
    </row>
    <row r="314" spans="1:4" x14ac:dyDescent="0.35">
      <c r="A314" s="42" t="str">
        <v>Pooja Shah</v>
      </c>
      <c r="B314" s="43" t="str">
        <v>Poo010Ja</v>
      </c>
      <c r="C314" s="45" t="str">
        <v>pooja.shah@company.com</v>
      </c>
      <c r="D314" s="46" t="str">
        <f t="shared" si="4"/>
        <v>Valid</v>
      </c>
    </row>
    <row r="315" spans="1:4" x14ac:dyDescent="0.35">
      <c r="A315" s="42" t="str">
        <v>Mohit Verma</v>
      </c>
      <c r="B315" s="43" t="str">
        <v>Moh009Pu</v>
      </c>
      <c r="C315" s="45" t="str">
        <v>mohit.verma@company.com</v>
      </c>
      <c r="D315" s="46" t="str">
        <f t="shared" si="4"/>
        <v>Valid</v>
      </c>
    </row>
    <row r="316" spans="1:4" x14ac:dyDescent="0.35">
      <c r="A316" s="42" t="str">
        <v>Priya Patel</v>
      </c>
      <c r="B316" s="43" t="str">
        <v>Pri002Be</v>
      </c>
      <c r="C316" s="45" t="str">
        <v>priya.patel@company.com</v>
      </c>
      <c r="D316" s="46" t="str">
        <f t="shared" si="4"/>
        <v>Valid</v>
      </c>
    </row>
    <row r="317" spans="1:4" x14ac:dyDescent="0.35">
      <c r="A317" s="42" t="str">
        <v>Arjun Rao</v>
      </c>
      <c r="B317" s="43" t="str">
        <v>Arj007Ja</v>
      </c>
      <c r="C317" s="45" t="str">
        <v>arjun.rao@company.com</v>
      </c>
      <c r="D317" s="46" t="str">
        <f t="shared" si="4"/>
        <v>Valid</v>
      </c>
    </row>
    <row r="318" spans="1:4" x14ac:dyDescent="0.35">
      <c r="A318" s="42" t="str">
        <v>Arjun Rao</v>
      </c>
      <c r="B318" s="43" t="str">
        <v>Arj007Be</v>
      </c>
      <c r="C318" s="45" t="str">
        <v>arjun.rao@company.com</v>
      </c>
      <c r="D318" s="46" t="str">
        <f t="shared" si="4"/>
        <v>Valid</v>
      </c>
    </row>
    <row r="319" spans="1:4" x14ac:dyDescent="0.35">
      <c r="A319" s="42" t="str">
        <v>Anita Gupta</v>
      </c>
      <c r="B319" s="43" t="str">
        <v>Ani004De</v>
      </c>
      <c r="C319" s="45" t="str">
        <v>anita.gupta@company.com</v>
      </c>
      <c r="D319" s="46" t="str">
        <f t="shared" si="4"/>
        <v>Valid</v>
      </c>
    </row>
    <row r="320" spans="1:4" x14ac:dyDescent="0.35">
      <c r="A320" s="42" t="str">
        <v>Priya Patel</v>
      </c>
      <c r="B320" s="43" t="str">
        <v>Pri002Ja</v>
      </c>
      <c r="C320" s="45" t="str">
        <v>priya.patel@company.com</v>
      </c>
      <c r="D320" s="46" t="str">
        <f t="shared" si="4"/>
        <v>Valid</v>
      </c>
    </row>
    <row r="321" spans="1:4" x14ac:dyDescent="0.35">
      <c r="A321" s="42" t="str">
        <v>Vikas Mehta</v>
      </c>
      <c r="B321" s="43" t="str">
        <v>Vik005De</v>
      </c>
      <c r="C321" s="45" t="str">
        <v>vikas.mehta@company.com</v>
      </c>
      <c r="D321" s="46" t="str">
        <f t="shared" si="4"/>
        <v>Valid</v>
      </c>
    </row>
    <row r="322" spans="1:4" x14ac:dyDescent="0.35">
      <c r="A322" s="42" t="str">
        <v>Amit Sharma</v>
      </c>
      <c r="B322" s="43" t="str">
        <v>Ami001Ja</v>
      </c>
      <c r="C322" s="45" t="str">
        <v>amit.sharma@company.com</v>
      </c>
      <c r="D322" s="46" t="str">
        <f t="shared" si="4"/>
        <v>Valid</v>
      </c>
    </row>
    <row r="323" spans="1:4" x14ac:dyDescent="0.35">
      <c r="A323" s="42" t="str">
        <v>Arjun Rao</v>
      </c>
      <c r="B323" s="43" t="str">
        <v>Arj007Pu</v>
      </c>
      <c r="C323" s="45" t="str">
        <v>arjun.rao@company.com</v>
      </c>
      <c r="D323" s="46" t="str">
        <f t="shared" ref="D323:D386" si="5">IF(ISNUMBER(SEARCH("@", C323)), "Valid", "Invalid Email")</f>
        <v>Valid</v>
      </c>
    </row>
    <row r="324" spans="1:4" x14ac:dyDescent="0.35">
      <c r="A324" s="42" t="str">
        <v>Kavya Nair</v>
      </c>
      <c r="B324" s="43" t="str">
        <v>Kav008Ah</v>
      </c>
      <c r="C324" s="45" t="str">
        <v>kavya.nair@company.com</v>
      </c>
      <c r="D324" s="46" t="str">
        <f t="shared" si="5"/>
        <v>Valid</v>
      </c>
    </row>
    <row r="325" spans="1:4" x14ac:dyDescent="0.35">
      <c r="A325" s="42" t="str">
        <v>Sneha Joshi</v>
      </c>
      <c r="B325" s="43" t="str">
        <v>Sne006Mu</v>
      </c>
      <c r="C325" s="45" t="str">
        <v>sneha.joshi@company.com</v>
      </c>
      <c r="D325" s="46" t="str">
        <f t="shared" si="5"/>
        <v>Valid</v>
      </c>
    </row>
    <row r="326" spans="1:4" x14ac:dyDescent="0.35">
      <c r="A326" s="42" t="str">
        <v>Sneha Joshi</v>
      </c>
      <c r="B326" s="43" t="str">
        <v>Sne006Ah</v>
      </c>
      <c r="C326" s="45" t="str">
        <v>sneha.joshi@company.com</v>
      </c>
      <c r="D326" s="46" t="str">
        <f t="shared" si="5"/>
        <v>Valid</v>
      </c>
    </row>
    <row r="327" spans="1:4" x14ac:dyDescent="0.35">
      <c r="A327" s="42" t="str">
        <v>Sneha Joshi</v>
      </c>
      <c r="B327" s="43" t="str">
        <v>Sne006Mu</v>
      </c>
      <c r="C327" s="45" t="str">
        <v>sneha.joshi@company.com</v>
      </c>
      <c r="D327" s="46" t="str">
        <f t="shared" si="5"/>
        <v>Valid</v>
      </c>
    </row>
    <row r="328" spans="1:4" x14ac:dyDescent="0.35">
      <c r="A328" s="42" t="str">
        <v>Arjun Rao</v>
      </c>
      <c r="B328" s="43" t="str">
        <v>Arj007Be</v>
      </c>
      <c r="C328" s="45" t="str">
        <v>arjun.rao@company.com</v>
      </c>
      <c r="D328" s="46" t="str">
        <f t="shared" si="5"/>
        <v>Valid</v>
      </c>
    </row>
    <row r="329" spans="1:4" x14ac:dyDescent="0.35">
      <c r="A329" s="42" t="str">
        <v>Vikas Mehta</v>
      </c>
      <c r="B329" s="43" t="str">
        <v>Vik005Pu</v>
      </c>
      <c r="C329" s="45" t="str">
        <v>vikas.mehta@company.com</v>
      </c>
      <c r="D329" s="46" t="str">
        <f t="shared" si="5"/>
        <v>Valid</v>
      </c>
    </row>
    <row r="330" spans="1:4" x14ac:dyDescent="0.35">
      <c r="A330" s="42" t="str">
        <v>Anita Gupta</v>
      </c>
      <c r="B330" s="43" t="str">
        <v>Ani004De</v>
      </c>
      <c r="C330" s="45" t="str">
        <v>anita.gupta@company.com</v>
      </c>
      <c r="D330" s="46" t="str">
        <f t="shared" si="5"/>
        <v>Valid</v>
      </c>
    </row>
    <row r="331" spans="1:4" x14ac:dyDescent="0.35">
      <c r="A331" s="42" t="str">
        <v>Rohit Singh</v>
      </c>
      <c r="B331" s="43" t="str">
        <v>Roh003Hy</v>
      </c>
      <c r="C331" s="45" t="str">
        <v>rohit.singh@company.com</v>
      </c>
      <c r="D331" s="46" t="str">
        <f t="shared" si="5"/>
        <v>Valid</v>
      </c>
    </row>
    <row r="332" spans="1:4" x14ac:dyDescent="0.35">
      <c r="A332" s="42" t="str">
        <v>Pooja Shah</v>
      </c>
      <c r="B332" s="43" t="str">
        <v>Poo010Ah</v>
      </c>
      <c r="C332" s="45" t="str">
        <v>pooja.shah@company.com</v>
      </c>
      <c r="D332" s="46" t="str">
        <f t="shared" si="5"/>
        <v>Valid</v>
      </c>
    </row>
    <row r="333" spans="1:4" x14ac:dyDescent="0.35">
      <c r="A333" s="42" t="str">
        <v>Amit Sharma</v>
      </c>
      <c r="B333" s="43" t="str">
        <v>Ami001De</v>
      </c>
      <c r="C333" s="45" t="str">
        <v>amit.sharma@company.com</v>
      </c>
      <c r="D333" s="46" t="str">
        <f t="shared" si="5"/>
        <v>Valid</v>
      </c>
    </row>
    <row r="334" spans="1:4" x14ac:dyDescent="0.35">
      <c r="A334" s="42" t="str">
        <v>Pooja Shah</v>
      </c>
      <c r="B334" s="43" t="str">
        <v>Poo010Be</v>
      </c>
      <c r="C334" s="45" t="str">
        <v>pooja.shah@company.com</v>
      </c>
      <c r="D334" s="46" t="str">
        <f t="shared" si="5"/>
        <v>Valid</v>
      </c>
    </row>
    <row r="335" spans="1:4" x14ac:dyDescent="0.35">
      <c r="A335" s="42" t="str">
        <v>Kavya Nair</v>
      </c>
      <c r="B335" s="43" t="str">
        <v>Kav008Be</v>
      </c>
      <c r="C335" s="45" t="str">
        <v>kavya.nair@company.com</v>
      </c>
      <c r="D335" s="46" t="str">
        <f t="shared" si="5"/>
        <v>Valid</v>
      </c>
    </row>
    <row r="336" spans="1:4" x14ac:dyDescent="0.35">
      <c r="A336" s="42" t="str">
        <v>Kavya Nair</v>
      </c>
      <c r="B336" s="43" t="str">
        <v>Kav008Pu</v>
      </c>
      <c r="C336" s="45" t="str">
        <v>kavya.nair@company.com</v>
      </c>
      <c r="D336" s="46" t="str">
        <f t="shared" si="5"/>
        <v>Valid</v>
      </c>
    </row>
    <row r="337" spans="1:4" x14ac:dyDescent="0.35">
      <c r="A337" s="42" t="str">
        <v>Priya Patel</v>
      </c>
      <c r="B337" s="43" t="str">
        <v>Pri002Ah</v>
      </c>
      <c r="C337" s="45" t="str">
        <v>priya.patel@company.com</v>
      </c>
      <c r="D337" s="46" t="str">
        <f t="shared" si="5"/>
        <v>Valid</v>
      </c>
    </row>
    <row r="338" spans="1:4" x14ac:dyDescent="0.35">
      <c r="A338" s="42" t="str">
        <v>Rohit Singh</v>
      </c>
      <c r="B338" s="43" t="str">
        <v>Roh003Hy</v>
      </c>
      <c r="C338" s="45" t="str">
        <v>rohit.singh@company.com</v>
      </c>
      <c r="D338" s="46" t="str">
        <f t="shared" si="5"/>
        <v>Valid</v>
      </c>
    </row>
    <row r="339" spans="1:4" x14ac:dyDescent="0.35">
      <c r="A339" s="42" t="str">
        <v>Kavya Nair</v>
      </c>
      <c r="B339" s="43" t="str">
        <v>Kav008Ja</v>
      </c>
      <c r="C339" s="45" t="str">
        <v>kavya.nair@company.com</v>
      </c>
      <c r="D339" s="46" t="str">
        <f t="shared" si="5"/>
        <v>Valid</v>
      </c>
    </row>
    <row r="340" spans="1:4" x14ac:dyDescent="0.35">
      <c r="A340" s="42" t="str">
        <v>Amit Sharma</v>
      </c>
      <c r="B340" s="43" t="str">
        <v>Ami001Hy</v>
      </c>
      <c r="C340" s="45" t="str">
        <v>amit.sharma@company.com</v>
      </c>
      <c r="D340" s="46" t="str">
        <f t="shared" si="5"/>
        <v>Valid</v>
      </c>
    </row>
    <row r="341" spans="1:4" x14ac:dyDescent="0.35">
      <c r="A341" s="42" t="str">
        <v>Kavya Nair</v>
      </c>
      <c r="B341" s="43" t="str">
        <v>Kav008Ko</v>
      </c>
      <c r="C341" s="45" t="str">
        <v>kavya.nair@company.com</v>
      </c>
      <c r="D341" s="46" t="str">
        <f t="shared" si="5"/>
        <v>Valid</v>
      </c>
    </row>
    <row r="342" spans="1:4" x14ac:dyDescent="0.35">
      <c r="A342" s="42" t="str">
        <v>Rohit Singh</v>
      </c>
      <c r="B342" s="43" t="str">
        <v>Roh003De</v>
      </c>
      <c r="C342" s="45" t="str">
        <v>rohit.singh@company.com</v>
      </c>
      <c r="D342" s="46" t="str">
        <f t="shared" si="5"/>
        <v>Valid</v>
      </c>
    </row>
    <row r="343" spans="1:4" x14ac:dyDescent="0.35">
      <c r="A343" s="42" t="str">
        <v>Anita Gupta</v>
      </c>
      <c r="B343" s="43" t="str">
        <v>Ani004De</v>
      </c>
      <c r="C343" s="45" t="str">
        <v>anita.gupta@company.com</v>
      </c>
      <c r="D343" s="46" t="str">
        <f t="shared" si="5"/>
        <v>Valid</v>
      </c>
    </row>
    <row r="344" spans="1:4" x14ac:dyDescent="0.35">
      <c r="A344" s="42" t="str">
        <v>Arjun Rao</v>
      </c>
      <c r="B344" s="43" t="str">
        <v>Arj007De</v>
      </c>
      <c r="C344" s="45" t="str">
        <v>arjun.rao@company.com</v>
      </c>
      <c r="D344" s="46" t="str">
        <f t="shared" si="5"/>
        <v>Valid</v>
      </c>
    </row>
    <row r="345" spans="1:4" x14ac:dyDescent="0.35">
      <c r="A345" s="42" t="str">
        <v>Amit Sharma</v>
      </c>
      <c r="B345" s="43" t="str">
        <v>Ami001De</v>
      </c>
      <c r="C345" s="45" t="str">
        <v>amit.sharma@company.com</v>
      </c>
      <c r="D345" s="46" t="str">
        <f t="shared" si="5"/>
        <v>Valid</v>
      </c>
    </row>
    <row r="346" spans="1:4" x14ac:dyDescent="0.35">
      <c r="A346" s="42" t="str">
        <v>Rohit Singh</v>
      </c>
      <c r="B346" s="43" t="str">
        <v>Roh003Be</v>
      </c>
      <c r="C346" s="45" t="str">
        <v>rohit.singh@company.com</v>
      </c>
      <c r="D346" s="46" t="str">
        <f t="shared" si="5"/>
        <v>Valid</v>
      </c>
    </row>
    <row r="347" spans="1:4" x14ac:dyDescent="0.35">
      <c r="A347" s="42" t="str">
        <v>Pooja Shah</v>
      </c>
      <c r="B347" s="43" t="str">
        <v>Poo010Ah</v>
      </c>
      <c r="C347" s="45" t="str">
        <v>pooja.shah@company.com</v>
      </c>
      <c r="D347" s="46" t="str">
        <f t="shared" si="5"/>
        <v>Valid</v>
      </c>
    </row>
    <row r="348" spans="1:4" x14ac:dyDescent="0.35">
      <c r="A348" s="42" t="str">
        <v>Kavya Nair</v>
      </c>
      <c r="B348" s="43" t="str">
        <v>Kav008Ah</v>
      </c>
      <c r="C348" s="45" t="str">
        <v>kavya.nair@company.com</v>
      </c>
      <c r="D348" s="46" t="str">
        <f t="shared" si="5"/>
        <v>Valid</v>
      </c>
    </row>
    <row r="349" spans="1:4" x14ac:dyDescent="0.35">
      <c r="A349" s="42" t="str">
        <v>Sneha Joshi</v>
      </c>
      <c r="B349" s="43" t="str">
        <v>Sne006De</v>
      </c>
      <c r="C349" s="45" t="str">
        <v>sneha.joshi@company.com</v>
      </c>
      <c r="D349" s="46" t="str">
        <f t="shared" si="5"/>
        <v>Valid</v>
      </c>
    </row>
    <row r="350" spans="1:4" x14ac:dyDescent="0.35">
      <c r="A350" s="42" t="str">
        <v>Pooja Shah</v>
      </c>
      <c r="B350" s="43" t="str">
        <v>Poo010Ko</v>
      </c>
      <c r="C350" s="45" t="str">
        <v>pooja.shah@company.com</v>
      </c>
      <c r="D350" s="46" t="str">
        <f t="shared" si="5"/>
        <v>Valid</v>
      </c>
    </row>
    <row r="351" spans="1:4" x14ac:dyDescent="0.35">
      <c r="A351" s="42" t="str">
        <v>Pooja Shah</v>
      </c>
      <c r="B351" s="43" t="str">
        <v>Poo010Ja</v>
      </c>
      <c r="C351" s="45" t="str">
        <v>pooja.shah@company.com</v>
      </c>
      <c r="D351" s="46" t="str">
        <f t="shared" si="5"/>
        <v>Valid</v>
      </c>
    </row>
    <row r="352" spans="1:4" x14ac:dyDescent="0.35">
      <c r="A352" s="42" t="str">
        <v>Arjun Rao</v>
      </c>
      <c r="B352" s="43" t="str">
        <v>Arj007Mu</v>
      </c>
      <c r="C352" s="45" t="str">
        <v>arjun.rao@company.com</v>
      </c>
      <c r="D352" s="46" t="str">
        <f t="shared" si="5"/>
        <v>Valid</v>
      </c>
    </row>
    <row r="353" spans="1:4" x14ac:dyDescent="0.35">
      <c r="A353" s="42" t="str">
        <v>Rohit Singh</v>
      </c>
      <c r="B353" s="43" t="str">
        <v>Roh003Ah</v>
      </c>
      <c r="C353" s="45" t="str">
        <v>rohit.singh@company.com</v>
      </c>
      <c r="D353" s="46" t="str">
        <f t="shared" si="5"/>
        <v>Valid</v>
      </c>
    </row>
    <row r="354" spans="1:4" x14ac:dyDescent="0.35">
      <c r="A354" s="42" t="str">
        <v>Arjun Rao</v>
      </c>
      <c r="B354" s="43" t="str">
        <v>Arj007Ah</v>
      </c>
      <c r="C354" s="45" t="str">
        <v>arjun.rao@company.com</v>
      </c>
      <c r="D354" s="46" t="str">
        <f t="shared" si="5"/>
        <v>Valid</v>
      </c>
    </row>
    <row r="355" spans="1:4" x14ac:dyDescent="0.35">
      <c r="A355" s="42" t="str">
        <v>Sneha Joshi</v>
      </c>
      <c r="B355" s="43" t="str">
        <v>Sne006Mu</v>
      </c>
      <c r="C355" s="45" t="str">
        <v>sneha.joshi@company.com</v>
      </c>
      <c r="D355" s="46" t="str">
        <f t="shared" si="5"/>
        <v>Valid</v>
      </c>
    </row>
    <row r="356" spans="1:4" x14ac:dyDescent="0.35">
      <c r="A356" s="42" t="str">
        <v>Anita Gupta</v>
      </c>
      <c r="B356" s="43" t="str">
        <v>Ani004Mu</v>
      </c>
      <c r="C356" s="45" t="str">
        <v>anita.gupta@company.com</v>
      </c>
      <c r="D356" s="46" t="str">
        <f t="shared" si="5"/>
        <v>Valid</v>
      </c>
    </row>
    <row r="357" spans="1:4" x14ac:dyDescent="0.35">
      <c r="A357" s="42" t="str">
        <v>Kavya Nair</v>
      </c>
      <c r="B357" s="43" t="str">
        <v>Kav008Ja</v>
      </c>
      <c r="C357" s="45" t="str">
        <v>kavya.nair@company.com</v>
      </c>
      <c r="D357" s="46" t="str">
        <f t="shared" si="5"/>
        <v>Valid</v>
      </c>
    </row>
    <row r="358" spans="1:4" x14ac:dyDescent="0.35">
      <c r="A358" s="42" t="str">
        <v>Sneha Joshi</v>
      </c>
      <c r="B358" s="43" t="str">
        <v>Sne006Mu</v>
      </c>
      <c r="C358" s="45" t="str">
        <v>sneha.joshi@company.com</v>
      </c>
      <c r="D358" s="46" t="str">
        <f t="shared" si="5"/>
        <v>Valid</v>
      </c>
    </row>
    <row r="359" spans="1:4" x14ac:dyDescent="0.35">
      <c r="A359" s="42" t="str">
        <v>Mohit Verma</v>
      </c>
      <c r="B359" s="43" t="str">
        <v>Moh009Ja</v>
      </c>
      <c r="C359" s="45" t="str">
        <v>mohit.verma@company.com</v>
      </c>
      <c r="D359" s="46" t="str">
        <f t="shared" si="5"/>
        <v>Valid</v>
      </c>
    </row>
    <row r="360" spans="1:4" x14ac:dyDescent="0.35">
      <c r="A360" s="42" t="str">
        <v>Sneha Joshi</v>
      </c>
      <c r="B360" s="43" t="str">
        <v>Sne006Pu</v>
      </c>
      <c r="C360" s="45" t="str">
        <v>sneha.joshi@company.com</v>
      </c>
      <c r="D360" s="46" t="str">
        <f t="shared" si="5"/>
        <v>Valid</v>
      </c>
    </row>
    <row r="361" spans="1:4" x14ac:dyDescent="0.35">
      <c r="A361" s="42" t="str">
        <v>Rohit Singh</v>
      </c>
      <c r="B361" s="43" t="str">
        <v>Roh003Ja</v>
      </c>
      <c r="C361" s="45" t="str">
        <v>rohit.singh@company.com</v>
      </c>
      <c r="D361" s="46" t="str">
        <f t="shared" si="5"/>
        <v>Valid</v>
      </c>
    </row>
    <row r="362" spans="1:4" x14ac:dyDescent="0.35">
      <c r="A362" s="42" t="str">
        <v>Rohit Singh</v>
      </c>
      <c r="B362" s="43" t="str">
        <v>Roh003Mu</v>
      </c>
      <c r="C362" s="45" t="str">
        <v>rohit.singh@company.com</v>
      </c>
      <c r="D362" s="46" t="str">
        <f t="shared" si="5"/>
        <v>Valid</v>
      </c>
    </row>
    <row r="363" spans="1:4" x14ac:dyDescent="0.35">
      <c r="A363" s="42" t="str">
        <v>Mohit Verma</v>
      </c>
      <c r="B363" s="43" t="str">
        <v>Moh009Mu</v>
      </c>
      <c r="C363" s="45" t="str">
        <v>mohit.verma@company.com</v>
      </c>
      <c r="D363" s="46" t="str">
        <f t="shared" si="5"/>
        <v>Valid</v>
      </c>
    </row>
    <row r="364" spans="1:4" x14ac:dyDescent="0.35">
      <c r="A364" s="42" t="str">
        <v>Mohit Verma</v>
      </c>
      <c r="B364" s="43" t="str">
        <v>Moh009Hy</v>
      </c>
      <c r="C364" s="45" t="str">
        <v>mohit.verma@company.com</v>
      </c>
      <c r="D364" s="46" t="str">
        <f t="shared" si="5"/>
        <v>Valid</v>
      </c>
    </row>
    <row r="365" spans="1:4" x14ac:dyDescent="0.35">
      <c r="A365" s="42" t="str">
        <v>Pooja Shah</v>
      </c>
      <c r="B365" s="43" t="str">
        <v>Poo010Be</v>
      </c>
      <c r="C365" s="45" t="str">
        <v>pooja.shah@company.com</v>
      </c>
      <c r="D365" s="46" t="str">
        <f t="shared" si="5"/>
        <v>Valid</v>
      </c>
    </row>
    <row r="366" spans="1:4" x14ac:dyDescent="0.35">
      <c r="A366" s="42" t="str">
        <v>Priya Patel</v>
      </c>
      <c r="B366" s="43" t="str">
        <v>Pri002Hy</v>
      </c>
      <c r="C366" s="45" t="str">
        <v>priya.patel@company.com</v>
      </c>
      <c r="D366" s="46" t="str">
        <f t="shared" si="5"/>
        <v>Valid</v>
      </c>
    </row>
    <row r="367" spans="1:4" x14ac:dyDescent="0.35">
      <c r="A367" s="42" t="str">
        <v>Pooja Shah</v>
      </c>
      <c r="B367" s="43" t="str">
        <v>Poo010Hy</v>
      </c>
      <c r="C367" s="45" t="str">
        <v>pooja.shah@company.com</v>
      </c>
      <c r="D367" s="46" t="str">
        <f t="shared" si="5"/>
        <v>Valid</v>
      </c>
    </row>
    <row r="368" spans="1:4" x14ac:dyDescent="0.35">
      <c r="A368" s="42" t="str">
        <v>Priya Patel</v>
      </c>
      <c r="B368" s="43" t="str">
        <v>Pri002Ja</v>
      </c>
      <c r="C368" s="45" t="str">
        <v>priya.patel@company.com</v>
      </c>
      <c r="D368" s="46" t="str">
        <f t="shared" si="5"/>
        <v>Valid</v>
      </c>
    </row>
    <row r="369" spans="1:4" x14ac:dyDescent="0.35">
      <c r="A369" s="42" t="str">
        <v>Kavya Nair</v>
      </c>
      <c r="B369" s="43" t="str">
        <v>Kav008Ja</v>
      </c>
      <c r="C369" s="45" t="str">
        <v>kavya.nair@company.com</v>
      </c>
      <c r="D369" s="46" t="str">
        <f t="shared" si="5"/>
        <v>Valid</v>
      </c>
    </row>
    <row r="370" spans="1:4" x14ac:dyDescent="0.35">
      <c r="A370" s="42" t="str">
        <v>Pooja Shah</v>
      </c>
      <c r="B370" s="43" t="str">
        <v>Poo010Hy</v>
      </c>
      <c r="C370" s="45" t="str">
        <v>pooja.shah@company.com</v>
      </c>
      <c r="D370" s="46" t="str">
        <f t="shared" si="5"/>
        <v>Valid</v>
      </c>
    </row>
    <row r="371" spans="1:4" x14ac:dyDescent="0.35">
      <c r="A371" s="42" t="str">
        <v>Amit Sharma</v>
      </c>
      <c r="B371" s="43" t="str">
        <v>Ami001De</v>
      </c>
      <c r="C371" s="45" t="str">
        <v>amit.sharma@company.com</v>
      </c>
      <c r="D371" s="46" t="str">
        <f t="shared" si="5"/>
        <v>Valid</v>
      </c>
    </row>
    <row r="372" spans="1:4" x14ac:dyDescent="0.35">
      <c r="A372" s="42" t="str">
        <v>Mohit Verma</v>
      </c>
      <c r="B372" s="43" t="str">
        <v>Moh009Be</v>
      </c>
      <c r="C372" s="45" t="str">
        <v>mohit.verma@company.com</v>
      </c>
      <c r="D372" s="46" t="str">
        <f t="shared" si="5"/>
        <v>Valid</v>
      </c>
    </row>
    <row r="373" spans="1:4" x14ac:dyDescent="0.35">
      <c r="A373" s="42" t="str">
        <v>Sneha Joshi</v>
      </c>
      <c r="B373" s="43" t="str">
        <v>Sne006Ja</v>
      </c>
      <c r="C373" s="45" t="str">
        <v>sneha.joshi@company.com</v>
      </c>
      <c r="D373" s="46" t="str">
        <f t="shared" si="5"/>
        <v>Valid</v>
      </c>
    </row>
    <row r="374" spans="1:4" x14ac:dyDescent="0.35">
      <c r="A374" s="42" t="str">
        <v>Anita Gupta</v>
      </c>
      <c r="B374" s="43" t="str">
        <v>Ani004Be</v>
      </c>
      <c r="C374" s="45" t="str">
        <v>anita.gupta@company.com</v>
      </c>
      <c r="D374" s="46" t="str">
        <f t="shared" si="5"/>
        <v>Valid</v>
      </c>
    </row>
    <row r="375" spans="1:4" x14ac:dyDescent="0.35">
      <c r="A375" s="42" t="str">
        <v>Arjun Rao</v>
      </c>
      <c r="B375" s="43" t="str">
        <v>Arj007Hy</v>
      </c>
      <c r="C375" s="45" t="str">
        <v>arjun.rao@company.com</v>
      </c>
      <c r="D375" s="46" t="str">
        <f t="shared" si="5"/>
        <v>Valid</v>
      </c>
    </row>
    <row r="376" spans="1:4" x14ac:dyDescent="0.35">
      <c r="A376" s="42" t="str">
        <v>Vikas Mehta</v>
      </c>
      <c r="B376" s="43" t="str">
        <v>Vik005Ko</v>
      </c>
      <c r="C376" s="45" t="str">
        <v>vikas.mehta@company.com</v>
      </c>
      <c r="D376" s="46" t="str">
        <f t="shared" si="5"/>
        <v>Valid</v>
      </c>
    </row>
    <row r="377" spans="1:4" x14ac:dyDescent="0.35">
      <c r="A377" s="42" t="str">
        <v>Kavya Nair</v>
      </c>
      <c r="B377" s="43" t="str">
        <v>Kav008Mu</v>
      </c>
      <c r="C377" s="45" t="str">
        <v>kavya.nair@company.com</v>
      </c>
      <c r="D377" s="46" t="str">
        <f t="shared" si="5"/>
        <v>Valid</v>
      </c>
    </row>
    <row r="378" spans="1:4" x14ac:dyDescent="0.35">
      <c r="A378" s="42" t="str">
        <v>Mohit Verma</v>
      </c>
      <c r="B378" s="43" t="str">
        <v>Moh009Pu</v>
      </c>
      <c r="C378" s="45" t="str">
        <v>mohit.verma@company.com</v>
      </c>
      <c r="D378" s="46" t="str">
        <f t="shared" si="5"/>
        <v>Valid</v>
      </c>
    </row>
    <row r="379" spans="1:4" x14ac:dyDescent="0.35">
      <c r="A379" s="42" t="str">
        <v>Arjun Rao</v>
      </c>
      <c r="B379" s="43" t="str">
        <v>Arj007Ko</v>
      </c>
      <c r="C379" s="45" t="str">
        <v>arjun.rao@company.com</v>
      </c>
      <c r="D379" s="46" t="str">
        <f t="shared" si="5"/>
        <v>Valid</v>
      </c>
    </row>
    <row r="380" spans="1:4" x14ac:dyDescent="0.35">
      <c r="A380" s="42" t="str">
        <v>Arjun Rao</v>
      </c>
      <c r="B380" s="43" t="str">
        <v>Arj007Ja</v>
      </c>
      <c r="C380" s="45" t="str">
        <v>arjun.rao@company.com</v>
      </c>
      <c r="D380" s="46" t="str">
        <f t="shared" si="5"/>
        <v>Valid</v>
      </c>
    </row>
    <row r="381" spans="1:4" x14ac:dyDescent="0.35">
      <c r="A381" s="42" t="str">
        <v>Sneha Joshi</v>
      </c>
      <c r="B381" s="43" t="str">
        <v>Sne006De</v>
      </c>
      <c r="C381" s="45" t="str">
        <v>sneha.joshi@company.com</v>
      </c>
      <c r="D381" s="46" t="str">
        <f t="shared" si="5"/>
        <v>Valid</v>
      </c>
    </row>
    <row r="382" spans="1:4" x14ac:dyDescent="0.35">
      <c r="A382" s="42" t="str">
        <v>Sneha Joshi</v>
      </c>
      <c r="B382" s="43" t="str">
        <v>Sne006De</v>
      </c>
      <c r="C382" s="45" t="str">
        <v>sneha.joshi@company.com</v>
      </c>
      <c r="D382" s="46" t="str">
        <f t="shared" si="5"/>
        <v>Valid</v>
      </c>
    </row>
    <row r="383" spans="1:4" x14ac:dyDescent="0.35">
      <c r="A383" s="42" t="str">
        <v>Rohit Singh</v>
      </c>
      <c r="B383" s="43" t="str">
        <v>Roh003Be</v>
      </c>
      <c r="C383" s="45" t="str">
        <v>rohit.singh@company.com</v>
      </c>
      <c r="D383" s="46" t="str">
        <f t="shared" si="5"/>
        <v>Valid</v>
      </c>
    </row>
    <row r="384" spans="1:4" x14ac:dyDescent="0.35">
      <c r="A384" s="42" t="str">
        <v>Rohit Singh</v>
      </c>
      <c r="B384" s="43" t="str">
        <v>Roh003Ko</v>
      </c>
      <c r="C384" s="45" t="str">
        <v>rohit.singh@company.com</v>
      </c>
      <c r="D384" s="46" t="str">
        <f t="shared" si="5"/>
        <v>Valid</v>
      </c>
    </row>
    <row r="385" spans="1:4" x14ac:dyDescent="0.35">
      <c r="A385" s="42" t="str">
        <v>Vikas Mehta</v>
      </c>
      <c r="B385" s="43" t="str">
        <v>Vik005Be</v>
      </c>
      <c r="C385" s="45" t="str">
        <v>vikas.mehta@company.com</v>
      </c>
      <c r="D385" s="46" t="str">
        <f t="shared" si="5"/>
        <v>Valid</v>
      </c>
    </row>
    <row r="386" spans="1:4" x14ac:dyDescent="0.35">
      <c r="A386" s="42" t="str">
        <v>Rohit Singh</v>
      </c>
      <c r="B386" s="43" t="str">
        <v>Roh003De</v>
      </c>
      <c r="C386" s="45" t="str">
        <v>rohit.singh@company.com</v>
      </c>
      <c r="D386" s="46" t="str">
        <f t="shared" si="5"/>
        <v>Valid</v>
      </c>
    </row>
    <row r="387" spans="1:4" x14ac:dyDescent="0.35">
      <c r="A387" s="42" t="str">
        <v>Anita Gupta</v>
      </c>
      <c r="B387" s="43" t="str">
        <v>Ani004Ah</v>
      </c>
      <c r="C387" s="45" t="str">
        <v>anita.gupta@company.com</v>
      </c>
      <c r="D387" s="46" t="str">
        <f t="shared" ref="D387:D450" si="6">IF(ISNUMBER(SEARCH("@", C387)), "Valid", "Invalid Email")</f>
        <v>Valid</v>
      </c>
    </row>
    <row r="388" spans="1:4" x14ac:dyDescent="0.35">
      <c r="A388" s="42" t="str">
        <v>Vikas Mehta</v>
      </c>
      <c r="B388" s="43" t="str">
        <v>Vik005Hy</v>
      </c>
      <c r="C388" s="45" t="str">
        <v>vikas.mehta@company.com</v>
      </c>
      <c r="D388" s="46" t="str">
        <f t="shared" si="6"/>
        <v>Valid</v>
      </c>
    </row>
    <row r="389" spans="1:4" x14ac:dyDescent="0.35">
      <c r="A389" s="42" t="str">
        <v>Mohit Verma</v>
      </c>
      <c r="B389" s="43" t="str">
        <v>Moh009Hy</v>
      </c>
      <c r="C389" s="45" t="str">
        <v>mohit.verma@company.com</v>
      </c>
      <c r="D389" s="46" t="str">
        <f t="shared" si="6"/>
        <v>Valid</v>
      </c>
    </row>
    <row r="390" spans="1:4" x14ac:dyDescent="0.35">
      <c r="A390" s="42" t="str">
        <v>Kavya Nair</v>
      </c>
      <c r="B390" s="43" t="str">
        <v>Kav008Ko</v>
      </c>
      <c r="C390" s="45" t="str">
        <v>kavya.nair@company.com</v>
      </c>
      <c r="D390" s="46" t="str">
        <f t="shared" si="6"/>
        <v>Valid</v>
      </c>
    </row>
    <row r="391" spans="1:4" x14ac:dyDescent="0.35">
      <c r="A391" s="42" t="str">
        <v>Priya Patel</v>
      </c>
      <c r="B391" s="43" t="str">
        <v>Pri002Pu</v>
      </c>
      <c r="C391" s="45" t="str">
        <v>priya.patel@company.com</v>
      </c>
      <c r="D391" s="46" t="str">
        <f t="shared" si="6"/>
        <v>Valid</v>
      </c>
    </row>
    <row r="392" spans="1:4" x14ac:dyDescent="0.35">
      <c r="A392" s="42" t="str">
        <v>Priya Patel</v>
      </c>
      <c r="B392" s="43" t="str">
        <v>Pri002Pu</v>
      </c>
      <c r="C392" s="45" t="str">
        <v>priya.patel@company.com</v>
      </c>
      <c r="D392" s="46" t="str">
        <f t="shared" si="6"/>
        <v>Valid</v>
      </c>
    </row>
    <row r="393" spans="1:4" x14ac:dyDescent="0.35">
      <c r="A393" s="42" t="str">
        <v>Pooja Shah</v>
      </c>
      <c r="B393" s="43" t="str">
        <v>Poo010Hy</v>
      </c>
      <c r="C393" s="45" t="str">
        <v>pooja.shah@company.com</v>
      </c>
      <c r="D393" s="46" t="str">
        <f t="shared" si="6"/>
        <v>Valid</v>
      </c>
    </row>
    <row r="394" spans="1:4" x14ac:dyDescent="0.35">
      <c r="A394" s="42" t="str">
        <v>Sneha Joshi</v>
      </c>
      <c r="B394" s="43" t="str">
        <v>Sne006De</v>
      </c>
      <c r="C394" s="45" t="str">
        <v>sneha.joshi@company.com</v>
      </c>
      <c r="D394" s="46" t="str">
        <f t="shared" si="6"/>
        <v>Valid</v>
      </c>
    </row>
    <row r="395" spans="1:4" x14ac:dyDescent="0.35">
      <c r="A395" s="42" t="str">
        <v>Priya Patel</v>
      </c>
      <c r="B395" s="43" t="str">
        <v>Pri002Ko</v>
      </c>
      <c r="C395" s="45" t="str">
        <v>priya.patel@company.com</v>
      </c>
      <c r="D395" s="46" t="str">
        <f t="shared" si="6"/>
        <v>Valid</v>
      </c>
    </row>
    <row r="396" spans="1:4" x14ac:dyDescent="0.35">
      <c r="A396" s="42" t="str">
        <v>Kavya Nair</v>
      </c>
      <c r="B396" s="43" t="str">
        <v>Kav008Ah</v>
      </c>
      <c r="C396" s="45" t="str">
        <v>kavya.nair@company.com</v>
      </c>
      <c r="D396" s="46" t="str">
        <f t="shared" si="6"/>
        <v>Valid</v>
      </c>
    </row>
    <row r="397" spans="1:4" x14ac:dyDescent="0.35">
      <c r="A397" s="42" t="str">
        <v>Rohit Singh</v>
      </c>
      <c r="B397" s="43" t="str">
        <v>Roh003Hy</v>
      </c>
      <c r="C397" s="45" t="str">
        <v>rohit.singh@company.com</v>
      </c>
      <c r="D397" s="46" t="str">
        <f t="shared" si="6"/>
        <v>Valid</v>
      </c>
    </row>
    <row r="398" spans="1:4" x14ac:dyDescent="0.35">
      <c r="A398" s="42" t="str">
        <v>Arjun Rao</v>
      </c>
      <c r="B398" s="43" t="str">
        <v>Arj007De</v>
      </c>
      <c r="C398" s="45" t="str">
        <v>arjun.rao@company.com</v>
      </c>
      <c r="D398" s="46" t="str">
        <f t="shared" si="6"/>
        <v>Valid</v>
      </c>
    </row>
    <row r="399" spans="1:4" x14ac:dyDescent="0.35">
      <c r="A399" s="42" t="str">
        <v>Arjun Rao</v>
      </c>
      <c r="B399" s="43" t="str">
        <v>Arj007Ko</v>
      </c>
      <c r="C399" s="45" t="str">
        <v>arjun.rao@company.com</v>
      </c>
      <c r="D399" s="46" t="str">
        <f t="shared" si="6"/>
        <v>Valid</v>
      </c>
    </row>
    <row r="400" spans="1:4" x14ac:dyDescent="0.35">
      <c r="A400" s="42" t="str">
        <v>Amit Sharma</v>
      </c>
      <c r="B400" s="43" t="str">
        <v>Ami001Be</v>
      </c>
      <c r="C400" s="45" t="str">
        <v>amit.sharma@company.com</v>
      </c>
      <c r="D400" s="46" t="str">
        <f t="shared" si="6"/>
        <v>Valid</v>
      </c>
    </row>
    <row r="401" spans="1:4" x14ac:dyDescent="0.35">
      <c r="A401" s="42" t="str">
        <v>Kavya Nair</v>
      </c>
      <c r="B401" s="43" t="str">
        <v>Kav008De</v>
      </c>
      <c r="C401" s="45" t="str">
        <v>kavya.nair@company.com</v>
      </c>
      <c r="D401" s="46" t="str">
        <f t="shared" si="6"/>
        <v>Valid</v>
      </c>
    </row>
    <row r="402" spans="1:4" x14ac:dyDescent="0.35">
      <c r="A402" s="42" t="str">
        <v>Mohit Verma</v>
      </c>
      <c r="B402" s="43" t="str">
        <v>Moh009Hy</v>
      </c>
      <c r="C402" s="45" t="str">
        <v>mohit.verma@company.com</v>
      </c>
      <c r="D402" s="46" t="str">
        <f t="shared" si="6"/>
        <v>Valid</v>
      </c>
    </row>
    <row r="403" spans="1:4" x14ac:dyDescent="0.35">
      <c r="A403" s="42" t="str">
        <v>Kavya Nair</v>
      </c>
      <c r="B403" s="43" t="str">
        <v>Kav008Ah</v>
      </c>
      <c r="C403" s="45" t="str">
        <v>kavya.nair@company.com</v>
      </c>
      <c r="D403" s="46" t="str">
        <f t="shared" si="6"/>
        <v>Valid</v>
      </c>
    </row>
    <row r="404" spans="1:4" x14ac:dyDescent="0.35">
      <c r="A404" s="42" t="str">
        <v>Mohit Verma</v>
      </c>
      <c r="B404" s="43" t="str">
        <v>Moh009Mu</v>
      </c>
      <c r="C404" s="45" t="str">
        <v>mohit.verma@company.com</v>
      </c>
      <c r="D404" s="46" t="str">
        <f t="shared" si="6"/>
        <v>Valid</v>
      </c>
    </row>
    <row r="405" spans="1:4" x14ac:dyDescent="0.35">
      <c r="A405" s="42" t="str">
        <v>Kavya Nair</v>
      </c>
      <c r="B405" s="43" t="str">
        <v>Kav008Mu</v>
      </c>
      <c r="C405" s="45" t="str">
        <v>kavya.nair@company.com</v>
      </c>
      <c r="D405" s="46" t="str">
        <f t="shared" si="6"/>
        <v>Valid</v>
      </c>
    </row>
    <row r="406" spans="1:4" x14ac:dyDescent="0.35">
      <c r="A406" s="42" t="str">
        <v>Pooja Shah</v>
      </c>
      <c r="B406" s="43" t="str">
        <v>Poo010Pu</v>
      </c>
      <c r="C406" s="45" t="str">
        <v>pooja.shah@company.com</v>
      </c>
      <c r="D406" s="46" t="str">
        <f t="shared" si="6"/>
        <v>Valid</v>
      </c>
    </row>
    <row r="407" spans="1:4" x14ac:dyDescent="0.35">
      <c r="A407" s="42" t="str">
        <v>Anita Gupta</v>
      </c>
      <c r="B407" s="43" t="str">
        <v>Ani004Ko</v>
      </c>
      <c r="C407" s="45" t="str">
        <v>anita.gupta@company.com</v>
      </c>
      <c r="D407" s="46" t="str">
        <f t="shared" si="6"/>
        <v>Valid</v>
      </c>
    </row>
    <row r="408" spans="1:4" x14ac:dyDescent="0.35">
      <c r="A408" s="42" t="str">
        <v>Pooja Shah</v>
      </c>
      <c r="B408" s="43" t="str">
        <v>Poo010Pu</v>
      </c>
      <c r="C408" s="45" t="str">
        <v>pooja.shah@company.com</v>
      </c>
      <c r="D408" s="46" t="str">
        <f t="shared" si="6"/>
        <v>Valid</v>
      </c>
    </row>
    <row r="409" spans="1:4" x14ac:dyDescent="0.35">
      <c r="A409" s="42" t="str">
        <v>Mohit Verma</v>
      </c>
      <c r="B409" s="43" t="str">
        <v>Moh009Mu</v>
      </c>
      <c r="C409" s="45" t="str">
        <v>mohit.verma@company.com</v>
      </c>
      <c r="D409" s="46" t="str">
        <f t="shared" si="6"/>
        <v>Valid</v>
      </c>
    </row>
    <row r="410" spans="1:4" x14ac:dyDescent="0.35">
      <c r="A410" s="42" t="str">
        <v>Priya Patel</v>
      </c>
      <c r="B410" s="43" t="str">
        <v>Pri002Hy</v>
      </c>
      <c r="C410" s="45" t="str">
        <v>priya.patel@company.com</v>
      </c>
      <c r="D410" s="46" t="str">
        <f t="shared" si="6"/>
        <v>Valid</v>
      </c>
    </row>
    <row r="411" spans="1:4" x14ac:dyDescent="0.35">
      <c r="A411" s="42" t="str">
        <v>Rohit Singh</v>
      </c>
      <c r="B411" s="43" t="str">
        <v>Roh003Ko</v>
      </c>
      <c r="C411" s="45" t="str">
        <v>rohit.singh@company.com</v>
      </c>
      <c r="D411" s="46" t="str">
        <f t="shared" si="6"/>
        <v>Valid</v>
      </c>
    </row>
    <row r="412" spans="1:4" x14ac:dyDescent="0.35">
      <c r="A412" s="42" t="str">
        <v>Kavya Nair</v>
      </c>
      <c r="B412" s="43" t="str">
        <v>Kav008Hy</v>
      </c>
      <c r="C412" s="45" t="str">
        <v>kavya.nair@company.com</v>
      </c>
      <c r="D412" s="46" t="str">
        <f t="shared" si="6"/>
        <v>Valid</v>
      </c>
    </row>
    <row r="413" spans="1:4" x14ac:dyDescent="0.35">
      <c r="A413" s="42" t="str">
        <v>Priya Patel</v>
      </c>
      <c r="B413" s="43" t="str">
        <v>Pri002Hy</v>
      </c>
      <c r="C413" s="45" t="str">
        <v>priya.patel@company.com</v>
      </c>
      <c r="D413" s="46" t="str">
        <f t="shared" si="6"/>
        <v>Valid</v>
      </c>
    </row>
    <row r="414" spans="1:4" x14ac:dyDescent="0.35">
      <c r="A414" s="42" t="str">
        <v>Sneha Joshi</v>
      </c>
      <c r="B414" s="43" t="str">
        <v>Sne006Be</v>
      </c>
      <c r="C414" s="45" t="str">
        <v>sneha.joshi@company.com</v>
      </c>
      <c r="D414" s="46" t="str">
        <f t="shared" si="6"/>
        <v>Valid</v>
      </c>
    </row>
    <row r="415" spans="1:4" x14ac:dyDescent="0.35">
      <c r="A415" s="42" t="str">
        <v>Anita Gupta</v>
      </c>
      <c r="B415" s="43" t="str">
        <v>Ani004Ah</v>
      </c>
      <c r="C415" s="45" t="str">
        <v>anita.gupta@company.com</v>
      </c>
      <c r="D415" s="46" t="str">
        <f t="shared" si="6"/>
        <v>Valid</v>
      </c>
    </row>
    <row r="416" spans="1:4" x14ac:dyDescent="0.35">
      <c r="A416" s="42" t="str">
        <v>Priya Patel</v>
      </c>
      <c r="B416" s="43" t="str">
        <v>Pri002Ah</v>
      </c>
      <c r="C416" s="45" t="str">
        <v>priya.patel@company.com</v>
      </c>
      <c r="D416" s="46" t="str">
        <f t="shared" si="6"/>
        <v>Valid</v>
      </c>
    </row>
    <row r="417" spans="1:4" x14ac:dyDescent="0.35">
      <c r="A417" s="42" t="str">
        <v>Arjun Rao</v>
      </c>
      <c r="B417" s="43" t="str">
        <v>Arj007Mu</v>
      </c>
      <c r="C417" s="45" t="str">
        <v>arjun.rao@company.com</v>
      </c>
      <c r="D417" s="46" t="str">
        <f t="shared" si="6"/>
        <v>Valid</v>
      </c>
    </row>
    <row r="418" spans="1:4" x14ac:dyDescent="0.35">
      <c r="A418" s="42" t="str">
        <v>Vikas Mehta</v>
      </c>
      <c r="B418" s="43" t="str">
        <v>Vik005Ko</v>
      </c>
      <c r="C418" s="45" t="str">
        <v>vikas.mehta@company.com</v>
      </c>
      <c r="D418" s="46" t="str">
        <f t="shared" si="6"/>
        <v>Valid</v>
      </c>
    </row>
    <row r="419" spans="1:4" x14ac:dyDescent="0.35">
      <c r="A419" s="42" t="str">
        <v>Arjun Rao</v>
      </c>
      <c r="B419" s="43" t="str">
        <v>Arj007Hy</v>
      </c>
      <c r="C419" s="45" t="str">
        <v>arjun.rao@company.com</v>
      </c>
      <c r="D419" s="46" t="str">
        <f t="shared" si="6"/>
        <v>Valid</v>
      </c>
    </row>
    <row r="420" spans="1:4" x14ac:dyDescent="0.35">
      <c r="A420" s="42" t="str">
        <v>Arjun Rao</v>
      </c>
      <c r="B420" s="43" t="str">
        <v>Arj007Mu</v>
      </c>
      <c r="C420" s="45" t="str">
        <v>arjun.rao@company.com</v>
      </c>
      <c r="D420" s="46" t="str">
        <f t="shared" si="6"/>
        <v>Valid</v>
      </c>
    </row>
    <row r="421" spans="1:4" x14ac:dyDescent="0.35">
      <c r="A421" s="42" t="str">
        <v>Rohit Singh</v>
      </c>
      <c r="B421" s="43" t="str">
        <v>Roh003Mu</v>
      </c>
      <c r="C421" s="45" t="str">
        <v>rohit.singh@company.com</v>
      </c>
      <c r="D421" s="46" t="str">
        <f t="shared" si="6"/>
        <v>Valid</v>
      </c>
    </row>
    <row r="422" spans="1:4" x14ac:dyDescent="0.35">
      <c r="A422" s="42" t="str">
        <v>Mohit Verma</v>
      </c>
      <c r="B422" s="43" t="str">
        <v>Moh009Pu</v>
      </c>
      <c r="C422" s="45" t="str">
        <v>mohit.verma@company.com</v>
      </c>
      <c r="D422" s="46" t="str">
        <f t="shared" si="6"/>
        <v>Valid</v>
      </c>
    </row>
    <row r="423" spans="1:4" x14ac:dyDescent="0.35">
      <c r="A423" s="42" t="str">
        <v>Rohit Singh</v>
      </c>
      <c r="B423" s="43" t="str">
        <v>Roh003Ja</v>
      </c>
      <c r="C423" s="45" t="str">
        <v>rohit.singh@company.com</v>
      </c>
      <c r="D423" s="46" t="str">
        <f t="shared" si="6"/>
        <v>Valid</v>
      </c>
    </row>
    <row r="424" spans="1:4" x14ac:dyDescent="0.35">
      <c r="A424" s="42" t="str">
        <v>Amit Sharma</v>
      </c>
      <c r="B424" s="43" t="str">
        <v>Ami001Ja</v>
      </c>
      <c r="C424" s="45" t="str">
        <v>amit.sharma@company.com</v>
      </c>
      <c r="D424" s="46" t="str">
        <f t="shared" si="6"/>
        <v>Valid</v>
      </c>
    </row>
    <row r="425" spans="1:4" x14ac:dyDescent="0.35">
      <c r="A425" s="42" t="str">
        <v>Rohit Singh</v>
      </c>
      <c r="B425" s="43" t="str">
        <v>Roh003Ko</v>
      </c>
      <c r="C425" s="45" t="str">
        <v>rohit.singh@company.com</v>
      </c>
      <c r="D425" s="46" t="str">
        <f t="shared" si="6"/>
        <v>Valid</v>
      </c>
    </row>
    <row r="426" spans="1:4" x14ac:dyDescent="0.35">
      <c r="A426" s="42" t="str">
        <v>Vikas Mehta</v>
      </c>
      <c r="B426" s="43" t="str">
        <v>Vik005Pu</v>
      </c>
      <c r="C426" s="45" t="str">
        <v>vikas.mehta@company.com</v>
      </c>
      <c r="D426" s="46" t="str">
        <f t="shared" si="6"/>
        <v>Valid</v>
      </c>
    </row>
    <row r="427" spans="1:4" x14ac:dyDescent="0.35">
      <c r="A427" s="42" t="str">
        <v>Priya Patel</v>
      </c>
      <c r="B427" s="43" t="str">
        <v>Pri002Mu</v>
      </c>
      <c r="C427" s="45" t="str">
        <v>priya.patel@company.com</v>
      </c>
      <c r="D427" s="46" t="str">
        <f t="shared" si="6"/>
        <v>Valid</v>
      </c>
    </row>
    <row r="428" spans="1:4" x14ac:dyDescent="0.35">
      <c r="A428" s="42" t="str">
        <v>Arjun Rao</v>
      </c>
      <c r="B428" s="43" t="str">
        <v>Arj007Ja</v>
      </c>
      <c r="C428" s="45" t="str">
        <v>arjun.rao@company.com</v>
      </c>
      <c r="D428" s="46" t="str">
        <f t="shared" si="6"/>
        <v>Valid</v>
      </c>
    </row>
    <row r="429" spans="1:4" x14ac:dyDescent="0.35">
      <c r="A429" s="42" t="str">
        <v>Mohit Verma</v>
      </c>
      <c r="B429" s="43" t="str">
        <v>Moh009Pu</v>
      </c>
      <c r="C429" s="45" t="str">
        <v>mohit.verma@company.com</v>
      </c>
      <c r="D429" s="46" t="str">
        <f t="shared" si="6"/>
        <v>Valid</v>
      </c>
    </row>
    <row r="430" spans="1:4" x14ac:dyDescent="0.35">
      <c r="A430" s="42" t="str">
        <v>Sneha Joshi</v>
      </c>
      <c r="B430" s="43" t="str">
        <v>Sne006Be</v>
      </c>
      <c r="C430" s="45" t="str">
        <v>sneha.joshi@company.com</v>
      </c>
      <c r="D430" s="46" t="str">
        <f t="shared" si="6"/>
        <v>Valid</v>
      </c>
    </row>
    <row r="431" spans="1:4" x14ac:dyDescent="0.35">
      <c r="A431" s="42" t="str">
        <v>Arjun Rao</v>
      </c>
      <c r="B431" s="43" t="str">
        <v>Arj007Ja</v>
      </c>
      <c r="C431" s="45" t="str">
        <v>arjun.rao@company.com</v>
      </c>
      <c r="D431" s="46" t="str">
        <f t="shared" si="6"/>
        <v>Valid</v>
      </c>
    </row>
    <row r="432" spans="1:4" x14ac:dyDescent="0.35">
      <c r="A432" s="42" t="str">
        <v>Pooja Shah</v>
      </c>
      <c r="B432" s="43" t="str">
        <v>Poo010Ja</v>
      </c>
      <c r="C432" s="45" t="str">
        <v>pooja.shah@company.com</v>
      </c>
      <c r="D432" s="46" t="str">
        <f t="shared" si="6"/>
        <v>Valid</v>
      </c>
    </row>
    <row r="433" spans="1:4" x14ac:dyDescent="0.35">
      <c r="A433" s="42" t="str">
        <v>Sneha Joshi</v>
      </c>
      <c r="B433" s="43" t="str">
        <v>Sne006Mu</v>
      </c>
      <c r="C433" s="45" t="str">
        <v>sneha.joshi@company.com</v>
      </c>
      <c r="D433" s="46" t="str">
        <f t="shared" si="6"/>
        <v>Valid</v>
      </c>
    </row>
    <row r="434" spans="1:4" x14ac:dyDescent="0.35">
      <c r="A434" s="42" t="str">
        <v>Amit Sharma</v>
      </c>
      <c r="B434" s="43" t="str">
        <v>Ami001Ko</v>
      </c>
      <c r="C434" s="45" t="str">
        <v>amit.sharma@company.com</v>
      </c>
      <c r="D434" s="46" t="str">
        <f t="shared" si="6"/>
        <v>Valid</v>
      </c>
    </row>
    <row r="435" spans="1:4" x14ac:dyDescent="0.35">
      <c r="A435" s="42" t="str">
        <v>Kavya Nair</v>
      </c>
      <c r="B435" s="43" t="str">
        <v>Kav008Ko</v>
      </c>
      <c r="C435" s="45" t="str">
        <v>kavya.nair@company.com</v>
      </c>
      <c r="D435" s="46" t="str">
        <f t="shared" si="6"/>
        <v>Valid</v>
      </c>
    </row>
    <row r="436" spans="1:4" x14ac:dyDescent="0.35">
      <c r="A436" s="42" t="str">
        <v>Amit Sharma</v>
      </c>
      <c r="B436" s="43" t="str">
        <v>Ami001Mu</v>
      </c>
      <c r="C436" s="45" t="str">
        <v>amit.sharma@company.com</v>
      </c>
      <c r="D436" s="46" t="str">
        <f t="shared" si="6"/>
        <v>Valid</v>
      </c>
    </row>
    <row r="437" spans="1:4" x14ac:dyDescent="0.35">
      <c r="A437" s="42" t="str">
        <v>Kavya Nair</v>
      </c>
      <c r="B437" s="43" t="str">
        <v>Kav008Ah</v>
      </c>
      <c r="C437" s="45" t="str">
        <v>kavya.nair@company.com</v>
      </c>
      <c r="D437" s="46" t="str">
        <f t="shared" si="6"/>
        <v>Valid</v>
      </c>
    </row>
    <row r="438" spans="1:4" x14ac:dyDescent="0.35">
      <c r="A438" s="42" t="str">
        <v>Rohit Singh</v>
      </c>
      <c r="B438" s="43" t="str">
        <v>Roh003Hy</v>
      </c>
      <c r="C438" s="45" t="str">
        <v>rohit.singh@company.com</v>
      </c>
      <c r="D438" s="46" t="str">
        <f t="shared" si="6"/>
        <v>Valid</v>
      </c>
    </row>
    <row r="439" spans="1:4" x14ac:dyDescent="0.35">
      <c r="A439" s="42" t="str">
        <v>Priya Patel</v>
      </c>
      <c r="B439" s="43" t="str">
        <v>Pri002Ko</v>
      </c>
      <c r="C439" s="45" t="str">
        <v>priya.patel@company.com</v>
      </c>
      <c r="D439" s="46" t="str">
        <f t="shared" si="6"/>
        <v>Valid</v>
      </c>
    </row>
    <row r="440" spans="1:4" x14ac:dyDescent="0.35">
      <c r="A440" s="42" t="str">
        <v>Arjun Rao</v>
      </c>
      <c r="B440" s="43" t="str">
        <v>Arj007Ah</v>
      </c>
      <c r="C440" s="45" t="str">
        <v>arjun.rao@company.com</v>
      </c>
      <c r="D440" s="46" t="str">
        <f t="shared" si="6"/>
        <v>Valid</v>
      </c>
    </row>
    <row r="441" spans="1:4" x14ac:dyDescent="0.35">
      <c r="A441" s="42" t="str">
        <v>Arjun Rao</v>
      </c>
      <c r="B441" s="43" t="str">
        <v>Arj007De</v>
      </c>
      <c r="C441" s="45" t="str">
        <v>arjun.rao@company.com</v>
      </c>
      <c r="D441" s="46" t="str">
        <f t="shared" si="6"/>
        <v>Valid</v>
      </c>
    </row>
    <row r="442" spans="1:4" x14ac:dyDescent="0.35">
      <c r="A442" s="42" t="str">
        <v>Amit Sharma</v>
      </c>
      <c r="B442" s="43" t="str">
        <v>Ami001Ah</v>
      </c>
      <c r="C442" s="45" t="str">
        <v>amit.sharma@company.com</v>
      </c>
      <c r="D442" s="46" t="str">
        <f t="shared" si="6"/>
        <v>Valid</v>
      </c>
    </row>
    <row r="443" spans="1:4" x14ac:dyDescent="0.35">
      <c r="A443" s="42" t="str">
        <v>Arjun Rao</v>
      </c>
      <c r="B443" s="43" t="str">
        <v>Arj007Ja</v>
      </c>
      <c r="C443" s="45" t="str">
        <v>arjun.rao@company.com</v>
      </c>
      <c r="D443" s="46" t="str">
        <f t="shared" si="6"/>
        <v>Valid</v>
      </c>
    </row>
    <row r="444" spans="1:4" x14ac:dyDescent="0.35">
      <c r="A444" s="42" t="str">
        <v>Rohit Singh</v>
      </c>
      <c r="B444" s="43" t="str">
        <v>Roh003Mu</v>
      </c>
      <c r="C444" s="45" t="str">
        <v>rohit.singh@company.com</v>
      </c>
      <c r="D444" s="46" t="str">
        <f t="shared" si="6"/>
        <v>Valid</v>
      </c>
    </row>
    <row r="445" spans="1:4" x14ac:dyDescent="0.35">
      <c r="A445" s="42" t="str">
        <v>Anita Gupta</v>
      </c>
      <c r="B445" s="43" t="str">
        <v>Ani004Ah</v>
      </c>
      <c r="C445" s="45" t="str">
        <v>anita.gupta@company.com</v>
      </c>
      <c r="D445" s="46" t="str">
        <f t="shared" si="6"/>
        <v>Valid</v>
      </c>
    </row>
    <row r="446" spans="1:4" x14ac:dyDescent="0.35">
      <c r="A446" s="42" t="str">
        <v>Pooja Shah</v>
      </c>
      <c r="B446" s="43" t="str">
        <v>Poo010Hy</v>
      </c>
      <c r="C446" s="45" t="str">
        <v>pooja.shah@company.com</v>
      </c>
      <c r="D446" s="46" t="str">
        <f t="shared" si="6"/>
        <v>Valid</v>
      </c>
    </row>
    <row r="447" spans="1:4" x14ac:dyDescent="0.35">
      <c r="A447" s="42" t="str">
        <v>Vikas Mehta</v>
      </c>
      <c r="B447" s="43" t="str">
        <v>Vik005Hy</v>
      </c>
      <c r="C447" s="45" t="str">
        <v>vikas.mehta@company.com</v>
      </c>
      <c r="D447" s="46" t="str">
        <f t="shared" si="6"/>
        <v>Valid</v>
      </c>
    </row>
    <row r="448" spans="1:4" x14ac:dyDescent="0.35">
      <c r="A448" s="42" t="str">
        <v>Kavya Nair</v>
      </c>
      <c r="B448" s="43" t="str">
        <v>Kav008Mu</v>
      </c>
      <c r="C448" s="45" t="str">
        <v>kavya.nair@company.com</v>
      </c>
      <c r="D448" s="46" t="str">
        <f t="shared" si="6"/>
        <v>Valid</v>
      </c>
    </row>
    <row r="449" spans="1:4" x14ac:dyDescent="0.35">
      <c r="A449" s="42" t="str">
        <v>Kavya Nair</v>
      </c>
      <c r="B449" s="43" t="str">
        <v>Kav008Pu</v>
      </c>
      <c r="C449" s="45" t="str">
        <v>kavya.nair@company.com</v>
      </c>
      <c r="D449" s="46" t="str">
        <f t="shared" si="6"/>
        <v>Valid</v>
      </c>
    </row>
    <row r="450" spans="1:4" x14ac:dyDescent="0.35">
      <c r="A450" s="42" t="str">
        <v>Amit Sharma</v>
      </c>
      <c r="B450" s="43" t="str">
        <v>Ami001Ah</v>
      </c>
      <c r="C450" s="45" t="str">
        <v>amit.sharma@company.com</v>
      </c>
      <c r="D450" s="46" t="str">
        <f t="shared" si="6"/>
        <v>Valid</v>
      </c>
    </row>
    <row r="451" spans="1:4" x14ac:dyDescent="0.35">
      <c r="A451" s="42" t="str">
        <v>Amit Sharma</v>
      </c>
      <c r="B451" s="43" t="str">
        <v>Ami001Ko</v>
      </c>
      <c r="C451" s="45" t="str">
        <v>amit.sharma@company.com</v>
      </c>
      <c r="D451" s="46" t="str">
        <f t="shared" ref="D451:D501" si="7">IF(ISNUMBER(SEARCH("@", C451)), "Valid", "Invalid Email")</f>
        <v>Valid</v>
      </c>
    </row>
    <row r="452" spans="1:4" x14ac:dyDescent="0.35">
      <c r="A452" s="42" t="str">
        <v>Mohit Verma</v>
      </c>
      <c r="B452" s="43" t="str">
        <v>Moh009Hy</v>
      </c>
      <c r="C452" s="45" t="str">
        <v>mohit.verma@company.com</v>
      </c>
      <c r="D452" s="46" t="str">
        <f t="shared" si="7"/>
        <v>Valid</v>
      </c>
    </row>
    <row r="453" spans="1:4" x14ac:dyDescent="0.35">
      <c r="A453" s="42" t="str">
        <v>Mohit Verma</v>
      </c>
      <c r="B453" s="43" t="str">
        <v>Moh009De</v>
      </c>
      <c r="C453" s="45" t="str">
        <v>mohit.verma@company.com</v>
      </c>
      <c r="D453" s="46" t="str">
        <f t="shared" si="7"/>
        <v>Valid</v>
      </c>
    </row>
    <row r="454" spans="1:4" x14ac:dyDescent="0.35">
      <c r="A454" s="42" t="str">
        <v>Pooja Shah</v>
      </c>
      <c r="B454" s="43" t="str">
        <v>Poo010Ah</v>
      </c>
      <c r="C454" s="45" t="str">
        <v>pooja.shah@company.com</v>
      </c>
      <c r="D454" s="46" t="str">
        <f t="shared" si="7"/>
        <v>Valid</v>
      </c>
    </row>
    <row r="455" spans="1:4" x14ac:dyDescent="0.35">
      <c r="A455" s="42" t="str">
        <v>Sneha Joshi</v>
      </c>
      <c r="B455" s="43" t="str">
        <v>Sne006Ah</v>
      </c>
      <c r="C455" s="45" t="str">
        <v>sneha.joshi@company.com</v>
      </c>
      <c r="D455" s="46" t="str">
        <f t="shared" si="7"/>
        <v>Valid</v>
      </c>
    </row>
    <row r="456" spans="1:4" x14ac:dyDescent="0.35">
      <c r="A456" s="42" t="str">
        <v>Mohit Verma</v>
      </c>
      <c r="B456" s="43" t="str">
        <v>Moh009Ko</v>
      </c>
      <c r="C456" s="45" t="str">
        <v>mohit.verma@company.com</v>
      </c>
      <c r="D456" s="46" t="str">
        <f t="shared" si="7"/>
        <v>Valid</v>
      </c>
    </row>
    <row r="457" spans="1:4" x14ac:dyDescent="0.35">
      <c r="A457" s="42" t="str">
        <v>Pooja Shah</v>
      </c>
      <c r="B457" s="43" t="str">
        <v>Poo010Pu</v>
      </c>
      <c r="C457" s="45" t="str">
        <v>pooja.shah@company.com</v>
      </c>
      <c r="D457" s="46" t="str">
        <f t="shared" si="7"/>
        <v>Valid</v>
      </c>
    </row>
    <row r="458" spans="1:4" x14ac:dyDescent="0.35">
      <c r="A458" s="42" t="str">
        <v>Amit Sharma</v>
      </c>
      <c r="B458" s="43" t="str">
        <v>Ami001Be</v>
      </c>
      <c r="C458" s="45" t="str">
        <v>amit.sharma@company.com</v>
      </c>
      <c r="D458" s="46" t="str">
        <f t="shared" si="7"/>
        <v>Valid</v>
      </c>
    </row>
    <row r="459" spans="1:4" x14ac:dyDescent="0.35">
      <c r="A459" s="42" t="str">
        <v>Priya Patel</v>
      </c>
      <c r="B459" s="43" t="str">
        <v>Pri002Ah</v>
      </c>
      <c r="C459" s="45" t="str">
        <v>priya.patel@company.com</v>
      </c>
      <c r="D459" s="46" t="str">
        <f t="shared" si="7"/>
        <v>Valid</v>
      </c>
    </row>
    <row r="460" spans="1:4" x14ac:dyDescent="0.35">
      <c r="A460" s="42" t="str">
        <v>Vikas Mehta</v>
      </c>
      <c r="B460" s="43" t="str">
        <v>Vik005Mu</v>
      </c>
      <c r="C460" s="45" t="str">
        <v>vikas.mehta@company.com</v>
      </c>
      <c r="D460" s="46" t="str">
        <f t="shared" si="7"/>
        <v>Valid</v>
      </c>
    </row>
    <row r="461" spans="1:4" x14ac:dyDescent="0.35">
      <c r="A461" s="42" t="str">
        <v>Amit Sharma</v>
      </c>
      <c r="B461" s="43" t="str">
        <v>Ami001Be</v>
      </c>
      <c r="C461" s="45" t="str">
        <v>amit.sharma@company.com</v>
      </c>
      <c r="D461" s="46" t="str">
        <f t="shared" si="7"/>
        <v>Valid</v>
      </c>
    </row>
    <row r="462" spans="1:4" x14ac:dyDescent="0.35">
      <c r="A462" s="42" t="str">
        <v>Amit Sharma</v>
      </c>
      <c r="B462" s="43" t="str">
        <v>Ami001De</v>
      </c>
      <c r="C462" s="45" t="str">
        <v>amit.sharma@company.com</v>
      </c>
      <c r="D462" s="46" t="str">
        <f t="shared" si="7"/>
        <v>Valid</v>
      </c>
    </row>
    <row r="463" spans="1:4" x14ac:dyDescent="0.35">
      <c r="A463" s="42" t="str">
        <v>Rohit Singh</v>
      </c>
      <c r="B463" s="43" t="str">
        <v>Roh003De</v>
      </c>
      <c r="C463" s="45" t="str">
        <v>rohit.singh@company.com</v>
      </c>
      <c r="D463" s="46" t="str">
        <f t="shared" si="7"/>
        <v>Valid</v>
      </c>
    </row>
    <row r="464" spans="1:4" x14ac:dyDescent="0.35">
      <c r="A464" s="42" t="str">
        <v>Mohit Verma</v>
      </c>
      <c r="B464" s="43" t="str">
        <v>Moh009Hy</v>
      </c>
      <c r="C464" s="45" t="str">
        <v>mohit.verma@company.com</v>
      </c>
      <c r="D464" s="46" t="str">
        <f t="shared" si="7"/>
        <v>Valid</v>
      </c>
    </row>
    <row r="465" spans="1:4" x14ac:dyDescent="0.35">
      <c r="A465" s="42" t="str">
        <v>Rohit Singh</v>
      </c>
      <c r="B465" s="43" t="str">
        <v>Roh003Pu</v>
      </c>
      <c r="C465" s="45" t="str">
        <v>rohit.singh@company.com</v>
      </c>
      <c r="D465" s="46" t="str">
        <f t="shared" si="7"/>
        <v>Valid</v>
      </c>
    </row>
    <row r="466" spans="1:4" x14ac:dyDescent="0.35">
      <c r="A466" s="42" t="str">
        <v>Mohit Verma</v>
      </c>
      <c r="B466" s="43" t="str">
        <v>Moh009Be</v>
      </c>
      <c r="C466" s="45" t="str">
        <v>mohit.verma@company.com</v>
      </c>
      <c r="D466" s="46" t="str">
        <f t="shared" si="7"/>
        <v>Valid</v>
      </c>
    </row>
    <row r="467" spans="1:4" x14ac:dyDescent="0.35">
      <c r="A467" s="42" t="str">
        <v>Arjun Rao</v>
      </c>
      <c r="B467" s="43" t="str">
        <v>Arj007Ja</v>
      </c>
      <c r="C467" s="45" t="str">
        <v>arjun.rao@company.com</v>
      </c>
      <c r="D467" s="46" t="str">
        <f t="shared" si="7"/>
        <v>Valid</v>
      </c>
    </row>
    <row r="468" spans="1:4" x14ac:dyDescent="0.35">
      <c r="A468" s="42" t="str">
        <v>Pooja Shah</v>
      </c>
      <c r="B468" s="43" t="str">
        <v>Poo010Pu</v>
      </c>
      <c r="C468" s="45" t="str">
        <v>pooja.shah@company.com</v>
      </c>
      <c r="D468" s="46" t="str">
        <f t="shared" si="7"/>
        <v>Valid</v>
      </c>
    </row>
    <row r="469" spans="1:4" x14ac:dyDescent="0.35">
      <c r="A469" s="42" t="str">
        <v>Kavya Nair</v>
      </c>
      <c r="B469" s="43" t="str">
        <v>Kav008Ah</v>
      </c>
      <c r="C469" s="45" t="str">
        <v>kavya.nair@company.com</v>
      </c>
      <c r="D469" s="46" t="str">
        <f t="shared" si="7"/>
        <v>Valid</v>
      </c>
    </row>
    <row r="470" spans="1:4" x14ac:dyDescent="0.35">
      <c r="A470" s="42" t="str">
        <v>Priya Patel</v>
      </c>
      <c r="B470" s="43" t="str">
        <v>Pri002Mu</v>
      </c>
      <c r="C470" s="45" t="str">
        <v>priya.patel@company.com</v>
      </c>
      <c r="D470" s="46" t="str">
        <f t="shared" si="7"/>
        <v>Valid</v>
      </c>
    </row>
    <row r="471" spans="1:4" x14ac:dyDescent="0.35">
      <c r="A471" s="42" t="str">
        <v>Amit Sharma</v>
      </c>
      <c r="B471" s="43" t="str">
        <v>Ami001Pu</v>
      </c>
      <c r="C471" s="45" t="str">
        <v>amit.sharma@company.com</v>
      </c>
      <c r="D471" s="46" t="str">
        <f t="shared" si="7"/>
        <v>Valid</v>
      </c>
    </row>
    <row r="472" spans="1:4" x14ac:dyDescent="0.35">
      <c r="A472" s="42" t="str">
        <v>Kavya Nair</v>
      </c>
      <c r="B472" s="43" t="str">
        <v>Kav008Be</v>
      </c>
      <c r="C472" s="45" t="str">
        <v>kavya.nair@company.com</v>
      </c>
      <c r="D472" s="46" t="str">
        <f t="shared" si="7"/>
        <v>Valid</v>
      </c>
    </row>
    <row r="473" spans="1:4" x14ac:dyDescent="0.35">
      <c r="A473" s="42" t="str">
        <v>Pooja Shah</v>
      </c>
      <c r="B473" s="43" t="str">
        <v>Poo010Pu</v>
      </c>
      <c r="C473" s="45" t="str">
        <v>pooja.shah@company.com</v>
      </c>
      <c r="D473" s="46" t="str">
        <f t="shared" si="7"/>
        <v>Valid</v>
      </c>
    </row>
    <row r="474" spans="1:4" x14ac:dyDescent="0.35">
      <c r="A474" s="42" t="str">
        <v>Sneha Joshi</v>
      </c>
      <c r="B474" s="43" t="str">
        <v>Sne006De</v>
      </c>
      <c r="C474" s="45" t="str">
        <v>sneha.joshi@company.com</v>
      </c>
      <c r="D474" s="46" t="str">
        <f t="shared" si="7"/>
        <v>Valid</v>
      </c>
    </row>
    <row r="475" spans="1:4" x14ac:dyDescent="0.35">
      <c r="A475" s="42" t="str">
        <v>Mohit Verma</v>
      </c>
      <c r="B475" s="43" t="str">
        <v>Moh009De</v>
      </c>
      <c r="C475" s="45" t="str">
        <v>mohit.verma@company.com</v>
      </c>
      <c r="D475" s="46" t="str">
        <f t="shared" si="7"/>
        <v>Valid</v>
      </c>
    </row>
    <row r="476" spans="1:4" x14ac:dyDescent="0.35">
      <c r="A476" s="42" t="str">
        <v>Amit Sharma</v>
      </c>
      <c r="B476" s="43" t="str">
        <v>Ami001Mu</v>
      </c>
      <c r="C476" s="45" t="str">
        <v>amit.sharma@company.com</v>
      </c>
      <c r="D476" s="46" t="str">
        <f t="shared" si="7"/>
        <v>Valid</v>
      </c>
    </row>
    <row r="477" spans="1:4" x14ac:dyDescent="0.35">
      <c r="A477" s="42" t="str">
        <v>Rohit Singh</v>
      </c>
      <c r="B477" s="43" t="str">
        <v>Roh003Ko</v>
      </c>
      <c r="C477" s="45" t="str">
        <v>rohit.singh@company.com</v>
      </c>
      <c r="D477" s="46" t="str">
        <f t="shared" si="7"/>
        <v>Valid</v>
      </c>
    </row>
    <row r="478" spans="1:4" x14ac:dyDescent="0.35">
      <c r="A478" s="42" t="str">
        <v>Pooja Shah</v>
      </c>
      <c r="B478" s="43" t="str">
        <v>Poo010Mu</v>
      </c>
      <c r="C478" s="45" t="str">
        <v>pooja.shah@company.com</v>
      </c>
      <c r="D478" s="46" t="str">
        <f t="shared" si="7"/>
        <v>Valid</v>
      </c>
    </row>
    <row r="479" spans="1:4" x14ac:dyDescent="0.35">
      <c r="A479" s="42" t="str">
        <v>Kavya Nair</v>
      </c>
      <c r="B479" s="43" t="str">
        <v>Kav008Be</v>
      </c>
      <c r="C479" s="45" t="str">
        <v>kavya.nair@company.com</v>
      </c>
      <c r="D479" s="46" t="str">
        <f t="shared" si="7"/>
        <v>Valid</v>
      </c>
    </row>
    <row r="480" spans="1:4" x14ac:dyDescent="0.35">
      <c r="A480" s="42" t="str">
        <v>Anita Gupta</v>
      </c>
      <c r="B480" s="43" t="str">
        <v>Ani004Ko</v>
      </c>
      <c r="C480" s="45" t="str">
        <v>anita.gupta@company.com</v>
      </c>
      <c r="D480" s="46" t="str">
        <f t="shared" si="7"/>
        <v>Valid</v>
      </c>
    </row>
    <row r="481" spans="1:4" x14ac:dyDescent="0.35">
      <c r="A481" s="42" t="str">
        <v>Rohit Singh</v>
      </c>
      <c r="B481" s="43" t="str">
        <v>Roh003Ah</v>
      </c>
      <c r="C481" s="45" t="str">
        <v>rohit.singh@company.com</v>
      </c>
      <c r="D481" s="46" t="str">
        <f t="shared" si="7"/>
        <v>Valid</v>
      </c>
    </row>
    <row r="482" spans="1:4" x14ac:dyDescent="0.35">
      <c r="A482" s="42" t="str">
        <v>Kavya Nair</v>
      </c>
      <c r="B482" s="43" t="str">
        <v>Kav008Be</v>
      </c>
      <c r="C482" s="45" t="str">
        <v>kavya.nair@company.com</v>
      </c>
      <c r="D482" s="46" t="str">
        <f t="shared" si="7"/>
        <v>Valid</v>
      </c>
    </row>
    <row r="483" spans="1:4" x14ac:dyDescent="0.35">
      <c r="A483" s="42" t="str">
        <v>Rohit Singh</v>
      </c>
      <c r="B483" s="43" t="str">
        <v>Roh003Ko</v>
      </c>
      <c r="C483" s="45" t="str">
        <v>rohit.singh@company.com</v>
      </c>
      <c r="D483" s="46" t="str">
        <f t="shared" si="7"/>
        <v>Valid</v>
      </c>
    </row>
    <row r="484" spans="1:4" x14ac:dyDescent="0.35">
      <c r="A484" s="42" t="str">
        <v>Mohit Verma</v>
      </c>
      <c r="B484" s="43" t="str">
        <v>Moh009Ko</v>
      </c>
      <c r="C484" s="45" t="str">
        <v>mohit.verma@company.com</v>
      </c>
      <c r="D484" s="46" t="str">
        <f t="shared" si="7"/>
        <v>Valid</v>
      </c>
    </row>
    <row r="485" spans="1:4" x14ac:dyDescent="0.35">
      <c r="A485" s="42" t="str">
        <v>Kavya Nair</v>
      </c>
      <c r="B485" s="43" t="str">
        <v>Kav008Hy</v>
      </c>
      <c r="C485" s="45" t="str">
        <v>kavya.nair@company.com</v>
      </c>
      <c r="D485" s="46" t="str">
        <f t="shared" si="7"/>
        <v>Valid</v>
      </c>
    </row>
    <row r="486" spans="1:4" x14ac:dyDescent="0.35">
      <c r="A486" s="42" t="str">
        <v>Amit Sharma</v>
      </c>
      <c r="B486" s="43" t="str">
        <v>Ami001Ah</v>
      </c>
      <c r="C486" s="45" t="str">
        <v>amit.sharma@company.com</v>
      </c>
      <c r="D486" s="46" t="str">
        <f t="shared" si="7"/>
        <v>Valid</v>
      </c>
    </row>
    <row r="487" spans="1:4" x14ac:dyDescent="0.35">
      <c r="A487" s="42" t="str">
        <v>Priya Patel</v>
      </c>
      <c r="B487" s="43" t="str">
        <v>Pri002Ja</v>
      </c>
      <c r="C487" s="45" t="str">
        <v>priya.patel@company.com</v>
      </c>
      <c r="D487" s="46" t="str">
        <f t="shared" si="7"/>
        <v>Valid</v>
      </c>
    </row>
    <row r="488" spans="1:4" x14ac:dyDescent="0.35">
      <c r="A488" s="42" t="str">
        <v>Sneha Joshi</v>
      </c>
      <c r="B488" s="43" t="str">
        <v>Sne006Ko</v>
      </c>
      <c r="C488" s="45" t="str">
        <v>sneha.joshi@company.com</v>
      </c>
      <c r="D488" s="46" t="str">
        <f t="shared" si="7"/>
        <v>Valid</v>
      </c>
    </row>
    <row r="489" spans="1:4" x14ac:dyDescent="0.35">
      <c r="A489" s="42" t="str">
        <v>Pooja Shah</v>
      </c>
      <c r="B489" s="43" t="str">
        <v>Poo010Ko</v>
      </c>
      <c r="C489" s="45" t="str">
        <v>pooja.shah@company.com</v>
      </c>
      <c r="D489" s="46" t="str">
        <f t="shared" si="7"/>
        <v>Valid</v>
      </c>
    </row>
    <row r="490" spans="1:4" x14ac:dyDescent="0.35">
      <c r="A490" s="42" t="str">
        <v>Anita Gupta</v>
      </c>
      <c r="B490" s="43" t="str">
        <v>Ani004Pu</v>
      </c>
      <c r="C490" s="45" t="str">
        <v>anita.gupta@company.com</v>
      </c>
      <c r="D490" s="46" t="str">
        <f t="shared" si="7"/>
        <v>Valid</v>
      </c>
    </row>
    <row r="491" spans="1:4" x14ac:dyDescent="0.35">
      <c r="A491" s="42" t="str">
        <v>Amit Sharma</v>
      </c>
      <c r="B491" s="43" t="str">
        <v>Ami001Hy</v>
      </c>
      <c r="C491" s="45" t="str">
        <v>amit.sharma@company.com</v>
      </c>
      <c r="D491" s="46" t="str">
        <f t="shared" si="7"/>
        <v>Valid</v>
      </c>
    </row>
    <row r="492" spans="1:4" x14ac:dyDescent="0.35">
      <c r="A492" s="42" t="str">
        <v>Priya Patel</v>
      </c>
      <c r="B492" s="43" t="str">
        <v>Pri002Pu</v>
      </c>
      <c r="C492" s="45" t="str">
        <v>priya.patel@company.com</v>
      </c>
      <c r="D492" s="46" t="str">
        <f t="shared" si="7"/>
        <v>Valid</v>
      </c>
    </row>
    <row r="493" spans="1:4" x14ac:dyDescent="0.35">
      <c r="A493" s="42" t="str">
        <v>Arjun Rao</v>
      </c>
      <c r="B493" s="43" t="str">
        <v>Arj007De</v>
      </c>
      <c r="C493" s="45" t="str">
        <v>arjun.rao@company.com</v>
      </c>
      <c r="D493" s="46" t="str">
        <f t="shared" si="7"/>
        <v>Valid</v>
      </c>
    </row>
    <row r="494" spans="1:4" x14ac:dyDescent="0.35">
      <c r="A494" s="42" t="str">
        <v>Rohit Singh</v>
      </c>
      <c r="B494" s="43" t="str">
        <v>Roh003Hy</v>
      </c>
      <c r="C494" s="45" t="str">
        <v>rohit.singh@company.com</v>
      </c>
      <c r="D494" s="46" t="str">
        <f t="shared" si="7"/>
        <v>Valid</v>
      </c>
    </row>
    <row r="495" spans="1:4" x14ac:dyDescent="0.35">
      <c r="A495" s="42" t="str">
        <v>Arjun Rao</v>
      </c>
      <c r="B495" s="43" t="str">
        <v>Arj007Ah</v>
      </c>
      <c r="C495" s="45" t="str">
        <v>arjun.rao@company.com</v>
      </c>
      <c r="D495" s="46" t="str">
        <f t="shared" si="7"/>
        <v>Valid</v>
      </c>
    </row>
    <row r="496" spans="1:4" x14ac:dyDescent="0.35">
      <c r="A496" s="42" t="str">
        <v>Mohit Verma</v>
      </c>
      <c r="B496" s="43" t="str">
        <v>Moh009Pu</v>
      </c>
      <c r="C496" s="45" t="str">
        <v>mohit.verma@company.com</v>
      </c>
      <c r="D496" s="46" t="str">
        <f t="shared" si="7"/>
        <v>Valid</v>
      </c>
    </row>
    <row r="497" spans="1:4" x14ac:dyDescent="0.35">
      <c r="A497" s="42" t="str">
        <v>Anita Gupta</v>
      </c>
      <c r="B497" s="43" t="str">
        <v>Ani004Ja</v>
      </c>
      <c r="C497" s="45" t="str">
        <v>anita.gupta@company.com</v>
      </c>
      <c r="D497" s="46" t="str">
        <f t="shared" si="7"/>
        <v>Valid</v>
      </c>
    </row>
    <row r="498" spans="1:4" x14ac:dyDescent="0.35">
      <c r="A498" s="42" t="str">
        <v>Arjun Rao</v>
      </c>
      <c r="B498" s="43" t="str">
        <v>Arj007Ja</v>
      </c>
      <c r="C498" s="45" t="str">
        <v>arjun.rao@company.com</v>
      </c>
      <c r="D498" s="46" t="str">
        <f t="shared" si="7"/>
        <v>Valid</v>
      </c>
    </row>
    <row r="499" spans="1:4" x14ac:dyDescent="0.35">
      <c r="A499" s="42" t="str">
        <v>Vikas Mehta</v>
      </c>
      <c r="B499" s="43" t="str">
        <v>Vik005De</v>
      </c>
      <c r="C499" s="45" t="str">
        <v>vikas.mehtacompany.com</v>
      </c>
      <c r="D499" s="46" t="str">
        <f t="shared" si="7"/>
        <v>Invalid Email</v>
      </c>
    </row>
    <row r="500" spans="1:4" x14ac:dyDescent="0.35">
      <c r="A500" s="42" t="str">
        <v>Priya Patel</v>
      </c>
      <c r="B500" s="43" t="str">
        <v>Pri002Mu</v>
      </c>
      <c r="C500" s="45" t="str">
        <v>priya.patel@company.com</v>
      </c>
      <c r="D500" s="46" t="str">
        <f t="shared" si="7"/>
        <v>Valid</v>
      </c>
    </row>
    <row r="501" spans="1:4" x14ac:dyDescent="0.35">
      <c r="A501" s="42" t="str">
        <v>Priya Patel</v>
      </c>
      <c r="B501" s="43" t="str">
        <v>Pri002Be</v>
      </c>
      <c r="C501" s="45" t="str">
        <v>priya.patel@company.com</v>
      </c>
      <c r="D501" s="46" t="str">
        <f t="shared" si="7"/>
        <v>Valid</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C6FC-C8C4-4384-995C-7002AC06241C}">
  <dimension ref="A1:Y501"/>
  <sheetViews>
    <sheetView topLeftCell="N1" workbookViewId="0">
      <selection activeCell="W10" sqref="W10"/>
    </sheetView>
  </sheetViews>
  <sheetFormatPr defaultRowHeight="14.5" x14ac:dyDescent="0.35"/>
  <cols>
    <col min="1" max="1" width="9.54296875" bestFit="1" customWidth="1"/>
    <col min="2" max="2" width="11.6328125" bestFit="1" customWidth="1"/>
    <col min="3" max="3" width="10" bestFit="1" customWidth="1"/>
    <col min="4" max="4" width="10.1796875" bestFit="1" customWidth="1"/>
    <col min="5" max="5" width="12.36328125" bestFit="1" customWidth="1"/>
    <col min="6" max="6" width="14.81640625" bestFit="1" customWidth="1"/>
    <col min="7" max="7" width="6.90625" bestFit="1" customWidth="1"/>
    <col min="8" max="8" width="10.08984375" bestFit="1" customWidth="1"/>
    <col min="9" max="9" width="10.453125" bestFit="1" customWidth="1"/>
    <col min="10" max="10" width="6.54296875" bestFit="1" customWidth="1"/>
    <col min="11" max="11" width="15" bestFit="1" customWidth="1"/>
    <col min="12" max="12" width="13.1796875" bestFit="1" customWidth="1"/>
    <col min="13" max="13" width="8" bestFit="1" customWidth="1"/>
    <col min="14" max="14" width="9.453125" bestFit="1" customWidth="1"/>
    <col min="15" max="15" width="10.7265625" bestFit="1" customWidth="1"/>
    <col min="16" max="16" width="7.81640625" bestFit="1" customWidth="1"/>
    <col min="17" max="17" width="6.1796875" bestFit="1" customWidth="1"/>
    <col min="18" max="18" width="13.6328125" bestFit="1" customWidth="1"/>
    <col min="19" max="19" width="11.08984375" bestFit="1" customWidth="1"/>
    <col min="20" max="20" width="24.81640625" bestFit="1" customWidth="1"/>
    <col min="21" max="21" width="10.81640625" bestFit="1" customWidth="1"/>
    <col min="22" max="22" width="11.6328125" bestFit="1" customWidth="1"/>
    <col min="23" max="23" width="15.90625" customWidth="1"/>
    <col min="24" max="24" width="20.36328125" customWidth="1"/>
    <col min="25" max="25" width="18.54296875" customWidth="1"/>
  </cols>
  <sheetData>
    <row r="1" spans="1:25" ht="15" thickBot="1" x14ac:dyDescent="0.4">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0" t="s">
        <v>21</v>
      </c>
      <c r="W1" s="26" t="s">
        <v>658</v>
      </c>
      <c r="X1" s="47" t="s">
        <v>659</v>
      </c>
      <c r="Y1" s="48" t="s">
        <v>660</v>
      </c>
    </row>
    <row r="2" spans="1:25" ht="15.5" thickTop="1" thickBot="1" x14ac:dyDescent="0.4">
      <c r="A2" s="27" t="s">
        <v>22</v>
      </c>
      <c r="B2" s="27" t="s">
        <v>23</v>
      </c>
      <c r="C2" s="27" t="s">
        <v>24</v>
      </c>
      <c r="D2" s="28">
        <v>45918</v>
      </c>
      <c r="E2" s="28">
        <v>45922</v>
      </c>
      <c r="F2" s="27" t="s">
        <v>25</v>
      </c>
      <c r="G2" s="27" t="s">
        <v>26</v>
      </c>
      <c r="H2" s="28">
        <v>27973</v>
      </c>
      <c r="I2" s="27" t="s">
        <v>27</v>
      </c>
      <c r="J2" s="27" t="s">
        <v>28</v>
      </c>
      <c r="K2" s="27" t="s">
        <v>29</v>
      </c>
      <c r="L2" s="27" t="s">
        <v>30</v>
      </c>
      <c r="M2" s="27">
        <v>4</v>
      </c>
      <c r="N2" s="27">
        <v>2200</v>
      </c>
      <c r="O2" s="27">
        <v>10</v>
      </c>
      <c r="P2" s="27">
        <v>7920</v>
      </c>
      <c r="Q2" s="27">
        <v>4</v>
      </c>
      <c r="R2" s="27" t="s">
        <v>31</v>
      </c>
      <c r="S2" s="27" t="s">
        <v>32</v>
      </c>
      <c r="T2" s="29" t="s">
        <v>33</v>
      </c>
      <c r="U2" s="27">
        <v>9431429797</v>
      </c>
      <c r="V2" s="35" t="s">
        <v>34</v>
      </c>
      <c r="W2" s="49">
        <f ca="1">INT(YEARFRAC(H2, TODAY()))</f>
        <v>50</v>
      </c>
      <c r="X2" s="50">
        <f>IF(OR(E2="", E2&lt;D2), "", E2 - D2)</f>
        <v>4</v>
      </c>
      <c r="Y2" s="46" t="str" cm="1">
        <f t="array" ref="Y2">_xlfn.IFS(X2&lt;=5,"On Time",X2&gt;5,"Delayed",X2=" ","Pending")</f>
        <v>On Time</v>
      </c>
    </row>
    <row r="3" spans="1:25" ht="15" thickBot="1" x14ac:dyDescent="0.4">
      <c r="A3" s="30" t="s">
        <v>35</v>
      </c>
      <c r="B3" s="30" t="s">
        <v>23</v>
      </c>
      <c r="C3" s="30" t="s">
        <v>36</v>
      </c>
      <c r="D3" s="31">
        <v>45774</v>
      </c>
      <c r="E3" s="31">
        <v>45781</v>
      </c>
      <c r="F3" s="30" t="s">
        <v>25</v>
      </c>
      <c r="G3" s="30" t="s">
        <v>26</v>
      </c>
      <c r="H3" s="31">
        <v>36815</v>
      </c>
      <c r="I3" s="30" t="s">
        <v>37</v>
      </c>
      <c r="J3" s="30" t="s">
        <v>38</v>
      </c>
      <c r="K3" s="30" t="s">
        <v>39</v>
      </c>
      <c r="L3" s="30" t="s">
        <v>40</v>
      </c>
      <c r="M3" s="30">
        <v>17</v>
      </c>
      <c r="N3" s="30">
        <v>12000</v>
      </c>
      <c r="O3" s="30">
        <v>10</v>
      </c>
      <c r="P3" s="30">
        <v>183600</v>
      </c>
      <c r="Q3" s="30">
        <v>1</v>
      </c>
      <c r="R3" s="30" t="s">
        <v>41</v>
      </c>
      <c r="S3" s="30" t="s">
        <v>42</v>
      </c>
      <c r="T3" s="30" t="s">
        <v>43</v>
      </c>
      <c r="U3" s="30">
        <v>9129865339</v>
      </c>
      <c r="V3" s="36" t="s">
        <v>34</v>
      </c>
      <c r="W3" s="49">
        <f t="shared" ref="W3:W66" ca="1" si="0">INT(YEARFRAC(H3, TODAY()))</f>
        <v>26</v>
      </c>
      <c r="X3" s="50">
        <f t="shared" ref="X3:X66" si="1">IF(OR(E3="", E3&lt;D3), "", E3 - D3)</f>
        <v>7</v>
      </c>
      <c r="Y3" s="46" t="str" cm="1">
        <f t="array" ref="Y3">_xlfn.IFS(X3&lt;=5,"On Time",X3&gt;5,"Delayed",X3=" ","Pending")</f>
        <v>Delayed</v>
      </c>
    </row>
    <row r="4" spans="1:25" ht="15" thickBot="1" x14ac:dyDescent="0.4">
      <c r="A4" s="27" t="s">
        <v>44</v>
      </c>
      <c r="B4" s="27" t="s">
        <v>45</v>
      </c>
      <c r="C4" s="27" t="s">
        <v>46</v>
      </c>
      <c r="D4" s="28">
        <v>45903</v>
      </c>
      <c r="E4" s="28">
        <v>45914</v>
      </c>
      <c r="F4" s="27" t="s">
        <v>47</v>
      </c>
      <c r="G4" s="27" t="s">
        <v>26</v>
      </c>
      <c r="H4" s="28">
        <v>34593</v>
      </c>
      <c r="I4" s="27" t="s">
        <v>48</v>
      </c>
      <c r="J4" s="27" t="s">
        <v>28</v>
      </c>
      <c r="K4" s="27" t="s">
        <v>39</v>
      </c>
      <c r="L4" s="27" t="s">
        <v>49</v>
      </c>
      <c r="M4" s="27">
        <v>5</v>
      </c>
      <c r="N4" s="27">
        <v>55000</v>
      </c>
      <c r="O4" s="27">
        <v>5</v>
      </c>
      <c r="P4" s="27">
        <v>261250</v>
      </c>
      <c r="Q4" s="27">
        <v>3</v>
      </c>
      <c r="R4" s="27" t="s">
        <v>41</v>
      </c>
      <c r="S4" s="27" t="s">
        <v>50</v>
      </c>
      <c r="T4" s="27" t="s">
        <v>51</v>
      </c>
      <c r="U4" s="27">
        <v>9380975626</v>
      </c>
      <c r="V4" s="37" t="s">
        <v>52</v>
      </c>
      <c r="W4" s="49">
        <f t="shared" ca="1" si="0"/>
        <v>32</v>
      </c>
      <c r="X4" s="50">
        <f t="shared" si="1"/>
        <v>11</v>
      </c>
      <c r="Y4" s="46" t="str" cm="1">
        <f t="array" ref="Y4">_xlfn.IFS(X4&lt;=5,"On Time",X4&gt;5,"Delayed",X4=" ","Pending")</f>
        <v>Delayed</v>
      </c>
    </row>
    <row r="5" spans="1:25" ht="15" thickBot="1" x14ac:dyDescent="0.4">
      <c r="A5" s="30" t="s">
        <v>35</v>
      </c>
      <c r="B5" s="30" t="s">
        <v>23</v>
      </c>
      <c r="C5" s="30" t="s">
        <v>24</v>
      </c>
      <c r="D5" s="31">
        <v>46102</v>
      </c>
      <c r="E5" s="31">
        <v>46114</v>
      </c>
      <c r="F5" s="30" t="s">
        <v>25</v>
      </c>
      <c r="G5" s="30" t="s">
        <v>26</v>
      </c>
      <c r="H5" s="31">
        <v>38053</v>
      </c>
      <c r="I5" s="30" t="s">
        <v>48</v>
      </c>
      <c r="J5" s="30" t="s">
        <v>28</v>
      </c>
      <c r="K5" s="30" t="s">
        <v>29</v>
      </c>
      <c r="L5" s="30" t="s">
        <v>30</v>
      </c>
      <c r="M5" s="30">
        <v>5</v>
      </c>
      <c r="N5" s="30">
        <v>2200</v>
      </c>
      <c r="O5" s="30">
        <v>5</v>
      </c>
      <c r="P5" s="30">
        <v>10450</v>
      </c>
      <c r="Q5" s="30">
        <v>5</v>
      </c>
      <c r="R5" s="30" t="s">
        <v>41</v>
      </c>
      <c r="S5" s="30" t="s">
        <v>50</v>
      </c>
      <c r="T5" s="32" t="s">
        <v>43</v>
      </c>
      <c r="U5" s="30">
        <v>9600261125</v>
      </c>
      <c r="V5" s="38" t="s">
        <v>53</v>
      </c>
      <c r="W5" s="49">
        <f t="shared" ca="1" si="0"/>
        <v>22</v>
      </c>
      <c r="X5" s="50">
        <f t="shared" si="1"/>
        <v>12</v>
      </c>
      <c r="Y5" s="46" t="str" cm="1">
        <f t="array" ref="Y5">_xlfn.IFS(X5&lt;=5,"On Time",X5&gt;5,"Delayed",X5=" ","Pending")</f>
        <v>Delayed</v>
      </c>
    </row>
    <row r="6" spans="1:25" ht="15" thickBot="1" x14ac:dyDescent="0.4">
      <c r="A6" s="27" t="s">
        <v>54</v>
      </c>
      <c r="B6" s="27" t="s">
        <v>55</v>
      </c>
      <c r="C6" s="27" t="s">
        <v>56</v>
      </c>
      <c r="D6" s="28">
        <v>45927</v>
      </c>
      <c r="E6" s="28">
        <v>45937</v>
      </c>
      <c r="F6" s="27" t="s">
        <v>57</v>
      </c>
      <c r="G6" s="27" t="s">
        <v>58</v>
      </c>
      <c r="H6" s="28">
        <v>27863</v>
      </c>
      <c r="I6" s="27" t="s">
        <v>37</v>
      </c>
      <c r="J6" s="27" t="s">
        <v>38</v>
      </c>
      <c r="K6" s="27" t="s">
        <v>39</v>
      </c>
      <c r="L6" s="27" t="s">
        <v>59</v>
      </c>
      <c r="M6" s="27">
        <v>8</v>
      </c>
      <c r="N6" s="27">
        <v>1200</v>
      </c>
      <c r="O6" s="27">
        <v>5</v>
      </c>
      <c r="P6" s="27">
        <v>9120</v>
      </c>
      <c r="Q6" s="27">
        <v>2</v>
      </c>
      <c r="R6" s="27" t="s">
        <v>60</v>
      </c>
      <c r="S6" s="27" t="s">
        <v>50</v>
      </c>
      <c r="T6" s="27" t="s">
        <v>61</v>
      </c>
      <c r="U6" s="27">
        <v>9724635978</v>
      </c>
      <c r="V6" s="37" t="s">
        <v>52</v>
      </c>
      <c r="W6" s="49">
        <f t="shared" ca="1" si="0"/>
        <v>50</v>
      </c>
      <c r="X6" s="50">
        <f t="shared" si="1"/>
        <v>10</v>
      </c>
      <c r="Y6" s="46" t="str" cm="1">
        <f t="array" ref="Y6">_xlfn.IFS(X6&lt;=5,"On Time",X6&gt;5,"Delayed",X6=" ","Pending")</f>
        <v>Delayed</v>
      </c>
    </row>
    <row r="7" spans="1:25" ht="15" thickBot="1" x14ac:dyDescent="0.4">
      <c r="A7" s="30" t="s">
        <v>62</v>
      </c>
      <c r="B7" s="30" t="s">
        <v>63</v>
      </c>
      <c r="C7" s="30" t="s">
        <v>24</v>
      </c>
      <c r="D7" s="31">
        <v>46026</v>
      </c>
      <c r="E7" s="31">
        <v>46034</v>
      </c>
      <c r="F7" s="30" t="s">
        <v>64</v>
      </c>
      <c r="G7" s="30" t="s">
        <v>58</v>
      </c>
      <c r="H7" s="31">
        <v>32180</v>
      </c>
      <c r="I7" s="30" t="s">
        <v>27</v>
      </c>
      <c r="J7" s="30" t="s">
        <v>28</v>
      </c>
      <c r="K7" s="30" t="s">
        <v>29</v>
      </c>
      <c r="L7" s="30" t="s">
        <v>30</v>
      </c>
      <c r="M7" s="30">
        <v>4</v>
      </c>
      <c r="N7" s="30">
        <v>2200</v>
      </c>
      <c r="O7" s="30">
        <v>0</v>
      </c>
      <c r="P7" s="30">
        <v>8800</v>
      </c>
      <c r="Q7" s="30">
        <v>1</v>
      </c>
      <c r="R7" s="30" t="s">
        <v>65</v>
      </c>
      <c r="S7" s="30" t="s">
        <v>32</v>
      </c>
      <c r="T7" s="30" t="s">
        <v>66</v>
      </c>
      <c r="U7" s="30">
        <v>9780584905</v>
      </c>
      <c r="V7" s="36" t="s">
        <v>34</v>
      </c>
      <c r="W7" s="49">
        <f t="shared" ca="1" si="0"/>
        <v>38</v>
      </c>
      <c r="X7" s="50">
        <f t="shared" si="1"/>
        <v>8</v>
      </c>
      <c r="Y7" s="46" t="str" cm="1">
        <f t="array" ref="Y7">_xlfn.IFS(X7&lt;=5,"On Time",X7&gt;5,"Delayed",X7=" ","Pending")</f>
        <v>Delayed</v>
      </c>
    </row>
    <row r="8" spans="1:25" ht="15" thickBot="1" x14ac:dyDescent="0.4">
      <c r="A8" s="27" t="s">
        <v>67</v>
      </c>
      <c r="B8" s="27" t="s">
        <v>23</v>
      </c>
      <c r="C8" s="27" t="s">
        <v>68</v>
      </c>
      <c r="D8" s="27" t="s">
        <v>69</v>
      </c>
      <c r="E8" s="28">
        <v>46078</v>
      </c>
      <c r="F8" s="27" t="s">
        <v>25</v>
      </c>
      <c r="G8" s="27" t="s">
        <v>26</v>
      </c>
      <c r="H8" s="28">
        <v>37700</v>
      </c>
      <c r="I8" s="27" t="s">
        <v>27</v>
      </c>
      <c r="J8" s="27" t="s">
        <v>28</v>
      </c>
      <c r="K8" s="27" t="s">
        <v>29</v>
      </c>
      <c r="L8" s="27" t="s">
        <v>70</v>
      </c>
      <c r="M8" s="27">
        <v>2</v>
      </c>
      <c r="N8" s="27">
        <v>3500</v>
      </c>
      <c r="O8" s="27">
        <v>5</v>
      </c>
      <c r="P8" s="27">
        <v>6650</v>
      </c>
      <c r="Q8" s="27">
        <v>1</v>
      </c>
      <c r="R8" s="27" t="s">
        <v>65</v>
      </c>
      <c r="S8" s="27" t="s">
        <v>32</v>
      </c>
      <c r="T8" s="27" t="s">
        <v>43</v>
      </c>
      <c r="U8" s="27">
        <v>9958252176</v>
      </c>
      <c r="V8" s="35" t="s">
        <v>34</v>
      </c>
      <c r="W8" s="49">
        <f t="shared" ca="1" si="0"/>
        <v>23</v>
      </c>
      <c r="X8" s="50" t="str">
        <f t="shared" si="1"/>
        <v/>
      </c>
      <c r="Y8" s="46" t="str" cm="1">
        <f t="array" ref="Y8">_xlfn.IFS(X8&lt;=5,"On Time",X8&gt;5,"Delayed",X8=" ","Pending")</f>
        <v>Delayed</v>
      </c>
    </row>
    <row r="9" spans="1:25" ht="15" thickBot="1" x14ac:dyDescent="0.4">
      <c r="A9" s="30" t="s">
        <v>71</v>
      </c>
      <c r="B9" s="30" t="s">
        <v>72</v>
      </c>
      <c r="C9" s="30" t="s">
        <v>36</v>
      </c>
      <c r="D9" s="31">
        <v>45760</v>
      </c>
      <c r="E9" s="31">
        <v>45766</v>
      </c>
      <c r="F9" s="30" t="s">
        <v>73</v>
      </c>
      <c r="G9" s="30" t="s">
        <v>26</v>
      </c>
      <c r="H9" s="31">
        <v>34765</v>
      </c>
      <c r="I9" s="30" t="s">
        <v>74</v>
      </c>
      <c r="J9" s="30" t="s">
        <v>75</v>
      </c>
      <c r="K9" s="30" t="s">
        <v>39</v>
      </c>
      <c r="L9" s="30" t="s">
        <v>40</v>
      </c>
      <c r="M9" s="30">
        <v>14</v>
      </c>
      <c r="N9" s="30">
        <v>12000</v>
      </c>
      <c r="O9" s="30">
        <v>15</v>
      </c>
      <c r="P9" s="30">
        <v>142800</v>
      </c>
      <c r="Q9" s="30">
        <v>4</v>
      </c>
      <c r="R9" s="30" t="s">
        <v>41</v>
      </c>
      <c r="S9" s="30" t="s">
        <v>32</v>
      </c>
      <c r="T9" s="32" t="s">
        <v>76</v>
      </c>
      <c r="U9" s="30">
        <v>9705521654</v>
      </c>
      <c r="V9" s="36" t="s">
        <v>34</v>
      </c>
      <c r="W9" s="49">
        <f t="shared" ca="1" si="0"/>
        <v>31</v>
      </c>
      <c r="X9" s="50">
        <f t="shared" si="1"/>
        <v>6</v>
      </c>
      <c r="Y9" s="46" t="str" cm="1">
        <f t="array" ref="Y9">_xlfn.IFS(X9&lt;=5,"On Time",X9&gt;5,"Delayed",X9=" ","Pending")</f>
        <v>Delayed</v>
      </c>
    </row>
    <row r="10" spans="1:25" ht="15" thickBot="1" x14ac:dyDescent="0.4">
      <c r="A10" s="27" t="s">
        <v>77</v>
      </c>
      <c r="B10" s="27" t="s">
        <v>23</v>
      </c>
      <c r="C10" s="27" t="s">
        <v>36</v>
      </c>
      <c r="D10" s="28">
        <v>46053</v>
      </c>
      <c r="E10" s="28">
        <v>46055</v>
      </c>
      <c r="F10" s="27" t="s">
        <v>78</v>
      </c>
      <c r="G10" s="27" t="s">
        <v>26</v>
      </c>
      <c r="H10" s="28">
        <v>35526</v>
      </c>
      <c r="I10" s="27" t="s">
        <v>79</v>
      </c>
      <c r="J10" s="27" t="s">
        <v>75</v>
      </c>
      <c r="K10" s="27" t="s">
        <v>39</v>
      </c>
      <c r="L10" s="27" t="s">
        <v>40</v>
      </c>
      <c r="M10" s="27">
        <v>4</v>
      </c>
      <c r="N10" s="27">
        <v>12000</v>
      </c>
      <c r="O10" s="27">
        <v>15</v>
      </c>
      <c r="P10" s="27">
        <v>40800</v>
      </c>
      <c r="Q10" s="27">
        <v>4</v>
      </c>
      <c r="R10" s="27" t="s">
        <v>65</v>
      </c>
      <c r="S10" s="27" t="s">
        <v>80</v>
      </c>
      <c r="T10" s="27" t="s">
        <v>43</v>
      </c>
      <c r="U10" s="27">
        <v>9588041011</v>
      </c>
      <c r="V10" s="35" t="s">
        <v>34</v>
      </c>
      <c r="W10" s="49">
        <f t="shared" ca="1" si="0"/>
        <v>29</v>
      </c>
      <c r="X10" s="50">
        <f t="shared" si="1"/>
        <v>2</v>
      </c>
      <c r="Y10" s="46" t="str" cm="1">
        <f t="array" ref="Y10">_xlfn.IFS(X10&lt;=5,"On Time",X10&gt;5,"Delayed",X10=" ","Pending")</f>
        <v>On Time</v>
      </c>
    </row>
    <row r="11" spans="1:25" ht="15" thickBot="1" x14ac:dyDescent="0.4">
      <c r="A11" s="30" t="s">
        <v>81</v>
      </c>
      <c r="B11" s="30" t="s">
        <v>72</v>
      </c>
      <c r="C11" s="30" t="s">
        <v>82</v>
      </c>
      <c r="D11" s="31">
        <v>45741</v>
      </c>
      <c r="E11" s="31">
        <v>45743</v>
      </c>
      <c r="F11" s="30" t="s">
        <v>73</v>
      </c>
      <c r="G11" s="30" t="s">
        <v>26</v>
      </c>
      <c r="H11" s="31">
        <v>32880</v>
      </c>
      <c r="I11" s="30" t="s">
        <v>74</v>
      </c>
      <c r="J11" s="30" t="s">
        <v>75</v>
      </c>
      <c r="K11" s="30" t="s">
        <v>83</v>
      </c>
      <c r="L11" s="30" t="s">
        <v>84</v>
      </c>
      <c r="M11" s="30">
        <v>6</v>
      </c>
      <c r="N11" s="30">
        <v>60</v>
      </c>
      <c r="O11" s="30">
        <v>0</v>
      </c>
      <c r="P11" s="30">
        <v>360</v>
      </c>
      <c r="Q11" s="30">
        <v>4</v>
      </c>
      <c r="R11" s="30" t="s">
        <v>60</v>
      </c>
      <c r="S11" s="30" t="s">
        <v>80</v>
      </c>
      <c r="T11" s="32" t="s">
        <v>85</v>
      </c>
      <c r="U11" s="30">
        <v>9340540608</v>
      </c>
      <c r="V11" s="36" t="s">
        <v>34</v>
      </c>
      <c r="W11" s="49">
        <f t="shared" ca="1" si="0"/>
        <v>36</v>
      </c>
      <c r="X11" s="50">
        <f t="shared" si="1"/>
        <v>2</v>
      </c>
      <c r="Y11" s="46" t="str" cm="1">
        <f t="array" ref="Y11">_xlfn.IFS(X11&lt;=5,"On Time",X11&gt;5,"Delayed",X11=" ","Pending")</f>
        <v>On Time</v>
      </c>
    </row>
    <row r="12" spans="1:25" ht="15" thickBot="1" x14ac:dyDescent="0.4">
      <c r="A12" s="27" t="s">
        <v>86</v>
      </c>
      <c r="B12" s="27" t="s">
        <v>87</v>
      </c>
      <c r="C12" s="27" t="s">
        <v>24</v>
      </c>
      <c r="D12" s="28">
        <v>45919</v>
      </c>
      <c r="E12" s="28">
        <v>45923</v>
      </c>
      <c r="F12" s="27" t="s">
        <v>88</v>
      </c>
      <c r="G12" s="27" t="s">
        <v>58</v>
      </c>
      <c r="H12" s="28">
        <v>30081</v>
      </c>
      <c r="I12" s="27" t="s">
        <v>37</v>
      </c>
      <c r="J12" s="27" t="s">
        <v>38</v>
      </c>
      <c r="K12" s="27" t="s">
        <v>29</v>
      </c>
      <c r="L12" s="27" t="s">
        <v>30</v>
      </c>
      <c r="M12" s="27">
        <v>-3</v>
      </c>
      <c r="N12" s="27">
        <v>2200</v>
      </c>
      <c r="O12" s="27">
        <v>0</v>
      </c>
      <c r="P12" s="27">
        <v>35200</v>
      </c>
      <c r="Q12" s="27">
        <v>2</v>
      </c>
      <c r="R12" s="27" t="s">
        <v>60</v>
      </c>
      <c r="S12" s="27" t="s">
        <v>42</v>
      </c>
      <c r="T12" s="27" t="s">
        <v>89</v>
      </c>
      <c r="U12" s="27">
        <v>9521710321</v>
      </c>
      <c r="V12" s="37" t="s">
        <v>52</v>
      </c>
      <c r="W12" s="49">
        <f t="shared" ca="1" si="0"/>
        <v>44</v>
      </c>
      <c r="X12" s="50">
        <f t="shared" si="1"/>
        <v>4</v>
      </c>
      <c r="Y12" s="46" t="str" cm="1">
        <f t="array" ref="Y12">_xlfn.IFS(X12&lt;=5,"On Time",X12&gt;5,"Delayed",X12=" ","Pending")</f>
        <v>On Time</v>
      </c>
    </row>
    <row r="13" spans="1:25" ht="15" thickBot="1" x14ac:dyDescent="0.4">
      <c r="A13" s="30" t="s">
        <v>90</v>
      </c>
      <c r="B13" s="30" t="s">
        <v>23</v>
      </c>
      <c r="C13" s="30" t="s">
        <v>68</v>
      </c>
      <c r="D13" s="31">
        <v>45724</v>
      </c>
      <c r="E13" s="31">
        <v>45731</v>
      </c>
      <c r="F13" s="30" t="s">
        <v>25</v>
      </c>
      <c r="G13" s="30" t="s">
        <v>26</v>
      </c>
      <c r="H13" s="31">
        <v>29974</v>
      </c>
      <c r="I13" s="30" t="s">
        <v>91</v>
      </c>
      <c r="J13" s="30" t="s">
        <v>75</v>
      </c>
      <c r="K13" s="30" t="s">
        <v>29</v>
      </c>
      <c r="L13" s="30" t="s">
        <v>70</v>
      </c>
      <c r="M13" s="30">
        <v>10</v>
      </c>
      <c r="N13" s="30">
        <v>3500</v>
      </c>
      <c r="O13" s="30">
        <v>5</v>
      </c>
      <c r="P13" s="30">
        <v>33250</v>
      </c>
      <c r="Q13" s="30">
        <v>5</v>
      </c>
      <c r="R13" s="30" t="s">
        <v>60</v>
      </c>
      <c r="S13" s="30" t="s">
        <v>50</v>
      </c>
      <c r="T13" s="30" t="s">
        <v>43</v>
      </c>
      <c r="U13" s="30">
        <v>9123535241</v>
      </c>
      <c r="V13" s="38" t="s">
        <v>53</v>
      </c>
      <c r="W13" s="49">
        <f t="shared" ca="1" si="0"/>
        <v>44</v>
      </c>
      <c r="X13" s="50">
        <f t="shared" si="1"/>
        <v>7</v>
      </c>
      <c r="Y13" s="46" t="str" cm="1">
        <f t="array" ref="Y13">_xlfn.IFS(X13&lt;=5,"On Time",X13&gt;5,"Delayed",X13=" ","Pending")</f>
        <v>Delayed</v>
      </c>
    </row>
    <row r="14" spans="1:25" ht="15" thickBot="1" x14ac:dyDescent="0.4">
      <c r="A14" s="27" t="s">
        <v>92</v>
      </c>
      <c r="B14" s="27" t="s">
        <v>72</v>
      </c>
      <c r="C14" s="27" t="s">
        <v>24</v>
      </c>
      <c r="D14" s="28">
        <v>45667</v>
      </c>
      <c r="E14" s="28">
        <v>45672</v>
      </c>
      <c r="F14" s="27" t="s">
        <v>73</v>
      </c>
      <c r="G14" s="27" t="s">
        <v>26</v>
      </c>
      <c r="H14" s="28">
        <v>33791</v>
      </c>
      <c r="I14" s="27" t="s">
        <v>79</v>
      </c>
      <c r="J14" s="27" t="s">
        <v>75</v>
      </c>
      <c r="K14" s="27" t="s">
        <v>29</v>
      </c>
      <c r="L14" s="27" t="s">
        <v>30</v>
      </c>
      <c r="M14" s="27">
        <v>15</v>
      </c>
      <c r="N14" s="27">
        <v>2200</v>
      </c>
      <c r="O14" s="27">
        <v>10</v>
      </c>
      <c r="P14" s="27">
        <v>29700</v>
      </c>
      <c r="Q14" s="27">
        <v>1</v>
      </c>
      <c r="R14" s="27" t="s">
        <v>65</v>
      </c>
      <c r="S14" s="27" t="s">
        <v>80</v>
      </c>
      <c r="T14" s="27" t="s">
        <v>93</v>
      </c>
      <c r="U14" s="27">
        <v>9367316892</v>
      </c>
      <c r="V14" s="37" t="s">
        <v>52</v>
      </c>
      <c r="W14" s="49">
        <f t="shared" ca="1" si="0"/>
        <v>34</v>
      </c>
      <c r="X14" s="50">
        <f t="shared" si="1"/>
        <v>5</v>
      </c>
      <c r="Y14" s="46" t="str" cm="1">
        <f t="array" ref="Y14">_xlfn.IFS(X14&lt;=5,"On Time",X14&gt;5,"Delayed",X14=" ","Pending")</f>
        <v>On Time</v>
      </c>
    </row>
    <row r="15" spans="1:25" ht="15" thickBot="1" x14ac:dyDescent="0.4">
      <c r="A15" s="30" t="s">
        <v>94</v>
      </c>
      <c r="B15" s="30" t="s">
        <v>87</v>
      </c>
      <c r="C15" s="30" t="s">
        <v>24</v>
      </c>
      <c r="D15" s="31">
        <v>45725</v>
      </c>
      <c r="E15" s="31">
        <v>45729</v>
      </c>
      <c r="F15" s="30" t="s">
        <v>95</v>
      </c>
      <c r="G15" s="30" t="s">
        <v>58</v>
      </c>
      <c r="H15" s="31">
        <v>37334</v>
      </c>
      <c r="I15" s="30" t="s">
        <v>74</v>
      </c>
      <c r="J15" s="30" t="s">
        <v>75</v>
      </c>
      <c r="K15" s="30" t="s">
        <v>29</v>
      </c>
      <c r="L15" s="30" t="s">
        <v>30</v>
      </c>
      <c r="M15" s="30">
        <v>17</v>
      </c>
      <c r="N15" s="30">
        <v>2200</v>
      </c>
      <c r="O15" s="30">
        <v>5</v>
      </c>
      <c r="P15" s="30">
        <v>35530</v>
      </c>
      <c r="Q15" s="30">
        <v>1</v>
      </c>
      <c r="R15" s="30" t="s">
        <v>31</v>
      </c>
      <c r="S15" s="30" t="s">
        <v>96</v>
      </c>
      <c r="T15" s="32" t="s">
        <v>97</v>
      </c>
      <c r="U15" s="30">
        <v>9778489803</v>
      </c>
      <c r="V15" s="36" t="s">
        <v>34</v>
      </c>
      <c r="W15" s="49">
        <f t="shared" ca="1" si="0"/>
        <v>24</v>
      </c>
      <c r="X15" s="50">
        <f t="shared" si="1"/>
        <v>4</v>
      </c>
      <c r="Y15" s="46" t="str" cm="1">
        <f t="array" ref="Y15">_xlfn.IFS(X15&lt;=5,"On Time",X15&gt;5,"Delayed",X15=" ","Pending")</f>
        <v>On Time</v>
      </c>
    </row>
    <row r="16" spans="1:25" ht="15" thickBot="1" x14ac:dyDescent="0.4">
      <c r="A16" s="27" t="s">
        <v>98</v>
      </c>
      <c r="B16" s="27" t="s">
        <v>23</v>
      </c>
      <c r="C16" s="27" t="s">
        <v>68</v>
      </c>
      <c r="D16" s="28">
        <v>45864</v>
      </c>
      <c r="E16" s="28">
        <v>45876</v>
      </c>
      <c r="F16" s="27" t="s">
        <v>99</v>
      </c>
      <c r="G16" s="27" t="s">
        <v>26</v>
      </c>
      <c r="H16" s="28">
        <v>36908</v>
      </c>
      <c r="I16" s="27" t="s">
        <v>74</v>
      </c>
      <c r="J16" s="27" t="s">
        <v>75</v>
      </c>
      <c r="K16" s="27" t="s">
        <v>29</v>
      </c>
      <c r="L16" s="27" t="s">
        <v>70</v>
      </c>
      <c r="M16" s="27">
        <v>15</v>
      </c>
      <c r="N16" s="27">
        <v>3500</v>
      </c>
      <c r="O16" s="27">
        <v>15</v>
      </c>
      <c r="P16" s="27">
        <v>44625</v>
      </c>
      <c r="Q16" s="27">
        <v>2</v>
      </c>
      <c r="R16" s="27" t="s">
        <v>31</v>
      </c>
      <c r="S16" s="27" t="s">
        <v>80</v>
      </c>
      <c r="T16" s="29" t="s">
        <v>43</v>
      </c>
      <c r="U16" s="27">
        <v>9582960180</v>
      </c>
      <c r="V16" s="37" t="s">
        <v>53</v>
      </c>
      <c r="W16" s="49">
        <f t="shared" ca="1" si="0"/>
        <v>25</v>
      </c>
      <c r="X16" s="50">
        <f t="shared" si="1"/>
        <v>12</v>
      </c>
      <c r="Y16" s="46" t="str" cm="1">
        <f t="array" ref="Y16">_xlfn.IFS(X16&lt;=5,"On Time",X16&gt;5,"Delayed",X16=" ","Pending")</f>
        <v>Delayed</v>
      </c>
    </row>
    <row r="17" spans="1:25" ht="15" thickBot="1" x14ac:dyDescent="0.4">
      <c r="A17" s="30" t="s">
        <v>100</v>
      </c>
      <c r="B17" s="30" t="s">
        <v>45</v>
      </c>
      <c r="C17" s="30" t="s">
        <v>56</v>
      </c>
      <c r="D17" s="31">
        <v>46120</v>
      </c>
      <c r="E17" s="31">
        <v>46123</v>
      </c>
      <c r="F17" s="30" t="s">
        <v>101</v>
      </c>
      <c r="G17" s="30" t="s">
        <v>26</v>
      </c>
      <c r="H17" s="31">
        <v>37357</v>
      </c>
      <c r="I17" s="30" t="s">
        <v>27</v>
      </c>
      <c r="J17" s="30" t="s">
        <v>28</v>
      </c>
      <c r="K17" s="30" t="s">
        <v>39</v>
      </c>
      <c r="L17" s="30" t="s">
        <v>59</v>
      </c>
      <c r="M17" s="30">
        <v>3</v>
      </c>
      <c r="N17" s="30">
        <v>1200</v>
      </c>
      <c r="O17" s="30">
        <v>5</v>
      </c>
      <c r="P17" s="30">
        <v>3420</v>
      </c>
      <c r="Q17" s="30">
        <v>5</v>
      </c>
      <c r="R17" s="30" t="s">
        <v>65</v>
      </c>
      <c r="S17" s="30" t="s">
        <v>32</v>
      </c>
      <c r="T17" s="30" t="s">
        <v>102</v>
      </c>
      <c r="U17" s="30">
        <v>9611394005</v>
      </c>
      <c r="V17" s="36" t="s">
        <v>34</v>
      </c>
      <c r="W17" s="49">
        <f t="shared" ca="1" si="0"/>
        <v>24</v>
      </c>
      <c r="X17" s="50">
        <f t="shared" si="1"/>
        <v>3</v>
      </c>
      <c r="Y17" s="46" t="str" cm="1">
        <f t="array" ref="Y17">_xlfn.IFS(X17&lt;=5,"On Time",X17&gt;5,"Delayed",X17=" ","Pending")</f>
        <v>On Time</v>
      </c>
    </row>
    <row r="18" spans="1:25" ht="15" thickBot="1" x14ac:dyDescent="0.4">
      <c r="A18" s="27" t="s">
        <v>103</v>
      </c>
      <c r="B18" s="27" t="s">
        <v>104</v>
      </c>
      <c r="C18" s="27" t="s">
        <v>105</v>
      </c>
      <c r="D18" s="28">
        <v>46075</v>
      </c>
      <c r="E18" s="28">
        <v>46084</v>
      </c>
      <c r="F18" s="27" t="s">
        <v>106</v>
      </c>
      <c r="G18" s="27" t="s">
        <v>26</v>
      </c>
      <c r="H18" s="28">
        <v>37272</v>
      </c>
      <c r="I18" s="27" t="s">
        <v>79</v>
      </c>
      <c r="J18" s="27" t="s">
        <v>75</v>
      </c>
      <c r="K18" s="27" t="s">
        <v>29</v>
      </c>
      <c r="L18" s="27" t="s">
        <v>107</v>
      </c>
      <c r="M18" s="27">
        <v>13</v>
      </c>
      <c r="N18" s="27">
        <v>8500</v>
      </c>
      <c r="O18" s="27">
        <v>20</v>
      </c>
      <c r="P18" s="27">
        <v>88400</v>
      </c>
      <c r="Q18" s="27">
        <v>4</v>
      </c>
      <c r="R18" s="27" t="s">
        <v>60</v>
      </c>
      <c r="S18" s="27" t="s">
        <v>42</v>
      </c>
      <c r="T18" s="27" t="s">
        <v>108</v>
      </c>
      <c r="U18" s="27">
        <v>9692599404</v>
      </c>
      <c r="V18" s="37" t="s">
        <v>52</v>
      </c>
      <c r="W18" s="49">
        <f t="shared" ca="1" si="0"/>
        <v>24</v>
      </c>
      <c r="X18" s="50">
        <f t="shared" si="1"/>
        <v>9</v>
      </c>
      <c r="Y18" s="46" t="str" cm="1">
        <f t="array" ref="Y18">_xlfn.IFS(X18&lt;=5,"On Time",X18&gt;5,"Delayed",X18=" ","Pending")</f>
        <v>Delayed</v>
      </c>
    </row>
    <row r="19" spans="1:25" ht="15" thickBot="1" x14ac:dyDescent="0.4">
      <c r="A19" s="30" t="s">
        <v>109</v>
      </c>
      <c r="B19" s="30" t="s">
        <v>63</v>
      </c>
      <c r="C19" s="30" t="s">
        <v>105</v>
      </c>
      <c r="D19" s="31">
        <v>46081</v>
      </c>
      <c r="E19" s="31">
        <v>46086</v>
      </c>
      <c r="F19" s="30" t="s">
        <v>110</v>
      </c>
      <c r="G19" s="30" t="s">
        <v>58</v>
      </c>
      <c r="H19" s="31">
        <v>32790</v>
      </c>
      <c r="I19" s="30" t="s">
        <v>91</v>
      </c>
      <c r="J19" s="30" t="s">
        <v>75</v>
      </c>
      <c r="K19" s="30" t="s">
        <v>29</v>
      </c>
      <c r="L19" s="30" t="s">
        <v>107</v>
      </c>
      <c r="M19" s="30">
        <v>4</v>
      </c>
      <c r="N19" s="30">
        <v>8500</v>
      </c>
      <c r="O19" s="30">
        <v>20</v>
      </c>
      <c r="P19" s="30">
        <v>27200</v>
      </c>
      <c r="Q19" s="30">
        <v>5</v>
      </c>
      <c r="R19" s="30" t="s">
        <v>60</v>
      </c>
      <c r="S19" s="30" t="s">
        <v>50</v>
      </c>
      <c r="T19" s="30" t="s">
        <v>66</v>
      </c>
      <c r="U19" s="30">
        <v>9426119622</v>
      </c>
      <c r="V19" s="38" t="s">
        <v>52</v>
      </c>
      <c r="W19" s="49">
        <f t="shared" ca="1" si="0"/>
        <v>37</v>
      </c>
      <c r="X19" s="50">
        <f t="shared" si="1"/>
        <v>5</v>
      </c>
      <c r="Y19" s="46" t="str" cm="1">
        <f t="array" ref="Y19">_xlfn.IFS(X19&lt;=5,"On Time",X19&gt;5,"Delayed",X19=" ","Pending")</f>
        <v>On Time</v>
      </c>
    </row>
    <row r="20" spans="1:25" ht="15" thickBot="1" x14ac:dyDescent="0.4">
      <c r="A20" s="27" t="s">
        <v>111</v>
      </c>
      <c r="B20" s="27" t="s">
        <v>63</v>
      </c>
      <c r="C20" s="27" t="s">
        <v>112</v>
      </c>
      <c r="D20" s="28">
        <v>45992</v>
      </c>
      <c r="E20" s="28">
        <v>45995</v>
      </c>
      <c r="F20" s="27" t="s">
        <v>113</v>
      </c>
      <c r="G20" s="27" t="s">
        <v>58</v>
      </c>
      <c r="H20" s="28">
        <v>33539</v>
      </c>
      <c r="I20" s="27" t="s">
        <v>74</v>
      </c>
      <c r="J20" s="27" t="s">
        <v>75</v>
      </c>
      <c r="K20" s="27" t="s">
        <v>39</v>
      </c>
      <c r="L20" s="27" t="s">
        <v>114</v>
      </c>
      <c r="M20" s="27">
        <v>9</v>
      </c>
      <c r="N20" s="27">
        <v>700</v>
      </c>
      <c r="O20" s="27">
        <v>5</v>
      </c>
      <c r="P20" s="27">
        <v>5985</v>
      </c>
      <c r="Q20" s="27">
        <v>3</v>
      </c>
      <c r="R20" s="27" t="s">
        <v>65</v>
      </c>
      <c r="S20" s="27" t="s">
        <v>32</v>
      </c>
      <c r="T20" s="29" t="s">
        <v>115</v>
      </c>
      <c r="U20" s="27">
        <v>9184436009</v>
      </c>
      <c r="V20" s="37" t="s">
        <v>52</v>
      </c>
      <c r="W20" s="49">
        <f t="shared" ca="1" si="0"/>
        <v>35</v>
      </c>
      <c r="X20" s="50">
        <f t="shared" si="1"/>
        <v>3</v>
      </c>
      <c r="Y20" s="46" t="str" cm="1">
        <f t="array" ref="Y20">_xlfn.IFS(X20&lt;=5,"On Time",X20&gt;5,"Delayed",X20=" ","Pending")</f>
        <v>On Time</v>
      </c>
    </row>
    <row r="21" spans="1:25" ht="15" thickBot="1" x14ac:dyDescent="0.4">
      <c r="A21" s="30" t="s">
        <v>116</v>
      </c>
      <c r="B21" s="30" t="s">
        <v>23</v>
      </c>
      <c r="C21" s="30" t="s">
        <v>46</v>
      </c>
      <c r="D21" s="31">
        <v>45833</v>
      </c>
      <c r="E21" s="31">
        <v>45841</v>
      </c>
      <c r="F21" s="30" t="s">
        <v>25</v>
      </c>
      <c r="G21" s="30" t="s">
        <v>26</v>
      </c>
      <c r="H21" s="31">
        <v>32933</v>
      </c>
      <c r="I21" s="30" t="s">
        <v>91</v>
      </c>
      <c r="J21" s="30" t="s">
        <v>75</v>
      </c>
      <c r="K21" s="30" t="s">
        <v>39</v>
      </c>
      <c r="L21" s="30" t="s">
        <v>49</v>
      </c>
      <c r="M21" s="30">
        <v>8</v>
      </c>
      <c r="N21" s="30">
        <v>55000</v>
      </c>
      <c r="O21" s="30">
        <v>20</v>
      </c>
      <c r="P21" s="30">
        <v>352000</v>
      </c>
      <c r="Q21" s="30">
        <v>1</v>
      </c>
      <c r="R21" s="30" t="s">
        <v>31</v>
      </c>
      <c r="S21" s="30" t="s">
        <v>96</v>
      </c>
      <c r="T21" s="30" t="s">
        <v>43</v>
      </c>
      <c r="U21" s="30">
        <v>9263774934</v>
      </c>
      <c r="V21" s="36" t="s">
        <v>34</v>
      </c>
      <c r="W21" s="49">
        <f t="shared" ca="1" si="0"/>
        <v>36</v>
      </c>
      <c r="X21" s="50">
        <f t="shared" si="1"/>
        <v>8</v>
      </c>
      <c r="Y21" s="46" t="str" cm="1">
        <f t="array" ref="Y21">_xlfn.IFS(X21&lt;=5,"On Time",X21&gt;5,"Delayed",X21=" ","Pending")</f>
        <v>Delayed</v>
      </c>
    </row>
    <row r="22" spans="1:25" ht="15" thickBot="1" x14ac:dyDescent="0.4">
      <c r="A22" s="27" t="s">
        <v>117</v>
      </c>
      <c r="B22" s="27" t="s">
        <v>87</v>
      </c>
      <c r="C22" s="27" t="s">
        <v>112</v>
      </c>
      <c r="D22" s="28">
        <v>45773</v>
      </c>
      <c r="E22" s="28">
        <v>45782</v>
      </c>
      <c r="F22" s="27" t="s">
        <v>88</v>
      </c>
      <c r="G22" s="27" t="s">
        <v>58</v>
      </c>
      <c r="H22" s="28">
        <v>37455</v>
      </c>
      <c r="I22" s="27" t="s">
        <v>37</v>
      </c>
      <c r="J22" s="27" t="s">
        <v>38</v>
      </c>
      <c r="K22" s="27" t="s">
        <v>118</v>
      </c>
      <c r="L22" s="27" t="s">
        <v>114</v>
      </c>
      <c r="M22" s="27">
        <v>10</v>
      </c>
      <c r="N22" s="27">
        <v>700</v>
      </c>
      <c r="O22" s="27">
        <v>20</v>
      </c>
      <c r="P22" s="27">
        <v>5600</v>
      </c>
      <c r="Q22" s="27">
        <v>4</v>
      </c>
      <c r="R22" s="27" t="s">
        <v>60</v>
      </c>
      <c r="S22" s="27" t="s">
        <v>50</v>
      </c>
      <c r="T22" s="27" t="s">
        <v>89</v>
      </c>
      <c r="U22" s="27">
        <v>9473159572</v>
      </c>
      <c r="V22" s="37" t="s">
        <v>53</v>
      </c>
      <c r="W22" s="49">
        <f t="shared" ca="1" si="0"/>
        <v>24</v>
      </c>
      <c r="X22" s="50">
        <f t="shared" si="1"/>
        <v>9</v>
      </c>
      <c r="Y22" s="46" t="str" cm="1">
        <f t="array" ref="Y22">_xlfn.IFS(X22&lt;=5,"On Time",X22&gt;5,"Delayed",X22=" ","Pending")</f>
        <v>Delayed</v>
      </c>
    </row>
    <row r="23" spans="1:25" ht="15" thickBot="1" x14ac:dyDescent="0.4">
      <c r="A23" s="30" t="s">
        <v>119</v>
      </c>
      <c r="B23" s="30" t="s">
        <v>23</v>
      </c>
      <c r="C23" s="30" t="s">
        <v>68</v>
      </c>
      <c r="D23" s="31">
        <v>45660</v>
      </c>
      <c r="E23" s="31">
        <v>45665</v>
      </c>
      <c r="F23" s="30" t="s">
        <v>78</v>
      </c>
      <c r="G23" s="30" t="s">
        <v>26</v>
      </c>
      <c r="H23" s="31">
        <v>38336</v>
      </c>
      <c r="I23" s="30" t="s">
        <v>48</v>
      </c>
      <c r="J23" s="30" t="s">
        <v>28</v>
      </c>
      <c r="K23" s="30" t="s">
        <v>29</v>
      </c>
      <c r="L23" s="30" t="s">
        <v>70</v>
      </c>
      <c r="M23" s="30">
        <v>1</v>
      </c>
      <c r="N23" s="30">
        <v>3500</v>
      </c>
      <c r="O23" s="30">
        <v>5</v>
      </c>
      <c r="P23" s="30">
        <v>3325</v>
      </c>
      <c r="Q23" s="30">
        <v>3</v>
      </c>
      <c r="R23" s="30" t="s">
        <v>65</v>
      </c>
      <c r="S23" s="30" t="s">
        <v>80</v>
      </c>
      <c r="T23" s="30" t="s">
        <v>43</v>
      </c>
      <c r="U23" s="30">
        <v>9660493688</v>
      </c>
      <c r="V23" s="38" t="s">
        <v>53</v>
      </c>
      <c r="W23" s="49">
        <f t="shared" ca="1" si="0"/>
        <v>21</v>
      </c>
      <c r="X23" s="50">
        <f t="shared" si="1"/>
        <v>5</v>
      </c>
      <c r="Y23" s="46" t="str" cm="1">
        <f t="array" ref="Y23">_xlfn.IFS(X23&lt;=5,"On Time",X23&gt;5,"Delayed",X23=" ","Pending")</f>
        <v>On Time</v>
      </c>
    </row>
    <row r="24" spans="1:25" ht="15" thickBot="1" x14ac:dyDescent="0.4">
      <c r="A24" s="27" t="s">
        <v>120</v>
      </c>
      <c r="B24" s="27" t="s">
        <v>72</v>
      </c>
      <c r="C24" s="27" t="s">
        <v>112</v>
      </c>
      <c r="D24" s="28">
        <v>45766</v>
      </c>
      <c r="E24" s="28">
        <v>45777</v>
      </c>
      <c r="F24" s="27" t="s">
        <v>73</v>
      </c>
      <c r="G24" s="27" t="s">
        <v>26</v>
      </c>
      <c r="H24" s="28">
        <v>30867</v>
      </c>
      <c r="I24" s="27" t="s">
        <v>121</v>
      </c>
      <c r="J24" s="27" t="s">
        <v>38</v>
      </c>
      <c r="K24" s="27" t="s">
        <v>39</v>
      </c>
      <c r="L24" s="27" t="s">
        <v>114</v>
      </c>
      <c r="M24" s="27">
        <v>19</v>
      </c>
      <c r="N24" s="27">
        <v>700</v>
      </c>
      <c r="O24" s="27">
        <v>15</v>
      </c>
      <c r="P24" s="27">
        <v>11305</v>
      </c>
      <c r="Q24" s="27">
        <v>3</v>
      </c>
      <c r="R24" s="27" t="s">
        <v>41</v>
      </c>
      <c r="S24" s="27" t="s">
        <v>96</v>
      </c>
      <c r="T24" s="27" t="s">
        <v>93</v>
      </c>
      <c r="U24" s="27">
        <v>9513325819</v>
      </c>
      <c r="V24" s="37" t="s">
        <v>52</v>
      </c>
      <c r="W24" s="49">
        <f t="shared" ca="1" si="0"/>
        <v>42</v>
      </c>
      <c r="X24" s="50">
        <f t="shared" si="1"/>
        <v>11</v>
      </c>
      <c r="Y24" s="46" t="str" cm="1">
        <f t="array" ref="Y24">_xlfn.IFS(X24&lt;=5,"On Time",X24&gt;5,"Delayed",X24=" ","Pending")</f>
        <v>Delayed</v>
      </c>
    </row>
    <row r="25" spans="1:25" ht="15" thickBot="1" x14ac:dyDescent="0.4">
      <c r="A25" s="30" t="s">
        <v>122</v>
      </c>
      <c r="B25" s="30" t="s">
        <v>55</v>
      </c>
      <c r="C25" s="30" t="s">
        <v>46</v>
      </c>
      <c r="D25" s="31">
        <v>46013</v>
      </c>
      <c r="E25" s="31">
        <v>46023</v>
      </c>
      <c r="F25" s="30" t="s">
        <v>57</v>
      </c>
      <c r="G25" s="30" t="s">
        <v>58</v>
      </c>
      <c r="H25" s="31">
        <v>28546</v>
      </c>
      <c r="I25" s="30" t="s">
        <v>48</v>
      </c>
      <c r="J25" s="30" t="s">
        <v>28</v>
      </c>
      <c r="K25" s="30" t="s">
        <v>39</v>
      </c>
      <c r="L25" s="30" t="s">
        <v>49</v>
      </c>
      <c r="M25" s="30">
        <v>12</v>
      </c>
      <c r="N25" s="30">
        <v>55000</v>
      </c>
      <c r="O25" s="30">
        <v>0</v>
      </c>
      <c r="P25" s="30">
        <v>660000</v>
      </c>
      <c r="Q25" s="30">
        <v>1</v>
      </c>
      <c r="R25" s="30" t="s">
        <v>60</v>
      </c>
      <c r="S25" s="30" t="s">
        <v>42</v>
      </c>
      <c r="T25" s="30" t="s">
        <v>61</v>
      </c>
      <c r="U25" s="30">
        <v>9641063242</v>
      </c>
      <c r="V25" s="38" t="s">
        <v>52</v>
      </c>
      <c r="W25" s="49">
        <f t="shared" ca="1" si="0"/>
        <v>48</v>
      </c>
      <c r="X25" s="50">
        <f t="shared" si="1"/>
        <v>10</v>
      </c>
      <c r="Y25" s="46" t="str" cm="1">
        <f t="array" ref="Y25">_xlfn.IFS(X25&lt;=5,"On Time",X25&gt;5,"Delayed",X25=" ","Pending")</f>
        <v>Delayed</v>
      </c>
    </row>
    <row r="26" spans="1:25" ht="15" thickBot="1" x14ac:dyDescent="0.4">
      <c r="A26" s="27" t="s">
        <v>123</v>
      </c>
      <c r="B26" s="27" t="s">
        <v>124</v>
      </c>
      <c r="C26" s="27" t="s">
        <v>125</v>
      </c>
      <c r="D26" s="28">
        <v>46121</v>
      </c>
      <c r="E26" s="28">
        <v>46132</v>
      </c>
      <c r="F26" s="27" t="s">
        <v>126</v>
      </c>
      <c r="G26" s="27" t="s">
        <v>58</v>
      </c>
      <c r="H26" s="28">
        <v>33453</v>
      </c>
      <c r="I26" s="27" t="s">
        <v>74</v>
      </c>
      <c r="J26" s="27" t="s">
        <v>75</v>
      </c>
      <c r="K26" s="27" t="s">
        <v>83</v>
      </c>
      <c r="L26" s="27" t="s">
        <v>127</v>
      </c>
      <c r="M26" s="27">
        <v>1</v>
      </c>
      <c r="N26" s="27">
        <v>20</v>
      </c>
      <c r="O26" s="27">
        <v>5</v>
      </c>
      <c r="P26" s="27">
        <v>19</v>
      </c>
      <c r="Q26" s="27">
        <v>5</v>
      </c>
      <c r="R26" s="27" t="s">
        <v>60</v>
      </c>
      <c r="S26" s="27" t="s">
        <v>32</v>
      </c>
      <c r="T26" s="27" t="s">
        <v>128</v>
      </c>
      <c r="U26" s="27">
        <v>9277372518</v>
      </c>
      <c r="V26" s="37" t="s">
        <v>53</v>
      </c>
      <c r="W26" s="49">
        <f t="shared" ca="1" si="0"/>
        <v>35</v>
      </c>
      <c r="X26" s="50">
        <f t="shared" si="1"/>
        <v>11</v>
      </c>
      <c r="Y26" s="46" t="str" cm="1">
        <f t="array" ref="Y26">_xlfn.IFS(X26&lt;=5,"On Time",X26&gt;5,"Delayed",X26=" ","Pending")</f>
        <v>Delayed</v>
      </c>
    </row>
    <row r="27" spans="1:25" ht="15" thickBot="1" x14ac:dyDescent="0.4">
      <c r="A27" s="30" t="s">
        <v>129</v>
      </c>
      <c r="B27" s="30" t="s">
        <v>63</v>
      </c>
      <c r="C27" s="30" t="s">
        <v>125</v>
      </c>
      <c r="D27" s="31">
        <v>45832</v>
      </c>
      <c r="E27" s="31">
        <v>45840</v>
      </c>
      <c r="F27" s="30" t="s">
        <v>110</v>
      </c>
      <c r="G27" s="30" t="s">
        <v>58</v>
      </c>
      <c r="H27" s="31">
        <v>28470</v>
      </c>
      <c r="I27" s="30" t="s">
        <v>74</v>
      </c>
      <c r="J27" s="30" t="s">
        <v>75</v>
      </c>
      <c r="K27" s="30" t="s">
        <v>83</v>
      </c>
      <c r="L27" s="30" t="s">
        <v>127</v>
      </c>
      <c r="M27" s="30">
        <v>2</v>
      </c>
      <c r="N27" s="30">
        <v>20</v>
      </c>
      <c r="O27" s="30">
        <v>15</v>
      </c>
      <c r="P27" s="30">
        <v>34</v>
      </c>
      <c r="Q27" s="30">
        <v>1</v>
      </c>
      <c r="R27" s="30" t="s">
        <v>65</v>
      </c>
      <c r="S27" s="30" t="s">
        <v>32</v>
      </c>
      <c r="T27" s="30" t="s">
        <v>66</v>
      </c>
      <c r="U27" s="30">
        <v>9193154372</v>
      </c>
      <c r="V27" s="38" t="s">
        <v>52</v>
      </c>
      <c r="W27" s="49">
        <f t="shared" ca="1" si="0"/>
        <v>48</v>
      </c>
      <c r="X27" s="50">
        <f t="shared" si="1"/>
        <v>8</v>
      </c>
      <c r="Y27" s="46" t="str" cm="1">
        <f t="array" ref="Y27">_xlfn.IFS(X27&lt;=5,"On Time",X27&gt;5,"Delayed",X27=" ","Pending")</f>
        <v>Delayed</v>
      </c>
    </row>
    <row r="28" spans="1:25" ht="15" thickBot="1" x14ac:dyDescent="0.4">
      <c r="A28" s="27" t="s">
        <v>130</v>
      </c>
      <c r="B28" s="27" t="s">
        <v>55</v>
      </c>
      <c r="C28" s="27" t="s">
        <v>68</v>
      </c>
      <c r="D28" s="28">
        <v>45799</v>
      </c>
      <c r="E28" s="28">
        <v>45802</v>
      </c>
      <c r="F28" s="27" t="s">
        <v>57</v>
      </c>
      <c r="G28" s="27" t="s">
        <v>58</v>
      </c>
      <c r="H28" s="28">
        <v>33642</v>
      </c>
      <c r="I28" s="27" t="s">
        <v>91</v>
      </c>
      <c r="J28" s="27" t="s">
        <v>75</v>
      </c>
      <c r="K28" s="27" t="s">
        <v>29</v>
      </c>
      <c r="L28" s="27" t="s">
        <v>70</v>
      </c>
      <c r="M28" s="27">
        <v>12</v>
      </c>
      <c r="N28" s="27">
        <v>3500</v>
      </c>
      <c r="O28" s="27">
        <v>15</v>
      </c>
      <c r="P28" s="27">
        <v>35700</v>
      </c>
      <c r="Q28" s="27">
        <v>4</v>
      </c>
      <c r="R28" s="27" t="s">
        <v>31</v>
      </c>
      <c r="S28" s="27" t="s">
        <v>42</v>
      </c>
      <c r="T28" s="27" t="s">
        <v>61</v>
      </c>
      <c r="U28" s="27">
        <v>9400073244</v>
      </c>
      <c r="V28" s="37" t="s">
        <v>53</v>
      </c>
      <c r="W28" s="49">
        <f t="shared" ca="1" si="0"/>
        <v>34</v>
      </c>
      <c r="X28" s="50">
        <f t="shared" si="1"/>
        <v>3</v>
      </c>
      <c r="Y28" s="46" t="str" cm="1">
        <f t="array" ref="Y28">_xlfn.IFS(X28&lt;=5,"On Time",X28&gt;5,"Delayed",X28=" ","Pending")</f>
        <v>On Time</v>
      </c>
    </row>
    <row r="29" spans="1:25" ht="15" thickBot="1" x14ac:dyDescent="0.4">
      <c r="A29" s="30" t="s">
        <v>131</v>
      </c>
      <c r="B29" s="30" t="s">
        <v>23</v>
      </c>
      <c r="C29" s="30" t="s">
        <v>56</v>
      </c>
      <c r="D29" s="31">
        <v>46094</v>
      </c>
      <c r="E29" s="31">
        <v>46101</v>
      </c>
      <c r="F29" s="30" t="s">
        <v>25</v>
      </c>
      <c r="G29" s="30" t="s">
        <v>26</v>
      </c>
      <c r="H29" s="31">
        <v>38143</v>
      </c>
      <c r="I29" s="30" t="s">
        <v>91</v>
      </c>
      <c r="J29" s="30" t="s">
        <v>75</v>
      </c>
      <c r="K29" s="30" t="s">
        <v>39</v>
      </c>
      <c r="L29" s="30" t="s">
        <v>59</v>
      </c>
      <c r="M29" s="30">
        <v>11</v>
      </c>
      <c r="N29" s="30">
        <v>1200</v>
      </c>
      <c r="O29" s="30">
        <v>0</v>
      </c>
      <c r="P29" s="30">
        <v>13200</v>
      </c>
      <c r="Q29" s="30">
        <v>2</v>
      </c>
      <c r="R29" s="30" t="s">
        <v>65</v>
      </c>
      <c r="S29" s="30" t="s">
        <v>96</v>
      </c>
      <c r="T29" s="30" t="s">
        <v>43</v>
      </c>
      <c r="U29" s="30">
        <v>9771556720</v>
      </c>
      <c r="V29" s="36" t="s">
        <v>34</v>
      </c>
      <c r="W29" s="49">
        <f t="shared" ca="1" si="0"/>
        <v>22</v>
      </c>
      <c r="X29" s="50">
        <f t="shared" si="1"/>
        <v>7</v>
      </c>
      <c r="Y29" s="46" t="str" cm="1">
        <f t="array" ref="Y29">_xlfn.IFS(X29&lt;=5,"On Time",X29&gt;5,"Delayed",X29=" ","Pending")</f>
        <v>Delayed</v>
      </c>
    </row>
    <row r="30" spans="1:25" ht="15" thickBot="1" x14ac:dyDescent="0.4">
      <c r="A30" s="27" t="s">
        <v>132</v>
      </c>
      <c r="B30" s="27" t="s">
        <v>87</v>
      </c>
      <c r="C30" s="27" t="s">
        <v>105</v>
      </c>
      <c r="D30" s="28">
        <v>45908</v>
      </c>
      <c r="E30" s="28">
        <v>45920</v>
      </c>
      <c r="F30" s="27" t="s">
        <v>88</v>
      </c>
      <c r="G30" s="27" t="s">
        <v>58</v>
      </c>
      <c r="H30" s="28">
        <v>37114</v>
      </c>
      <c r="I30" s="27" t="s">
        <v>79</v>
      </c>
      <c r="J30" s="27" t="s">
        <v>75</v>
      </c>
      <c r="K30" s="27" t="s">
        <v>29</v>
      </c>
      <c r="L30" s="27" t="s">
        <v>107</v>
      </c>
      <c r="M30" s="27">
        <v>6</v>
      </c>
      <c r="N30" s="27">
        <v>8500</v>
      </c>
      <c r="O30" s="27">
        <v>65</v>
      </c>
      <c r="P30" s="27">
        <v>51000</v>
      </c>
      <c r="Q30" s="27">
        <v>1</v>
      </c>
      <c r="R30" s="27" t="s">
        <v>60</v>
      </c>
      <c r="S30" s="27" t="s">
        <v>50</v>
      </c>
      <c r="T30" s="27" t="s">
        <v>89</v>
      </c>
      <c r="U30" s="27">
        <v>9127480734</v>
      </c>
      <c r="V30" s="35" t="s">
        <v>34</v>
      </c>
      <c r="W30" s="49">
        <f t="shared" ca="1" si="0"/>
        <v>25</v>
      </c>
      <c r="X30" s="50">
        <f t="shared" si="1"/>
        <v>12</v>
      </c>
      <c r="Y30" s="46" t="str" cm="1">
        <f t="array" ref="Y30">_xlfn.IFS(X30&lt;=5,"On Time",X30&gt;5,"Delayed",X30=" ","Pending")</f>
        <v>Delayed</v>
      </c>
    </row>
    <row r="31" spans="1:25" ht="15" thickBot="1" x14ac:dyDescent="0.4">
      <c r="A31" s="30" t="s">
        <v>133</v>
      </c>
      <c r="B31" s="30" t="s">
        <v>134</v>
      </c>
      <c r="C31" s="30" t="s">
        <v>82</v>
      </c>
      <c r="D31" s="31">
        <v>46033</v>
      </c>
      <c r="E31" s="31">
        <v>46038</v>
      </c>
      <c r="F31" s="30" t="s">
        <v>135</v>
      </c>
      <c r="G31" s="30" t="s">
        <v>26</v>
      </c>
      <c r="H31" s="31">
        <v>29680</v>
      </c>
      <c r="I31" s="30" t="s">
        <v>79</v>
      </c>
      <c r="J31" s="30" t="s">
        <v>75</v>
      </c>
      <c r="K31" s="30" t="s">
        <v>83</v>
      </c>
      <c r="L31" s="30" t="s">
        <v>84</v>
      </c>
      <c r="M31" s="30">
        <v>2</v>
      </c>
      <c r="N31" s="30">
        <v>60</v>
      </c>
      <c r="O31" s="30">
        <v>5</v>
      </c>
      <c r="P31" s="30">
        <v>114</v>
      </c>
      <c r="Q31" s="30">
        <v>3</v>
      </c>
      <c r="R31" s="30" t="s">
        <v>31</v>
      </c>
      <c r="S31" s="30" t="s">
        <v>96</v>
      </c>
      <c r="T31" s="30" t="s">
        <v>136</v>
      </c>
      <c r="U31" s="30">
        <v>9512997042</v>
      </c>
      <c r="V31" s="38" t="s">
        <v>53</v>
      </c>
      <c r="W31" s="49">
        <f t="shared" ca="1" si="0"/>
        <v>45</v>
      </c>
      <c r="X31" s="50">
        <f t="shared" si="1"/>
        <v>5</v>
      </c>
      <c r="Y31" s="46" t="str" cm="1">
        <f t="array" ref="Y31">_xlfn.IFS(X31&lt;=5,"On Time",X31&gt;5,"Delayed",X31=" ","Pending")</f>
        <v>On Time</v>
      </c>
    </row>
    <row r="32" spans="1:25" ht="15" thickBot="1" x14ac:dyDescent="0.4">
      <c r="A32" s="27" t="s">
        <v>137</v>
      </c>
      <c r="B32" s="27" t="s">
        <v>23</v>
      </c>
      <c r="C32" s="27" t="s">
        <v>138</v>
      </c>
      <c r="D32" s="28">
        <v>45824</v>
      </c>
      <c r="E32" s="28">
        <v>45834</v>
      </c>
      <c r="F32" s="27" t="s">
        <v>25</v>
      </c>
      <c r="G32" s="27" t="s">
        <v>26</v>
      </c>
      <c r="H32" s="28">
        <v>35248</v>
      </c>
      <c r="I32" s="27" t="s">
        <v>48</v>
      </c>
      <c r="J32" s="27" t="s">
        <v>28</v>
      </c>
      <c r="K32" s="27" t="s">
        <v>83</v>
      </c>
      <c r="L32" s="27" t="s">
        <v>139</v>
      </c>
      <c r="M32" s="27">
        <v>19</v>
      </c>
      <c r="N32" s="27">
        <v>45</v>
      </c>
      <c r="O32" s="27">
        <v>20</v>
      </c>
      <c r="P32" s="27">
        <v>684</v>
      </c>
      <c r="Q32" s="27">
        <v>4</v>
      </c>
      <c r="R32" s="27" t="s">
        <v>41</v>
      </c>
      <c r="S32" s="27" t="s">
        <v>50</v>
      </c>
      <c r="T32" s="27" t="s">
        <v>43</v>
      </c>
      <c r="U32" s="27">
        <v>9372748661</v>
      </c>
      <c r="V32" s="37" t="s">
        <v>53</v>
      </c>
      <c r="W32" s="49">
        <f t="shared" ca="1" si="0"/>
        <v>30</v>
      </c>
      <c r="X32" s="50">
        <f t="shared" si="1"/>
        <v>10</v>
      </c>
      <c r="Y32" s="46" t="str" cm="1">
        <f t="array" ref="Y32">_xlfn.IFS(X32&lt;=5,"On Time",X32&gt;5,"Delayed",X32=" ","Pending")</f>
        <v>Delayed</v>
      </c>
    </row>
    <row r="33" spans="1:25" ht="15" thickBot="1" x14ac:dyDescent="0.4">
      <c r="A33" s="30" t="s">
        <v>140</v>
      </c>
      <c r="B33" s="30" t="s">
        <v>72</v>
      </c>
      <c r="C33" s="30" t="s">
        <v>36</v>
      </c>
      <c r="D33" s="31">
        <v>45839</v>
      </c>
      <c r="E33" s="31">
        <v>45851</v>
      </c>
      <c r="F33" s="30" t="s">
        <v>73</v>
      </c>
      <c r="G33" s="30" t="s">
        <v>26</v>
      </c>
      <c r="H33" s="31">
        <v>28079</v>
      </c>
      <c r="I33" s="30" t="s">
        <v>91</v>
      </c>
      <c r="J33" s="30" t="s">
        <v>75</v>
      </c>
      <c r="K33" s="30" t="s">
        <v>39</v>
      </c>
      <c r="L33" s="30" t="s">
        <v>40</v>
      </c>
      <c r="M33" s="30">
        <v>11</v>
      </c>
      <c r="N33" s="30">
        <v>12000</v>
      </c>
      <c r="O33" s="30">
        <v>0</v>
      </c>
      <c r="P33" s="30">
        <v>132000</v>
      </c>
      <c r="Q33" s="30">
        <v>3</v>
      </c>
      <c r="R33" s="30" t="s">
        <v>65</v>
      </c>
      <c r="S33" s="30" t="s">
        <v>32</v>
      </c>
      <c r="T33" s="30" t="s">
        <v>93</v>
      </c>
      <c r="U33" s="30">
        <v>9570437805</v>
      </c>
      <c r="V33" s="38" t="s">
        <v>52</v>
      </c>
      <c r="W33" s="49">
        <f t="shared" ca="1" si="0"/>
        <v>49</v>
      </c>
      <c r="X33" s="50">
        <f t="shared" si="1"/>
        <v>12</v>
      </c>
      <c r="Y33" s="46" t="str" cm="1">
        <f t="array" ref="Y33">_xlfn.IFS(X33&lt;=5,"On Time",X33&gt;5,"Delayed",X33=" ","Pending")</f>
        <v>Delayed</v>
      </c>
    </row>
    <row r="34" spans="1:25" ht="15" thickBot="1" x14ac:dyDescent="0.4">
      <c r="A34" s="27" t="s">
        <v>141</v>
      </c>
      <c r="B34" s="27" t="s">
        <v>134</v>
      </c>
      <c r="C34" s="27" t="s">
        <v>24</v>
      </c>
      <c r="D34" s="28">
        <v>45723</v>
      </c>
      <c r="E34" s="28">
        <v>45731</v>
      </c>
      <c r="F34" s="27" t="s">
        <v>135</v>
      </c>
      <c r="G34" s="27" t="s">
        <v>26</v>
      </c>
      <c r="H34" s="28">
        <v>32444</v>
      </c>
      <c r="I34" s="27" t="s">
        <v>48</v>
      </c>
      <c r="J34" s="27" t="s">
        <v>28</v>
      </c>
      <c r="K34" s="27" t="s">
        <v>29</v>
      </c>
      <c r="L34" s="27" t="s">
        <v>30</v>
      </c>
      <c r="M34" s="27">
        <v>20</v>
      </c>
      <c r="N34" s="27">
        <v>2200</v>
      </c>
      <c r="O34" s="27">
        <v>5</v>
      </c>
      <c r="P34" s="27">
        <v>41800</v>
      </c>
      <c r="Q34" s="27">
        <v>1</v>
      </c>
      <c r="R34" s="27" t="s">
        <v>31</v>
      </c>
      <c r="S34" s="27" t="s">
        <v>42</v>
      </c>
      <c r="T34" s="27" t="s">
        <v>136</v>
      </c>
      <c r="U34" s="27">
        <v>9310669113</v>
      </c>
      <c r="V34" s="37" t="s">
        <v>52</v>
      </c>
      <c r="W34" s="49">
        <f t="shared" ca="1" si="0"/>
        <v>38</v>
      </c>
      <c r="X34" s="50">
        <f t="shared" si="1"/>
        <v>8</v>
      </c>
      <c r="Y34" s="46" t="str" cm="1">
        <f t="array" ref="Y34">_xlfn.IFS(X34&lt;=5,"On Time",X34&gt;5,"Delayed",X34=" ","Pending")</f>
        <v>Delayed</v>
      </c>
    </row>
    <row r="35" spans="1:25" ht="15" thickBot="1" x14ac:dyDescent="0.4">
      <c r="A35" s="30" t="s">
        <v>142</v>
      </c>
      <c r="B35" s="30" t="s">
        <v>63</v>
      </c>
      <c r="C35" s="30" t="s">
        <v>125</v>
      </c>
      <c r="D35" s="31">
        <v>45832</v>
      </c>
      <c r="E35" s="31">
        <v>45842</v>
      </c>
      <c r="F35" s="30" t="s">
        <v>110</v>
      </c>
      <c r="G35" s="30" t="s">
        <v>58</v>
      </c>
      <c r="H35" s="31">
        <v>38161</v>
      </c>
      <c r="I35" s="30" t="s">
        <v>91</v>
      </c>
      <c r="J35" s="30" t="s">
        <v>75</v>
      </c>
      <c r="K35" s="30" t="s">
        <v>83</v>
      </c>
      <c r="L35" s="30" t="s">
        <v>127</v>
      </c>
      <c r="M35" s="30">
        <v>3</v>
      </c>
      <c r="N35" s="30">
        <v>20</v>
      </c>
      <c r="O35" s="30">
        <v>0</v>
      </c>
      <c r="P35" s="30">
        <v>60</v>
      </c>
      <c r="Q35" s="30">
        <v>2</v>
      </c>
      <c r="R35" s="30" t="s">
        <v>60</v>
      </c>
      <c r="S35" s="30" t="s">
        <v>32</v>
      </c>
      <c r="T35" s="30" t="s">
        <v>143</v>
      </c>
      <c r="U35" s="30">
        <v>9437132894</v>
      </c>
      <c r="V35" s="38" t="s">
        <v>53</v>
      </c>
      <c r="W35" s="49">
        <f t="shared" ca="1" si="0"/>
        <v>22</v>
      </c>
      <c r="X35" s="50">
        <f t="shared" si="1"/>
        <v>10</v>
      </c>
      <c r="Y35" s="46" t="str" cm="1">
        <f t="array" ref="Y35">_xlfn.IFS(X35&lt;=5,"On Time",X35&gt;5,"Delayed",X35=" ","Pending")</f>
        <v>Delayed</v>
      </c>
    </row>
    <row r="36" spans="1:25" ht="15" thickBot="1" x14ac:dyDescent="0.4">
      <c r="A36" s="27" t="s">
        <v>144</v>
      </c>
      <c r="B36" s="27" t="s">
        <v>87</v>
      </c>
      <c r="C36" s="27" t="s">
        <v>138</v>
      </c>
      <c r="D36" s="28">
        <v>45939</v>
      </c>
      <c r="E36" s="28">
        <v>45949</v>
      </c>
      <c r="F36" s="27" t="s">
        <v>88</v>
      </c>
      <c r="G36" s="27" t="s">
        <v>58</v>
      </c>
      <c r="H36" s="28">
        <v>35177</v>
      </c>
      <c r="I36" s="27" t="s">
        <v>79</v>
      </c>
      <c r="J36" s="27" t="s">
        <v>75</v>
      </c>
      <c r="K36" s="27" t="s">
        <v>83</v>
      </c>
      <c r="L36" s="27" t="s">
        <v>139</v>
      </c>
      <c r="M36" s="27">
        <v>18</v>
      </c>
      <c r="N36" s="27">
        <v>45</v>
      </c>
      <c r="O36" s="27">
        <v>20</v>
      </c>
      <c r="P36" s="27">
        <v>648</v>
      </c>
      <c r="Q36" s="27">
        <v>4</v>
      </c>
      <c r="R36" s="27" t="s">
        <v>41</v>
      </c>
      <c r="S36" s="27" t="s">
        <v>32</v>
      </c>
      <c r="T36" s="27" t="s">
        <v>89</v>
      </c>
      <c r="U36" s="27">
        <v>9762437243</v>
      </c>
      <c r="V36" s="37" t="s">
        <v>53</v>
      </c>
      <c r="W36" s="49">
        <f t="shared" ca="1" si="0"/>
        <v>30</v>
      </c>
      <c r="X36" s="50">
        <f t="shared" si="1"/>
        <v>10</v>
      </c>
      <c r="Y36" s="46" t="str" cm="1">
        <f t="array" ref="Y36">_xlfn.IFS(X36&lt;=5,"On Time",X36&gt;5,"Delayed",X36=" ","Pending")</f>
        <v>Delayed</v>
      </c>
    </row>
    <row r="37" spans="1:25" ht="15" thickBot="1" x14ac:dyDescent="0.4">
      <c r="A37" s="30" t="s">
        <v>145</v>
      </c>
      <c r="B37" s="30" t="s">
        <v>87</v>
      </c>
      <c r="C37" s="30" t="s">
        <v>56</v>
      </c>
      <c r="D37" s="31">
        <v>45980</v>
      </c>
      <c r="E37" s="31">
        <v>45987</v>
      </c>
      <c r="F37" s="30" t="s">
        <v>88</v>
      </c>
      <c r="G37" s="30" t="s">
        <v>58</v>
      </c>
      <c r="H37" s="31">
        <v>29043</v>
      </c>
      <c r="I37" s="30" t="s">
        <v>48</v>
      </c>
      <c r="J37" s="30" t="s">
        <v>28</v>
      </c>
      <c r="K37" s="30" t="s">
        <v>39</v>
      </c>
      <c r="L37" s="30" t="s">
        <v>59</v>
      </c>
      <c r="M37" s="30">
        <v>4</v>
      </c>
      <c r="N37" s="30">
        <v>1200</v>
      </c>
      <c r="O37" s="30">
        <v>20</v>
      </c>
      <c r="P37" s="30">
        <v>3840</v>
      </c>
      <c r="Q37" s="30">
        <v>3</v>
      </c>
      <c r="R37" s="30" t="s">
        <v>41</v>
      </c>
      <c r="S37" s="30" t="s">
        <v>50</v>
      </c>
      <c r="T37" s="30" t="s">
        <v>89</v>
      </c>
      <c r="U37" s="30">
        <v>9149046970</v>
      </c>
      <c r="V37" s="36" t="s">
        <v>34</v>
      </c>
      <c r="W37" s="49">
        <f t="shared" ca="1" si="0"/>
        <v>47</v>
      </c>
      <c r="X37" s="50">
        <f t="shared" si="1"/>
        <v>7</v>
      </c>
      <c r="Y37" s="46" t="str" cm="1">
        <f t="array" ref="Y37">_xlfn.IFS(X37&lt;=5,"On Time",X37&gt;5,"Delayed",X37=" ","Pending")</f>
        <v>Delayed</v>
      </c>
    </row>
    <row r="38" spans="1:25" ht="15" thickBot="1" x14ac:dyDescent="0.4">
      <c r="A38" s="27" t="s">
        <v>146</v>
      </c>
      <c r="B38" s="27" t="s">
        <v>55</v>
      </c>
      <c r="C38" s="27" t="s">
        <v>46</v>
      </c>
      <c r="D38" s="28">
        <v>45966</v>
      </c>
      <c r="E38" s="28">
        <v>45975</v>
      </c>
      <c r="F38" s="27" t="s">
        <v>57</v>
      </c>
      <c r="G38" s="27" t="s">
        <v>58</v>
      </c>
      <c r="H38" s="28">
        <v>29491</v>
      </c>
      <c r="I38" s="27" t="s">
        <v>147</v>
      </c>
      <c r="J38" s="27" t="s">
        <v>148</v>
      </c>
      <c r="K38" s="27" t="s">
        <v>39</v>
      </c>
      <c r="L38" s="27" t="s">
        <v>49</v>
      </c>
      <c r="M38" s="27">
        <v>10</v>
      </c>
      <c r="N38" s="27">
        <v>55000</v>
      </c>
      <c r="O38" s="27">
        <v>0</v>
      </c>
      <c r="P38" s="27">
        <v>550000</v>
      </c>
      <c r="Q38" s="27">
        <v>1</v>
      </c>
      <c r="R38" s="27" t="s">
        <v>65</v>
      </c>
      <c r="S38" s="27" t="s">
        <v>42</v>
      </c>
      <c r="T38" s="27" t="s">
        <v>61</v>
      </c>
      <c r="U38" s="27">
        <v>9869182901</v>
      </c>
      <c r="V38" s="37" t="s">
        <v>53</v>
      </c>
      <c r="W38" s="49">
        <f t="shared" ca="1" si="0"/>
        <v>46</v>
      </c>
      <c r="X38" s="50">
        <f t="shared" si="1"/>
        <v>9</v>
      </c>
      <c r="Y38" s="46" t="str" cm="1">
        <f t="array" ref="Y38">_xlfn.IFS(X38&lt;=5,"On Time",X38&gt;5,"Delayed",X38=" ","Pending")</f>
        <v>Delayed</v>
      </c>
    </row>
    <row r="39" spans="1:25" ht="15" thickBot="1" x14ac:dyDescent="0.4">
      <c r="A39" s="30" t="s">
        <v>149</v>
      </c>
      <c r="B39" s="30" t="s">
        <v>134</v>
      </c>
      <c r="C39" s="30" t="s">
        <v>68</v>
      </c>
      <c r="D39" s="31">
        <v>46089</v>
      </c>
      <c r="E39" s="31">
        <v>46101</v>
      </c>
      <c r="F39" s="30" t="s">
        <v>135</v>
      </c>
      <c r="G39" s="30" t="s">
        <v>26</v>
      </c>
      <c r="H39" s="31">
        <v>29393</v>
      </c>
      <c r="I39" s="30" t="s">
        <v>37</v>
      </c>
      <c r="J39" s="30" t="s">
        <v>38</v>
      </c>
      <c r="K39" s="30" t="s">
        <v>29</v>
      </c>
      <c r="L39" s="30" t="s">
        <v>70</v>
      </c>
      <c r="M39" s="30">
        <v>20</v>
      </c>
      <c r="N39" s="30">
        <v>3500</v>
      </c>
      <c r="O39" s="30">
        <v>10</v>
      </c>
      <c r="P39" s="30">
        <v>63000</v>
      </c>
      <c r="Q39" s="30">
        <v>3</v>
      </c>
      <c r="R39" s="30" t="s">
        <v>60</v>
      </c>
      <c r="S39" s="30" t="s">
        <v>42</v>
      </c>
      <c r="T39" s="30" t="s">
        <v>136</v>
      </c>
      <c r="U39" s="30">
        <v>9283578533</v>
      </c>
      <c r="V39" s="38" t="s">
        <v>53</v>
      </c>
      <c r="W39" s="49">
        <f t="shared" ca="1" si="0"/>
        <v>46</v>
      </c>
      <c r="X39" s="50">
        <f t="shared" si="1"/>
        <v>12</v>
      </c>
      <c r="Y39" s="46" t="str" cm="1">
        <f t="array" ref="Y39">_xlfn.IFS(X39&lt;=5,"On Time",X39&gt;5,"Delayed",X39=" ","Pending")</f>
        <v>Delayed</v>
      </c>
    </row>
    <row r="40" spans="1:25" ht="15" thickBot="1" x14ac:dyDescent="0.4">
      <c r="A40" s="27" t="s">
        <v>150</v>
      </c>
      <c r="B40" s="27" t="s">
        <v>23</v>
      </c>
      <c r="C40" s="27" t="s">
        <v>125</v>
      </c>
      <c r="D40" s="28">
        <v>45701</v>
      </c>
      <c r="E40" s="28">
        <v>45707</v>
      </c>
      <c r="F40" s="27" t="s">
        <v>25</v>
      </c>
      <c r="G40" s="27" t="s">
        <v>26</v>
      </c>
      <c r="H40" s="28">
        <v>29023</v>
      </c>
      <c r="I40" s="27" t="s">
        <v>79</v>
      </c>
      <c r="J40" s="27" t="s">
        <v>75</v>
      </c>
      <c r="K40" s="27" t="s">
        <v>83</v>
      </c>
      <c r="L40" s="27" t="s">
        <v>127</v>
      </c>
      <c r="M40" s="27">
        <v>5</v>
      </c>
      <c r="N40" s="27">
        <v>1200</v>
      </c>
      <c r="O40" s="27">
        <v>0</v>
      </c>
      <c r="P40" s="27">
        <v>100</v>
      </c>
      <c r="Q40" s="27">
        <v>1</v>
      </c>
      <c r="R40" s="27" t="s">
        <v>31</v>
      </c>
      <c r="S40" s="27" t="s">
        <v>42</v>
      </c>
      <c r="T40" s="27" t="s">
        <v>43</v>
      </c>
      <c r="U40" s="27">
        <v>9963005771</v>
      </c>
      <c r="V40" s="37" t="s">
        <v>53</v>
      </c>
      <c r="W40" s="49">
        <f t="shared" ca="1" si="0"/>
        <v>47</v>
      </c>
      <c r="X40" s="50">
        <f t="shared" si="1"/>
        <v>6</v>
      </c>
      <c r="Y40" s="46" t="str" cm="1">
        <f t="array" ref="Y40">_xlfn.IFS(X40&lt;=5,"On Time",X40&gt;5,"Delayed",X40=" ","Pending")</f>
        <v>Delayed</v>
      </c>
    </row>
    <row r="41" spans="1:25" ht="15" thickBot="1" x14ac:dyDescent="0.4">
      <c r="A41" s="30" t="s">
        <v>151</v>
      </c>
      <c r="B41" s="30" t="s">
        <v>45</v>
      </c>
      <c r="C41" s="30" t="s">
        <v>105</v>
      </c>
      <c r="D41" s="31">
        <v>45935</v>
      </c>
      <c r="E41" s="31">
        <v>45945</v>
      </c>
      <c r="F41" s="30" t="s">
        <v>101</v>
      </c>
      <c r="G41" s="30" t="s">
        <v>26</v>
      </c>
      <c r="H41" s="31">
        <v>33773</v>
      </c>
      <c r="I41" s="30" t="s">
        <v>74</v>
      </c>
      <c r="J41" s="30" t="s">
        <v>75</v>
      </c>
      <c r="K41" s="30" t="s">
        <v>29</v>
      </c>
      <c r="L41" s="30" t="s">
        <v>107</v>
      </c>
      <c r="M41" s="30">
        <v>20</v>
      </c>
      <c r="N41" s="30">
        <v>8500</v>
      </c>
      <c r="O41" s="30">
        <v>0</v>
      </c>
      <c r="P41" s="30">
        <v>170000</v>
      </c>
      <c r="Q41" s="30">
        <v>1</v>
      </c>
      <c r="R41" s="30" t="s">
        <v>65</v>
      </c>
      <c r="S41" s="30" t="s">
        <v>80</v>
      </c>
      <c r="T41" s="30" t="s">
        <v>51</v>
      </c>
      <c r="U41" s="30">
        <v>9484632635</v>
      </c>
      <c r="V41" s="38" t="s">
        <v>53</v>
      </c>
      <c r="W41" s="49">
        <f t="shared" ca="1" si="0"/>
        <v>34</v>
      </c>
      <c r="X41" s="50">
        <f t="shared" si="1"/>
        <v>10</v>
      </c>
      <c r="Y41" s="46" t="str" cm="1">
        <f t="array" ref="Y41">_xlfn.IFS(X41&lt;=5,"On Time",X41&gt;5,"Delayed",X41=" ","Pending")</f>
        <v>Delayed</v>
      </c>
    </row>
    <row r="42" spans="1:25" ht="15" thickBot="1" x14ac:dyDescent="0.4">
      <c r="A42" s="27" t="s">
        <v>152</v>
      </c>
      <c r="B42" s="27" t="s">
        <v>63</v>
      </c>
      <c r="C42" s="27" t="s">
        <v>82</v>
      </c>
      <c r="D42" s="28">
        <v>46063</v>
      </c>
      <c r="E42" s="28">
        <v>46065</v>
      </c>
      <c r="F42" s="27" t="s">
        <v>110</v>
      </c>
      <c r="G42" s="27" t="s">
        <v>58</v>
      </c>
      <c r="H42" s="28">
        <v>34491</v>
      </c>
      <c r="I42" s="27" t="s">
        <v>48</v>
      </c>
      <c r="J42" s="27" t="s">
        <v>28</v>
      </c>
      <c r="K42" s="27" t="s">
        <v>83</v>
      </c>
      <c r="L42" s="27" t="s">
        <v>84</v>
      </c>
      <c r="M42" s="27">
        <v>8</v>
      </c>
      <c r="N42" s="27">
        <v>60</v>
      </c>
      <c r="O42" s="27">
        <v>15</v>
      </c>
      <c r="P42" s="27">
        <v>408</v>
      </c>
      <c r="Q42" s="27">
        <v>5</v>
      </c>
      <c r="R42" s="27" t="s">
        <v>65</v>
      </c>
      <c r="S42" s="27" t="s">
        <v>42</v>
      </c>
      <c r="T42" s="27" t="s">
        <v>66</v>
      </c>
      <c r="U42" s="27">
        <v>9276319484</v>
      </c>
      <c r="V42" s="37" t="s">
        <v>52</v>
      </c>
      <c r="W42" s="49">
        <f t="shared" ca="1" si="0"/>
        <v>32</v>
      </c>
      <c r="X42" s="50">
        <f t="shared" si="1"/>
        <v>2</v>
      </c>
      <c r="Y42" s="46" t="str" cm="1">
        <f t="array" ref="Y42">_xlfn.IFS(X42&lt;=5,"On Time",X42&gt;5,"Delayed",X42=" ","Pending")</f>
        <v>On Time</v>
      </c>
    </row>
    <row r="43" spans="1:25" ht="15" thickBot="1" x14ac:dyDescent="0.4">
      <c r="A43" s="30" t="s">
        <v>153</v>
      </c>
      <c r="B43" s="30" t="s">
        <v>45</v>
      </c>
      <c r="C43" s="30" t="s">
        <v>68</v>
      </c>
      <c r="D43" s="31">
        <v>45812</v>
      </c>
      <c r="E43" s="31">
        <v>45824</v>
      </c>
      <c r="F43" s="30" t="s">
        <v>101</v>
      </c>
      <c r="G43" s="30" t="s">
        <v>26</v>
      </c>
      <c r="H43" s="31">
        <v>32408</v>
      </c>
      <c r="I43" s="30" t="s">
        <v>79</v>
      </c>
      <c r="J43" s="30" t="s">
        <v>75</v>
      </c>
      <c r="K43" s="30" t="s">
        <v>29</v>
      </c>
      <c r="L43" s="30" t="s">
        <v>70</v>
      </c>
      <c r="M43" s="30">
        <v>8</v>
      </c>
      <c r="N43" s="30">
        <v>3500</v>
      </c>
      <c r="O43" s="30">
        <v>5</v>
      </c>
      <c r="P43" s="30">
        <v>26600</v>
      </c>
      <c r="Q43" s="30">
        <v>1</v>
      </c>
      <c r="R43" s="30" t="s">
        <v>60</v>
      </c>
      <c r="S43" s="30" t="s">
        <v>80</v>
      </c>
      <c r="T43" s="30" t="s">
        <v>51</v>
      </c>
      <c r="U43" s="30">
        <v>9619034852</v>
      </c>
      <c r="V43" s="38" t="s">
        <v>52</v>
      </c>
      <c r="W43" s="49">
        <f t="shared" ca="1" si="0"/>
        <v>38</v>
      </c>
      <c r="X43" s="50">
        <f t="shared" si="1"/>
        <v>12</v>
      </c>
      <c r="Y43" s="46" t="str" cm="1">
        <f t="array" ref="Y43">_xlfn.IFS(X43&lt;=5,"On Time",X43&gt;5,"Delayed",X43=" ","Pending")</f>
        <v>Delayed</v>
      </c>
    </row>
    <row r="44" spans="1:25" ht="15" thickBot="1" x14ac:dyDescent="0.4">
      <c r="A44" s="27" t="s">
        <v>154</v>
      </c>
      <c r="B44" s="27" t="s">
        <v>55</v>
      </c>
      <c r="C44" s="27" t="s">
        <v>105</v>
      </c>
      <c r="D44" s="28">
        <v>46061</v>
      </c>
      <c r="E44" s="28">
        <v>46067</v>
      </c>
      <c r="F44" s="27" t="s">
        <v>57</v>
      </c>
      <c r="G44" s="27" t="s">
        <v>58</v>
      </c>
      <c r="H44" s="28">
        <v>37086</v>
      </c>
      <c r="I44" s="27" t="s">
        <v>121</v>
      </c>
      <c r="J44" s="27" t="s">
        <v>38</v>
      </c>
      <c r="K44" s="27" t="s">
        <v>29</v>
      </c>
      <c r="L44" s="27" t="s">
        <v>107</v>
      </c>
      <c r="M44" s="27">
        <v>1</v>
      </c>
      <c r="N44" s="27">
        <v>8500</v>
      </c>
      <c r="O44" s="27">
        <v>0</v>
      </c>
      <c r="P44" s="27">
        <v>8500</v>
      </c>
      <c r="Q44" s="27">
        <v>2</v>
      </c>
      <c r="R44" s="27" t="s">
        <v>60</v>
      </c>
      <c r="S44" s="27" t="s">
        <v>80</v>
      </c>
      <c r="T44" s="27" t="s">
        <v>61</v>
      </c>
      <c r="U44" s="27">
        <v>9636416962</v>
      </c>
      <c r="V44" s="37" t="s">
        <v>52</v>
      </c>
      <c r="W44" s="49">
        <f t="shared" ca="1" si="0"/>
        <v>25</v>
      </c>
      <c r="X44" s="50">
        <f t="shared" si="1"/>
        <v>6</v>
      </c>
      <c r="Y44" s="46" t="str" cm="1">
        <f t="array" ref="Y44">_xlfn.IFS(X44&lt;=5,"On Time",X44&gt;5,"Delayed",X44=" ","Pending")</f>
        <v>Delayed</v>
      </c>
    </row>
    <row r="45" spans="1:25" ht="15" thickBot="1" x14ac:dyDescent="0.4">
      <c r="A45" s="30" t="s">
        <v>155</v>
      </c>
      <c r="B45" s="30" t="s">
        <v>156</v>
      </c>
      <c r="C45" s="30" t="s">
        <v>138</v>
      </c>
      <c r="D45" s="31">
        <v>45746</v>
      </c>
      <c r="E45" s="31">
        <v>45747</v>
      </c>
      <c r="F45" s="30" t="s">
        <v>157</v>
      </c>
      <c r="G45" s="30" t="s">
        <v>58</v>
      </c>
      <c r="H45" s="31">
        <v>33459</v>
      </c>
      <c r="I45" s="30" t="s">
        <v>79</v>
      </c>
      <c r="J45" s="30" t="s">
        <v>75</v>
      </c>
      <c r="K45" s="30" t="s">
        <v>83</v>
      </c>
      <c r="L45" s="30" t="s">
        <v>139</v>
      </c>
      <c r="M45" s="30">
        <v>8</v>
      </c>
      <c r="N45" s="30">
        <v>45</v>
      </c>
      <c r="O45" s="30">
        <v>15</v>
      </c>
      <c r="P45" s="30">
        <v>306</v>
      </c>
      <c r="Q45" s="30">
        <v>2</v>
      </c>
      <c r="R45" s="30" t="s">
        <v>60</v>
      </c>
      <c r="S45" s="30" t="s">
        <v>50</v>
      </c>
      <c r="T45" s="30" t="s">
        <v>158</v>
      </c>
      <c r="U45" s="30">
        <v>9357133880</v>
      </c>
      <c r="V45" s="36" t="s">
        <v>34</v>
      </c>
      <c r="W45" s="49">
        <f t="shared" ca="1" si="0"/>
        <v>35</v>
      </c>
      <c r="X45" s="50">
        <f t="shared" si="1"/>
        <v>1</v>
      </c>
      <c r="Y45" s="46" t="str" cm="1">
        <f t="array" ref="Y45">_xlfn.IFS(X45&lt;=5,"On Time",X45&gt;5,"Delayed",X45=" ","Pending")</f>
        <v>On Time</v>
      </c>
    </row>
    <row r="46" spans="1:25" ht="15" thickBot="1" x14ac:dyDescent="0.4">
      <c r="A46" s="27" t="s">
        <v>159</v>
      </c>
      <c r="B46" s="27" t="s">
        <v>134</v>
      </c>
      <c r="C46" s="27" t="s">
        <v>24</v>
      </c>
      <c r="D46" s="28">
        <v>45772</v>
      </c>
      <c r="E46" s="28">
        <v>45775</v>
      </c>
      <c r="F46" s="27" t="s">
        <v>135</v>
      </c>
      <c r="G46" s="27" t="s">
        <v>26</v>
      </c>
      <c r="H46" s="28">
        <v>32437</v>
      </c>
      <c r="I46" s="27" t="s">
        <v>79</v>
      </c>
      <c r="J46" s="27" t="s">
        <v>75</v>
      </c>
      <c r="K46" s="27" t="s">
        <v>29</v>
      </c>
      <c r="L46" s="27" t="s">
        <v>30</v>
      </c>
      <c r="M46" s="27">
        <v>16</v>
      </c>
      <c r="N46" s="27">
        <v>2200</v>
      </c>
      <c r="O46" s="27">
        <v>5</v>
      </c>
      <c r="P46" s="27">
        <v>33440</v>
      </c>
      <c r="Q46" s="27">
        <v>5</v>
      </c>
      <c r="R46" s="27" t="s">
        <v>60</v>
      </c>
      <c r="S46" s="27" t="s">
        <v>50</v>
      </c>
      <c r="T46" s="27" t="s">
        <v>136</v>
      </c>
      <c r="U46" s="27">
        <v>9575210324</v>
      </c>
      <c r="V46" s="37" t="s">
        <v>53</v>
      </c>
      <c r="W46" s="49">
        <f t="shared" ca="1" si="0"/>
        <v>38</v>
      </c>
      <c r="X46" s="50">
        <f t="shared" si="1"/>
        <v>3</v>
      </c>
      <c r="Y46" s="46" t="str" cm="1">
        <f t="array" ref="Y46">_xlfn.IFS(X46&lt;=5,"On Time",X46&gt;5,"Delayed",X46=" ","Pending")</f>
        <v>On Time</v>
      </c>
    </row>
    <row r="47" spans="1:25" ht="15" thickBot="1" x14ac:dyDescent="0.4">
      <c r="A47" s="30" t="s">
        <v>160</v>
      </c>
      <c r="B47" s="30" t="s">
        <v>55</v>
      </c>
      <c r="C47" s="30" t="s">
        <v>68</v>
      </c>
      <c r="D47" s="31">
        <v>45943</v>
      </c>
      <c r="E47" s="31">
        <v>45953</v>
      </c>
      <c r="F47" s="30" t="s">
        <v>57</v>
      </c>
      <c r="G47" s="30" t="s">
        <v>58</v>
      </c>
      <c r="H47" s="31">
        <v>37579</v>
      </c>
      <c r="I47" s="30" t="s">
        <v>48</v>
      </c>
      <c r="J47" s="30" t="s">
        <v>28</v>
      </c>
      <c r="K47" s="30" t="s">
        <v>29</v>
      </c>
      <c r="L47" s="30" t="s">
        <v>70</v>
      </c>
      <c r="M47" s="30">
        <v>19</v>
      </c>
      <c r="N47" s="30">
        <v>3500</v>
      </c>
      <c r="O47" s="30">
        <v>20</v>
      </c>
      <c r="P47" s="30">
        <v>53200</v>
      </c>
      <c r="Q47" s="30">
        <v>3</v>
      </c>
      <c r="R47" s="30" t="s">
        <v>31</v>
      </c>
      <c r="S47" s="30" t="s">
        <v>96</v>
      </c>
      <c r="T47" s="30" t="s">
        <v>61</v>
      </c>
      <c r="U47" s="30">
        <v>9276080204</v>
      </c>
      <c r="V47" s="38" t="s">
        <v>53</v>
      </c>
      <c r="W47" s="49">
        <f t="shared" ca="1" si="0"/>
        <v>23</v>
      </c>
      <c r="X47" s="50">
        <f t="shared" si="1"/>
        <v>10</v>
      </c>
      <c r="Y47" s="46" t="str" cm="1">
        <f t="array" ref="Y47">_xlfn.IFS(X47&lt;=5,"On Time",X47&gt;5,"Delayed",X47=" ","Pending")</f>
        <v>Delayed</v>
      </c>
    </row>
    <row r="48" spans="1:25" ht="15" thickBot="1" x14ac:dyDescent="0.4">
      <c r="A48" s="27" t="s">
        <v>161</v>
      </c>
      <c r="B48" s="27" t="s">
        <v>134</v>
      </c>
      <c r="C48" s="27" t="s">
        <v>112</v>
      </c>
      <c r="D48" s="28">
        <v>45941</v>
      </c>
      <c r="E48" s="28">
        <v>45944</v>
      </c>
      <c r="F48" s="27" t="s">
        <v>135</v>
      </c>
      <c r="G48" s="27" t="s">
        <v>26</v>
      </c>
      <c r="H48" s="28">
        <v>36713</v>
      </c>
      <c r="I48" s="27" t="s">
        <v>79</v>
      </c>
      <c r="J48" s="27" t="s">
        <v>75</v>
      </c>
      <c r="K48" s="27" t="s">
        <v>39</v>
      </c>
      <c r="L48" s="27" t="s">
        <v>114</v>
      </c>
      <c r="M48" s="27">
        <v>15</v>
      </c>
      <c r="N48" s="27">
        <v>700</v>
      </c>
      <c r="O48" s="27">
        <v>15</v>
      </c>
      <c r="P48" s="27">
        <v>8925</v>
      </c>
      <c r="Q48" s="27">
        <v>4</v>
      </c>
      <c r="R48" s="27" t="s">
        <v>65</v>
      </c>
      <c r="S48" s="27" t="s">
        <v>80</v>
      </c>
      <c r="T48" s="27" t="s">
        <v>162</v>
      </c>
      <c r="U48" s="27">
        <v>9856624471</v>
      </c>
      <c r="V48" s="35" t="s">
        <v>34</v>
      </c>
      <c r="W48" s="49">
        <f t="shared" ca="1" si="0"/>
        <v>26</v>
      </c>
      <c r="X48" s="50">
        <f t="shared" si="1"/>
        <v>3</v>
      </c>
      <c r="Y48" s="46" t="str" cm="1">
        <f t="array" ref="Y48">_xlfn.IFS(X48&lt;=5,"On Time",X48&gt;5,"Delayed",X48=" ","Pending")</f>
        <v>On Time</v>
      </c>
    </row>
    <row r="49" spans="1:25" ht="15" thickBot="1" x14ac:dyDescent="0.4">
      <c r="A49" s="30" t="s">
        <v>163</v>
      </c>
      <c r="B49" s="30" t="s">
        <v>134</v>
      </c>
      <c r="C49" s="30" t="s">
        <v>112</v>
      </c>
      <c r="D49" s="31">
        <v>45988</v>
      </c>
      <c r="E49" s="31">
        <v>45994</v>
      </c>
      <c r="F49" s="30" t="s">
        <v>135</v>
      </c>
      <c r="G49" s="30" t="s">
        <v>26</v>
      </c>
      <c r="H49" s="31">
        <v>36125</v>
      </c>
      <c r="I49" s="30" t="s">
        <v>121</v>
      </c>
      <c r="J49" s="30" t="s">
        <v>38</v>
      </c>
      <c r="K49" s="30" t="s">
        <v>39</v>
      </c>
      <c r="L49" s="30" t="s">
        <v>114</v>
      </c>
      <c r="M49" s="30">
        <v>19</v>
      </c>
      <c r="N49" s="30">
        <v>700</v>
      </c>
      <c r="O49" s="30">
        <v>20</v>
      </c>
      <c r="P49" s="30">
        <v>10640</v>
      </c>
      <c r="Q49" s="30">
        <v>1</v>
      </c>
      <c r="R49" s="30" t="s">
        <v>31</v>
      </c>
      <c r="S49" s="30" t="s">
        <v>80</v>
      </c>
      <c r="T49" s="30" t="s">
        <v>136</v>
      </c>
      <c r="U49" s="30">
        <v>9238141322</v>
      </c>
      <c r="V49" s="36" t="s">
        <v>34</v>
      </c>
      <c r="W49" s="49">
        <f t="shared" ca="1" si="0"/>
        <v>27</v>
      </c>
      <c r="X49" s="50">
        <f t="shared" si="1"/>
        <v>6</v>
      </c>
      <c r="Y49" s="46" t="str" cm="1">
        <f t="array" ref="Y49">_xlfn.IFS(X49&lt;=5,"On Time",X49&gt;5,"Delayed",X49=" ","Pending")</f>
        <v>Delayed</v>
      </c>
    </row>
    <row r="50" spans="1:25" ht="15" thickBot="1" x14ac:dyDescent="0.4">
      <c r="A50" s="27" t="s">
        <v>164</v>
      </c>
      <c r="B50" s="27" t="s">
        <v>55</v>
      </c>
      <c r="C50" s="27" t="s">
        <v>36</v>
      </c>
      <c r="D50" s="23">
        <v>46131</v>
      </c>
      <c r="E50" s="27"/>
      <c r="F50" s="27" t="s">
        <v>57</v>
      </c>
      <c r="G50" s="27" t="s">
        <v>58</v>
      </c>
      <c r="H50" s="28">
        <v>35219</v>
      </c>
      <c r="I50" s="27" t="s">
        <v>37</v>
      </c>
      <c r="J50" s="27" t="s">
        <v>38</v>
      </c>
      <c r="K50" s="27" t="s">
        <v>39</v>
      </c>
      <c r="L50" s="27" t="s">
        <v>40</v>
      </c>
      <c r="M50" s="27">
        <v>19</v>
      </c>
      <c r="N50" s="27">
        <v>12000</v>
      </c>
      <c r="O50" s="27">
        <v>0</v>
      </c>
      <c r="P50" s="27">
        <v>228000</v>
      </c>
      <c r="Q50" s="27">
        <v>1</v>
      </c>
      <c r="R50" s="27" t="s">
        <v>41</v>
      </c>
      <c r="S50" s="27" t="s">
        <v>50</v>
      </c>
      <c r="T50" s="27" t="s">
        <v>61</v>
      </c>
      <c r="U50" s="27">
        <v>9890380030</v>
      </c>
      <c r="V50" s="35" t="s">
        <v>34</v>
      </c>
      <c r="W50" s="49">
        <f t="shared" ca="1" si="0"/>
        <v>30</v>
      </c>
      <c r="X50" s="50" t="str">
        <f t="shared" si="1"/>
        <v/>
      </c>
      <c r="Y50" s="46" t="str" cm="1">
        <f t="array" ref="Y50">_xlfn.IFS(X50&lt;=5,"On Time",X50&gt;5,"Delayed",X50=" ","Pending")</f>
        <v>Delayed</v>
      </c>
    </row>
    <row r="51" spans="1:25" ht="15" thickBot="1" x14ac:dyDescent="0.4">
      <c r="A51" s="30" t="s">
        <v>165</v>
      </c>
      <c r="B51" s="30" t="s">
        <v>104</v>
      </c>
      <c r="C51" s="30" t="s">
        <v>56</v>
      </c>
      <c r="D51" s="31">
        <v>46131</v>
      </c>
      <c r="E51" s="31">
        <v>46133</v>
      </c>
      <c r="F51" s="30" t="s">
        <v>166</v>
      </c>
      <c r="G51" s="30" t="s">
        <v>26</v>
      </c>
      <c r="H51" s="31">
        <v>31851</v>
      </c>
      <c r="I51" s="30" t="s">
        <v>79</v>
      </c>
      <c r="J51" s="30" t="s">
        <v>75</v>
      </c>
      <c r="K51" s="30" t="s">
        <v>39</v>
      </c>
      <c r="L51" s="30" t="s">
        <v>59</v>
      </c>
      <c r="M51" s="30">
        <v>6</v>
      </c>
      <c r="N51" s="30">
        <v>1200</v>
      </c>
      <c r="O51" s="30">
        <v>5</v>
      </c>
      <c r="P51" s="30">
        <v>6840</v>
      </c>
      <c r="Q51" s="30">
        <v>2</v>
      </c>
      <c r="R51" s="30" t="s">
        <v>31</v>
      </c>
      <c r="S51" s="30" t="s">
        <v>32</v>
      </c>
      <c r="T51" s="30" t="s">
        <v>108</v>
      </c>
      <c r="U51" s="30">
        <v>9495893170</v>
      </c>
      <c r="V51" s="38" t="s">
        <v>52</v>
      </c>
      <c r="W51" s="49">
        <f t="shared" ca="1" si="0"/>
        <v>39</v>
      </c>
      <c r="X51" s="50">
        <f t="shared" si="1"/>
        <v>2</v>
      </c>
      <c r="Y51" s="46" t="str" cm="1">
        <f t="array" ref="Y51">_xlfn.IFS(X51&lt;=5,"On Time",X51&gt;5,"Delayed",X51=" ","Pending")</f>
        <v>On Time</v>
      </c>
    </row>
    <row r="52" spans="1:25" ht="15" thickBot="1" x14ac:dyDescent="0.4">
      <c r="A52" s="27" t="s">
        <v>167</v>
      </c>
      <c r="B52" s="27" t="s">
        <v>45</v>
      </c>
      <c r="C52" s="27" t="s">
        <v>24</v>
      </c>
      <c r="D52" s="28">
        <v>45744</v>
      </c>
      <c r="E52" s="28">
        <v>45754</v>
      </c>
      <c r="F52" s="27" t="s">
        <v>168</v>
      </c>
      <c r="G52" s="27" t="s">
        <v>26</v>
      </c>
      <c r="H52" s="28">
        <v>28906</v>
      </c>
      <c r="I52" s="27" t="s">
        <v>48</v>
      </c>
      <c r="J52" s="27" t="s">
        <v>28</v>
      </c>
      <c r="K52" s="27" t="s">
        <v>29</v>
      </c>
      <c r="L52" s="27" t="s">
        <v>30</v>
      </c>
      <c r="M52" s="27">
        <v>7</v>
      </c>
      <c r="N52" s="27">
        <v>2200</v>
      </c>
      <c r="O52" s="27">
        <v>15</v>
      </c>
      <c r="P52" s="27">
        <v>13090</v>
      </c>
      <c r="Q52" s="27">
        <v>1</v>
      </c>
      <c r="R52" s="27" t="s">
        <v>65</v>
      </c>
      <c r="S52" s="27" t="s">
        <v>50</v>
      </c>
      <c r="T52" s="27" t="s">
        <v>51</v>
      </c>
      <c r="U52" s="27">
        <v>9485166307</v>
      </c>
      <c r="V52" s="35" t="s">
        <v>34</v>
      </c>
      <c r="W52" s="49">
        <f t="shared" ca="1" si="0"/>
        <v>47</v>
      </c>
      <c r="X52" s="50">
        <f t="shared" si="1"/>
        <v>10</v>
      </c>
      <c r="Y52" s="46" t="str" cm="1">
        <f t="array" ref="Y52">_xlfn.IFS(X52&lt;=5,"On Time",X52&gt;5,"Delayed",X52=" ","Pending")</f>
        <v>Delayed</v>
      </c>
    </row>
    <row r="53" spans="1:25" ht="15" thickBot="1" x14ac:dyDescent="0.4">
      <c r="A53" s="30" t="s">
        <v>169</v>
      </c>
      <c r="B53" s="30" t="s">
        <v>72</v>
      </c>
      <c r="C53" s="30" t="s">
        <v>82</v>
      </c>
      <c r="D53" s="31">
        <v>45894</v>
      </c>
      <c r="E53" s="31">
        <v>45897</v>
      </c>
      <c r="F53" s="30" t="s">
        <v>73</v>
      </c>
      <c r="G53" s="30" t="s">
        <v>26</v>
      </c>
      <c r="H53" s="31">
        <v>36747</v>
      </c>
      <c r="I53" s="30" t="s">
        <v>121</v>
      </c>
      <c r="J53" s="30" t="s">
        <v>38</v>
      </c>
      <c r="K53" s="30" t="s">
        <v>83</v>
      </c>
      <c r="L53" s="30" t="s">
        <v>84</v>
      </c>
      <c r="M53" s="30">
        <v>8</v>
      </c>
      <c r="N53" s="30">
        <v>60</v>
      </c>
      <c r="O53" s="30">
        <v>10</v>
      </c>
      <c r="P53" s="30">
        <v>432</v>
      </c>
      <c r="Q53" s="30">
        <v>5</v>
      </c>
      <c r="R53" s="30" t="s">
        <v>60</v>
      </c>
      <c r="S53" s="30" t="s">
        <v>50</v>
      </c>
      <c r="T53" s="30" t="s">
        <v>93</v>
      </c>
      <c r="U53" s="30">
        <v>9924709648</v>
      </c>
      <c r="V53" s="38" t="s">
        <v>53</v>
      </c>
      <c r="W53" s="49">
        <f t="shared" ca="1" si="0"/>
        <v>26</v>
      </c>
      <c r="X53" s="50">
        <f t="shared" si="1"/>
        <v>3</v>
      </c>
      <c r="Y53" s="46" t="str" cm="1">
        <f t="array" ref="Y53">_xlfn.IFS(X53&lt;=5,"On Time",X53&gt;5,"Delayed",X53=" ","Pending")</f>
        <v>On Time</v>
      </c>
    </row>
    <row r="54" spans="1:25" ht="15" thickBot="1" x14ac:dyDescent="0.4">
      <c r="A54" s="27" t="s">
        <v>170</v>
      </c>
      <c r="B54" s="27" t="s">
        <v>124</v>
      </c>
      <c r="C54" s="27" t="s">
        <v>46</v>
      </c>
      <c r="D54" s="28">
        <v>45888</v>
      </c>
      <c r="E54" s="28">
        <v>45892</v>
      </c>
      <c r="F54" s="27" t="s">
        <v>126</v>
      </c>
      <c r="G54" s="27" t="s">
        <v>58</v>
      </c>
      <c r="H54" s="28">
        <v>27776</v>
      </c>
      <c r="I54" s="27" t="s">
        <v>147</v>
      </c>
      <c r="J54" s="27" t="s">
        <v>148</v>
      </c>
      <c r="K54" s="27" t="s">
        <v>39</v>
      </c>
      <c r="L54" s="27" t="s">
        <v>49</v>
      </c>
      <c r="M54" s="27">
        <v>12</v>
      </c>
      <c r="N54" s="27">
        <v>55000</v>
      </c>
      <c r="O54" s="27">
        <v>5</v>
      </c>
      <c r="P54" s="27">
        <v>627000</v>
      </c>
      <c r="Q54" s="27">
        <v>2</v>
      </c>
      <c r="R54" s="27" t="s">
        <v>65</v>
      </c>
      <c r="S54" s="27" t="s">
        <v>42</v>
      </c>
      <c r="T54" s="27" t="s">
        <v>128</v>
      </c>
      <c r="U54" s="27">
        <v>9350554626</v>
      </c>
      <c r="V54" s="37" t="s">
        <v>52</v>
      </c>
      <c r="W54" s="49">
        <f t="shared" ca="1" si="0"/>
        <v>50</v>
      </c>
      <c r="X54" s="50">
        <f t="shared" si="1"/>
        <v>4</v>
      </c>
      <c r="Y54" s="46" t="str" cm="1">
        <f t="array" ref="Y54">_xlfn.IFS(X54&lt;=5,"On Time",X54&gt;5,"Delayed",X54=" ","Pending")</f>
        <v>On Time</v>
      </c>
    </row>
    <row r="55" spans="1:25" ht="15" thickBot="1" x14ac:dyDescent="0.4">
      <c r="A55" s="30" t="s">
        <v>171</v>
      </c>
      <c r="B55" s="30" t="s">
        <v>23</v>
      </c>
      <c r="C55" s="30" t="s">
        <v>112</v>
      </c>
      <c r="D55" s="31">
        <v>45865</v>
      </c>
      <c r="E55" s="31">
        <v>45874</v>
      </c>
      <c r="F55" s="30" t="s">
        <v>25</v>
      </c>
      <c r="G55" s="30" t="s">
        <v>26</v>
      </c>
      <c r="H55" s="31">
        <v>27488</v>
      </c>
      <c r="I55" s="30" t="s">
        <v>121</v>
      </c>
      <c r="J55" s="30" t="s">
        <v>38</v>
      </c>
      <c r="K55" s="30" t="s">
        <v>39</v>
      </c>
      <c r="L55" s="30" t="s">
        <v>114</v>
      </c>
      <c r="M55" s="30">
        <v>3</v>
      </c>
      <c r="N55" s="30">
        <v>700</v>
      </c>
      <c r="O55" s="30">
        <v>0</v>
      </c>
      <c r="P55" s="30">
        <v>2100</v>
      </c>
      <c r="Q55" s="30">
        <v>3</v>
      </c>
      <c r="R55" s="30" t="s">
        <v>60</v>
      </c>
      <c r="S55" s="30" t="s">
        <v>96</v>
      </c>
      <c r="T55" s="30" t="s">
        <v>43</v>
      </c>
      <c r="U55" s="30">
        <v>9743295580</v>
      </c>
      <c r="V55" s="38" t="s">
        <v>53</v>
      </c>
      <c r="W55" s="49">
        <f t="shared" ca="1" si="0"/>
        <v>51</v>
      </c>
      <c r="X55" s="50">
        <f t="shared" si="1"/>
        <v>9</v>
      </c>
      <c r="Y55" s="46" t="str" cm="1">
        <f t="array" ref="Y55">_xlfn.IFS(X55&lt;=5,"On Time",X55&gt;5,"Delayed",X55=" ","Pending")</f>
        <v>Delayed</v>
      </c>
    </row>
    <row r="56" spans="1:25" ht="15" thickBot="1" x14ac:dyDescent="0.4">
      <c r="A56" s="27" t="s">
        <v>172</v>
      </c>
      <c r="B56" s="27" t="s">
        <v>87</v>
      </c>
      <c r="C56" s="27" t="s">
        <v>82</v>
      </c>
      <c r="D56" s="28">
        <v>45709</v>
      </c>
      <c r="E56" s="28">
        <v>45714</v>
      </c>
      <c r="F56" s="27" t="s">
        <v>173</v>
      </c>
      <c r="G56" s="27" t="s">
        <v>58</v>
      </c>
      <c r="H56" s="28">
        <v>28105</v>
      </c>
      <c r="I56" s="27" t="s">
        <v>91</v>
      </c>
      <c r="J56" s="27" t="s">
        <v>75</v>
      </c>
      <c r="K56" s="27" t="s">
        <v>83</v>
      </c>
      <c r="L56" s="27" t="s">
        <v>84</v>
      </c>
      <c r="M56" s="27">
        <v>19</v>
      </c>
      <c r="N56" s="27">
        <v>60</v>
      </c>
      <c r="O56" s="27">
        <v>15</v>
      </c>
      <c r="P56" s="27">
        <v>969</v>
      </c>
      <c r="Q56" s="27">
        <v>4</v>
      </c>
      <c r="R56" s="27" t="s">
        <v>60</v>
      </c>
      <c r="S56" s="27" t="s">
        <v>42</v>
      </c>
      <c r="T56" s="27" t="s">
        <v>89</v>
      </c>
      <c r="U56" s="27">
        <v>9822926495</v>
      </c>
      <c r="V56" s="37" t="s">
        <v>53</v>
      </c>
      <c r="W56" s="49">
        <f t="shared" ca="1" si="0"/>
        <v>49</v>
      </c>
      <c r="X56" s="50">
        <f t="shared" si="1"/>
        <v>5</v>
      </c>
      <c r="Y56" s="46" t="str" cm="1">
        <f t="array" ref="Y56">_xlfn.IFS(X56&lt;=5,"On Time",X56&gt;5,"Delayed",X56=" ","Pending")</f>
        <v>On Time</v>
      </c>
    </row>
    <row r="57" spans="1:25" ht="15" thickBot="1" x14ac:dyDescent="0.4">
      <c r="A57" s="30" t="s">
        <v>174</v>
      </c>
      <c r="B57" s="30" t="s">
        <v>156</v>
      </c>
      <c r="C57" s="30" t="s">
        <v>82</v>
      </c>
      <c r="D57" s="31">
        <v>45879</v>
      </c>
      <c r="E57" s="31">
        <v>45880</v>
      </c>
      <c r="F57" s="30" t="s">
        <v>106</v>
      </c>
      <c r="G57" s="30" t="s">
        <v>58</v>
      </c>
      <c r="H57" s="31">
        <v>29192</v>
      </c>
      <c r="I57" s="30" t="s">
        <v>121</v>
      </c>
      <c r="J57" s="30" t="s">
        <v>38</v>
      </c>
      <c r="K57" s="30" t="s">
        <v>83</v>
      </c>
      <c r="L57" s="30" t="s">
        <v>84</v>
      </c>
      <c r="M57" s="30">
        <v>9</v>
      </c>
      <c r="N57" s="30">
        <v>60</v>
      </c>
      <c r="O57" s="30">
        <v>20</v>
      </c>
      <c r="P57" s="30">
        <v>432</v>
      </c>
      <c r="Q57" s="30">
        <v>1</v>
      </c>
      <c r="R57" s="30" t="s">
        <v>41</v>
      </c>
      <c r="S57" s="30" t="s">
        <v>80</v>
      </c>
      <c r="T57" s="30" t="s">
        <v>158</v>
      </c>
      <c r="U57" s="30">
        <v>9518298190</v>
      </c>
      <c r="V57" s="38" t="s">
        <v>52</v>
      </c>
      <c r="W57" s="49">
        <f t="shared" ca="1" si="0"/>
        <v>46</v>
      </c>
      <c r="X57" s="50">
        <f t="shared" si="1"/>
        <v>1</v>
      </c>
      <c r="Y57" s="46" t="str" cm="1">
        <f t="array" ref="Y57">_xlfn.IFS(X57&lt;=5,"On Time",X57&gt;5,"Delayed",X57=" ","Pending")</f>
        <v>On Time</v>
      </c>
    </row>
    <row r="58" spans="1:25" ht="15" thickBot="1" x14ac:dyDescent="0.4">
      <c r="A58" s="27" t="s">
        <v>175</v>
      </c>
      <c r="B58" s="27" t="s">
        <v>156</v>
      </c>
      <c r="C58" s="27" t="s">
        <v>112</v>
      </c>
      <c r="D58" s="28">
        <v>46105</v>
      </c>
      <c r="E58" s="28">
        <v>46111</v>
      </c>
      <c r="F58" s="27" t="s">
        <v>106</v>
      </c>
      <c r="G58" s="27" t="s">
        <v>58</v>
      </c>
      <c r="H58" s="28">
        <v>28851</v>
      </c>
      <c r="I58" s="27" t="s">
        <v>48</v>
      </c>
      <c r="J58" s="27" t="s">
        <v>28</v>
      </c>
      <c r="K58" s="27" t="s">
        <v>39</v>
      </c>
      <c r="L58" s="27" t="s">
        <v>114</v>
      </c>
      <c r="M58" s="27">
        <v>6</v>
      </c>
      <c r="N58" s="27">
        <v>700</v>
      </c>
      <c r="O58" s="27">
        <v>0</v>
      </c>
      <c r="P58" s="27">
        <v>4200</v>
      </c>
      <c r="Q58" s="27">
        <v>4</v>
      </c>
      <c r="R58" s="27" t="s">
        <v>65</v>
      </c>
      <c r="S58" s="27" t="s">
        <v>42</v>
      </c>
      <c r="T58" s="27" t="s">
        <v>176</v>
      </c>
      <c r="U58" s="27">
        <v>9366223547</v>
      </c>
      <c r="V58" s="37" t="s">
        <v>53</v>
      </c>
      <c r="W58" s="49">
        <f t="shared" ca="1" si="0"/>
        <v>47</v>
      </c>
      <c r="X58" s="50">
        <f t="shared" si="1"/>
        <v>6</v>
      </c>
      <c r="Y58" s="46" t="str" cm="1">
        <f t="array" ref="Y58">_xlfn.IFS(X58&lt;=5,"On Time",X58&gt;5,"Delayed",X58=" ","Pending")</f>
        <v>Delayed</v>
      </c>
    </row>
    <row r="59" spans="1:25" ht="15" thickBot="1" x14ac:dyDescent="0.4">
      <c r="A59" s="30" t="s">
        <v>177</v>
      </c>
      <c r="B59" s="30" t="s">
        <v>87</v>
      </c>
      <c r="C59" s="30" t="s">
        <v>138</v>
      </c>
      <c r="D59" s="31">
        <v>46094</v>
      </c>
      <c r="E59" s="31">
        <v>46100</v>
      </c>
      <c r="F59" s="30" t="s">
        <v>88</v>
      </c>
      <c r="G59" s="30" t="s">
        <v>58</v>
      </c>
      <c r="H59" s="31">
        <v>27499</v>
      </c>
      <c r="I59" s="30" t="s">
        <v>37</v>
      </c>
      <c r="J59" s="30" t="s">
        <v>38</v>
      </c>
      <c r="K59" s="30" t="s">
        <v>83</v>
      </c>
      <c r="L59" s="30" t="s">
        <v>139</v>
      </c>
      <c r="M59" s="30">
        <v>18</v>
      </c>
      <c r="N59" s="30">
        <v>45</v>
      </c>
      <c r="O59" s="30">
        <v>5</v>
      </c>
      <c r="P59" s="30">
        <v>769.5</v>
      </c>
      <c r="Q59" s="30">
        <v>1</v>
      </c>
      <c r="R59" s="30" t="s">
        <v>60</v>
      </c>
      <c r="S59" s="30" t="s">
        <v>50</v>
      </c>
      <c r="T59" s="30" t="s">
        <v>89</v>
      </c>
      <c r="U59" s="30">
        <v>9701988524</v>
      </c>
      <c r="V59" s="38" t="s">
        <v>52</v>
      </c>
      <c r="W59" s="49">
        <f t="shared" ca="1" si="0"/>
        <v>51</v>
      </c>
      <c r="X59" s="50">
        <f t="shared" si="1"/>
        <v>6</v>
      </c>
      <c r="Y59" s="46" t="str" cm="1">
        <f t="array" ref="Y59">_xlfn.IFS(X59&lt;=5,"On Time",X59&gt;5,"Delayed",X59=" ","Pending")</f>
        <v>Delayed</v>
      </c>
    </row>
    <row r="60" spans="1:25" ht="15" thickBot="1" x14ac:dyDescent="0.4">
      <c r="A60" s="27" t="s">
        <v>178</v>
      </c>
      <c r="B60" s="27" t="s">
        <v>63</v>
      </c>
      <c r="C60" s="27" t="s">
        <v>125</v>
      </c>
      <c r="D60" s="28">
        <v>45823</v>
      </c>
      <c r="E60" s="28">
        <v>45834</v>
      </c>
      <c r="F60" s="27" t="s">
        <v>110</v>
      </c>
      <c r="G60" s="27" t="s">
        <v>58</v>
      </c>
      <c r="H60" s="28">
        <v>32496</v>
      </c>
      <c r="I60" s="27" t="s">
        <v>121</v>
      </c>
      <c r="J60" s="27" t="s">
        <v>38</v>
      </c>
      <c r="K60" s="27" t="s">
        <v>83</v>
      </c>
      <c r="L60" s="27" t="s">
        <v>127</v>
      </c>
      <c r="M60" s="27">
        <v>8</v>
      </c>
      <c r="N60" s="27">
        <v>20</v>
      </c>
      <c r="O60" s="27">
        <v>5</v>
      </c>
      <c r="P60" s="27">
        <v>152</v>
      </c>
      <c r="Q60" s="27">
        <v>1</v>
      </c>
      <c r="R60" s="27" t="s">
        <v>60</v>
      </c>
      <c r="S60" s="27" t="s">
        <v>32</v>
      </c>
      <c r="T60" s="27" t="s">
        <v>66</v>
      </c>
      <c r="U60" s="27">
        <v>9836327649</v>
      </c>
      <c r="V60" s="35" t="s">
        <v>179</v>
      </c>
      <c r="W60" s="49">
        <f t="shared" ca="1" si="0"/>
        <v>37</v>
      </c>
      <c r="X60" s="50">
        <f t="shared" si="1"/>
        <v>11</v>
      </c>
      <c r="Y60" s="46" t="str" cm="1">
        <f t="array" ref="Y60">_xlfn.IFS(X60&lt;=5,"On Time",X60&gt;5,"Delayed",X60=" ","Pending")</f>
        <v>Delayed</v>
      </c>
    </row>
    <row r="61" spans="1:25" ht="15" thickBot="1" x14ac:dyDescent="0.4">
      <c r="A61" s="30" t="s">
        <v>180</v>
      </c>
      <c r="B61" s="30" t="s">
        <v>124</v>
      </c>
      <c r="C61" s="30" t="s">
        <v>112</v>
      </c>
      <c r="D61" s="31">
        <v>45721</v>
      </c>
      <c r="E61" s="31">
        <v>45722</v>
      </c>
      <c r="F61" s="30" t="s">
        <v>126</v>
      </c>
      <c r="G61" s="30" t="s">
        <v>58</v>
      </c>
      <c r="H61" s="31">
        <v>28921</v>
      </c>
      <c r="I61" s="30" t="s">
        <v>121</v>
      </c>
      <c r="J61" s="30" t="s">
        <v>38</v>
      </c>
      <c r="K61" s="30" t="s">
        <v>39</v>
      </c>
      <c r="L61" s="30" t="s">
        <v>114</v>
      </c>
      <c r="M61" s="30">
        <v>8</v>
      </c>
      <c r="N61" s="30">
        <v>700</v>
      </c>
      <c r="O61" s="30">
        <v>10</v>
      </c>
      <c r="P61" s="30">
        <v>5040</v>
      </c>
      <c r="Q61" s="30">
        <v>1</v>
      </c>
      <c r="R61" s="30" t="s">
        <v>41</v>
      </c>
      <c r="S61" s="30" t="s">
        <v>50</v>
      </c>
      <c r="T61" s="32" t="s">
        <v>181</v>
      </c>
      <c r="U61" s="30">
        <v>9261800516</v>
      </c>
      <c r="V61" s="38" t="s">
        <v>53</v>
      </c>
      <c r="W61" s="49">
        <f t="shared" ca="1" si="0"/>
        <v>47</v>
      </c>
      <c r="X61" s="50">
        <f t="shared" si="1"/>
        <v>1</v>
      </c>
      <c r="Y61" s="46" t="str" cm="1">
        <f t="array" ref="Y61">_xlfn.IFS(X61&lt;=5,"On Time",X61&gt;5,"Delayed",X61=" ","Pending")</f>
        <v>On Time</v>
      </c>
    </row>
    <row r="62" spans="1:25" ht="15" thickBot="1" x14ac:dyDescent="0.4">
      <c r="A62" s="27" t="s">
        <v>182</v>
      </c>
      <c r="B62" s="27" t="s">
        <v>23</v>
      </c>
      <c r="C62" s="27" t="s">
        <v>125</v>
      </c>
      <c r="D62" s="28">
        <v>46121</v>
      </c>
      <c r="E62" s="28">
        <v>46131</v>
      </c>
      <c r="F62" s="27" t="s">
        <v>25</v>
      </c>
      <c r="G62" s="27" t="s">
        <v>26</v>
      </c>
      <c r="H62" s="28">
        <v>37972</v>
      </c>
      <c r="I62" s="27" t="s">
        <v>37</v>
      </c>
      <c r="J62" s="27" t="s">
        <v>38</v>
      </c>
      <c r="K62" s="27" t="s">
        <v>83</v>
      </c>
      <c r="L62" s="27" t="s">
        <v>127</v>
      </c>
      <c r="M62" s="27">
        <v>7</v>
      </c>
      <c r="N62" s="27">
        <v>20</v>
      </c>
      <c r="O62" s="27">
        <v>15</v>
      </c>
      <c r="P62" s="27">
        <v>119</v>
      </c>
      <c r="Q62" s="27">
        <v>5</v>
      </c>
      <c r="R62" s="27" t="s">
        <v>60</v>
      </c>
      <c r="S62" s="27" t="s">
        <v>42</v>
      </c>
      <c r="T62" s="27" t="s">
        <v>43</v>
      </c>
      <c r="U62" s="27">
        <v>9950802015</v>
      </c>
      <c r="V62" s="35" t="s">
        <v>34</v>
      </c>
      <c r="W62" s="49">
        <f t="shared" ca="1" si="0"/>
        <v>22</v>
      </c>
      <c r="X62" s="50">
        <f t="shared" si="1"/>
        <v>10</v>
      </c>
      <c r="Y62" s="46" t="str" cm="1">
        <f t="array" ref="Y62">_xlfn.IFS(X62&lt;=5,"On Time",X62&gt;5,"Delayed",X62=" ","Pending")</f>
        <v>Delayed</v>
      </c>
    </row>
    <row r="63" spans="1:25" ht="15" thickBot="1" x14ac:dyDescent="0.4">
      <c r="A63" s="30" t="s">
        <v>183</v>
      </c>
      <c r="B63" s="30" t="s">
        <v>72</v>
      </c>
      <c r="C63" s="30" t="s">
        <v>125</v>
      </c>
      <c r="D63" s="31">
        <v>45885</v>
      </c>
      <c r="E63" s="31">
        <v>45894</v>
      </c>
      <c r="F63" s="30" t="s">
        <v>73</v>
      </c>
      <c r="G63" s="30" t="s">
        <v>26</v>
      </c>
      <c r="H63" s="31">
        <v>30777</v>
      </c>
      <c r="I63" s="30" t="s">
        <v>79</v>
      </c>
      <c r="J63" s="30" t="s">
        <v>75</v>
      </c>
      <c r="K63" s="30" t="s">
        <v>83</v>
      </c>
      <c r="L63" s="30" t="s">
        <v>127</v>
      </c>
      <c r="M63" s="30">
        <v>16</v>
      </c>
      <c r="N63" s="30">
        <v>20</v>
      </c>
      <c r="O63" s="30">
        <v>0</v>
      </c>
      <c r="P63" s="30">
        <v>320</v>
      </c>
      <c r="Q63" s="30">
        <v>5</v>
      </c>
      <c r="R63" s="30" t="s">
        <v>41</v>
      </c>
      <c r="S63" s="30" t="s">
        <v>50</v>
      </c>
      <c r="T63" s="30" t="s">
        <v>93</v>
      </c>
      <c r="U63" s="30">
        <v>9595183767</v>
      </c>
      <c r="V63" s="38" t="s">
        <v>52</v>
      </c>
      <c r="W63" s="49">
        <f t="shared" ca="1" si="0"/>
        <v>42</v>
      </c>
      <c r="X63" s="50">
        <f t="shared" si="1"/>
        <v>9</v>
      </c>
      <c r="Y63" s="46" t="str" cm="1">
        <f t="array" ref="Y63">_xlfn.IFS(X63&lt;=5,"On Time",X63&gt;5,"Delayed",X63=" ","Pending")</f>
        <v>Delayed</v>
      </c>
    </row>
    <row r="64" spans="1:25" ht="15" thickBot="1" x14ac:dyDescent="0.4">
      <c r="A64" s="27" t="s">
        <v>184</v>
      </c>
      <c r="B64" s="27" t="s">
        <v>45</v>
      </c>
      <c r="C64" s="27" t="s">
        <v>138</v>
      </c>
      <c r="D64" s="28">
        <v>46155</v>
      </c>
      <c r="E64" s="28">
        <v>46162</v>
      </c>
      <c r="F64" s="27" t="s">
        <v>101</v>
      </c>
      <c r="G64" s="27" t="s">
        <v>26</v>
      </c>
      <c r="H64" s="28">
        <v>35168</v>
      </c>
      <c r="I64" s="27" t="s">
        <v>74</v>
      </c>
      <c r="J64" s="27" t="s">
        <v>75</v>
      </c>
      <c r="K64" s="27" t="s">
        <v>83</v>
      </c>
      <c r="L64" s="27" t="s">
        <v>139</v>
      </c>
      <c r="M64" s="27">
        <v>15</v>
      </c>
      <c r="N64" s="27">
        <v>45</v>
      </c>
      <c r="O64" s="27">
        <v>0</v>
      </c>
      <c r="P64" s="27">
        <v>675</v>
      </c>
      <c r="Q64" s="27">
        <v>4</v>
      </c>
      <c r="R64" s="27" t="s">
        <v>31</v>
      </c>
      <c r="S64" s="27" t="s">
        <v>50</v>
      </c>
      <c r="T64" s="27" t="s">
        <v>51</v>
      </c>
      <c r="U64" s="27">
        <v>9560201307</v>
      </c>
      <c r="V64" s="37" t="s">
        <v>53</v>
      </c>
      <c r="W64" s="49">
        <f t="shared" ca="1" si="0"/>
        <v>30</v>
      </c>
      <c r="X64" s="50">
        <f t="shared" si="1"/>
        <v>7</v>
      </c>
      <c r="Y64" s="46" t="str" cm="1">
        <f t="array" ref="Y64">_xlfn.IFS(X64&lt;=5,"On Time",X64&gt;5,"Delayed",X64=" ","Pending")</f>
        <v>Delayed</v>
      </c>
    </row>
    <row r="65" spans="1:25" ht="15" thickBot="1" x14ac:dyDescent="0.4">
      <c r="A65" s="30" t="s">
        <v>185</v>
      </c>
      <c r="B65" s="30" t="s">
        <v>134</v>
      </c>
      <c r="C65" s="30" t="s">
        <v>112</v>
      </c>
      <c r="D65" s="31">
        <v>45717</v>
      </c>
      <c r="E65" s="31">
        <v>45721</v>
      </c>
      <c r="F65" s="30" t="s">
        <v>135</v>
      </c>
      <c r="G65" s="30" t="s">
        <v>26</v>
      </c>
      <c r="H65" s="31">
        <v>37872</v>
      </c>
      <c r="I65" s="30" t="s">
        <v>91</v>
      </c>
      <c r="J65" s="30" t="s">
        <v>75</v>
      </c>
      <c r="K65" s="30" t="s">
        <v>39</v>
      </c>
      <c r="L65" s="30" t="s">
        <v>114</v>
      </c>
      <c r="M65" s="30">
        <v>15</v>
      </c>
      <c r="N65" s="30">
        <v>700</v>
      </c>
      <c r="O65" s="30">
        <v>10</v>
      </c>
      <c r="P65" s="30">
        <v>9450</v>
      </c>
      <c r="Q65" s="30">
        <v>3</v>
      </c>
      <c r="R65" s="30" t="s">
        <v>41</v>
      </c>
      <c r="S65" s="30" t="s">
        <v>96</v>
      </c>
      <c r="T65" s="30" t="s">
        <v>136</v>
      </c>
      <c r="U65" s="30">
        <v>9826484650</v>
      </c>
      <c r="V65" s="36" t="s">
        <v>34</v>
      </c>
      <c r="W65" s="49">
        <f t="shared" ca="1" si="0"/>
        <v>23</v>
      </c>
      <c r="X65" s="50">
        <f t="shared" si="1"/>
        <v>4</v>
      </c>
      <c r="Y65" s="46" t="str" cm="1">
        <f t="array" ref="Y65">_xlfn.IFS(X65&lt;=5,"On Time",X65&gt;5,"Delayed",X65=" ","Pending")</f>
        <v>On Time</v>
      </c>
    </row>
    <row r="66" spans="1:25" ht="15" thickBot="1" x14ac:dyDescent="0.4">
      <c r="A66" s="27" t="s">
        <v>186</v>
      </c>
      <c r="B66" s="27" t="s">
        <v>45</v>
      </c>
      <c r="C66" s="27" t="s">
        <v>138</v>
      </c>
      <c r="D66" s="28">
        <v>45697</v>
      </c>
      <c r="E66" s="28">
        <v>45700</v>
      </c>
      <c r="F66" s="27" t="s">
        <v>101</v>
      </c>
      <c r="G66" s="27" t="s">
        <v>26</v>
      </c>
      <c r="H66" s="28">
        <v>33871</v>
      </c>
      <c r="I66" s="27" t="s">
        <v>147</v>
      </c>
      <c r="J66" s="27" t="s">
        <v>148</v>
      </c>
      <c r="K66" s="27" t="s">
        <v>83</v>
      </c>
      <c r="L66" s="27" t="s">
        <v>139</v>
      </c>
      <c r="M66" s="27">
        <v>3</v>
      </c>
      <c r="N66" s="27">
        <v>45</v>
      </c>
      <c r="O66" s="27">
        <v>15</v>
      </c>
      <c r="P66" s="27">
        <v>114.75</v>
      </c>
      <c r="Q66" s="27">
        <v>2</v>
      </c>
      <c r="R66" s="27" t="s">
        <v>65</v>
      </c>
      <c r="S66" s="27" t="s">
        <v>80</v>
      </c>
      <c r="T66" s="27" t="s">
        <v>51</v>
      </c>
      <c r="U66" s="27">
        <v>9219978007</v>
      </c>
      <c r="V66" s="37" t="s">
        <v>52</v>
      </c>
      <c r="W66" s="49">
        <f t="shared" ca="1" si="0"/>
        <v>34</v>
      </c>
      <c r="X66" s="50">
        <f t="shared" si="1"/>
        <v>3</v>
      </c>
      <c r="Y66" s="46" t="str" cm="1">
        <f t="array" ref="Y66">_xlfn.IFS(X66&lt;=5,"On Time",X66&gt;5,"Delayed",X66=" ","Pending")</f>
        <v>On Time</v>
      </c>
    </row>
    <row r="67" spans="1:25" ht="15" thickBot="1" x14ac:dyDescent="0.4">
      <c r="A67" s="30" t="s">
        <v>187</v>
      </c>
      <c r="B67" s="30" t="s">
        <v>72</v>
      </c>
      <c r="C67" s="30" t="s">
        <v>24</v>
      </c>
      <c r="D67" s="31">
        <v>46031</v>
      </c>
      <c r="E67" s="31">
        <v>46032</v>
      </c>
      <c r="F67" s="30" t="s">
        <v>73</v>
      </c>
      <c r="G67" s="30" t="s">
        <v>26</v>
      </c>
      <c r="H67" s="31">
        <v>31674</v>
      </c>
      <c r="I67" s="30" t="s">
        <v>147</v>
      </c>
      <c r="J67" s="30" t="s">
        <v>148</v>
      </c>
      <c r="K67" s="30" t="s">
        <v>29</v>
      </c>
      <c r="L67" s="30" t="s">
        <v>30</v>
      </c>
      <c r="M67" s="30">
        <v>7</v>
      </c>
      <c r="N67" s="30">
        <v>2200</v>
      </c>
      <c r="O67" s="30">
        <v>15</v>
      </c>
      <c r="P67" s="30">
        <v>13090</v>
      </c>
      <c r="Q67" s="30">
        <v>5</v>
      </c>
      <c r="R67" s="30" t="s">
        <v>65</v>
      </c>
      <c r="S67" s="30" t="s">
        <v>80</v>
      </c>
      <c r="T67" s="30" t="s">
        <v>93</v>
      </c>
      <c r="U67" s="30">
        <v>9662063276</v>
      </c>
      <c r="V67" s="36" t="s">
        <v>34</v>
      </c>
      <c r="W67" s="49">
        <f t="shared" ref="W67:W130" ca="1" si="2">INT(YEARFRAC(H67, TODAY()))</f>
        <v>40</v>
      </c>
      <c r="X67" s="50">
        <f t="shared" ref="X67:X130" si="3">IF(OR(E67="", E67&lt;D67), "", E67 - D67)</f>
        <v>1</v>
      </c>
      <c r="Y67" s="46" t="str" cm="1">
        <f t="array" ref="Y67">_xlfn.IFS(X67&lt;=5,"On Time",X67&gt;5,"Delayed",X67=" ","Pending")</f>
        <v>On Time</v>
      </c>
    </row>
    <row r="68" spans="1:25" ht="15" thickBot="1" x14ac:dyDescent="0.4">
      <c r="A68" s="27" t="s">
        <v>188</v>
      </c>
      <c r="B68" s="27" t="s">
        <v>23</v>
      </c>
      <c r="C68" s="27" t="s">
        <v>138</v>
      </c>
      <c r="D68" s="28">
        <v>45901</v>
      </c>
      <c r="E68" s="28">
        <v>45905</v>
      </c>
      <c r="F68" s="27" t="s">
        <v>25</v>
      </c>
      <c r="G68" s="27" t="s">
        <v>26</v>
      </c>
      <c r="H68" s="28">
        <v>31195</v>
      </c>
      <c r="I68" s="27" t="s">
        <v>37</v>
      </c>
      <c r="J68" s="27" t="s">
        <v>38</v>
      </c>
      <c r="K68" s="27" t="s">
        <v>83</v>
      </c>
      <c r="L68" s="27" t="s">
        <v>139</v>
      </c>
      <c r="M68" s="27">
        <v>19</v>
      </c>
      <c r="N68" s="27">
        <v>45</v>
      </c>
      <c r="O68" s="27">
        <v>10</v>
      </c>
      <c r="P68" s="27">
        <v>769.5</v>
      </c>
      <c r="Q68" s="27">
        <v>5</v>
      </c>
      <c r="R68" s="27" t="s">
        <v>60</v>
      </c>
      <c r="S68" s="27" t="s">
        <v>80</v>
      </c>
      <c r="T68" s="27" t="s">
        <v>43</v>
      </c>
      <c r="U68" s="27">
        <v>9190393639</v>
      </c>
      <c r="V68" s="37" t="s">
        <v>53</v>
      </c>
      <c r="W68" s="49">
        <f t="shared" ca="1" si="2"/>
        <v>41</v>
      </c>
      <c r="X68" s="50">
        <f t="shared" si="3"/>
        <v>4</v>
      </c>
      <c r="Y68" s="46" t="str" cm="1">
        <f t="array" ref="Y68">_xlfn.IFS(X68&lt;=5,"On Time",X68&gt;5,"Delayed",X68=" ","Pending")</f>
        <v>On Time</v>
      </c>
    </row>
    <row r="69" spans="1:25" ht="15" thickBot="1" x14ac:dyDescent="0.4">
      <c r="A69" s="30" t="s">
        <v>189</v>
      </c>
      <c r="B69" s="30" t="s">
        <v>134</v>
      </c>
      <c r="C69" s="30" t="s">
        <v>68</v>
      </c>
      <c r="D69" s="31">
        <v>46062</v>
      </c>
      <c r="E69" s="31">
        <v>46067</v>
      </c>
      <c r="F69" s="30" t="s">
        <v>135</v>
      </c>
      <c r="G69" s="30" t="s">
        <v>26</v>
      </c>
      <c r="H69" s="31">
        <v>29094</v>
      </c>
      <c r="I69" s="30" t="s">
        <v>27</v>
      </c>
      <c r="J69" s="30" t="s">
        <v>28</v>
      </c>
      <c r="K69" s="30" t="s">
        <v>29</v>
      </c>
      <c r="L69" s="30" t="s">
        <v>70</v>
      </c>
      <c r="M69" s="30">
        <v>7</v>
      </c>
      <c r="N69" s="30">
        <v>3500</v>
      </c>
      <c r="O69" s="30">
        <v>15</v>
      </c>
      <c r="P69" s="30">
        <v>20825</v>
      </c>
      <c r="Q69" s="30">
        <v>1</v>
      </c>
      <c r="R69" s="30" t="s">
        <v>31</v>
      </c>
      <c r="S69" s="30" t="s">
        <v>96</v>
      </c>
      <c r="T69" s="30" t="s">
        <v>136</v>
      </c>
      <c r="U69" s="30">
        <v>9106328582</v>
      </c>
      <c r="V69" s="38" t="s">
        <v>52</v>
      </c>
      <c r="W69" s="49">
        <f t="shared" ca="1" si="2"/>
        <v>47</v>
      </c>
      <c r="X69" s="50">
        <f t="shared" si="3"/>
        <v>5</v>
      </c>
      <c r="Y69" s="46" t="str" cm="1">
        <f t="array" ref="Y69">_xlfn.IFS(X69&lt;=5,"On Time",X69&gt;5,"Delayed",X69=" ","Pending")</f>
        <v>On Time</v>
      </c>
    </row>
    <row r="70" spans="1:25" ht="15" thickBot="1" x14ac:dyDescent="0.4">
      <c r="A70" s="27" t="s">
        <v>190</v>
      </c>
      <c r="B70" s="27" t="s">
        <v>45</v>
      </c>
      <c r="C70" s="27" t="s">
        <v>105</v>
      </c>
      <c r="D70" s="28">
        <v>46005</v>
      </c>
      <c r="E70" s="28">
        <v>46010</v>
      </c>
      <c r="F70" s="27" t="s">
        <v>101</v>
      </c>
      <c r="G70" s="27" t="s">
        <v>26</v>
      </c>
      <c r="H70" s="28">
        <v>28116</v>
      </c>
      <c r="I70" s="27" t="s">
        <v>121</v>
      </c>
      <c r="J70" s="27" t="s">
        <v>38</v>
      </c>
      <c r="K70" s="27" t="s">
        <v>29</v>
      </c>
      <c r="L70" s="27" t="s">
        <v>107</v>
      </c>
      <c r="M70" s="27">
        <v>7</v>
      </c>
      <c r="N70" s="27">
        <v>8500</v>
      </c>
      <c r="O70" s="27">
        <v>20</v>
      </c>
      <c r="P70" s="27">
        <v>47600</v>
      </c>
      <c r="Q70" s="27">
        <v>4</v>
      </c>
      <c r="R70" s="27" t="s">
        <v>41</v>
      </c>
      <c r="S70" s="27" t="s">
        <v>80</v>
      </c>
      <c r="T70" s="27" t="s">
        <v>51</v>
      </c>
      <c r="U70" s="27">
        <v>9264401015</v>
      </c>
      <c r="V70" s="35" t="s">
        <v>34</v>
      </c>
      <c r="W70" s="49">
        <f t="shared" ca="1" si="2"/>
        <v>49</v>
      </c>
      <c r="X70" s="50">
        <f t="shared" si="3"/>
        <v>5</v>
      </c>
      <c r="Y70" s="46" t="str" cm="1">
        <f t="array" ref="Y70">_xlfn.IFS(X70&lt;=5,"On Time",X70&gt;5,"Delayed",X70=" ","Pending")</f>
        <v>On Time</v>
      </c>
    </row>
    <row r="71" spans="1:25" ht="15" thickBot="1" x14ac:dyDescent="0.4">
      <c r="A71" s="30" t="s">
        <v>191</v>
      </c>
      <c r="B71" s="30" t="s">
        <v>23</v>
      </c>
      <c r="C71" s="30" t="s">
        <v>46</v>
      </c>
      <c r="D71" s="31">
        <v>45754</v>
      </c>
      <c r="E71" s="31">
        <v>45757</v>
      </c>
      <c r="F71" s="30" t="s">
        <v>25</v>
      </c>
      <c r="G71" s="30" t="s">
        <v>26</v>
      </c>
      <c r="H71" s="31">
        <v>36561</v>
      </c>
      <c r="I71" s="30" t="s">
        <v>48</v>
      </c>
      <c r="J71" s="30" t="s">
        <v>28</v>
      </c>
      <c r="K71" s="30" t="s">
        <v>39</v>
      </c>
      <c r="L71" s="30" t="s">
        <v>49</v>
      </c>
      <c r="M71" s="30">
        <v>16</v>
      </c>
      <c r="N71" s="30">
        <v>55000</v>
      </c>
      <c r="O71" s="30">
        <v>10</v>
      </c>
      <c r="P71" s="30">
        <v>792000</v>
      </c>
      <c r="Q71" s="30">
        <v>1</v>
      </c>
      <c r="R71" s="30" t="s">
        <v>60</v>
      </c>
      <c r="S71" s="30" t="s">
        <v>50</v>
      </c>
      <c r="T71" s="30" t="s">
        <v>43</v>
      </c>
      <c r="U71" s="30">
        <v>9959237375</v>
      </c>
      <c r="V71" s="36" t="s">
        <v>34</v>
      </c>
      <c r="W71" s="49">
        <f t="shared" ca="1" si="2"/>
        <v>26</v>
      </c>
      <c r="X71" s="50">
        <f t="shared" si="3"/>
        <v>3</v>
      </c>
      <c r="Y71" s="46" t="str" cm="1">
        <f t="array" ref="Y71">_xlfn.IFS(X71&lt;=5,"On Time",X71&gt;5,"Delayed",X71=" ","Pending")</f>
        <v>On Time</v>
      </c>
    </row>
    <row r="72" spans="1:25" ht="15" thickBot="1" x14ac:dyDescent="0.4">
      <c r="A72" s="27" t="s">
        <v>192</v>
      </c>
      <c r="B72" s="27" t="s">
        <v>104</v>
      </c>
      <c r="C72" s="27" t="s">
        <v>36</v>
      </c>
      <c r="D72" s="28">
        <v>46015</v>
      </c>
      <c r="E72" s="28">
        <v>46025</v>
      </c>
      <c r="F72" s="27" t="s">
        <v>166</v>
      </c>
      <c r="G72" s="27" t="s">
        <v>26</v>
      </c>
      <c r="H72" s="28">
        <v>31832</v>
      </c>
      <c r="I72" s="27" t="s">
        <v>74</v>
      </c>
      <c r="J72" s="27" t="s">
        <v>75</v>
      </c>
      <c r="K72" s="27" t="s">
        <v>39</v>
      </c>
      <c r="L72" s="27" t="s">
        <v>40</v>
      </c>
      <c r="M72" s="27">
        <v>2</v>
      </c>
      <c r="N72" s="27">
        <v>12000</v>
      </c>
      <c r="O72" s="27">
        <v>20</v>
      </c>
      <c r="P72" s="27">
        <v>19200</v>
      </c>
      <c r="Q72" s="27">
        <v>1</v>
      </c>
      <c r="R72" s="27" t="s">
        <v>31</v>
      </c>
      <c r="S72" s="27" t="s">
        <v>96</v>
      </c>
      <c r="T72" s="29" t="s">
        <v>193</v>
      </c>
      <c r="U72" s="27">
        <v>9561836580</v>
      </c>
      <c r="V72" s="37" t="s">
        <v>52</v>
      </c>
      <c r="W72" s="49">
        <f t="shared" ca="1" si="2"/>
        <v>39</v>
      </c>
      <c r="X72" s="50">
        <f t="shared" si="3"/>
        <v>10</v>
      </c>
      <c r="Y72" s="46" t="str" cm="1">
        <f t="array" ref="Y72">_xlfn.IFS(X72&lt;=5,"On Time",X72&gt;5,"Delayed",X72=" ","Pending")</f>
        <v>Delayed</v>
      </c>
    </row>
    <row r="73" spans="1:25" ht="15" thickBot="1" x14ac:dyDescent="0.4">
      <c r="A73" s="30" t="s">
        <v>194</v>
      </c>
      <c r="B73" s="30" t="s">
        <v>87</v>
      </c>
      <c r="C73" s="30" t="s">
        <v>138</v>
      </c>
      <c r="D73" s="31">
        <v>45899</v>
      </c>
      <c r="E73" s="31">
        <v>45905</v>
      </c>
      <c r="F73" s="30" t="s">
        <v>88</v>
      </c>
      <c r="G73" s="30" t="s">
        <v>58</v>
      </c>
      <c r="H73" s="31">
        <v>30887</v>
      </c>
      <c r="I73" s="30" t="s">
        <v>48</v>
      </c>
      <c r="J73" s="30" t="s">
        <v>28</v>
      </c>
      <c r="K73" s="30" t="s">
        <v>83</v>
      </c>
      <c r="L73" s="30" t="s">
        <v>139</v>
      </c>
      <c r="M73" s="30">
        <v>4</v>
      </c>
      <c r="N73" s="30">
        <v>45</v>
      </c>
      <c r="O73" s="30">
        <v>5</v>
      </c>
      <c r="P73" s="30">
        <v>171</v>
      </c>
      <c r="Q73" s="30">
        <v>1</v>
      </c>
      <c r="R73" s="30" t="s">
        <v>60</v>
      </c>
      <c r="S73" s="30" t="s">
        <v>42</v>
      </c>
      <c r="T73" s="30" t="s">
        <v>89</v>
      </c>
      <c r="U73" s="30">
        <v>9512666401</v>
      </c>
      <c r="V73" s="38" t="s">
        <v>52</v>
      </c>
      <c r="W73" s="49">
        <f t="shared" ca="1" si="2"/>
        <v>42</v>
      </c>
      <c r="X73" s="50">
        <f t="shared" si="3"/>
        <v>6</v>
      </c>
      <c r="Y73" s="46" t="str" cm="1">
        <f t="array" ref="Y73">_xlfn.IFS(X73&lt;=5,"On Time",X73&gt;5,"Delayed",X73=" ","Pending")</f>
        <v>Delayed</v>
      </c>
    </row>
    <row r="74" spans="1:25" ht="15" thickBot="1" x14ac:dyDescent="0.4">
      <c r="A74" s="27" t="s">
        <v>195</v>
      </c>
      <c r="B74" s="27" t="s">
        <v>23</v>
      </c>
      <c r="C74" s="27" t="s">
        <v>56</v>
      </c>
      <c r="D74" s="28">
        <v>46004</v>
      </c>
      <c r="E74" s="28">
        <v>46014</v>
      </c>
      <c r="F74" s="27" t="s">
        <v>25</v>
      </c>
      <c r="G74" s="27" t="s">
        <v>26</v>
      </c>
      <c r="H74" s="28">
        <v>29851</v>
      </c>
      <c r="I74" s="27" t="s">
        <v>121</v>
      </c>
      <c r="J74" s="27" t="s">
        <v>38</v>
      </c>
      <c r="K74" s="27" t="s">
        <v>39</v>
      </c>
      <c r="L74" s="27" t="s">
        <v>59</v>
      </c>
      <c r="M74" s="27">
        <v>1</v>
      </c>
      <c r="N74" s="27">
        <v>1200</v>
      </c>
      <c r="O74" s="27">
        <v>5</v>
      </c>
      <c r="P74" s="27">
        <v>1140</v>
      </c>
      <c r="Q74" s="27">
        <v>3</v>
      </c>
      <c r="R74" s="27" t="s">
        <v>65</v>
      </c>
      <c r="S74" s="27" t="s">
        <v>50</v>
      </c>
      <c r="T74" s="27" t="s">
        <v>43</v>
      </c>
      <c r="U74" s="27">
        <v>9808988530</v>
      </c>
      <c r="V74" s="37" t="s">
        <v>53</v>
      </c>
      <c r="W74" s="49">
        <f t="shared" ca="1" si="2"/>
        <v>45</v>
      </c>
      <c r="X74" s="50">
        <f t="shared" si="3"/>
        <v>10</v>
      </c>
      <c r="Y74" s="46" t="str" cm="1">
        <f t="array" ref="Y74">_xlfn.IFS(X74&lt;=5,"On Time",X74&gt;5,"Delayed",X74=" ","Pending")</f>
        <v>Delayed</v>
      </c>
    </row>
    <row r="75" spans="1:25" ht="15" thickBot="1" x14ac:dyDescent="0.4">
      <c r="A75" s="30" t="s">
        <v>196</v>
      </c>
      <c r="B75" s="30" t="s">
        <v>45</v>
      </c>
      <c r="C75" s="30" t="s">
        <v>24</v>
      </c>
      <c r="D75" s="31">
        <v>46057</v>
      </c>
      <c r="E75" s="31">
        <v>46069</v>
      </c>
      <c r="F75" s="30" t="s">
        <v>101</v>
      </c>
      <c r="G75" s="30" t="s">
        <v>26</v>
      </c>
      <c r="H75" s="24">
        <v>29392</v>
      </c>
      <c r="I75" s="30"/>
      <c r="J75" s="30" t="s">
        <v>28</v>
      </c>
      <c r="K75" s="30" t="s">
        <v>29</v>
      </c>
      <c r="L75" s="30" t="s">
        <v>30</v>
      </c>
      <c r="M75" s="30">
        <v>1</v>
      </c>
      <c r="N75" s="30">
        <v>2200</v>
      </c>
      <c r="O75" s="30">
        <v>15</v>
      </c>
      <c r="P75" s="30">
        <v>1870</v>
      </c>
      <c r="Q75" s="30">
        <v>4</v>
      </c>
      <c r="R75" s="30" t="s">
        <v>60</v>
      </c>
      <c r="S75" s="30" t="s">
        <v>50</v>
      </c>
      <c r="T75" s="30" t="s">
        <v>51</v>
      </c>
      <c r="U75" s="30">
        <v>9286410494</v>
      </c>
      <c r="V75" s="36" t="s">
        <v>34</v>
      </c>
      <c r="W75" s="49">
        <f t="shared" ca="1" si="2"/>
        <v>46</v>
      </c>
      <c r="X75" s="50">
        <f t="shared" si="3"/>
        <v>12</v>
      </c>
      <c r="Y75" s="46" t="str" cm="1">
        <f t="array" ref="Y75">_xlfn.IFS(X75&lt;=5,"On Time",X75&gt;5,"Delayed",X75=" ","Pending")</f>
        <v>Delayed</v>
      </c>
    </row>
    <row r="76" spans="1:25" ht="15" thickBot="1" x14ac:dyDescent="0.4">
      <c r="A76" s="27" t="s">
        <v>197</v>
      </c>
      <c r="B76" s="27" t="s">
        <v>87</v>
      </c>
      <c r="C76" s="27" t="s">
        <v>56</v>
      </c>
      <c r="D76" s="28">
        <v>46048</v>
      </c>
      <c r="E76" s="28">
        <v>46050</v>
      </c>
      <c r="F76" s="27" t="s">
        <v>88</v>
      </c>
      <c r="G76" s="27" t="s">
        <v>58</v>
      </c>
      <c r="H76" s="28">
        <v>30257</v>
      </c>
      <c r="I76" s="27" t="s">
        <v>79</v>
      </c>
      <c r="J76" s="27" t="s">
        <v>75</v>
      </c>
      <c r="K76" s="27" t="s">
        <v>39</v>
      </c>
      <c r="L76" s="27" t="s">
        <v>59</v>
      </c>
      <c r="M76" s="27">
        <v>3</v>
      </c>
      <c r="N76" s="27">
        <v>1200</v>
      </c>
      <c r="O76" s="27">
        <v>10</v>
      </c>
      <c r="P76" s="27">
        <v>3240</v>
      </c>
      <c r="Q76" s="27">
        <v>5</v>
      </c>
      <c r="R76" s="27" t="s">
        <v>31</v>
      </c>
      <c r="S76" s="27" t="s">
        <v>42</v>
      </c>
      <c r="T76" s="27" t="s">
        <v>89</v>
      </c>
      <c r="U76" s="27">
        <v>9311555196</v>
      </c>
      <c r="V76" s="35" t="s">
        <v>34</v>
      </c>
      <c r="W76" s="49">
        <f t="shared" ca="1" si="2"/>
        <v>43</v>
      </c>
      <c r="X76" s="50">
        <f t="shared" si="3"/>
        <v>2</v>
      </c>
      <c r="Y76" s="46" t="str" cm="1">
        <f t="array" ref="Y76">_xlfn.IFS(X76&lt;=5,"On Time",X76&gt;5,"Delayed",X76=" ","Pending")</f>
        <v>On Time</v>
      </c>
    </row>
    <row r="77" spans="1:25" ht="15" thickBot="1" x14ac:dyDescent="0.4">
      <c r="A77" s="30" t="s">
        <v>198</v>
      </c>
      <c r="B77" s="30" t="s">
        <v>23</v>
      </c>
      <c r="C77" s="30" t="s">
        <v>68</v>
      </c>
      <c r="D77" s="31">
        <v>45835</v>
      </c>
      <c r="E77" s="31">
        <v>45845</v>
      </c>
      <c r="F77" s="30" t="s">
        <v>25</v>
      </c>
      <c r="G77" s="30" t="s">
        <v>26</v>
      </c>
      <c r="H77" s="31">
        <v>29230</v>
      </c>
      <c r="I77" s="30" t="s">
        <v>48</v>
      </c>
      <c r="J77" s="30" t="s">
        <v>28</v>
      </c>
      <c r="K77" s="30" t="s">
        <v>29</v>
      </c>
      <c r="L77" s="30" t="s">
        <v>70</v>
      </c>
      <c r="M77" s="30">
        <v>10</v>
      </c>
      <c r="N77" s="30">
        <v>3500</v>
      </c>
      <c r="O77" s="30">
        <v>20</v>
      </c>
      <c r="P77" s="30">
        <v>28000</v>
      </c>
      <c r="Q77" s="30">
        <v>5</v>
      </c>
      <c r="R77" s="30" t="s">
        <v>60</v>
      </c>
      <c r="S77" s="30" t="s">
        <v>32</v>
      </c>
      <c r="T77" s="30" t="s">
        <v>43</v>
      </c>
      <c r="U77" s="30">
        <v>9101810266</v>
      </c>
      <c r="V77" s="36" t="s">
        <v>34</v>
      </c>
      <c r="W77" s="49">
        <f t="shared" ca="1" si="2"/>
        <v>46</v>
      </c>
      <c r="X77" s="50">
        <f t="shared" si="3"/>
        <v>10</v>
      </c>
      <c r="Y77" s="46" t="str" cm="1">
        <f t="array" ref="Y77">_xlfn.IFS(X77&lt;=5,"On Time",X77&gt;5,"Delayed",X77=" ","Pending")</f>
        <v>Delayed</v>
      </c>
    </row>
    <row r="78" spans="1:25" ht="15" thickBot="1" x14ac:dyDescent="0.4">
      <c r="A78" s="27" t="s">
        <v>199</v>
      </c>
      <c r="B78" s="27" t="s">
        <v>63</v>
      </c>
      <c r="C78" s="27" t="s">
        <v>112</v>
      </c>
      <c r="D78" s="28">
        <v>46098</v>
      </c>
      <c r="E78" s="28">
        <v>46100</v>
      </c>
      <c r="F78" s="27" t="s">
        <v>110</v>
      </c>
      <c r="G78" s="27" t="s">
        <v>58</v>
      </c>
      <c r="H78" s="28">
        <v>29703</v>
      </c>
      <c r="I78" s="27" t="s">
        <v>37</v>
      </c>
      <c r="J78" s="27" t="s">
        <v>38</v>
      </c>
      <c r="K78" s="27" t="s">
        <v>39</v>
      </c>
      <c r="L78" s="27" t="s">
        <v>114</v>
      </c>
      <c r="M78" s="27">
        <v>18</v>
      </c>
      <c r="N78" s="27">
        <v>700</v>
      </c>
      <c r="O78" s="27">
        <v>5</v>
      </c>
      <c r="P78" s="27">
        <v>11970</v>
      </c>
      <c r="Q78" s="27">
        <v>3</v>
      </c>
      <c r="R78" s="27" t="s">
        <v>60</v>
      </c>
      <c r="S78" s="27" t="s">
        <v>80</v>
      </c>
      <c r="T78" s="27" t="s">
        <v>66</v>
      </c>
      <c r="U78" s="27">
        <v>9464556593</v>
      </c>
      <c r="V78" s="37" t="s">
        <v>53</v>
      </c>
      <c r="W78" s="49">
        <f t="shared" ca="1" si="2"/>
        <v>45</v>
      </c>
      <c r="X78" s="50">
        <f t="shared" si="3"/>
        <v>2</v>
      </c>
      <c r="Y78" s="46" t="str" cm="1">
        <f t="array" ref="Y78">_xlfn.IFS(X78&lt;=5,"On Time",X78&gt;5,"Delayed",X78=" ","Pending")</f>
        <v>On Time</v>
      </c>
    </row>
    <row r="79" spans="1:25" ht="15" thickBot="1" x14ac:dyDescent="0.4">
      <c r="A79" s="30" t="s">
        <v>200</v>
      </c>
      <c r="B79" s="30" t="s">
        <v>124</v>
      </c>
      <c r="C79" s="30" t="s">
        <v>112</v>
      </c>
      <c r="D79" s="31">
        <v>45817</v>
      </c>
      <c r="E79" s="31">
        <v>45826</v>
      </c>
      <c r="F79" s="30" t="s">
        <v>126</v>
      </c>
      <c r="G79" s="30" t="s">
        <v>58</v>
      </c>
      <c r="H79" s="31">
        <v>31118</v>
      </c>
      <c r="I79" s="30" t="s">
        <v>48</v>
      </c>
      <c r="J79" s="30" t="s">
        <v>28</v>
      </c>
      <c r="K79" s="30" t="s">
        <v>39</v>
      </c>
      <c r="L79" s="30" t="s">
        <v>114</v>
      </c>
      <c r="M79" s="30">
        <v>12</v>
      </c>
      <c r="N79" s="30">
        <v>700</v>
      </c>
      <c r="O79" s="30">
        <v>15</v>
      </c>
      <c r="P79" s="30">
        <v>7140</v>
      </c>
      <c r="Q79" s="30">
        <v>2</v>
      </c>
      <c r="R79" s="30" t="s">
        <v>65</v>
      </c>
      <c r="S79" s="30" t="s">
        <v>42</v>
      </c>
      <c r="T79" s="30" t="s">
        <v>128</v>
      </c>
      <c r="U79" s="30">
        <v>9338278358</v>
      </c>
      <c r="V79" s="36" t="s">
        <v>34</v>
      </c>
      <c r="W79" s="49">
        <f t="shared" ca="1" si="2"/>
        <v>41</v>
      </c>
      <c r="X79" s="50">
        <f t="shared" si="3"/>
        <v>9</v>
      </c>
      <c r="Y79" s="46" t="str" cm="1">
        <f t="array" ref="Y79">_xlfn.IFS(X79&lt;=5,"On Time",X79&gt;5,"Delayed",X79=" ","Pending")</f>
        <v>Delayed</v>
      </c>
    </row>
    <row r="80" spans="1:25" ht="15" thickBot="1" x14ac:dyDescent="0.4">
      <c r="A80" s="27" t="s">
        <v>201</v>
      </c>
      <c r="B80" s="27" t="s">
        <v>55</v>
      </c>
      <c r="C80" s="27" t="s">
        <v>56</v>
      </c>
      <c r="D80" s="28">
        <v>45976</v>
      </c>
      <c r="E80" s="28">
        <v>45977</v>
      </c>
      <c r="F80" s="27" t="s">
        <v>57</v>
      </c>
      <c r="G80" s="27" t="s">
        <v>58</v>
      </c>
      <c r="H80" s="28">
        <v>36234</v>
      </c>
      <c r="I80" s="27" t="s">
        <v>74</v>
      </c>
      <c r="J80" s="27" t="s">
        <v>75</v>
      </c>
      <c r="K80" s="27" t="s">
        <v>39</v>
      </c>
      <c r="L80" s="27" t="s">
        <v>59</v>
      </c>
      <c r="M80" s="27">
        <v>8</v>
      </c>
      <c r="N80" s="27">
        <v>1200</v>
      </c>
      <c r="O80" s="27">
        <v>0</v>
      </c>
      <c r="P80" s="27">
        <v>9600</v>
      </c>
      <c r="Q80" s="27">
        <v>4</v>
      </c>
      <c r="R80" s="27" t="s">
        <v>60</v>
      </c>
      <c r="S80" s="27" t="s">
        <v>42</v>
      </c>
      <c r="T80" s="27" t="s">
        <v>61</v>
      </c>
      <c r="U80" s="27">
        <v>9621410770</v>
      </c>
      <c r="V80" s="37" t="s">
        <v>52</v>
      </c>
      <c r="W80" s="49">
        <f t="shared" ca="1" si="2"/>
        <v>27</v>
      </c>
      <c r="X80" s="50">
        <f t="shared" si="3"/>
        <v>1</v>
      </c>
      <c r="Y80" s="46" t="str" cm="1">
        <f t="array" ref="Y80">_xlfn.IFS(X80&lt;=5,"On Time",X80&gt;5,"Delayed",X80=" ","Pending")</f>
        <v>On Time</v>
      </c>
    </row>
    <row r="81" spans="1:25" ht="15" thickBot="1" x14ac:dyDescent="0.4">
      <c r="A81" s="30" t="s">
        <v>202</v>
      </c>
      <c r="B81" s="30" t="s">
        <v>87</v>
      </c>
      <c r="C81" s="30" t="s">
        <v>82</v>
      </c>
      <c r="D81" s="31">
        <v>45967</v>
      </c>
      <c r="E81" s="31">
        <v>45971</v>
      </c>
      <c r="F81" s="30" t="s">
        <v>88</v>
      </c>
      <c r="G81" s="30" t="s">
        <v>58</v>
      </c>
      <c r="H81" s="31">
        <v>30504</v>
      </c>
      <c r="I81" s="30" t="s">
        <v>79</v>
      </c>
      <c r="J81" s="30" t="s">
        <v>75</v>
      </c>
      <c r="K81" s="30" t="s">
        <v>83</v>
      </c>
      <c r="L81" s="30" t="s">
        <v>84</v>
      </c>
      <c r="M81" s="30">
        <v>2</v>
      </c>
      <c r="N81" s="30">
        <v>60</v>
      </c>
      <c r="O81" s="30">
        <v>0</v>
      </c>
      <c r="P81" s="30">
        <v>120</v>
      </c>
      <c r="Q81" s="30">
        <v>2</v>
      </c>
      <c r="R81" s="30" t="s">
        <v>65</v>
      </c>
      <c r="S81" s="30" t="s">
        <v>42</v>
      </c>
      <c r="T81" s="30" t="s">
        <v>89</v>
      </c>
      <c r="U81" s="30">
        <v>9981333189</v>
      </c>
      <c r="V81" s="36" t="s">
        <v>34</v>
      </c>
      <c r="W81" s="49">
        <f t="shared" ca="1" si="2"/>
        <v>43</v>
      </c>
      <c r="X81" s="50">
        <f t="shared" si="3"/>
        <v>4</v>
      </c>
      <c r="Y81" s="46" t="str" cm="1">
        <f t="array" ref="Y81">_xlfn.IFS(X81&lt;=5,"On Time",X81&gt;5,"Delayed",X81=" ","Pending")</f>
        <v>On Time</v>
      </c>
    </row>
    <row r="82" spans="1:25" ht="15" thickBot="1" x14ac:dyDescent="0.4">
      <c r="A82" s="27" t="s">
        <v>203</v>
      </c>
      <c r="B82" s="27" t="s">
        <v>156</v>
      </c>
      <c r="C82" s="27" t="s">
        <v>138</v>
      </c>
      <c r="D82" s="28">
        <v>45658</v>
      </c>
      <c r="E82" s="28">
        <v>45664</v>
      </c>
      <c r="F82" s="27" t="s">
        <v>106</v>
      </c>
      <c r="G82" s="27" t="s">
        <v>58</v>
      </c>
      <c r="H82" s="28">
        <v>32573</v>
      </c>
      <c r="I82" s="27" t="s">
        <v>79</v>
      </c>
      <c r="J82" s="27" t="s">
        <v>75</v>
      </c>
      <c r="K82" s="27" t="s">
        <v>83</v>
      </c>
      <c r="L82" s="27" t="s">
        <v>139</v>
      </c>
      <c r="M82" s="27">
        <v>10</v>
      </c>
      <c r="N82" s="27">
        <v>45</v>
      </c>
      <c r="O82" s="27">
        <v>15</v>
      </c>
      <c r="P82" s="27">
        <v>382.5</v>
      </c>
      <c r="Q82" s="27">
        <v>3</v>
      </c>
      <c r="R82" s="27" t="s">
        <v>41</v>
      </c>
      <c r="S82" s="27" t="s">
        <v>32</v>
      </c>
      <c r="T82" s="27" t="s">
        <v>158</v>
      </c>
      <c r="U82" s="27">
        <v>9723450355</v>
      </c>
      <c r="V82" s="37" t="s">
        <v>53</v>
      </c>
      <c r="W82" s="49">
        <f t="shared" ca="1" si="2"/>
        <v>37</v>
      </c>
      <c r="X82" s="50">
        <f t="shared" si="3"/>
        <v>6</v>
      </c>
      <c r="Y82" s="46" t="str" cm="1">
        <f t="array" ref="Y82">_xlfn.IFS(X82&lt;=5,"On Time",X82&gt;5,"Delayed",X82=" ","Pending")</f>
        <v>Delayed</v>
      </c>
    </row>
    <row r="83" spans="1:25" ht="15" thickBot="1" x14ac:dyDescent="0.4">
      <c r="A83" s="30" t="s">
        <v>204</v>
      </c>
      <c r="B83" s="30" t="s">
        <v>124</v>
      </c>
      <c r="C83" s="30" t="s">
        <v>68</v>
      </c>
      <c r="D83" s="31">
        <v>46137</v>
      </c>
      <c r="E83" s="31">
        <v>46145</v>
      </c>
      <c r="F83" s="30" t="s">
        <v>126</v>
      </c>
      <c r="G83" s="30" t="s">
        <v>58</v>
      </c>
      <c r="H83" s="31">
        <v>30122</v>
      </c>
      <c r="I83" s="30" t="s">
        <v>147</v>
      </c>
      <c r="J83" s="30" t="s">
        <v>148</v>
      </c>
      <c r="K83" s="30" t="s">
        <v>29</v>
      </c>
      <c r="L83" s="30" t="s">
        <v>70</v>
      </c>
      <c r="M83" s="30">
        <v>12</v>
      </c>
      <c r="N83" s="30">
        <v>3500</v>
      </c>
      <c r="O83" s="30">
        <v>5</v>
      </c>
      <c r="P83" s="30">
        <v>39900</v>
      </c>
      <c r="Q83" s="30">
        <v>3</v>
      </c>
      <c r="R83" s="30" t="s">
        <v>41</v>
      </c>
      <c r="S83" s="30" t="s">
        <v>50</v>
      </c>
      <c r="T83" s="30" t="s">
        <v>128</v>
      </c>
      <c r="U83" s="30">
        <v>9886243907</v>
      </c>
      <c r="V83" s="38" t="s">
        <v>52</v>
      </c>
      <c r="W83" s="49">
        <f t="shared" ca="1" si="2"/>
        <v>44</v>
      </c>
      <c r="X83" s="50">
        <f t="shared" si="3"/>
        <v>8</v>
      </c>
      <c r="Y83" s="46" t="str" cm="1">
        <f t="array" ref="Y83">_xlfn.IFS(X83&lt;=5,"On Time",X83&gt;5,"Delayed",X83=" ","Pending")</f>
        <v>Delayed</v>
      </c>
    </row>
    <row r="84" spans="1:25" ht="15" thickBot="1" x14ac:dyDescent="0.4">
      <c r="A84" s="27" t="s">
        <v>205</v>
      </c>
      <c r="B84" s="27" t="s">
        <v>87</v>
      </c>
      <c r="C84" s="27" t="s">
        <v>82</v>
      </c>
      <c r="D84" s="28">
        <v>45919</v>
      </c>
      <c r="E84" s="28">
        <v>45927</v>
      </c>
      <c r="F84" s="27" t="s">
        <v>88</v>
      </c>
      <c r="G84" s="27" t="s">
        <v>58</v>
      </c>
      <c r="H84" s="28">
        <v>37065</v>
      </c>
      <c r="I84" s="27" t="s">
        <v>74</v>
      </c>
      <c r="J84" s="27" t="s">
        <v>75</v>
      </c>
      <c r="K84" s="27" t="s">
        <v>83</v>
      </c>
      <c r="L84" s="27" t="s">
        <v>84</v>
      </c>
      <c r="M84" s="27">
        <v>2</v>
      </c>
      <c r="N84" s="27">
        <v>60</v>
      </c>
      <c r="O84" s="27">
        <v>15</v>
      </c>
      <c r="P84" s="27">
        <v>102</v>
      </c>
      <c r="Q84" s="27">
        <v>1</v>
      </c>
      <c r="R84" s="27" t="s">
        <v>65</v>
      </c>
      <c r="S84" s="27" t="s">
        <v>80</v>
      </c>
      <c r="T84" s="27" t="s">
        <v>89</v>
      </c>
      <c r="U84" s="27">
        <v>9473931904</v>
      </c>
      <c r="V84" s="35" t="s">
        <v>34</v>
      </c>
      <c r="W84" s="49">
        <f t="shared" ca="1" si="2"/>
        <v>25</v>
      </c>
      <c r="X84" s="50">
        <f t="shared" si="3"/>
        <v>8</v>
      </c>
      <c r="Y84" s="46" t="str" cm="1">
        <f t="array" ref="Y84">_xlfn.IFS(X84&lt;=5,"On Time",X84&gt;5,"Delayed",X84=" ","Pending")</f>
        <v>Delayed</v>
      </c>
    </row>
    <row r="85" spans="1:25" ht="15" thickBot="1" x14ac:dyDescent="0.4">
      <c r="A85" s="30" t="s">
        <v>206</v>
      </c>
      <c r="B85" s="30" t="s">
        <v>87</v>
      </c>
      <c r="C85" s="30" t="s">
        <v>56</v>
      </c>
      <c r="D85" s="31">
        <v>45734</v>
      </c>
      <c r="E85" s="31">
        <v>45737</v>
      </c>
      <c r="F85" s="30" t="s">
        <v>88</v>
      </c>
      <c r="G85" s="30" t="s">
        <v>58</v>
      </c>
      <c r="H85" s="31">
        <v>30516</v>
      </c>
      <c r="I85" s="30" t="s">
        <v>27</v>
      </c>
      <c r="J85" s="30" t="s">
        <v>28</v>
      </c>
      <c r="K85" s="30" t="s">
        <v>39</v>
      </c>
      <c r="L85" s="30" t="s">
        <v>59</v>
      </c>
      <c r="M85" s="30">
        <v>18</v>
      </c>
      <c r="N85" s="30">
        <v>1200</v>
      </c>
      <c r="O85" s="30">
        <v>15</v>
      </c>
      <c r="P85" s="30">
        <v>18360</v>
      </c>
      <c r="Q85" s="30">
        <v>3</v>
      </c>
      <c r="R85" s="30" t="s">
        <v>60</v>
      </c>
      <c r="S85" s="30" t="s">
        <v>80</v>
      </c>
      <c r="T85" s="30" t="s">
        <v>89</v>
      </c>
      <c r="U85" s="30">
        <v>9287159610</v>
      </c>
      <c r="V85" s="38" t="s">
        <v>52</v>
      </c>
      <c r="W85" s="49">
        <f t="shared" ca="1" si="2"/>
        <v>43</v>
      </c>
      <c r="X85" s="50">
        <f t="shared" si="3"/>
        <v>3</v>
      </c>
      <c r="Y85" s="46" t="str" cm="1">
        <f t="array" ref="Y85">_xlfn.IFS(X85&lt;=5,"On Time",X85&gt;5,"Delayed",X85=" ","Pending")</f>
        <v>On Time</v>
      </c>
    </row>
    <row r="86" spans="1:25" ht="15" thickBot="1" x14ac:dyDescent="0.4">
      <c r="A86" s="27" t="s">
        <v>207</v>
      </c>
      <c r="B86" s="27" t="s">
        <v>23</v>
      </c>
      <c r="C86" s="27" t="s">
        <v>36</v>
      </c>
      <c r="D86" s="28">
        <v>45960</v>
      </c>
      <c r="E86" s="28">
        <v>45961</v>
      </c>
      <c r="F86" s="27" t="s">
        <v>25</v>
      </c>
      <c r="G86" s="27" t="s">
        <v>26</v>
      </c>
      <c r="H86" s="28">
        <v>34052</v>
      </c>
      <c r="I86" s="27" t="s">
        <v>74</v>
      </c>
      <c r="J86" s="27" t="s">
        <v>75</v>
      </c>
      <c r="K86" s="27" t="s">
        <v>39</v>
      </c>
      <c r="L86" s="27" t="s">
        <v>40</v>
      </c>
      <c r="M86" s="27">
        <v>18</v>
      </c>
      <c r="N86" s="27">
        <v>12000</v>
      </c>
      <c r="O86" s="27">
        <v>15</v>
      </c>
      <c r="P86" s="27">
        <v>183600</v>
      </c>
      <c r="Q86" s="27">
        <v>2</v>
      </c>
      <c r="R86" s="27" t="s">
        <v>31</v>
      </c>
      <c r="S86" s="27" t="s">
        <v>42</v>
      </c>
      <c r="T86" s="27" t="s">
        <v>43</v>
      </c>
      <c r="U86" s="27">
        <v>9876513858</v>
      </c>
      <c r="V86" s="35" t="s">
        <v>34</v>
      </c>
      <c r="W86" s="49">
        <f t="shared" ca="1" si="2"/>
        <v>33</v>
      </c>
      <c r="X86" s="50">
        <f t="shared" si="3"/>
        <v>1</v>
      </c>
      <c r="Y86" s="46" t="str" cm="1">
        <f t="array" ref="Y86">_xlfn.IFS(X86&lt;=5,"On Time",X86&gt;5,"Delayed",X86=" ","Pending")</f>
        <v>On Time</v>
      </c>
    </row>
    <row r="87" spans="1:25" ht="15" thickBot="1" x14ac:dyDescent="0.4">
      <c r="A87" s="30" t="s">
        <v>208</v>
      </c>
      <c r="B87" s="30" t="s">
        <v>63</v>
      </c>
      <c r="C87" s="30" t="s">
        <v>125</v>
      </c>
      <c r="D87" s="31">
        <v>45961</v>
      </c>
      <c r="E87" s="31">
        <v>45972</v>
      </c>
      <c r="F87" s="30" t="s">
        <v>110</v>
      </c>
      <c r="G87" s="30" t="s">
        <v>58</v>
      </c>
      <c r="H87" s="31">
        <v>34829</v>
      </c>
      <c r="I87" s="30" t="s">
        <v>91</v>
      </c>
      <c r="J87" s="30" t="s">
        <v>75</v>
      </c>
      <c r="K87" s="30" t="s">
        <v>83</v>
      </c>
      <c r="L87" s="30" t="s">
        <v>127</v>
      </c>
      <c r="M87" s="30">
        <v>7</v>
      </c>
      <c r="N87" s="30">
        <v>20</v>
      </c>
      <c r="O87" s="30">
        <v>0</v>
      </c>
      <c r="P87" s="30">
        <v>140</v>
      </c>
      <c r="Q87" s="30">
        <v>2</v>
      </c>
      <c r="R87" s="30" t="s">
        <v>60</v>
      </c>
      <c r="S87" s="30" t="s">
        <v>32</v>
      </c>
      <c r="T87" s="30" t="s">
        <v>66</v>
      </c>
      <c r="U87" s="30">
        <v>9237400853</v>
      </c>
      <c r="V87" s="38" t="s">
        <v>53</v>
      </c>
      <c r="W87" s="49">
        <f t="shared" ca="1" si="2"/>
        <v>31</v>
      </c>
      <c r="X87" s="50">
        <f t="shared" si="3"/>
        <v>11</v>
      </c>
      <c r="Y87" s="46" t="str" cm="1">
        <f t="array" ref="Y87">_xlfn.IFS(X87&lt;=5,"On Time",X87&gt;5,"Delayed",X87=" ","Pending")</f>
        <v>Delayed</v>
      </c>
    </row>
    <row r="88" spans="1:25" ht="15" thickBot="1" x14ac:dyDescent="0.4">
      <c r="A88" s="27" t="s">
        <v>209</v>
      </c>
      <c r="B88" s="27" t="s">
        <v>134</v>
      </c>
      <c r="C88" s="27" t="s">
        <v>68</v>
      </c>
      <c r="D88" s="28">
        <v>45757</v>
      </c>
      <c r="E88" s="28">
        <v>45765</v>
      </c>
      <c r="F88" s="27" t="s">
        <v>135</v>
      </c>
      <c r="G88" s="27" t="s">
        <v>26</v>
      </c>
      <c r="H88" s="28">
        <v>36937</v>
      </c>
      <c r="I88" s="27" t="s">
        <v>79</v>
      </c>
      <c r="J88" s="27" t="s">
        <v>75</v>
      </c>
      <c r="K88" s="27" t="s">
        <v>29</v>
      </c>
      <c r="L88" s="27" t="s">
        <v>70</v>
      </c>
      <c r="M88" s="27">
        <v>20</v>
      </c>
      <c r="N88" s="27">
        <v>3500</v>
      </c>
      <c r="O88" s="27">
        <v>20</v>
      </c>
      <c r="P88" s="27">
        <v>56000</v>
      </c>
      <c r="Q88" s="27">
        <v>4</v>
      </c>
      <c r="R88" s="27" t="s">
        <v>60</v>
      </c>
      <c r="S88" s="27" t="s">
        <v>80</v>
      </c>
      <c r="T88" s="27" t="s">
        <v>136</v>
      </c>
      <c r="U88" s="27">
        <v>9599597595</v>
      </c>
      <c r="V88" s="37" t="s">
        <v>52</v>
      </c>
      <c r="W88" s="49">
        <f t="shared" ca="1" si="2"/>
        <v>25</v>
      </c>
      <c r="X88" s="50">
        <f t="shared" si="3"/>
        <v>8</v>
      </c>
      <c r="Y88" s="46" t="str" cm="1">
        <f t="array" ref="Y88">_xlfn.IFS(X88&lt;=5,"On Time",X88&gt;5,"Delayed",X88=" ","Pending")</f>
        <v>Delayed</v>
      </c>
    </row>
    <row r="89" spans="1:25" ht="15" thickBot="1" x14ac:dyDescent="0.4">
      <c r="A89" s="30" t="s">
        <v>210</v>
      </c>
      <c r="B89" s="30" t="s">
        <v>72</v>
      </c>
      <c r="C89" s="30" t="s">
        <v>105</v>
      </c>
      <c r="D89" s="31">
        <v>46097</v>
      </c>
      <c r="E89" s="31">
        <v>46107</v>
      </c>
      <c r="F89" s="30" t="s">
        <v>73</v>
      </c>
      <c r="G89" s="30" t="s">
        <v>26</v>
      </c>
      <c r="H89" s="31">
        <v>36386</v>
      </c>
      <c r="I89" s="30" t="s">
        <v>91</v>
      </c>
      <c r="J89" s="30" t="s">
        <v>75</v>
      </c>
      <c r="K89" s="30" t="s">
        <v>29</v>
      </c>
      <c r="L89" s="30" t="s">
        <v>107</v>
      </c>
      <c r="M89" s="30">
        <v>8</v>
      </c>
      <c r="N89" s="30">
        <v>8500</v>
      </c>
      <c r="O89" s="30">
        <v>20</v>
      </c>
      <c r="P89" s="30">
        <v>54400</v>
      </c>
      <c r="Q89" s="30">
        <v>3</v>
      </c>
      <c r="R89" s="30" t="s">
        <v>60</v>
      </c>
      <c r="S89" s="30" t="s">
        <v>80</v>
      </c>
      <c r="T89" s="30" t="s">
        <v>93</v>
      </c>
      <c r="U89" s="30">
        <v>9230007509</v>
      </c>
      <c r="V89" s="38" t="s">
        <v>52</v>
      </c>
      <c r="W89" s="49">
        <f t="shared" ca="1" si="2"/>
        <v>27</v>
      </c>
      <c r="X89" s="50">
        <f t="shared" si="3"/>
        <v>10</v>
      </c>
      <c r="Y89" s="46" t="str" cm="1">
        <f t="array" ref="Y89">_xlfn.IFS(X89&lt;=5,"On Time",X89&gt;5,"Delayed",X89=" ","Pending")</f>
        <v>Delayed</v>
      </c>
    </row>
    <row r="90" spans="1:25" ht="15" thickBot="1" x14ac:dyDescent="0.4">
      <c r="A90" s="27" t="s">
        <v>211</v>
      </c>
      <c r="B90" s="27" t="s">
        <v>156</v>
      </c>
      <c r="C90" s="27" t="s">
        <v>36</v>
      </c>
      <c r="D90" s="28">
        <v>45915</v>
      </c>
      <c r="E90" s="28">
        <v>45924</v>
      </c>
      <c r="F90" s="27" t="s">
        <v>106</v>
      </c>
      <c r="G90" s="27" t="s">
        <v>58</v>
      </c>
      <c r="H90" s="28">
        <v>37335</v>
      </c>
      <c r="I90" s="27" t="s">
        <v>91</v>
      </c>
      <c r="J90" s="27" t="s">
        <v>212</v>
      </c>
      <c r="K90" s="27" t="s">
        <v>39</v>
      </c>
      <c r="L90" s="27" t="s">
        <v>40</v>
      </c>
      <c r="M90" s="27">
        <v>6</v>
      </c>
      <c r="N90" s="27">
        <v>12000</v>
      </c>
      <c r="O90" s="27">
        <v>5</v>
      </c>
      <c r="P90" s="27">
        <v>68400</v>
      </c>
      <c r="Q90" s="27">
        <v>4</v>
      </c>
      <c r="R90" s="27" t="s">
        <v>41</v>
      </c>
      <c r="S90" s="27" t="s">
        <v>32</v>
      </c>
      <c r="T90" s="27" t="s">
        <v>158</v>
      </c>
      <c r="U90" s="27">
        <v>9823428025</v>
      </c>
      <c r="V90" s="35" t="s">
        <v>34</v>
      </c>
      <c r="W90" s="49">
        <f t="shared" ca="1" si="2"/>
        <v>24</v>
      </c>
      <c r="X90" s="50">
        <f t="shared" si="3"/>
        <v>9</v>
      </c>
      <c r="Y90" s="46" t="str" cm="1">
        <f t="array" ref="Y90">_xlfn.IFS(X90&lt;=5,"On Time",X90&gt;5,"Delayed",X90=" ","Pending")</f>
        <v>Delayed</v>
      </c>
    </row>
    <row r="91" spans="1:25" ht="15" thickBot="1" x14ac:dyDescent="0.4">
      <c r="A91" s="30" t="s">
        <v>213</v>
      </c>
      <c r="B91" s="30" t="s">
        <v>23</v>
      </c>
      <c r="C91" s="30" t="s">
        <v>105</v>
      </c>
      <c r="D91" s="31">
        <v>46092</v>
      </c>
      <c r="E91" s="31">
        <v>46100</v>
      </c>
      <c r="F91" s="30" t="s">
        <v>25</v>
      </c>
      <c r="G91" s="30" t="s">
        <v>26</v>
      </c>
      <c r="H91" s="31">
        <v>33768</v>
      </c>
      <c r="I91" s="30" t="s">
        <v>79</v>
      </c>
      <c r="J91" s="30" t="s">
        <v>75</v>
      </c>
      <c r="K91" s="30" t="s">
        <v>29</v>
      </c>
      <c r="L91" s="30" t="s">
        <v>107</v>
      </c>
      <c r="M91" s="30">
        <v>15</v>
      </c>
      <c r="N91" s="30">
        <v>8500</v>
      </c>
      <c r="O91" s="30">
        <v>0</v>
      </c>
      <c r="P91" s="30">
        <v>127500</v>
      </c>
      <c r="Q91" s="30">
        <v>4</v>
      </c>
      <c r="R91" s="30" t="s">
        <v>41</v>
      </c>
      <c r="S91" s="30" t="s">
        <v>32</v>
      </c>
      <c r="T91" s="30" t="s">
        <v>43</v>
      </c>
      <c r="U91" s="30">
        <v>9505048912</v>
      </c>
      <c r="V91" s="38" t="s">
        <v>53</v>
      </c>
      <c r="W91" s="49">
        <f t="shared" ca="1" si="2"/>
        <v>34</v>
      </c>
      <c r="X91" s="50">
        <f t="shared" si="3"/>
        <v>8</v>
      </c>
      <c r="Y91" s="46" t="str" cm="1">
        <f t="array" ref="Y91">_xlfn.IFS(X91&lt;=5,"On Time",X91&gt;5,"Delayed",X91=" ","Pending")</f>
        <v>Delayed</v>
      </c>
    </row>
    <row r="92" spans="1:25" ht="15" thickBot="1" x14ac:dyDescent="0.4">
      <c r="A92" s="27" t="s">
        <v>214</v>
      </c>
      <c r="B92" s="27" t="s">
        <v>45</v>
      </c>
      <c r="C92" s="27" t="s">
        <v>56</v>
      </c>
      <c r="D92" s="28">
        <v>45889</v>
      </c>
      <c r="E92" s="28">
        <v>45892</v>
      </c>
      <c r="F92" s="27" t="s">
        <v>101</v>
      </c>
      <c r="G92" s="27" t="s">
        <v>26</v>
      </c>
      <c r="H92" s="28">
        <v>35234</v>
      </c>
      <c r="I92" s="27" t="s">
        <v>121</v>
      </c>
      <c r="J92" s="27" t="s">
        <v>38</v>
      </c>
      <c r="K92" s="27" t="s">
        <v>39</v>
      </c>
      <c r="L92" s="27" t="s">
        <v>59</v>
      </c>
      <c r="M92" s="27">
        <v>5</v>
      </c>
      <c r="N92" s="27">
        <v>1200</v>
      </c>
      <c r="O92" s="27">
        <v>15</v>
      </c>
      <c r="P92" s="27">
        <v>5100</v>
      </c>
      <c r="Q92" s="27">
        <v>1</v>
      </c>
      <c r="R92" s="27" t="s">
        <v>41</v>
      </c>
      <c r="S92" s="27" t="s">
        <v>32</v>
      </c>
      <c r="T92" s="27" t="s">
        <v>51</v>
      </c>
      <c r="U92" s="27">
        <v>9508068393</v>
      </c>
      <c r="V92" s="37" t="s">
        <v>53</v>
      </c>
      <c r="W92" s="49">
        <f t="shared" ca="1" si="2"/>
        <v>30</v>
      </c>
      <c r="X92" s="50">
        <f t="shared" si="3"/>
        <v>3</v>
      </c>
      <c r="Y92" s="46" t="str" cm="1">
        <f t="array" ref="Y92">_xlfn.IFS(X92&lt;=5,"On Time",X92&gt;5,"Delayed",X92=" ","Pending")</f>
        <v>On Time</v>
      </c>
    </row>
    <row r="93" spans="1:25" ht="15" thickBot="1" x14ac:dyDescent="0.4">
      <c r="A93" s="30" t="s">
        <v>215</v>
      </c>
      <c r="B93" s="30" t="s">
        <v>45</v>
      </c>
      <c r="C93" s="30" t="s">
        <v>125</v>
      </c>
      <c r="D93" s="31">
        <v>45882</v>
      </c>
      <c r="E93" s="31">
        <v>45883</v>
      </c>
      <c r="F93" s="30" t="s">
        <v>101</v>
      </c>
      <c r="G93" s="30" t="s">
        <v>26</v>
      </c>
      <c r="H93" s="31">
        <v>30263</v>
      </c>
      <c r="I93" s="30" t="s">
        <v>27</v>
      </c>
      <c r="J93" s="30" t="s">
        <v>28</v>
      </c>
      <c r="K93" s="30" t="s">
        <v>83</v>
      </c>
      <c r="L93" s="30" t="s">
        <v>127</v>
      </c>
      <c r="M93" s="30">
        <v>4</v>
      </c>
      <c r="N93" s="30">
        <v>20</v>
      </c>
      <c r="O93" s="30">
        <v>0</v>
      </c>
      <c r="P93" s="30">
        <v>80</v>
      </c>
      <c r="Q93" s="30">
        <v>4</v>
      </c>
      <c r="R93" s="30" t="s">
        <v>41</v>
      </c>
      <c r="S93" s="30" t="s">
        <v>42</v>
      </c>
      <c r="T93" s="30" t="s">
        <v>51</v>
      </c>
      <c r="U93" s="30">
        <v>9785807771</v>
      </c>
      <c r="V93" s="36" t="s">
        <v>34</v>
      </c>
      <c r="W93" s="49">
        <f t="shared" ca="1" si="2"/>
        <v>43</v>
      </c>
      <c r="X93" s="50">
        <f t="shared" si="3"/>
        <v>1</v>
      </c>
      <c r="Y93" s="46" t="str" cm="1">
        <f t="array" ref="Y93">_xlfn.IFS(X93&lt;=5,"On Time",X93&gt;5,"Delayed",X93=" ","Pending")</f>
        <v>On Time</v>
      </c>
    </row>
    <row r="94" spans="1:25" ht="15" thickBot="1" x14ac:dyDescent="0.4">
      <c r="A94" s="27" t="s">
        <v>216</v>
      </c>
      <c r="B94" s="27" t="s">
        <v>23</v>
      </c>
      <c r="C94" s="27" t="s">
        <v>125</v>
      </c>
      <c r="D94" s="28">
        <v>45732</v>
      </c>
      <c r="E94" s="28">
        <v>45736</v>
      </c>
      <c r="F94" s="27" t="s">
        <v>25</v>
      </c>
      <c r="G94" s="27" t="s">
        <v>26</v>
      </c>
      <c r="H94" s="28">
        <v>30858</v>
      </c>
      <c r="I94" s="27" t="s">
        <v>48</v>
      </c>
      <c r="J94" s="27" t="s">
        <v>28</v>
      </c>
      <c r="K94" s="27" t="s">
        <v>83</v>
      </c>
      <c r="L94" s="27" t="s">
        <v>127</v>
      </c>
      <c r="M94" s="27">
        <v>10</v>
      </c>
      <c r="N94" s="27">
        <v>20</v>
      </c>
      <c r="O94" s="27">
        <v>0</v>
      </c>
      <c r="P94" s="27">
        <v>200</v>
      </c>
      <c r="Q94" s="27">
        <v>3</v>
      </c>
      <c r="R94" s="27" t="s">
        <v>31</v>
      </c>
      <c r="S94" s="27" t="s">
        <v>96</v>
      </c>
      <c r="T94" s="27" t="s">
        <v>43</v>
      </c>
      <c r="U94" s="27">
        <v>9215250979</v>
      </c>
      <c r="V94" s="37" t="s">
        <v>52</v>
      </c>
      <c r="W94" s="49">
        <f t="shared" ca="1" si="2"/>
        <v>42</v>
      </c>
      <c r="X94" s="50">
        <f t="shared" si="3"/>
        <v>4</v>
      </c>
      <c r="Y94" s="46" t="str" cm="1">
        <f t="array" ref="Y94">_xlfn.IFS(X94&lt;=5,"On Time",X94&gt;5,"Delayed",X94=" ","Pending")</f>
        <v>On Time</v>
      </c>
    </row>
    <row r="95" spans="1:25" ht="15" thickBot="1" x14ac:dyDescent="0.4">
      <c r="A95" s="30" t="s">
        <v>217</v>
      </c>
      <c r="B95" s="30" t="s">
        <v>104</v>
      </c>
      <c r="C95" s="30" t="s">
        <v>24</v>
      </c>
      <c r="D95" s="31">
        <v>45904</v>
      </c>
      <c r="E95" s="31">
        <v>45910</v>
      </c>
      <c r="F95" s="30" t="s">
        <v>166</v>
      </c>
      <c r="G95" s="30" t="s">
        <v>26</v>
      </c>
      <c r="H95" s="31">
        <v>34506</v>
      </c>
      <c r="I95" s="30" t="s">
        <v>37</v>
      </c>
      <c r="J95" s="30" t="s">
        <v>38</v>
      </c>
      <c r="K95" s="30" t="s">
        <v>29</v>
      </c>
      <c r="L95" s="30" t="s">
        <v>30</v>
      </c>
      <c r="M95" s="30">
        <v>18</v>
      </c>
      <c r="N95" s="30">
        <v>2200</v>
      </c>
      <c r="O95" s="30">
        <v>10</v>
      </c>
      <c r="P95" s="30">
        <v>35640</v>
      </c>
      <c r="Q95" s="30">
        <v>3</v>
      </c>
      <c r="R95" s="30" t="s">
        <v>31</v>
      </c>
      <c r="S95" s="30" t="s">
        <v>32</v>
      </c>
      <c r="T95" s="30" t="s">
        <v>108</v>
      </c>
      <c r="U95" s="30">
        <v>9845884906</v>
      </c>
      <c r="V95" s="38" t="s">
        <v>53</v>
      </c>
      <c r="W95" s="49">
        <f t="shared" ca="1" si="2"/>
        <v>32</v>
      </c>
      <c r="X95" s="50">
        <f t="shared" si="3"/>
        <v>6</v>
      </c>
      <c r="Y95" s="46" t="str" cm="1">
        <f t="array" ref="Y95">_xlfn.IFS(X95&lt;=5,"On Time",X95&gt;5,"Delayed",X95=" ","Pending")</f>
        <v>Delayed</v>
      </c>
    </row>
    <row r="96" spans="1:25" ht="15" thickBot="1" x14ac:dyDescent="0.4">
      <c r="A96" s="27" t="s">
        <v>218</v>
      </c>
      <c r="B96" s="27" t="s">
        <v>156</v>
      </c>
      <c r="C96" s="27" t="s">
        <v>68</v>
      </c>
      <c r="D96" s="28">
        <v>45759</v>
      </c>
      <c r="E96" s="28">
        <v>45762</v>
      </c>
      <c r="F96" s="27" t="s">
        <v>106</v>
      </c>
      <c r="G96" s="27" t="s">
        <v>58</v>
      </c>
      <c r="H96" s="28">
        <v>33163</v>
      </c>
      <c r="I96" s="27" t="s">
        <v>37</v>
      </c>
      <c r="J96" s="27" t="s">
        <v>38</v>
      </c>
      <c r="K96" s="27" t="s">
        <v>29</v>
      </c>
      <c r="L96" s="27" t="s">
        <v>70</v>
      </c>
      <c r="M96" s="27">
        <v>7</v>
      </c>
      <c r="N96" s="27">
        <v>3500</v>
      </c>
      <c r="O96" s="27">
        <v>15</v>
      </c>
      <c r="P96" s="27">
        <v>20825</v>
      </c>
      <c r="Q96" s="27">
        <v>3</v>
      </c>
      <c r="R96" s="27" t="s">
        <v>41</v>
      </c>
      <c r="S96" s="27" t="s">
        <v>42</v>
      </c>
      <c r="T96" s="27" t="s">
        <v>158</v>
      </c>
      <c r="U96" s="27">
        <v>9393097397</v>
      </c>
      <c r="V96" s="35" t="s">
        <v>34</v>
      </c>
      <c r="W96" s="49">
        <f t="shared" ca="1" si="2"/>
        <v>36</v>
      </c>
      <c r="X96" s="50">
        <f t="shared" si="3"/>
        <v>3</v>
      </c>
      <c r="Y96" s="46" t="str" cm="1">
        <f t="array" ref="Y96">_xlfn.IFS(X96&lt;=5,"On Time",X96&gt;5,"Delayed",X96=" ","Pending")</f>
        <v>On Time</v>
      </c>
    </row>
    <row r="97" spans="1:25" ht="15" thickBot="1" x14ac:dyDescent="0.4">
      <c r="A97" s="30" t="s">
        <v>219</v>
      </c>
      <c r="B97" s="30" t="s">
        <v>72</v>
      </c>
      <c r="C97" s="30" t="s">
        <v>105</v>
      </c>
      <c r="D97" s="31">
        <v>46146</v>
      </c>
      <c r="E97" s="31">
        <v>46149</v>
      </c>
      <c r="F97" s="30" t="s">
        <v>73</v>
      </c>
      <c r="G97" s="30" t="s">
        <v>26</v>
      </c>
      <c r="H97" s="31">
        <v>31805</v>
      </c>
      <c r="I97" s="30" t="s">
        <v>147</v>
      </c>
      <c r="J97" s="30" t="s">
        <v>148</v>
      </c>
      <c r="K97" s="30" t="s">
        <v>29</v>
      </c>
      <c r="L97" s="30" t="s">
        <v>107</v>
      </c>
      <c r="M97" s="30">
        <v>19</v>
      </c>
      <c r="N97" s="30">
        <v>8500</v>
      </c>
      <c r="O97" s="30">
        <v>15</v>
      </c>
      <c r="P97" s="30">
        <v>137275</v>
      </c>
      <c r="Q97" s="30">
        <v>4</v>
      </c>
      <c r="R97" s="30" t="s">
        <v>60</v>
      </c>
      <c r="S97" s="30" t="s">
        <v>96</v>
      </c>
      <c r="T97" s="30" t="s">
        <v>93</v>
      </c>
      <c r="U97" s="30">
        <v>9958032109</v>
      </c>
      <c r="V97" s="38" t="s">
        <v>52</v>
      </c>
      <c r="W97" s="49">
        <f t="shared" ca="1" si="2"/>
        <v>39</v>
      </c>
      <c r="X97" s="50">
        <f t="shared" si="3"/>
        <v>3</v>
      </c>
      <c r="Y97" s="46" t="str" cm="1">
        <f t="array" ref="Y97">_xlfn.IFS(X97&lt;=5,"On Time",X97&gt;5,"Delayed",X97=" ","Pending")</f>
        <v>On Time</v>
      </c>
    </row>
    <row r="98" spans="1:25" ht="15" thickBot="1" x14ac:dyDescent="0.4">
      <c r="A98" s="27" t="s">
        <v>220</v>
      </c>
      <c r="B98" s="27" t="s">
        <v>134</v>
      </c>
      <c r="C98" s="27" t="s">
        <v>36</v>
      </c>
      <c r="D98" s="28">
        <v>46040</v>
      </c>
      <c r="E98" s="28">
        <v>46049</v>
      </c>
      <c r="F98" s="27" t="s">
        <v>135</v>
      </c>
      <c r="G98" s="27" t="s">
        <v>26</v>
      </c>
      <c r="H98" s="28">
        <v>30580</v>
      </c>
      <c r="I98" s="27" t="s">
        <v>91</v>
      </c>
      <c r="J98" s="27" t="s">
        <v>75</v>
      </c>
      <c r="K98" s="27" t="s">
        <v>39</v>
      </c>
      <c r="L98" s="27" t="s">
        <v>40</v>
      </c>
      <c r="M98" s="27">
        <v>13</v>
      </c>
      <c r="N98" s="27">
        <v>12000</v>
      </c>
      <c r="O98" s="27">
        <v>15</v>
      </c>
      <c r="P98" s="27">
        <v>132600</v>
      </c>
      <c r="Q98" s="27">
        <v>4</v>
      </c>
      <c r="R98" s="27" t="s">
        <v>31</v>
      </c>
      <c r="S98" s="27" t="s">
        <v>42</v>
      </c>
      <c r="T98" s="27" t="s">
        <v>136</v>
      </c>
      <c r="U98" s="27">
        <v>9755082957</v>
      </c>
      <c r="V98" s="35" t="s">
        <v>34</v>
      </c>
      <c r="W98" s="49">
        <f t="shared" ca="1" si="2"/>
        <v>43</v>
      </c>
      <c r="X98" s="50">
        <f t="shared" si="3"/>
        <v>9</v>
      </c>
      <c r="Y98" s="46" t="str" cm="1">
        <f t="array" ref="Y98">_xlfn.IFS(X98&lt;=5,"On Time",X98&gt;5,"Delayed",X98=" ","Pending")</f>
        <v>Delayed</v>
      </c>
    </row>
    <row r="99" spans="1:25" ht="15" thickBot="1" x14ac:dyDescent="0.4">
      <c r="A99" s="30" t="s">
        <v>221</v>
      </c>
      <c r="B99" s="30" t="s">
        <v>156</v>
      </c>
      <c r="C99" s="30" t="s">
        <v>125</v>
      </c>
      <c r="D99" s="31">
        <v>46095</v>
      </c>
      <c r="E99" s="31">
        <v>46105</v>
      </c>
      <c r="F99" s="30" t="s">
        <v>106</v>
      </c>
      <c r="G99" s="30" t="s">
        <v>58</v>
      </c>
      <c r="H99" s="31">
        <v>32602</v>
      </c>
      <c r="I99" s="30" t="s">
        <v>79</v>
      </c>
      <c r="J99" s="30" t="s">
        <v>75</v>
      </c>
      <c r="K99" s="30" t="s">
        <v>83</v>
      </c>
      <c r="L99" s="30" t="s">
        <v>127</v>
      </c>
      <c r="M99" s="30">
        <v>7</v>
      </c>
      <c r="N99" s="30">
        <v>20</v>
      </c>
      <c r="O99" s="30">
        <v>0</v>
      </c>
      <c r="P99" s="30">
        <v>140</v>
      </c>
      <c r="Q99" s="30">
        <v>1</v>
      </c>
      <c r="R99" s="30" t="s">
        <v>60</v>
      </c>
      <c r="S99" s="30" t="s">
        <v>96</v>
      </c>
      <c r="T99" s="30" t="s">
        <v>158</v>
      </c>
      <c r="U99" s="30">
        <v>9872235856</v>
      </c>
      <c r="V99" s="38" t="s">
        <v>53</v>
      </c>
      <c r="W99" s="49">
        <f t="shared" ca="1" si="2"/>
        <v>37</v>
      </c>
      <c r="X99" s="50">
        <f t="shared" si="3"/>
        <v>10</v>
      </c>
      <c r="Y99" s="46" t="str" cm="1">
        <f t="array" ref="Y99">_xlfn.IFS(X99&lt;=5,"On Time",X99&gt;5,"Delayed",X99=" ","Pending")</f>
        <v>Delayed</v>
      </c>
    </row>
    <row r="100" spans="1:25" ht="15" thickBot="1" x14ac:dyDescent="0.4">
      <c r="A100" s="27" t="s">
        <v>222</v>
      </c>
      <c r="B100" s="27" t="s">
        <v>104</v>
      </c>
      <c r="C100" s="27" t="s">
        <v>112</v>
      </c>
      <c r="D100" s="28">
        <v>45786</v>
      </c>
      <c r="E100" s="28">
        <v>45788</v>
      </c>
      <c r="F100" s="27" t="s">
        <v>166</v>
      </c>
      <c r="G100" s="27" t="s">
        <v>26</v>
      </c>
      <c r="H100" s="28">
        <v>32045</v>
      </c>
      <c r="I100" s="27" t="s">
        <v>37</v>
      </c>
      <c r="J100" s="27" t="s">
        <v>38</v>
      </c>
      <c r="K100" s="27" t="s">
        <v>39</v>
      </c>
      <c r="L100" s="27" t="s">
        <v>114</v>
      </c>
      <c r="M100" s="27">
        <v>5</v>
      </c>
      <c r="N100" s="27">
        <v>700</v>
      </c>
      <c r="O100" s="27">
        <v>15</v>
      </c>
      <c r="P100" s="27">
        <v>999999</v>
      </c>
      <c r="Q100" s="27">
        <v>4</v>
      </c>
      <c r="R100" s="27" t="s">
        <v>60</v>
      </c>
      <c r="S100" s="27" t="s">
        <v>32</v>
      </c>
      <c r="T100" s="27" t="s">
        <v>108</v>
      </c>
      <c r="U100" s="27">
        <v>9335138816</v>
      </c>
      <c r="V100" s="37" t="s">
        <v>52</v>
      </c>
      <c r="W100" s="49">
        <f t="shared" ca="1" si="2"/>
        <v>39</v>
      </c>
      <c r="X100" s="50">
        <f t="shared" si="3"/>
        <v>2</v>
      </c>
      <c r="Y100" s="46" t="str" cm="1">
        <f t="array" ref="Y100">_xlfn.IFS(X100&lt;=5,"On Time",X100&gt;5,"Delayed",X100=" ","Pending")</f>
        <v>On Time</v>
      </c>
    </row>
    <row r="101" spans="1:25" ht="15" thickBot="1" x14ac:dyDescent="0.4">
      <c r="A101" s="30" t="s">
        <v>223</v>
      </c>
      <c r="B101" s="30" t="s">
        <v>63</v>
      </c>
      <c r="C101" s="30" t="s">
        <v>138</v>
      </c>
      <c r="D101" s="31">
        <v>46149</v>
      </c>
      <c r="E101" s="31">
        <v>46152</v>
      </c>
      <c r="F101" s="30" t="s">
        <v>110</v>
      </c>
      <c r="G101" s="30" t="s">
        <v>58</v>
      </c>
      <c r="H101" s="31">
        <v>30170</v>
      </c>
      <c r="I101" s="30" t="s">
        <v>48</v>
      </c>
      <c r="J101" s="30" t="s">
        <v>28</v>
      </c>
      <c r="K101" s="30" t="s">
        <v>83</v>
      </c>
      <c r="L101" s="30" t="s">
        <v>139</v>
      </c>
      <c r="M101" s="30">
        <v>9</v>
      </c>
      <c r="N101" s="30">
        <v>45</v>
      </c>
      <c r="O101" s="30">
        <v>5</v>
      </c>
      <c r="P101" s="30">
        <v>384.75</v>
      </c>
      <c r="Q101" s="30">
        <v>3</v>
      </c>
      <c r="R101" s="30" t="s">
        <v>31</v>
      </c>
      <c r="S101" s="30" t="s">
        <v>32</v>
      </c>
      <c r="T101" s="30" t="s">
        <v>66</v>
      </c>
      <c r="U101" s="30">
        <v>9750365609</v>
      </c>
      <c r="V101" s="36" t="s">
        <v>34</v>
      </c>
      <c r="W101" s="49">
        <f t="shared" ca="1" si="2"/>
        <v>44</v>
      </c>
      <c r="X101" s="50">
        <f t="shared" si="3"/>
        <v>3</v>
      </c>
      <c r="Y101" s="46" t="str" cm="1">
        <f t="array" ref="Y101">_xlfn.IFS(X101&lt;=5,"On Time",X101&gt;5,"Delayed",X101=" ","Pending")</f>
        <v>On Time</v>
      </c>
    </row>
    <row r="102" spans="1:25" ht="15" thickBot="1" x14ac:dyDescent="0.4">
      <c r="A102" s="27" t="s">
        <v>224</v>
      </c>
      <c r="B102" s="27" t="s">
        <v>87</v>
      </c>
      <c r="C102" s="27" t="s">
        <v>82</v>
      </c>
      <c r="D102" s="28">
        <v>45768</v>
      </c>
      <c r="E102" s="28">
        <v>45776</v>
      </c>
      <c r="F102" s="27" t="s">
        <v>88</v>
      </c>
      <c r="G102" s="27" t="s">
        <v>58</v>
      </c>
      <c r="H102" s="28">
        <v>31610</v>
      </c>
      <c r="I102" s="27" t="s">
        <v>147</v>
      </c>
      <c r="J102" s="27" t="s">
        <v>148</v>
      </c>
      <c r="K102" s="27" t="s">
        <v>83</v>
      </c>
      <c r="L102" s="27" t="s">
        <v>84</v>
      </c>
      <c r="M102" s="27">
        <v>19</v>
      </c>
      <c r="N102" s="27">
        <v>60</v>
      </c>
      <c r="O102" s="27">
        <v>10</v>
      </c>
      <c r="P102" s="27">
        <v>1026</v>
      </c>
      <c r="Q102" s="27">
        <v>5</v>
      </c>
      <c r="R102" s="27" t="s">
        <v>41</v>
      </c>
      <c r="S102" s="27" t="s">
        <v>80</v>
      </c>
      <c r="T102" s="27" t="s">
        <v>89</v>
      </c>
      <c r="U102" s="27">
        <v>9736812737</v>
      </c>
      <c r="V102" s="35" t="s">
        <v>34</v>
      </c>
      <c r="W102" s="49">
        <f t="shared" ca="1" si="2"/>
        <v>40</v>
      </c>
      <c r="X102" s="50">
        <f t="shared" si="3"/>
        <v>8</v>
      </c>
      <c r="Y102" s="46" t="str" cm="1">
        <f t="array" ref="Y102">_xlfn.IFS(X102&lt;=5,"On Time",X102&gt;5,"Delayed",X102=" ","Pending")</f>
        <v>Delayed</v>
      </c>
    </row>
    <row r="103" spans="1:25" ht="15" thickBot="1" x14ac:dyDescent="0.4">
      <c r="A103" s="30" t="s">
        <v>225</v>
      </c>
      <c r="B103" s="30" t="s">
        <v>156</v>
      </c>
      <c r="C103" s="30" t="s">
        <v>112</v>
      </c>
      <c r="D103" s="31">
        <v>46002</v>
      </c>
      <c r="E103" s="31">
        <v>46011</v>
      </c>
      <c r="F103" s="30" t="s">
        <v>106</v>
      </c>
      <c r="G103" s="30" t="s">
        <v>58</v>
      </c>
      <c r="H103" s="31">
        <v>31873</v>
      </c>
      <c r="I103" s="30" t="s">
        <v>91</v>
      </c>
      <c r="J103" s="30" t="s">
        <v>75</v>
      </c>
      <c r="K103" s="30" t="s">
        <v>39</v>
      </c>
      <c r="L103" s="30" t="s">
        <v>114</v>
      </c>
      <c r="M103" s="30">
        <v>4</v>
      </c>
      <c r="N103" s="30">
        <v>700</v>
      </c>
      <c r="O103" s="30">
        <v>5</v>
      </c>
      <c r="P103" s="30">
        <v>2660</v>
      </c>
      <c r="Q103" s="30">
        <v>3</v>
      </c>
      <c r="R103" s="30" t="s">
        <v>41</v>
      </c>
      <c r="S103" s="30" t="s">
        <v>50</v>
      </c>
      <c r="T103" s="30" t="s">
        <v>158</v>
      </c>
      <c r="U103" s="30">
        <v>9271420931</v>
      </c>
      <c r="V103" s="36" t="s">
        <v>34</v>
      </c>
      <c r="W103" s="49">
        <f t="shared" ca="1" si="2"/>
        <v>39</v>
      </c>
      <c r="X103" s="50">
        <f t="shared" si="3"/>
        <v>9</v>
      </c>
      <c r="Y103" s="46" t="str" cm="1">
        <f t="array" ref="Y103">_xlfn.IFS(X103&lt;=5,"On Time",X103&gt;5,"Delayed",X103=" ","Pending")</f>
        <v>Delayed</v>
      </c>
    </row>
    <row r="104" spans="1:25" ht="15" thickBot="1" x14ac:dyDescent="0.4">
      <c r="A104" s="27" t="s">
        <v>226</v>
      </c>
      <c r="B104" s="27" t="s">
        <v>156</v>
      </c>
      <c r="C104" s="27" t="s">
        <v>68</v>
      </c>
      <c r="D104" s="28">
        <v>46149</v>
      </c>
      <c r="E104" s="28">
        <v>46157</v>
      </c>
      <c r="F104" s="27" t="s">
        <v>106</v>
      </c>
      <c r="G104" s="27" t="s">
        <v>58</v>
      </c>
      <c r="H104" s="28">
        <v>38042</v>
      </c>
      <c r="I104" s="27" t="s">
        <v>79</v>
      </c>
      <c r="J104" s="27" t="s">
        <v>75</v>
      </c>
      <c r="K104" s="27" t="s">
        <v>29</v>
      </c>
      <c r="L104" s="27" t="s">
        <v>70</v>
      </c>
      <c r="M104" s="27">
        <v>16</v>
      </c>
      <c r="N104" s="27">
        <v>3500</v>
      </c>
      <c r="O104" s="27">
        <v>0</v>
      </c>
      <c r="P104" s="27">
        <v>56000</v>
      </c>
      <c r="Q104" s="27">
        <v>2</v>
      </c>
      <c r="R104" s="27" t="s">
        <v>60</v>
      </c>
      <c r="S104" s="27" t="s">
        <v>42</v>
      </c>
      <c r="T104" s="27" t="s">
        <v>158</v>
      </c>
      <c r="U104" s="27">
        <v>9781411370</v>
      </c>
      <c r="V104" s="35" t="s">
        <v>34</v>
      </c>
      <c r="W104" s="49">
        <f t="shared" ca="1" si="2"/>
        <v>22</v>
      </c>
      <c r="X104" s="50">
        <f t="shared" si="3"/>
        <v>8</v>
      </c>
      <c r="Y104" s="46" t="str" cm="1">
        <f t="array" ref="Y104">_xlfn.IFS(X104&lt;=5,"On Time",X104&gt;5,"Delayed",X104=" ","Pending")</f>
        <v>Delayed</v>
      </c>
    </row>
    <row r="105" spans="1:25" ht="15" thickBot="1" x14ac:dyDescent="0.4">
      <c r="A105" s="30" t="s">
        <v>227</v>
      </c>
      <c r="B105" s="30" t="s">
        <v>134</v>
      </c>
      <c r="C105" s="30" t="s">
        <v>138</v>
      </c>
      <c r="D105" s="31">
        <v>45670</v>
      </c>
      <c r="E105" s="31">
        <v>45677</v>
      </c>
      <c r="F105" s="30" t="s">
        <v>135</v>
      </c>
      <c r="G105" s="30" t="s">
        <v>26</v>
      </c>
      <c r="H105" s="31">
        <v>37005</v>
      </c>
      <c r="I105" s="30" t="s">
        <v>48</v>
      </c>
      <c r="J105" s="30" t="s">
        <v>28</v>
      </c>
      <c r="K105" s="30" t="s">
        <v>83</v>
      </c>
      <c r="L105" s="30" t="s">
        <v>139</v>
      </c>
      <c r="M105" s="30">
        <v>5</v>
      </c>
      <c r="N105" s="30">
        <v>45</v>
      </c>
      <c r="O105" s="30">
        <v>20</v>
      </c>
      <c r="P105" s="30">
        <v>180</v>
      </c>
      <c r="Q105" s="30">
        <v>3</v>
      </c>
      <c r="R105" s="30" t="s">
        <v>60</v>
      </c>
      <c r="S105" s="30" t="s">
        <v>32</v>
      </c>
      <c r="T105" s="30" t="s">
        <v>136</v>
      </c>
      <c r="U105" s="30">
        <v>9584152818</v>
      </c>
      <c r="V105" s="36" t="s">
        <v>34</v>
      </c>
      <c r="W105" s="49">
        <f t="shared" ca="1" si="2"/>
        <v>25</v>
      </c>
      <c r="X105" s="50">
        <f t="shared" si="3"/>
        <v>7</v>
      </c>
      <c r="Y105" s="46" t="str" cm="1">
        <f t="array" ref="Y105">_xlfn.IFS(X105&lt;=5,"On Time",X105&gt;5,"Delayed",X105=" ","Pending")</f>
        <v>Delayed</v>
      </c>
    </row>
    <row r="106" spans="1:25" ht="15" thickBot="1" x14ac:dyDescent="0.4">
      <c r="A106" s="27" t="s">
        <v>228</v>
      </c>
      <c r="B106" s="27" t="s">
        <v>63</v>
      </c>
      <c r="C106" s="27" t="s">
        <v>125</v>
      </c>
      <c r="D106" s="28">
        <v>45733</v>
      </c>
      <c r="E106" s="28">
        <v>45734</v>
      </c>
      <c r="F106" s="27" t="s">
        <v>110</v>
      </c>
      <c r="G106" s="27" t="s">
        <v>58</v>
      </c>
      <c r="H106" s="28">
        <v>35247</v>
      </c>
      <c r="I106" s="27" t="s">
        <v>74</v>
      </c>
      <c r="J106" s="27" t="s">
        <v>75</v>
      </c>
      <c r="K106" s="27" t="s">
        <v>83</v>
      </c>
      <c r="L106" s="27" t="s">
        <v>127</v>
      </c>
      <c r="M106" s="27">
        <v>9</v>
      </c>
      <c r="N106" s="27">
        <v>20</v>
      </c>
      <c r="O106" s="27">
        <v>10</v>
      </c>
      <c r="P106" s="27">
        <v>162</v>
      </c>
      <c r="Q106" s="27">
        <v>4</v>
      </c>
      <c r="R106" s="27" t="s">
        <v>60</v>
      </c>
      <c r="S106" s="27" t="s">
        <v>32</v>
      </c>
      <c r="T106" s="27" t="s">
        <v>66</v>
      </c>
      <c r="U106" s="27">
        <v>9507986836</v>
      </c>
      <c r="V106" s="37" t="s">
        <v>52</v>
      </c>
      <c r="W106" s="49">
        <f t="shared" ca="1" si="2"/>
        <v>30</v>
      </c>
      <c r="X106" s="50">
        <f t="shared" si="3"/>
        <v>1</v>
      </c>
      <c r="Y106" s="46" t="str" cm="1">
        <f t="array" ref="Y106">_xlfn.IFS(X106&lt;=5,"On Time",X106&gt;5,"Delayed",X106=" ","Pending")</f>
        <v>On Time</v>
      </c>
    </row>
    <row r="107" spans="1:25" ht="15" thickBot="1" x14ac:dyDescent="0.4">
      <c r="A107" s="30" t="s">
        <v>229</v>
      </c>
      <c r="B107" s="30" t="s">
        <v>45</v>
      </c>
      <c r="C107" s="30" t="s">
        <v>56</v>
      </c>
      <c r="D107" s="31">
        <v>45713</v>
      </c>
      <c r="E107" s="31">
        <v>45717</v>
      </c>
      <c r="F107" s="30" t="s">
        <v>101</v>
      </c>
      <c r="G107" s="30" t="s">
        <v>26</v>
      </c>
      <c r="H107" s="31">
        <v>28892</v>
      </c>
      <c r="I107" s="30" t="s">
        <v>37</v>
      </c>
      <c r="J107" s="30" t="s">
        <v>38</v>
      </c>
      <c r="K107" s="30" t="s">
        <v>39</v>
      </c>
      <c r="L107" s="30" t="s">
        <v>59</v>
      </c>
      <c r="M107" s="30">
        <v>9</v>
      </c>
      <c r="N107" s="30">
        <v>1200</v>
      </c>
      <c r="O107" s="30">
        <v>5</v>
      </c>
      <c r="P107" s="30">
        <v>10260</v>
      </c>
      <c r="Q107" s="30">
        <v>3</v>
      </c>
      <c r="R107" s="30" t="s">
        <v>65</v>
      </c>
      <c r="S107" s="30" t="s">
        <v>32</v>
      </c>
      <c r="T107" s="30" t="s">
        <v>51</v>
      </c>
      <c r="U107" s="30">
        <v>9518249687</v>
      </c>
      <c r="V107" s="38" t="s">
        <v>52</v>
      </c>
      <c r="W107" s="49">
        <f t="shared" ca="1" si="2"/>
        <v>47</v>
      </c>
      <c r="X107" s="50">
        <f t="shared" si="3"/>
        <v>4</v>
      </c>
      <c r="Y107" s="46" t="str" cm="1">
        <f t="array" ref="Y107">_xlfn.IFS(X107&lt;=5,"On Time",X107&gt;5,"Delayed",X107=" ","Pending")</f>
        <v>On Time</v>
      </c>
    </row>
    <row r="108" spans="1:25" ht="15" thickBot="1" x14ac:dyDescent="0.4">
      <c r="A108" s="27" t="s">
        <v>230</v>
      </c>
      <c r="B108" s="27" t="s">
        <v>72</v>
      </c>
      <c r="C108" s="27" t="s">
        <v>68</v>
      </c>
      <c r="D108" s="28">
        <v>45714</v>
      </c>
      <c r="E108" s="28">
        <v>45715</v>
      </c>
      <c r="F108" s="27" t="s">
        <v>73</v>
      </c>
      <c r="G108" s="27" t="s">
        <v>26</v>
      </c>
      <c r="H108" s="28">
        <v>31393</v>
      </c>
      <c r="I108" s="27" t="s">
        <v>37</v>
      </c>
      <c r="J108" s="27" t="s">
        <v>38</v>
      </c>
      <c r="K108" s="27" t="s">
        <v>29</v>
      </c>
      <c r="L108" s="27" t="s">
        <v>70</v>
      </c>
      <c r="M108" s="27">
        <v>3</v>
      </c>
      <c r="N108" s="27">
        <v>3500</v>
      </c>
      <c r="O108" s="27">
        <v>10</v>
      </c>
      <c r="P108" s="27">
        <v>9450</v>
      </c>
      <c r="Q108" s="27">
        <v>2</v>
      </c>
      <c r="R108" s="27" t="s">
        <v>60</v>
      </c>
      <c r="S108" s="27" t="s">
        <v>96</v>
      </c>
      <c r="T108" s="27" t="s">
        <v>93</v>
      </c>
      <c r="U108" s="27">
        <v>9179328207</v>
      </c>
      <c r="V108" s="37" t="s">
        <v>53</v>
      </c>
      <c r="W108" s="49">
        <f t="shared" ca="1" si="2"/>
        <v>40</v>
      </c>
      <c r="X108" s="50">
        <f t="shared" si="3"/>
        <v>1</v>
      </c>
      <c r="Y108" s="46" t="str" cm="1">
        <f t="array" ref="Y108">_xlfn.IFS(X108&lt;=5,"On Time",X108&gt;5,"Delayed",X108=" ","Pending")</f>
        <v>On Time</v>
      </c>
    </row>
    <row r="109" spans="1:25" ht="15" thickBot="1" x14ac:dyDescent="0.4">
      <c r="A109" s="30" t="s">
        <v>231</v>
      </c>
      <c r="B109" s="30" t="s">
        <v>124</v>
      </c>
      <c r="C109" s="30" t="s">
        <v>56</v>
      </c>
      <c r="D109" s="31">
        <v>46094</v>
      </c>
      <c r="E109" s="31">
        <v>46099</v>
      </c>
      <c r="F109" s="30" t="s">
        <v>126</v>
      </c>
      <c r="G109" s="30" t="s">
        <v>58</v>
      </c>
      <c r="H109" s="31">
        <v>33631</v>
      </c>
      <c r="I109" s="30" t="s">
        <v>74</v>
      </c>
      <c r="J109" s="30" t="s">
        <v>75</v>
      </c>
      <c r="K109" s="30" t="s">
        <v>39</v>
      </c>
      <c r="L109" s="30" t="s">
        <v>59</v>
      </c>
      <c r="M109" s="30">
        <v>6</v>
      </c>
      <c r="N109" s="30">
        <v>1200</v>
      </c>
      <c r="O109" s="30">
        <v>15</v>
      </c>
      <c r="P109" s="30">
        <v>6120</v>
      </c>
      <c r="Q109" s="30">
        <v>4</v>
      </c>
      <c r="R109" s="30" t="s">
        <v>65</v>
      </c>
      <c r="S109" s="30" t="s">
        <v>32</v>
      </c>
      <c r="T109" s="30" t="s">
        <v>128</v>
      </c>
      <c r="U109" s="30">
        <v>9778490728</v>
      </c>
      <c r="V109" s="38" t="s">
        <v>53</v>
      </c>
      <c r="W109" s="49">
        <f t="shared" ca="1" si="2"/>
        <v>34</v>
      </c>
      <c r="X109" s="50">
        <f t="shared" si="3"/>
        <v>5</v>
      </c>
      <c r="Y109" s="46" t="str" cm="1">
        <f t="array" ref="Y109">_xlfn.IFS(X109&lt;=5,"On Time",X109&gt;5,"Delayed",X109=" ","Pending")</f>
        <v>On Time</v>
      </c>
    </row>
    <row r="110" spans="1:25" ht="15" thickBot="1" x14ac:dyDescent="0.4">
      <c r="A110" s="27" t="s">
        <v>232</v>
      </c>
      <c r="B110" s="27" t="s">
        <v>63</v>
      </c>
      <c r="C110" s="27" t="s">
        <v>56</v>
      </c>
      <c r="D110" s="28">
        <v>45848</v>
      </c>
      <c r="E110" s="28">
        <v>45850</v>
      </c>
      <c r="F110" s="27" t="s">
        <v>110</v>
      </c>
      <c r="G110" s="27" t="s">
        <v>58</v>
      </c>
      <c r="H110" s="28">
        <v>34155</v>
      </c>
      <c r="I110" s="27" t="s">
        <v>121</v>
      </c>
      <c r="J110" s="27" t="s">
        <v>38</v>
      </c>
      <c r="K110" s="27" t="s">
        <v>39</v>
      </c>
      <c r="L110" s="27" t="s">
        <v>59</v>
      </c>
      <c r="M110" s="27">
        <v>17</v>
      </c>
      <c r="N110" s="27">
        <v>1200</v>
      </c>
      <c r="O110" s="27">
        <v>15</v>
      </c>
      <c r="P110" s="27">
        <v>17340</v>
      </c>
      <c r="Q110" s="27">
        <v>1</v>
      </c>
      <c r="R110" s="27" t="s">
        <v>31</v>
      </c>
      <c r="S110" s="27" t="s">
        <v>50</v>
      </c>
      <c r="T110" s="27" t="s">
        <v>66</v>
      </c>
      <c r="U110" s="27">
        <v>9223058722</v>
      </c>
      <c r="V110" s="35" t="s">
        <v>34</v>
      </c>
      <c r="W110" s="49">
        <f t="shared" ca="1" si="2"/>
        <v>33</v>
      </c>
      <c r="X110" s="50">
        <f t="shared" si="3"/>
        <v>2</v>
      </c>
      <c r="Y110" s="46" t="str" cm="1">
        <f t="array" ref="Y110">_xlfn.IFS(X110&lt;=5,"On Time",X110&gt;5,"Delayed",X110=" ","Pending")</f>
        <v>On Time</v>
      </c>
    </row>
    <row r="111" spans="1:25" ht="15" thickBot="1" x14ac:dyDescent="0.4">
      <c r="A111" s="30" t="s">
        <v>233</v>
      </c>
      <c r="B111" s="30" t="s">
        <v>124</v>
      </c>
      <c r="C111" s="30" t="s">
        <v>105</v>
      </c>
      <c r="D111" s="31">
        <v>45979</v>
      </c>
      <c r="E111" s="31">
        <v>45987</v>
      </c>
      <c r="F111" s="30" t="s">
        <v>126</v>
      </c>
      <c r="G111" s="30" t="s">
        <v>58</v>
      </c>
      <c r="H111" s="31">
        <v>28381</v>
      </c>
      <c r="I111" s="30" t="s">
        <v>48</v>
      </c>
      <c r="J111" s="30" t="s">
        <v>28</v>
      </c>
      <c r="K111" s="30" t="s">
        <v>29</v>
      </c>
      <c r="L111" s="30" t="s">
        <v>107</v>
      </c>
      <c r="M111" s="30">
        <v>15</v>
      </c>
      <c r="N111" s="30">
        <v>8500</v>
      </c>
      <c r="O111" s="30">
        <v>0</v>
      </c>
      <c r="P111" s="30">
        <v>127500</v>
      </c>
      <c r="Q111" s="30">
        <v>3</v>
      </c>
      <c r="R111" s="30" t="s">
        <v>31</v>
      </c>
      <c r="S111" s="30" t="s">
        <v>80</v>
      </c>
      <c r="T111" s="30" t="s">
        <v>128</v>
      </c>
      <c r="U111" s="30">
        <v>9999889465</v>
      </c>
      <c r="V111" s="38" t="s">
        <v>52</v>
      </c>
      <c r="W111" s="49">
        <f t="shared" ca="1" si="2"/>
        <v>49</v>
      </c>
      <c r="X111" s="50">
        <f t="shared" si="3"/>
        <v>8</v>
      </c>
      <c r="Y111" s="46" t="str" cm="1">
        <f t="array" ref="Y111">_xlfn.IFS(X111&lt;=5,"On Time",X111&gt;5,"Delayed",X111=" ","Pending")</f>
        <v>Delayed</v>
      </c>
    </row>
    <row r="112" spans="1:25" ht="15" thickBot="1" x14ac:dyDescent="0.4">
      <c r="A112" s="27" t="s">
        <v>234</v>
      </c>
      <c r="B112" s="27" t="s">
        <v>87</v>
      </c>
      <c r="C112" s="27" t="s">
        <v>56</v>
      </c>
      <c r="D112" s="28">
        <v>45760</v>
      </c>
      <c r="E112" s="28">
        <v>45766</v>
      </c>
      <c r="F112" s="27" t="s">
        <v>88</v>
      </c>
      <c r="G112" s="27" t="s">
        <v>58</v>
      </c>
      <c r="H112" s="28">
        <v>31331</v>
      </c>
      <c r="I112" s="27" t="s">
        <v>27</v>
      </c>
      <c r="J112" s="27" t="s">
        <v>28</v>
      </c>
      <c r="K112" s="27" t="s">
        <v>39</v>
      </c>
      <c r="L112" s="27" t="s">
        <v>59</v>
      </c>
      <c r="M112" s="27">
        <v>1</v>
      </c>
      <c r="N112" s="27">
        <v>1200</v>
      </c>
      <c r="O112" s="27">
        <v>20</v>
      </c>
      <c r="P112" s="27">
        <v>960</v>
      </c>
      <c r="Q112" s="27">
        <v>1</v>
      </c>
      <c r="R112" s="27" t="s">
        <v>65</v>
      </c>
      <c r="S112" s="27" t="s">
        <v>80</v>
      </c>
      <c r="T112" s="27" t="s">
        <v>89</v>
      </c>
      <c r="U112" s="27">
        <v>9489687402</v>
      </c>
      <c r="V112" s="37" t="s">
        <v>52</v>
      </c>
      <c r="W112" s="49">
        <f t="shared" ca="1" si="2"/>
        <v>41</v>
      </c>
      <c r="X112" s="50">
        <f t="shared" si="3"/>
        <v>6</v>
      </c>
      <c r="Y112" s="46" t="str" cm="1">
        <f t="array" ref="Y112">_xlfn.IFS(X112&lt;=5,"On Time",X112&gt;5,"Delayed",X112=" ","Pending")</f>
        <v>Delayed</v>
      </c>
    </row>
    <row r="113" spans="1:25" ht="15" thickBot="1" x14ac:dyDescent="0.4">
      <c r="A113" s="30" t="s">
        <v>235</v>
      </c>
      <c r="B113" s="30" t="s">
        <v>87</v>
      </c>
      <c r="C113" s="30" t="s">
        <v>105</v>
      </c>
      <c r="D113" s="31">
        <v>45756</v>
      </c>
      <c r="E113" s="31">
        <v>45765</v>
      </c>
      <c r="F113" s="30" t="s">
        <v>88</v>
      </c>
      <c r="G113" s="30" t="s">
        <v>58</v>
      </c>
      <c r="H113" s="31">
        <v>37166</v>
      </c>
      <c r="I113" s="30" t="s">
        <v>147</v>
      </c>
      <c r="J113" s="30" t="s">
        <v>148</v>
      </c>
      <c r="K113" s="30" t="s">
        <v>29</v>
      </c>
      <c r="L113" s="30" t="s">
        <v>107</v>
      </c>
      <c r="M113" s="30">
        <v>5</v>
      </c>
      <c r="N113" s="30">
        <v>8500</v>
      </c>
      <c r="O113" s="30">
        <v>10</v>
      </c>
      <c r="P113" s="30">
        <v>38250</v>
      </c>
      <c r="Q113" s="30">
        <v>1</v>
      </c>
      <c r="R113" s="30" t="s">
        <v>60</v>
      </c>
      <c r="S113" s="30" t="s">
        <v>50</v>
      </c>
      <c r="T113" s="30" t="s">
        <v>89</v>
      </c>
      <c r="U113" s="30">
        <v>9236963301</v>
      </c>
      <c r="V113" s="36" t="s">
        <v>34</v>
      </c>
      <c r="W113" s="49">
        <f t="shared" ca="1" si="2"/>
        <v>25</v>
      </c>
      <c r="X113" s="50">
        <f t="shared" si="3"/>
        <v>9</v>
      </c>
      <c r="Y113" s="46" t="str" cm="1">
        <f t="array" ref="Y113">_xlfn.IFS(X113&lt;=5,"On Time",X113&gt;5,"Delayed",X113=" ","Pending")</f>
        <v>Delayed</v>
      </c>
    </row>
    <row r="114" spans="1:25" ht="15" thickBot="1" x14ac:dyDescent="0.4">
      <c r="A114" s="27" t="s">
        <v>236</v>
      </c>
      <c r="B114" s="27" t="s">
        <v>45</v>
      </c>
      <c r="C114" s="27" t="s">
        <v>138</v>
      </c>
      <c r="D114" s="28">
        <v>46115</v>
      </c>
      <c r="E114" s="28">
        <v>46122</v>
      </c>
      <c r="F114" s="27" t="s">
        <v>101</v>
      </c>
      <c r="G114" s="27" t="s">
        <v>26</v>
      </c>
      <c r="H114" s="28">
        <v>31510</v>
      </c>
      <c r="I114" s="27" t="s">
        <v>27</v>
      </c>
      <c r="J114" s="27" t="s">
        <v>28</v>
      </c>
      <c r="K114" s="27" t="s">
        <v>83</v>
      </c>
      <c r="L114" s="27" t="s">
        <v>139</v>
      </c>
      <c r="M114" s="27">
        <v>12</v>
      </c>
      <c r="N114" s="27">
        <v>45</v>
      </c>
      <c r="O114" s="27">
        <v>5</v>
      </c>
      <c r="P114" s="27">
        <v>513</v>
      </c>
      <c r="Q114" s="27">
        <v>2</v>
      </c>
      <c r="R114" s="27" t="s">
        <v>41</v>
      </c>
      <c r="S114" s="27" t="s">
        <v>32</v>
      </c>
      <c r="T114" s="27" t="s">
        <v>51</v>
      </c>
      <c r="U114" s="27">
        <v>9653594592</v>
      </c>
      <c r="V114" s="37" t="s">
        <v>53</v>
      </c>
      <c r="W114" s="49">
        <f t="shared" ca="1" si="2"/>
        <v>40</v>
      </c>
      <c r="X114" s="50">
        <f t="shared" si="3"/>
        <v>7</v>
      </c>
      <c r="Y114" s="46" t="str" cm="1">
        <f t="array" ref="Y114">_xlfn.IFS(X114&lt;=5,"On Time",X114&gt;5,"Delayed",X114=" ","Pending")</f>
        <v>Delayed</v>
      </c>
    </row>
    <row r="115" spans="1:25" ht="15" thickBot="1" x14ac:dyDescent="0.4">
      <c r="A115" s="30" t="s">
        <v>237</v>
      </c>
      <c r="B115" s="30" t="s">
        <v>124</v>
      </c>
      <c r="C115" s="30" t="s">
        <v>82</v>
      </c>
      <c r="D115" s="31">
        <v>45953</v>
      </c>
      <c r="E115" s="31">
        <v>45958</v>
      </c>
      <c r="F115" s="30" t="s">
        <v>126</v>
      </c>
      <c r="G115" s="30" t="s">
        <v>58</v>
      </c>
      <c r="H115" s="31">
        <v>33075</v>
      </c>
      <c r="I115" s="30" t="s">
        <v>79</v>
      </c>
      <c r="J115" s="30" t="s">
        <v>75</v>
      </c>
      <c r="K115" s="30" t="s">
        <v>83</v>
      </c>
      <c r="L115" s="30" t="s">
        <v>84</v>
      </c>
      <c r="M115" s="30">
        <v>5</v>
      </c>
      <c r="N115" s="30">
        <v>60</v>
      </c>
      <c r="O115" s="30">
        <v>5</v>
      </c>
      <c r="P115" s="30">
        <v>285</v>
      </c>
      <c r="Q115" s="30">
        <v>2</v>
      </c>
      <c r="R115" s="30" t="s">
        <v>31</v>
      </c>
      <c r="S115" s="30" t="s">
        <v>50</v>
      </c>
      <c r="T115" s="30" t="s">
        <v>128</v>
      </c>
      <c r="U115" s="30">
        <v>9781970426</v>
      </c>
      <c r="V115" s="36" t="s">
        <v>34</v>
      </c>
      <c r="W115" s="49">
        <f t="shared" ca="1" si="2"/>
        <v>36</v>
      </c>
      <c r="X115" s="50">
        <f t="shared" si="3"/>
        <v>5</v>
      </c>
      <c r="Y115" s="46" t="str" cm="1">
        <f t="array" ref="Y115">_xlfn.IFS(X115&lt;=5,"On Time",X115&gt;5,"Delayed",X115=" ","Pending")</f>
        <v>On Time</v>
      </c>
    </row>
    <row r="116" spans="1:25" ht="15" thickBot="1" x14ac:dyDescent="0.4">
      <c r="A116" s="27" t="s">
        <v>238</v>
      </c>
      <c r="B116" s="27" t="s">
        <v>45</v>
      </c>
      <c r="C116" s="27" t="s">
        <v>112</v>
      </c>
      <c r="D116" s="28">
        <v>45750</v>
      </c>
      <c r="E116" s="28">
        <v>45761</v>
      </c>
      <c r="F116" s="27" t="s">
        <v>101</v>
      </c>
      <c r="G116" s="27" t="s">
        <v>26</v>
      </c>
      <c r="H116" s="28">
        <v>34435</v>
      </c>
      <c r="I116" s="27" t="s">
        <v>147</v>
      </c>
      <c r="J116" s="27" t="s">
        <v>148</v>
      </c>
      <c r="K116" s="27" t="s">
        <v>39</v>
      </c>
      <c r="L116" s="27" t="s">
        <v>114</v>
      </c>
      <c r="M116" s="27">
        <v>3</v>
      </c>
      <c r="N116" s="27">
        <v>700</v>
      </c>
      <c r="O116" s="27">
        <v>0</v>
      </c>
      <c r="P116" s="27">
        <v>2100</v>
      </c>
      <c r="Q116" s="27">
        <v>4</v>
      </c>
      <c r="R116" s="27" t="s">
        <v>60</v>
      </c>
      <c r="S116" s="27" t="s">
        <v>50</v>
      </c>
      <c r="T116" s="27" t="s">
        <v>51</v>
      </c>
      <c r="U116" s="27">
        <v>9862165194</v>
      </c>
      <c r="V116" s="35" t="s">
        <v>34</v>
      </c>
      <c r="W116" s="49">
        <f t="shared" ca="1" si="2"/>
        <v>32</v>
      </c>
      <c r="X116" s="50">
        <f t="shared" si="3"/>
        <v>11</v>
      </c>
      <c r="Y116" s="46" t="str" cm="1">
        <f t="array" ref="Y116">_xlfn.IFS(X116&lt;=5,"On Time",X116&gt;5,"Delayed",X116=" ","Pending")</f>
        <v>Delayed</v>
      </c>
    </row>
    <row r="117" spans="1:25" ht="15" thickBot="1" x14ac:dyDescent="0.4">
      <c r="A117" s="30" t="s">
        <v>239</v>
      </c>
      <c r="B117" s="30" t="s">
        <v>104</v>
      </c>
      <c r="C117" s="30" t="s">
        <v>125</v>
      </c>
      <c r="D117" s="31">
        <v>45772</v>
      </c>
      <c r="E117" s="31">
        <v>45776</v>
      </c>
      <c r="F117" s="30" t="s">
        <v>166</v>
      </c>
      <c r="G117" s="30" t="s">
        <v>26</v>
      </c>
      <c r="H117" s="31">
        <v>33728</v>
      </c>
      <c r="I117" s="30" t="s">
        <v>37</v>
      </c>
      <c r="J117" s="30" t="s">
        <v>38</v>
      </c>
      <c r="K117" s="30" t="s">
        <v>83</v>
      </c>
      <c r="L117" s="30" t="s">
        <v>127</v>
      </c>
      <c r="M117" s="30">
        <v>6</v>
      </c>
      <c r="N117" s="30">
        <v>20</v>
      </c>
      <c r="O117" s="30">
        <v>15</v>
      </c>
      <c r="P117" s="30">
        <v>102</v>
      </c>
      <c r="Q117" s="30">
        <v>5</v>
      </c>
      <c r="R117" s="30" t="s">
        <v>60</v>
      </c>
      <c r="S117" s="30" t="s">
        <v>96</v>
      </c>
      <c r="T117" s="30" t="s">
        <v>108</v>
      </c>
      <c r="U117" s="30">
        <v>9661280388</v>
      </c>
      <c r="V117" s="36" t="s">
        <v>34</v>
      </c>
      <c r="W117" s="49">
        <f t="shared" ca="1" si="2"/>
        <v>34</v>
      </c>
      <c r="X117" s="50">
        <f t="shared" si="3"/>
        <v>4</v>
      </c>
      <c r="Y117" s="46" t="str" cm="1">
        <f t="array" ref="Y117">_xlfn.IFS(X117&lt;=5,"On Time",X117&gt;5,"Delayed",X117=" ","Pending")</f>
        <v>On Time</v>
      </c>
    </row>
    <row r="118" spans="1:25" ht="15" thickBot="1" x14ac:dyDescent="0.4">
      <c r="A118" s="27" t="s">
        <v>240</v>
      </c>
      <c r="B118" s="27" t="s">
        <v>72</v>
      </c>
      <c r="C118" s="27" t="s">
        <v>112</v>
      </c>
      <c r="D118" s="28">
        <v>45893</v>
      </c>
      <c r="E118" s="28">
        <v>45900</v>
      </c>
      <c r="F118" s="27" t="s">
        <v>73</v>
      </c>
      <c r="G118" s="27" t="s">
        <v>26</v>
      </c>
      <c r="H118" s="28">
        <v>29354</v>
      </c>
      <c r="I118" s="27" t="s">
        <v>48</v>
      </c>
      <c r="J118" s="27" t="s">
        <v>28</v>
      </c>
      <c r="K118" s="27" t="s">
        <v>39</v>
      </c>
      <c r="L118" s="27" t="s">
        <v>114</v>
      </c>
      <c r="M118" s="27">
        <v>2</v>
      </c>
      <c r="N118" s="27">
        <v>700</v>
      </c>
      <c r="O118" s="27">
        <v>15</v>
      </c>
      <c r="P118" s="27">
        <v>1190</v>
      </c>
      <c r="Q118" s="27">
        <v>4</v>
      </c>
      <c r="R118" s="27" t="s">
        <v>31</v>
      </c>
      <c r="S118" s="27" t="s">
        <v>96</v>
      </c>
      <c r="T118" s="27" t="s">
        <v>93</v>
      </c>
      <c r="U118" s="27">
        <v>9896985355</v>
      </c>
      <c r="V118" s="37" t="s">
        <v>52</v>
      </c>
      <c r="W118" s="49">
        <f t="shared" ca="1" si="2"/>
        <v>46</v>
      </c>
      <c r="X118" s="50">
        <f t="shared" si="3"/>
        <v>7</v>
      </c>
      <c r="Y118" s="46" t="str" cm="1">
        <f t="array" ref="Y118">_xlfn.IFS(X118&lt;=5,"On Time",X118&gt;5,"Delayed",X118=" ","Pending")</f>
        <v>Delayed</v>
      </c>
    </row>
    <row r="119" spans="1:25" ht="15" thickBot="1" x14ac:dyDescent="0.4">
      <c r="A119" s="30" t="s">
        <v>241</v>
      </c>
      <c r="B119" s="30" t="s">
        <v>156</v>
      </c>
      <c r="C119" s="30" t="s">
        <v>138</v>
      </c>
      <c r="D119" s="31">
        <v>45808</v>
      </c>
      <c r="E119" s="31">
        <v>45819</v>
      </c>
      <c r="F119" s="30" t="s">
        <v>106</v>
      </c>
      <c r="G119" s="30" t="s">
        <v>58</v>
      </c>
      <c r="H119" s="31">
        <v>34949</v>
      </c>
      <c r="I119" s="30" t="s">
        <v>79</v>
      </c>
      <c r="J119" s="30" t="s">
        <v>75</v>
      </c>
      <c r="K119" s="30" t="s">
        <v>83</v>
      </c>
      <c r="L119" s="30" t="s">
        <v>139</v>
      </c>
      <c r="M119" s="30">
        <v>16</v>
      </c>
      <c r="N119" s="30">
        <v>45</v>
      </c>
      <c r="O119" s="30">
        <v>0</v>
      </c>
      <c r="P119" s="30">
        <v>720</v>
      </c>
      <c r="Q119" s="30">
        <v>1</v>
      </c>
      <c r="R119" s="30" t="s">
        <v>41</v>
      </c>
      <c r="S119" s="30" t="s">
        <v>50</v>
      </c>
      <c r="T119" s="30" t="s">
        <v>158</v>
      </c>
      <c r="U119" s="30">
        <v>9807154421</v>
      </c>
      <c r="V119" s="36" t="s">
        <v>34</v>
      </c>
      <c r="W119" s="49">
        <f t="shared" ca="1" si="2"/>
        <v>31</v>
      </c>
      <c r="X119" s="50">
        <f t="shared" si="3"/>
        <v>11</v>
      </c>
      <c r="Y119" s="46" t="str" cm="1">
        <f t="array" ref="Y119">_xlfn.IFS(X119&lt;=5,"On Time",X119&gt;5,"Delayed",X119=" ","Pending")</f>
        <v>Delayed</v>
      </c>
    </row>
    <row r="120" spans="1:25" ht="15" thickBot="1" x14ac:dyDescent="0.4">
      <c r="A120" s="27" t="s">
        <v>242</v>
      </c>
      <c r="B120" s="27" t="s">
        <v>55</v>
      </c>
      <c r="C120" s="27" t="s">
        <v>56</v>
      </c>
      <c r="D120" s="28">
        <v>45807</v>
      </c>
      <c r="E120" s="28">
        <v>45810</v>
      </c>
      <c r="F120" s="27" t="s">
        <v>57</v>
      </c>
      <c r="G120" s="27" t="s">
        <v>58</v>
      </c>
      <c r="H120" s="28">
        <v>32210</v>
      </c>
      <c r="I120" s="27" t="s">
        <v>91</v>
      </c>
      <c r="J120" s="27" t="s">
        <v>75</v>
      </c>
      <c r="K120" s="27" t="s">
        <v>39</v>
      </c>
      <c r="L120" s="27" t="s">
        <v>59</v>
      </c>
      <c r="M120" s="27" t="s">
        <v>243</v>
      </c>
      <c r="N120" s="27">
        <v>1200</v>
      </c>
      <c r="O120" s="27">
        <v>15</v>
      </c>
      <c r="P120" s="27">
        <v>7140</v>
      </c>
      <c r="Q120" s="27">
        <v>4</v>
      </c>
      <c r="R120" s="27" t="s">
        <v>65</v>
      </c>
      <c r="S120" s="27" t="s">
        <v>96</v>
      </c>
      <c r="T120" s="27" t="s">
        <v>61</v>
      </c>
      <c r="U120" s="27">
        <v>9919834000</v>
      </c>
      <c r="V120" s="37" t="s">
        <v>52</v>
      </c>
      <c r="W120" s="49">
        <f t="shared" ca="1" si="2"/>
        <v>38</v>
      </c>
      <c r="X120" s="50">
        <f t="shared" si="3"/>
        <v>3</v>
      </c>
      <c r="Y120" s="46" t="str" cm="1">
        <f t="array" ref="Y120">_xlfn.IFS(X120&lt;=5,"On Time",X120&gt;5,"Delayed",X120=" ","Pending")</f>
        <v>On Time</v>
      </c>
    </row>
    <row r="121" spans="1:25" ht="15" thickBot="1" x14ac:dyDescent="0.4">
      <c r="A121" s="30" t="s">
        <v>244</v>
      </c>
      <c r="B121" s="30" t="s">
        <v>72</v>
      </c>
      <c r="C121" s="30" t="s">
        <v>36</v>
      </c>
      <c r="D121" s="31">
        <v>45888</v>
      </c>
      <c r="E121" s="31">
        <v>45899</v>
      </c>
      <c r="F121" s="30" t="s">
        <v>73</v>
      </c>
      <c r="G121" s="30" t="s">
        <v>26</v>
      </c>
      <c r="H121" s="31">
        <v>32696</v>
      </c>
      <c r="I121" s="30" t="s">
        <v>121</v>
      </c>
      <c r="J121" s="30" t="s">
        <v>38</v>
      </c>
      <c r="K121" s="30" t="s">
        <v>39</v>
      </c>
      <c r="L121" s="30" t="s">
        <v>40</v>
      </c>
      <c r="M121" s="30">
        <v>14</v>
      </c>
      <c r="N121" s="30">
        <v>12000</v>
      </c>
      <c r="O121" s="30">
        <v>15</v>
      </c>
      <c r="P121" s="30">
        <v>142800</v>
      </c>
      <c r="Q121" s="30">
        <v>2</v>
      </c>
      <c r="R121" s="30" t="s">
        <v>41</v>
      </c>
      <c r="S121" s="30" t="s">
        <v>50</v>
      </c>
      <c r="T121" s="30" t="s">
        <v>93</v>
      </c>
      <c r="U121" s="30">
        <v>9739798818</v>
      </c>
      <c r="V121" s="38" t="s">
        <v>52</v>
      </c>
      <c r="W121" s="49">
        <f t="shared" ca="1" si="2"/>
        <v>37</v>
      </c>
      <c r="X121" s="50">
        <f t="shared" si="3"/>
        <v>11</v>
      </c>
      <c r="Y121" s="46" t="str" cm="1">
        <f t="array" ref="Y121">_xlfn.IFS(X121&lt;=5,"On Time",X121&gt;5,"Delayed",X121=" ","Pending")</f>
        <v>Delayed</v>
      </c>
    </row>
    <row r="122" spans="1:25" ht="15" thickBot="1" x14ac:dyDescent="0.4">
      <c r="A122" s="27" t="s">
        <v>245</v>
      </c>
      <c r="B122" s="27" t="s">
        <v>87</v>
      </c>
      <c r="C122" s="27" t="s">
        <v>105</v>
      </c>
      <c r="D122" s="28">
        <v>46005</v>
      </c>
      <c r="E122" s="28">
        <v>46007</v>
      </c>
      <c r="F122" s="27" t="s">
        <v>88</v>
      </c>
      <c r="G122" s="27" t="s">
        <v>58</v>
      </c>
      <c r="H122" s="28">
        <v>34284</v>
      </c>
      <c r="I122" s="27" t="s">
        <v>79</v>
      </c>
      <c r="J122" s="27" t="s">
        <v>75</v>
      </c>
      <c r="K122" s="27" t="s">
        <v>29</v>
      </c>
      <c r="L122" s="27" t="s">
        <v>107</v>
      </c>
      <c r="M122" s="27">
        <v>8</v>
      </c>
      <c r="N122" s="27">
        <v>8500</v>
      </c>
      <c r="O122" s="27">
        <v>20</v>
      </c>
      <c r="P122" s="27">
        <v>54400</v>
      </c>
      <c r="Q122" s="27">
        <v>3</v>
      </c>
      <c r="R122" s="27" t="s">
        <v>60</v>
      </c>
      <c r="S122" s="27" t="s">
        <v>42</v>
      </c>
      <c r="T122" s="27" t="s">
        <v>89</v>
      </c>
      <c r="U122" s="27">
        <v>9208625306</v>
      </c>
      <c r="V122" s="35" t="s">
        <v>34</v>
      </c>
      <c r="W122" s="49">
        <f t="shared" ca="1" si="2"/>
        <v>32</v>
      </c>
      <c r="X122" s="50">
        <f t="shared" si="3"/>
        <v>2</v>
      </c>
      <c r="Y122" s="46" t="str" cm="1">
        <f t="array" ref="Y122">_xlfn.IFS(X122&lt;=5,"On Time",X122&gt;5,"Delayed",X122=" ","Pending")</f>
        <v>On Time</v>
      </c>
    </row>
    <row r="123" spans="1:25" ht="15" thickBot="1" x14ac:dyDescent="0.4">
      <c r="A123" s="30" t="s">
        <v>246</v>
      </c>
      <c r="B123" s="30" t="s">
        <v>63</v>
      </c>
      <c r="C123" s="30" t="s">
        <v>138</v>
      </c>
      <c r="D123" s="31">
        <v>46053</v>
      </c>
      <c r="E123" s="31">
        <v>46063</v>
      </c>
      <c r="F123" s="30" t="s">
        <v>110</v>
      </c>
      <c r="G123" s="30" t="s">
        <v>58</v>
      </c>
      <c r="H123" s="31">
        <v>36557</v>
      </c>
      <c r="I123" s="30" t="s">
        <v>48</v>
      </c>
      <c r="J123" s="30" t="s">
        <v>28</v>
      </c>
      <c r="K123" s="30" t="s">
        <v>83</v>
      </c>
      <c r="L123" s="30" t="s">
        <v>139</v>
      </c>
      <c r="M123" s="30">
        <v>3</v>
      </c>
      <c r="N123" s="30">
        <v>45</v>
      </c>
      <c r="O123" s="30">
        <v>0</v>
      </c>
      <c r="P123" s="30">
        <v>135</v>
      </c>
      <c r="Q123" s="30">
        <v>4</v>
      </c>
      <c r="R123" s="30" t="s">
        <v>65</v>
      </c>
      <c r="S123" s="30" t="s">
        <v>50</v>
      </c>
      <c r="T123" s="30" t="s">
        <v>66</v>
      </c>
      <c r="U123" s="30">
        <v>9970178536</v>
      </c>
      <c r="V123" s="38" t="s">
        <v>53</v>
      </c>
      <c r="W123" s="49">
        <f t="shared" ca="1" si="2"/>
        <v>26</v>
      </c>
      <c r="X123" s="50">
        <f t="shared" si="3"/>
        <v>10</v>
      </c>
      <c r="Y123" s="46" t="str" cm="1">
        <f t="array" ref="Y123">_xlfn.IFS(X123&lt;=5,"On Time",X123&gt;5,"Delayed",X123=" ","Pending")</f>
        <v>Delayed</v>
      </c>
    </row>
    <row r="124" spans="1:25" ht="15" thickBot="1" x14ac:dyDescent="0.4">
      <c r="A124" s="27" t="s">
        <v>247</v>
      </c>
      <c r="B124" s="27" t="s">
        <v>156</v>
      </c>
      <c r="C124" s="27" t="s">
        <v>112</v>
      </c>
      <c r="D124" s="28">
        <v>46025</v>
      </c>
      <c r="E124" s="28">
        <v>46026</v>
      </c>
      <c r="F124" s="27" t="s">
        <v>106</v>
      </c>
      <c r="G124" s="27" t="s">
        <v>58</v>
      </c>
      <c r="H124" s="28">
        <v>31585</v>
      </c>
      <c r="I124" s="27" t="s">
        <v>121</v>
      </c>
      <c r="J124" s="27" t="s">
        <v>38</v>
      </c>
      <c r="K124" s="27" t="s">
        <v>39</v>
      </c>
      <c r="L124" s="27" t="s">
        <v>114</v>
      </c>
      <c r="M124" s="27">
        <v>13</v>
      </c>
      <c r="N124" s="27">
        <v>700</v>
      </c>
      <c r="O124" s="27">
        <v>5</v>
      </c>
      <c r="P124" s="27">
        <v>8645</v>
      </c>
      <c r="Q124" s="27">
        <v>3</v>
      </c>
      <c r="R124" s="27" t="s">
        <v>60</v>
      </c>
      <c r="S124" s="27" t="s">
        <v>80</v>
      </c>
      <c r="T124" s="27" t="s">
        <v>158</v>
      </c>
      <c r="U124" s="27">
        <v>9633745195</v>
      </c>
      <c r="V124" s="37" t="s">
        <v>52</v>
      </c>
      <c r="W124" s="49">
        <f t="shared" ca="1" si="2"/>
        <v>40</v>
      </c>
      <c r="X124" s="50">
        <f t="shared" si="3"/>
        <v>1</v>
      </c>
      <c r="Y124" s="46" t="str" cm="1">
        <f t="array" ref="Y124">_xlfn.IFS(X124&lt;=5,"On Time",X124&gt;5,"Delayed",X124=" ","Pending")</f>
        <v>On Time</v>
      </c>
    </row>
    <row r="125" spans="1:25" ht="15" thickBot="1" x14ac:dyDescent="0.4">
      <c r="A125" s="30" t="s">
        <v>248</v>
      </c>
      <c r="B125" s="30" t="s">
        <v>104</v>
      </c>
      <c r="C125" s="30" t="s">
        <v>56</v>
      </c>
      <c r="D125" s="31">
        <v>45950</v>
      </c>
      <c r="E125" s="31">
        <v>45956</v>
      </c>
      <c r="F125" s="30" t="s">
        <v>166</v>
      </c>
      <c r="G125" s="30" t="s">
        <v>26</v>
      </c>
      <c r="H125" s="31">
        <v>31459</v>
      </c>
      <c r="I125" s="30" t="s">
        <v>74</v>
      </c>
      <c r="J125" s="30" t="s">
        <v>75</v>
      </c>
      <c r="K125" s="30" t="s">
        <v>39</v>
      </c>
      <c r="L125" s="30" t="s">
        <v>59</v>
      </c>
      <c r="M125" s="30">
        <v>14</v>
      </c>
      <c r="N125" s="30">
        <v>1200</v>
      </c>
      <c r="O125" s="30">
        <v>20</v>
      </c>
      <c r="P125" s="30">
        <v>13440</v>
      </c>
      <c r="Q125" s="30">
        <v>5</v>
      </c>
      <c r="R125" s="30" t="s">
        <v>41</v>
      </c>
      <c r="S125" s="30" t="s">
        <v>50</v>
      </c>
      <c r="T125" s="30" t="s">
        <v>108</v>
      </c>
      <c r="U125" s="30">
        <v>9922102053</v>
      </c>
      <c r="V125" s="36" t="s">
        <v>34</v>
      </c>
      <c r="W125" s="49">
        <f t="shared" ca="1" si="2"/>
        <v>40</v>
      </c>
      <c r="X125" s="50">
        <f t="shared" si="3"/>
        <v>6</v>
      </c>
      <c r="Y125" s="46" t="str" cm="1">
        <f t="array" ref="Y125">_xlfn.IFS(X125&lt;=5,"On Time",X125&gt;5,"Delayed",X125=" ","Pending")</f>
        <v>Delayed</v>
      </c>
    </row>
    <row r="126" spans="1:25" ht="15" thickBot="1" x14ac:dyDescent="0.4">
      <c r="A126" s="27" t="s">
        <v>249</v>
      </c>
      <c r="B126" s="27" t="s">
        <v>72</v>
      </c>
      <c r="C126" s="27" t="s">
        <v>138</v>
      </c>
      <c r="D126" s="28">
        <v>45788</v>
      </c>
      <c r="E126" s="28">
        <v>45798</v>
      </c>
      <c r="F126" s="27" t="s">
        <v>73</v>
      </c>
      <c r="G126" s="27" t="s">
        <v>26</v>
      </c>
      <c r="H126" s="28">
        <v>33499</v>
      </c>
      <c r="I126" s="27" t="s">
        <v>37</v>
      </c>
      <c r="J126" s="27" t="s">
        <v>38</v>
      </c>
      <c r="K126" s="27" t="s">
        <v>83</v>
      </c>
      <c r="L126" s="27" t="s">
        <v>139</v>
      </c>
      <c r="M126" s="27">
        <v>2</v>
      </c>
      <c r="N126" s="27">
        <v>45</v>
      </c>
      <c r="O126" s="27">
        <v>5</v>
      </c>
      <c r="P126" s="27">
        <v>85.5</v>
      </c>
      <c r="Q126" s="27">
        <v>3</v>
      </c>
      <c r="R126" s="27" t="s">
        <v>65</v>
      </c>
      <c r="S126" s="27" t="s">
        <v>32</v>
      </c>
      <c r="T126" s="27" t="s">
        <v>93</v>
      </c>
      <c r="U126" s="27">
        <v>9135963930</v>
      </c>
      <c r="V126" s="37" t="s">
        <v>53</v>
      </c>
      <c r="W126" s="49">
        <f t="shared" ca="1" si="2"/>
        <v>35</v>
      </c>
      <c r="X126" s="50">
        <f t="shared" si="3"/>
        <v>10</v>
      </c>
      <c r="Y126" s="46" t="str" cm="1">
        <f t="array" ref="Y126">_xlfn.IFS(X126&lt;=5,"On Time",X126&gt;5,"Delayed",X126=" ","Pending")</f>
        <v>Delayed</v>
      </c>
    </row>
    <row r="127" spans="1:25" ht="15" thickBot="1" x14ac:dyDescent="0.4">
      <c r="A127" s="30" t="s">
        <v>250</v>
      </c>
      <c r="B127" s="30" t="s">
        <v>104</v>
      </c>
      <c r="C127" s="30" t="s">
        <v>56</v>
      </c>
      <c r="D127" s="31">
        <v>46024</v>
      </c>
      <c r="E127" s="31">
        <v>46028</v>
      </c>
      <c r="F127" s="30" t="s">
        <v>166</v>
      </c>
      <c r="G127" s="30" t="s">
        <v>26</v>
      </c>
      <c r="H127" s="31">
        <v>29590</v>
      </c>
      <c r="I127" s="30" t="s">
        <v>48</v>
      </c>
      <c r="J127" s="30" t="s">
        <v>28</v>
      </c>
      <c r="K127" s="30" t="s">
        <v>39</v>
      </c>
      <c r="L127" s="30" t="s">
        <v>59</v>
      </c>
      <c r="M127" s="30">
        <v>2</v>
      </c>
      <c r="N127" s="30">
        <v>1200</v>
      </c>
      <c r="O127" s="30">
        <v>20</v>
      </c>
      <c r="P127" s="30">
        <v>1920</v>
      </c>
      <c r="Q127" s="30">
        <v>3</v>
      </c>
      <c r="R127" s="30" t="s">
        <v>60</v>
      </c>
      <c r="S127" s="30" t="s">
        <v>80</v>
      </c>
      <c r="T127" s="30" t="s">
        <v>108</v>
      </c>
      <c r="U127" s="30">
        <v>9429405275</v>
      </c>
      <c r="V127" s="36" t="s">
        <v>34</v>
      </c>
      <c r="W127" s="49">
        <f t="shared" ca="1" si="2"/>
        <v>45</v>
      </c>
      <c r="X127" s="50">
        <f t="shared" si="3"/>
        <v>4</v>
      </c>
      <c r="Y127" s="46" t="str" cm="1">
        <f t="array" ref="Y127">_xlfn.IFS(X127&lt;=5,"On Time",X127&gt;5,"Delayed",X127=" ","Pending")</f>
        <v>On Time</v>
      </c>
    </row>
    <row r="128" spans="1:25" ht="15" thickBot="1" x14ac:dyDescent="0.4">
      <c r="A128" s="27" t="s">
        <v>251</v>
      </c>
      <c r="B128" s="27" t="s">
        <v>87</v>
      </c>
      <c r="C128" s="27" t="s">
        <v>46</v>
      </c>
      <c r="D128" s="28">
        <v>46132</v>
      </c>
      <c r="E128" s="28">
        <v>46138</v>
      </c>
      <c r="F128" s="27" t="s">
        <v>88</v>
      </c>
      <c r="G128" s="27" t="s">
        <v>58</v>
      </c>
      <c r="H128" s="28">
        <v>38272</v>
      </c>
      <c r="I128" s="27" t="s">
        <v>48</v>
      </c>
      <c r="J128" s="27" t="s">
        <v>28</v>
      </c>
      <c r="K128" s="27" t="s">
        <v>39</v>
      </c>
      <c r="L128" s="27" t="s">
        <v>49</v>
      </c>
      <c r="M128" s="27">
        <v>10</v>
      </c>
      <c r="N128" s="27">
        <v>55000</v>
      </c>
      <c r="O128" s="27">
        <v>5</v>
      </c>
      <c r="P128" s="27">
        <v>522500</v>
      </c>
      <c r="Q128" s="27">
        <v>5</v>
      </c>
      <c r="R128" s="27" t="s">
        <v>65</v>
      </c>
      <c r="S128" s="27" t="s">
        <v>50</v>
      </c>
      <c r="T128" s="27" t="s">
        <v>89</v>
      </c>
      <c r="U128" s="27">
        <v>9521757571</v>
      </c>
      <c r="V128" s="37" t="s">
        <v>52</v>
      </c>
      <c r="W128" s="49">
        <f t="shared" ca="1" si="2"/>
        <v>22</v>
      </c>
      <c r="X128" s="50">
        <f t="shared" si="3"/>
        <v>6</v>
      </c>
      <c r="Y128" s="46" t="str" cm="1">
        <f t="array" ref="Y128">_xlfn.IFS(X128&lt;=5,"On Time",X128&gt;5,"Delayed",X128=" ","Pending")</f>
        <v>Delayed</v>
      </c>
    </row>
    <row r="129" spans="1:25" ht="15" thickBot="1" x14ac:dyDescent="0.4">
      <c r="A129" s="30" t="s">
        <v>252</v>
      </c>
      <c r="B129" s="30" t="s">
        <v>134</v>
      </c>
      <c r="C129" s="30" t="s">
        <v>68</v>
      </c>
      <c r="D129" s="31">
        <v>45873</v>
      </c>
      <c r="E129" s="31">
        <v>45874</v>
      </c>
      <c r="F129" s="30" t="s">
        <v>135</v>
      </c>
      <c r="G129" s="30" t="s">
        <v>26</v>
      </c>
      <c r="H129" s="31">
        <v>30766</v>
      </c>
      <c r="I129" s="30" t="s">
        <v>121</v>
      </c>
      <c r="J129" s="30" t="s">
        <v>38</v>
      </c>
      <c r="K129" s="30" t="s">
        <v>29</v>
      </c>
      <c r="L129" s="30" t="s">
        <v>70</v>
      </c>
      <c r="M129" s="30">
        <v>15</v>
      </c>
      <c r="N129" s="30">
        <v>3500</v>
      </c>
      <c r="O129" s="30">
        <v>10</v>
      </c>
      <c r="P129" s="30">
        <v>47250</v>
      </c>
      <c r="Q129" s="30">
        <v>3</v>
      </c>
      <c r="R129" s="30" t="s">
        <v>41</v>
      </c>
      <c r="S129" s="30" t="s">
        <v>80</v>
      </c>
      <c r="T129" s="30" t="s">
        <v>136</v>
      </c>
      <c r="U129" s="30">
        <v>9467375455</v>
      </c>
      <c r="V129" s="36" t="s">
        <v>34</v>
      </c>
      <c r="W129" s="49">
        <f t="shared" ca="1" si="2"/>
        <v>42</v>
      </c>
      <c r="X129" s="50">
        <f t="shared" si="3"/>
        <v>1</v>
      </c>
      <c r="Y129" s="46" t="str" cm="1">
        <f t="array" ref="Y129">_xlfn.IFS(X129&lt;=5,"On Time",X129&gt;5,"Delayed",X129=" ","Pending")</f>
        <v>On Time</v>
      </c>
    </row>
    <row r="130" spans="1:25" ht="15" thickBot="1" x14ac:dyDescent="0.4">
      <c r="A130" s="27" t="s">
        <v>253</v>
      </c>
      <c r="B130" s="27" t="s">
        <v>72</v>
      </c>
      <c r="C130" s="27" t="s">
        <v>24</v>
      </c>
      <c r="D130" s="28">
        <v>45882</v>
      </c>
      <c r="E130" s="28">
        <v>45887</v>
      </c>
      <c r="F130" s="27" t="s">
        <v>73</v>
      </c>
      <c r="G130" s="27" t="s">
        <v>26</v>
      </c>
      <c r="H130" s="28">
        <v>30203</v>
      </c>
      <c r="I130" s="27" t="s">
        <v>48</v>
      </c>
      <c r="J130" s="27" t="s">
        <v>28</v>
      </c>
      <c r="K130" s="27" t="s">
        <v>29</v>
      </c>
      <c r="L130" s="27" t="s">
        <v>30</v>
      </c>
      <c r="M130" s="27">
        <v>10</v>
      </c>
      <c r="N130" s="27">
        <v>2200</v>
      </c>
      <c r="O130" s="27">
        <v>15</v>
      </c>
      <c r="P130" s="27">
        <v>18700</v>
      </c>
      <c r="Q130" s="27">
        <v>4</v>
      </c>
      <c r="R130" s="27" t="s">
        <v>60</v>
      </c>
      <c r="S130" s="27" t="s">
        <v>42</v>
      </c>
      <c r="T130" s="27" t="s">
        <v>93</v>
      </c>
      <c r="U130" s="27">
        <v>9838809695</v>
      </c>
      <c r="V130" s="37" t="s">
        <v>52</v>
      </c>
      <c r="W130" s="49">
        <f t="shared" ca="1" si="2"/>
        <v>44</v>
      </c>
      <c r="X130" s="50">
        <f t="shared" si="3"/>
        <v>5</v>
      </c>
      <c r="Y130" s="46" t="str" cm="1">
        <f t="array" ref="Y130">_xlfn.IFS(X130&lt;=5,"On Time",X130&gt;5,"Delayed",X130=" ","Pending")</f>
        <v>On Time</v>
      </c>
    </row>
    <row r="131" spans="1:25" ht="15" thickBot="1" x14ac:dyDescent="0.4">
      <c r="A131" s="30" t="s">
        <v>254</v>
      </c>
      <c r="B131" s="30" t="s">
        <v>134</v>
      </c>
      <c r="C131" s="30" t="s">
        <v>68</v>
      </c>
      <c r="D131" s="31">
        <v>45824</v>
      </c>
      <c r="E131" s="31">
        <v>45832</v>
      </c>
      <c r="F131" s="30" t="s">
        <v>135</v>
      </c>
      <c r="G131" s="30" t="s">
        <v>26</v>
      </c>
      <c r="H131" s="31">
        <v>34015</v>
      </c>
      <c r="I131" s="30" t="s">
        <v>79</v>
      </c>
      <c r="J131" s="30" t="s">
        <v>75</v>
      </c>
      <c r="K131" s="30" t="s">
        <v>29</v>
      </c>
      <c r="L131" s="30" t="s">
        <v>70</v>
      </c>
      <c r="M131" s="30">
        <v>11</v>
      </c>
      <c r="N131" s="30">
        <v>3500</v>
      </c>
      <c r="O131" s="30">
        <v>5</v>
      </c>
      <c r="P131" s="30">
        <v>36575</v>
      </c>
      <c r="Q131" s="30">
        <v>5</v>
      </c>
      <c r="R131" s="30" t="s">
        <v>31</v>
      </c>
      <c r="S131" s="30" t="s">
        <v>32</v>
      </c>
      <c r="T131" s="30" t="s">
        <v>136</v>
      </c>
      <c r="U131" s="30">
        <v>9296609782</v>
      </c>
      <c r="V131" s="38" t="s">
        <v>53</v>
      </c>
      <c r="W131" s="49">
        <f t="shared" ref="W131:W194" ca="1" si="4">INT(YEARFRAC(H131, TODAY()))</f>
        <v>33</v>
      </c>
      <c r="X131" s="50">
        <f t="shared" ref="X131:X194" si="5">IF(OR(E131="", E131&lt;D131), "", E131 - D131)</f>
        <v>8</v>
      </c>
      <c r="Y131" s="46" t="str" cm="1">
        <f t="array" ref="Y131">_xlfn.IFS(X131&lt;=5,"On Time",X131&gt;5,"Delayed",X131=" ","Pending")</f>
        <v>Delayed</v>
      </c>
    </row>
    <row r="132" spans="1:25" ht="15" thickBot="1" x14ac:dyDescent="0.4">
      <c r="A132" s="27" t="s">
        <v>255</v>
      </c>
      <c r="B132" s="27" t="s">
        <v>104</v>
      </c>
      <c r="C132" s="27" t="s">
        <v>56</v>
      </c>
      <c r="D132" s="28">
        <v>46139</v>
      </c>
      <c r="E132" s="28">
        <v>46142</v>
      </c>
      <c r="F132" s="27" t="s">
        <v>166</v>
      </c>
      <c r="G132" s="27" t="s">
        <v>26</v>
      </c>
      <c r="H132" s="28">
        <v>37719</v>
      </c>
      <c r="I132" s="27" t="s">
        <v>48</v>
      </c>
      <c r="J132" s="27" t="s">
        <v>28</v>
      </c>
      <c r="K132" s="27" t="s">
        <v>39</v>
      </c>
      <c r="L132" s="27" t="s">
        <v>59</v>
      </c>
      <c r="M132" s="27">
        <v>14</v>
      </c>
      <c r="N132" s="27">
        <v>1200</v>
      </c>
      <c r="O132" s="27">
        <v>0</v>
      </c>
      <c r="P132" s="27">
        <v>16800</v>
      </c>
      <c r="Q132" s="27">
        <v>5</v>
      </c>
      <c r="R132" s="27" t="s">
        <v>31</v>
      </c>
      <c r="S132" s="27" t="s">
        <v>42</v>
      </c>
      <c r="T132" s="27" t="s">
        <v>108</v>
      </c>
      <c r="U132" s="27">
        <v>9848259992</v>
      </c>
      <c r="V132" s="37" t="s">
        <v>53</v>
      </c>
      <c r="W132" s="49">
        <f t="shared" ca="1" si="4"/>
        <v>23</v>
      </c>
      <c r="X132" s="50">
        <f t="shared" si="5"/>
        <v>3</v>
      </c>
      <c r="Y132" s="46" t="str" cm="1">
        <f t="array" ref="Y132">_xlfn.IFS(X132&lt;=5,"On Time",X132&gt;5,"Delayed",X132=" ","Pending")</f>
        <v>On Time</v>
      </c>
    </row>
    <row r="133" spans="1:25" ht="15" thickBot="1" x14ac:dyDescent="0.4">
      <c r="A133" s="30" t="s">
        <v>256</v>
      </c>
      <c r="B133" s="30" t="s">
        <v>72</v>
      </c>
      <c r="C133" s="30" t="s">
        <v>125</v>
      </c>
      <c r="D133" s="31">
        <v>46070</v>
      </c>
      <c r="E133" s="31">
        <v>46075</v>
      </c>
      <c r="F133" s="30" t="s">
        <v>73</v>
      </c>
      <c r="G133" s="30" t="s">
        <v>26</v>
      </c>
      <c r="H133" s="31">
        <v>32801</v>
      </c>
      <c r="I133" s="30" t="s">
        <v>37</v>
      </c>
      <c r="J133" s="30" t="s">
        <v>38</v>
      </c>
      <c r="K133" s="30" t="s">
        <v>83</v>
      </c>
      <c r="L133" s="30" t="s">
        <v>127</v>
      </c>
      <c r="M133" s="30">
        <v>11</v>
      </c>
      <c r="N133" s="30">
        <v>20</v>
      </c>
      <c r="O133" s="30">
        <v>20</v>
      </c>
      <c r="P133" s="30">
        <v>176</v>
      </c>
      <c r="Q133" s="30">
        <v>4</v>
      </c>
      <c r="R133" s="30" t="s">
        <v>41</v>
      </c>
      <c r="S133" s="30" t="s">
        <v>32</v>
      </c>
      <c r="T133" s="30" t="s">
        <v>93</v>
      </c>
      <c r="U133" s="30">
        <v>9254082295</v>
      </c>
      <c r="V133" s="36" t="s">
        <v>34</v>
      </c>
      <c r="W133" s="49">
        <f t="shared" ca="1" si="4"/>
        <v>37</v>
      </c>
      <c r="X133" s="50">
        <f t="shared" si="5"/>
        <v>5</v>
      </c>
      <c r="Y133" s="46" t="str" cm="1">
        <f t="array" ref="Y133">_xlfn.IFS(X133&lt;=5,"On Time",X133&gt;5,"Delayed",X133=" ","Pending")</f>
        <v>On Time</v>
      </c>
    </row>
    <row r="134" spans="1:25" ht="15" thickBot="1" x14ac:dyDescent="0.4">
      <c r="A134" s="27" t="s">
        <v>257</v>
      </c>
      <c r="B134" s="27" t="s">
        <v>55</v>
      </c>
      <c r="C134" s="27" t="s">
        <v>36</v>
      </c>
      <c r="D134" s="28">
        <v>46116</v>
      </c>
      <c r="E134" s="28">
        <v>46122</v>
      </c>
      <c r="F134" s="27" t="s">
        <v>57</v>
      </c>
      <c r="G134" s="27" t="s">
        <v>58</v>
      </c>
      <c r="H134" s="28">
        <v>34957</v>
      </c>
      <c r="I134" s="27" t="s">
        <v>79</v>
      </c>
      <c r="J134" s="27" t="s">
        <v>75</v>
      </c>
      <c r="K134" s="27" t="s">
        <v>39</v>
      </c>
      <c r="L134" s="27" t="s">
        <v>40</v>
      </c>
      <c r="M134" s="27">
        <v>6</v>
      </c>
      <c r="N134" s="27">
        <v>12000</v>
      </c>
      <c r="O134" s="27">
        <v>10</v>
      </c>
      <c r="P134" s="27">
        <v>64800</v>
      </c>
      <c r="Q134" s="27">
        <v>5</v>
      </c>
      <c r="R134" s="27" t="s">
        <v>65</v>
      </c>
      <c r="S134" s="27" t="s">
        <v>96</v>
      </c>
      <c r="T134" s="27" t="s">
        <v>61</v>
      </c>
      <c r="U134" s="27">
        <v>9687923860</v>
      </c>
      <c r="V134" s="35" t="s">
        <v>34</v>
      </c>
      <c r="W134" s="49">
        <f t="shared" ca="1" si="4"/>
        <v>31</v>
      </c>
      <c r="X134" s="50">
        <f t="shared" si="5"/>
        <v>6</v>
      </c>
      <c r="Y134" s="46" t="str" cm="1">
        <f t="array" ref="Y134">_xlfn.IFS(X134&lt;=5,"On Time",X134&gt;5,"Delayed",X134=" ","Pending")</f>
        <v>Delayed</v>
      </c>
    </row>
    <row r="135" spans="1:25" ht="15" thickBot="1" x14ac:dyDescent="0.4">
      <c r="A135" s="30" t="s">
        <v>258</v>
      </c>
      <c r="B135" s="30" t="s">
        <v>55</v>
      </c>
      <c r="C135" s="30" t="s">
        <v>24</v>
      </c>
      <c r="D135" s="31">
        <v>45756</v>
      </c>
      <c r="E135" s="31">
        <v>45765</v>
      </c>
      <c r="F135" s="30" t="s">
        <v>57</v>
      </c>
      <c r="G135" s="30" t="s">
        <v>58</v>
      </c>
      <c r="H135" s="31">
        <v>34431</v>
      </c>
      <c r="I135" s="30" t="s">
        <v>27</v>
      </c>
      <c r="J135" s="30" t="s">
        <v>28</v>
      </c>
      <c r="K135" s="30" t="s">
        <v>29</v>
      </c>
      <c r="L135" s="30" t="s">
        <v>30</v>
      </c>
      <c r="M135" s="30">
        <v>6</v>
      </c>
      <c r="N135" s="30">
        <v>2200</v>
      </c>
      <c r="O135" s="30">
        <v>5</v>
      </c>
      <c r="P135" s="30">
        <v>12540</v>
      </c>
      <c r="Q135" s="30">
        <v>4</v>
      </c>
      <c r="R135" s="30" t="s">
        <v>31</v>
      </c>
      <c r="S135" s="30" t="s">
        <v>42</v>
      </c>
      <c r="T135" s="30" t="s">
        <v>61</v>
      </c>
      <c r="U135" s="30">
        <v>9426459149</v>
      </c>
      <c r="V135" s="36" t="s">
        <v>34</v>
      </c>
      <c r="W135" s="49">
        <f t="shared" ca="1" si="4"/>
        <v>32</v>
      </c>
      <c r="X135" s="50">
        <f t="shared" si="5"/>
        <v>9</v>
      </c>
      <c r="Y135" s="46" t="str" cm="1">
        <f t="array" ref="Y135">_xlfn.IFS(X135&lt;=5,"On Time",X135&gt;5,"Delayed",X135=" ","Pending")</f>
        <v>Delayed</v>
      </c>
    </row>
    <row r="136" spans="1:25" ht="15" thickBot="1" x14ac:dyDescent="0.4">
      <c r="A136" s="27" t="s">
        <v>259</v>
      </c>
      <c r="B136" s="27" t="s">
        <v>45</v>
      </c>
      <c r="C136" s="27" t="s">
        <v>68</v>
      </c>
      <c r="D136" s="28">
        <v>45823</v>
      </c>
      <c r="E136" s="28">
        <v>45835</v>
      </c>
      <c r="F136" s="27" t="s">
        <v>101</v>
      </c>
      <c r="G136" s="27" t="s">
        <v>26</v>
      </c>
      <c r="H136" s="28">
        <v>37896</v>
      </c>
      <c r="I136" s="27" t="s">
        <v>37</v>
      </c>
      <c r="J136" s="27" t="s">
        <v>38</v>
      </c>
      <c r="K136" s="27" t="s">
        <v>29</v>
      </c>
      <c r="L136" s="27" t="s">
        <v>70</v>
      </c>
      <c r="M136" s="27">
        <v>3</v>
      </c>
      <c r="N136" s="27">
        <v>3500</v>
      </c>
      <c r="O136" s="27">
        <v>5</v>
      </c>
      <c r="P136" s="27">
        <v>9975</v>
      </c>
      <c r="Q136" s="27">
        <v>4</v>
      </c>
      <c r="R136" s="27" t="s">
        <v>41</v>
      </c>
      <c r="S136" s="27" t="s">
        <v>42</v>
      </c>
      <c r="T136" s="27" t="s">
        <v>51</v>
      </c>
      <c r="U136" s="27">
        <v>9155925975</v>
      </c>
      <c r="V136" s="37" t="s">
        <v>52</v>
      </c>
      <c r="W136" s="49">
        <f t="shared" ca="1" si="4"/>
        <v>23</v>
      </c>
      <c r="X136" s="50">
        <f t="shared" si="5"/>
        <v>12</v>
      </c>
      <c r="Y136" s="46" t="str" cm="1">
        <f t="array" ref="Y136">_xlfn.IFS(X136&lt;=5,"On Time",X136&gt;5,"Delayed",X136=" ","Pending")</f>
        <v>Delayed</v>
      </c>
    </row>
    <row r="137" spans="1:25" ht="15" thickBot="1" x14ac:dyDescent="0.4">
      <c r="A137" s="30" t="s">
        <v>260</v>
      </c>
      <c r="B137" s="30" t="s">
        <v>55</v>
      </c>
      <c r="C137" s="30" t="s">
        <v>105</v>
      </c>
      <c r="D137" s="31">
        <v>45816</v>
      </c>
      <c r="E137" s="31">
        <v>45818</v>
      </c>
      <c r="F137" s="30" t="s">
        <v>57</v>
      </c>
      <c r="G137" s="30" t="s">
        <v>58</v>
      </c>
      <c r="H137" s="31">
        <v>35625</v>
      </c>
      <c r="I137" s="30" t="s">
        <v>27</v>
      </c>
      <c r="J137" s="30" t="s">
        <v>28</v>
      </c>
      <c r="K137" s="30" t="s">
        <v>29</v>
      </c>
      <c r="L137" s="30" t="s">
        <v>107</v>
      </c>
      <c r="M137" s="30">
        <v>5</v>
      </c>
      <c r="N137" s="30">
        <v>8500</v>
      </c>
      <c r="O137" s="30">
        <v>20</v>
      </c>
      <c r="P137" s="30">
        <v>34000</v>
      </c>
      <c r="Q137" s="30">
        <v>5</v>
      </c>
      <c r="R137" s="30" t="s">
        <v>31</v>
      </c>
      <c r="S137" s="30" t="s">
        <v>50</v>
      </c>
      <c r="T137" s="30" t="s">
        <v>61</v>
      </c>
      <c r="U137" s="30">
        <v>9945247701</v>
      </c>
      <c r="V137" s="38" t="s">
        <v>52</v>
      </c>
      <c r="W137" s="49">
        <f t="shared" ca="1" si="4"/>
        <v>29</v>
      </c>
      <c r="X137" s="50">
        <f t="shared" si="5"/>
        <v>2</v>
      </c>
      <c r="Y137" s="46" t="str" cm="1">
        <f t="array" ref="Y137">_xlfn.IFS(X137&lt;=5,"On Time",X137&gt;5,"Delayed",X137=" ","Pending")</f>
        <v>On Time</v>
      </c>
    </row>
    <row r="138" spans="1:25" ht="15" thickBot="1" x14ac:dyDescent="0.4">
      <c r="A138" s="27" t="s">
        <v>261</v>
      </c>
      <c r="B138" s="27" t="s">
        <v>23</v>
      </c>
      <c r="C138" s="27" t="s">
        <v>68</v>
      </c>
      <c r="D138" s="28">
        <v>45863</v>
      </c>
      <c r="E138" s="28">
        <v>45870</v>
      </c>
      <c r="F138" s="27" t="s">
        <v>25</v>
      </c>
      <c r="G138" s="27" t="s">
        <v>26</v>
      </c>
      <c r="H138" s="28">
        <v>29076</v>
      </c>
      <c r="I138" s="27" t="s">
        <v>48</v>
      </c>
      <c r="J138" s="27" t="s">
        <v>28</v>
      </c>
      <c r="K138" s="27" t="s">
        <v>29</v>
      </c>
      <c r="L138" s="27" t="s">
        <v>70</v>
      </c>
      <c r="M138" s="27">
        <v>14</v>
      </c>
      <c r="N138" s="27">
        <v>3500</v>
      </c>
      <c r="O138" s="27">
        <v>10</v>
      </c>
      <c r="P138" s="27">
        <v>44100</v>
      </c>
      <c r="Q138" s="27">
        <v>4</v>
      </c>
      <c r="R138" s="27" t="s">
        <v>65</v>
      </c>
      <c r="S138" s="27" t="s">
        <v>32</v>
      </c>
      <c r="T138" s="27" t="s">
        <v>43</v>
      </c>
      <c r="U138" s="27">
        <v>9597378398</v>
      </c>
      <c r="V138" s="37" t="s">
        <v>53</v>
      </c>
      <c r="W138" s="49">
        <f t="shared" ca="1" si="4"/>
        <v>47</v>
      </c>
      <c r="X138" s="50">
        <f t="shared" si="5"/>
        <v>7</v>
      </c>
      <c r="Y138" s="46" t="str" cm="1">
        <f t="array" ref="Y138">_xlfn.IFS(X138&lt;=5,"On Time",X138&gt;5,"Delayed",X138=" ","Pending")</f>
        <v>Delayed</v>
      </c>
    </row>
    <row r="139" spans="1:25" ht="15" thickBot="1" x14ac:dyDescent="0.4">
      <c r="A139" s="30" t="s">
        <v>262</v>
      </c>
      <c r="B139" s="30" t="s">
        <v>156</v>
      </c>
      <c r="C139" s="30" t="s">
        <v>138</v>
      </c>
      <c r="D139" s="31">
        <v>45673</v>
      </c>
      <c r="E139" s="31">
        <v>45678</v>
      </c>
      <c r="F139" s="30" t="s">
        <v>106</v>
      </c>
      <c r="G139" s="30" t="s">
        <v>58</v>
      </c>
      <c r="H139" s="31">
        <v>37549</v>
      </c>
      <c r="I139" s="30" t="s">
        <v>91</v>
      </c>
      <c r="J139" s="30" t="s">
        <v>75</v>
      </c>
      <c r="K139" s="30" t="s">
        <v>83</v>
      </c>
      <c r="L139" s="30" t="s">
        <v>139</v>
      </c>
      <c r="M139" s="30">
        <v>8</v>
      </c>
      <c r="N139" s="30">
        <v>45</v>
      </c>
      <c r="O139" s="30">
        <v>0</v>
      </c>
      <c r="P139" s="30">
        <v>360</v>
      </c>
      <c r="Q139" s="30">
        <v>1</v>
      </c>
      <c r="R139" s="30" t="s">
        <v>60</v>
      </c>
      <c r="S139" s="30" t="s">
        <v>96</v>
      </c>
      <c r="T139" s="30" t="s">
        <v>158</v>
      </c>
      <c r="U139" s="30">
        <v>9343963736</v>
      </c>
      <c r="V139" s="38" t="s">
        <v>53</v>
      </c>
      <c r="W139" s="49">
        <f t="shared" ca="1" si="4"/>
        <v>24</v>
      </c>
      <c r="X139" s="50">
        <f t="shared" si="5"/>
        <v>5</v>
      </c>
      <c r="Y139" s="46" t="str" cm="1">
        <f t="array" ref="Y139">_xlfn.IFS(X139&lt;=5,"On Time",X139&gt;5,"Delayed",X139=" ","Pending")</f>
        <v>On Time</v>
      </c>
    </row>
    <row r="140" spans="1:25" ht="15" thickBot="1" x14ac:dyDescent="0.4">
      <c r="A140" s="27" t="s">
        <v>263</v>
      </c>
      <c r="B140" s="27" t="s">
        <v>124</v>
      </c>
      <c r="C140" s="27" t="s">
        <v>138</v>
      </c>
      <c r="D140" s="28">
        <v>45692</v>
      </c>
      <c r="E140" s="28">
        <v>45693</v>
      </c>
      <c r="F140" s="27" t="s">
        <v>126</v>
      </c>
      <c r="G140" s="27" t="s">
        <v>58</v>
      </c>
      <c r="H140" s="28">
        <v>31252</v>
      </c>
      <c r="I140" s="27" t="s">
        <v>37</v>
      </c>
      <c r="J140" s="27" t="s">
        <v>38</v>
      </c>
      <c r="K140" s="27" t="s">
        <v>83</v>
      </c>
      <c r="L140" s="27" t="s">
        <v>139</v>
      </c>
      <c r="M140" s="27">
        <v>11</v>
      </c>
      <c r="N140" s="27">
        <v>45</v>
      </c>
      <c r="O140" s="27">
        <v>5</v>
      </c>
      <c r="P140" s="27">
        <v>470.25</v>
      </c>
      <c r="Q140" s="27">
        <v>3</v>
      </c>
      <c r="R140" s="27" t="s">
        <v>60</v>
      </c>
      <c r="S140" s="27" t="s">
        <v>42</v>
      </c>
      <c r="T140" s="27" t="s">
        <v>128</v>
      </c>
      <c r="U140" s="27">
        <v>9548742147</v>
      </c>
      <c r="V140" s="35" t="s">
        <v>34</v>
      </c>
      <c r="W140" s="49">
        <f t="shared" ca="1" si="4"/>
        <v>41</v>
      </c>
      <c r="X140" s="50">
        <f t="shared" si="5"/>
        <v>1</v>
      </c>
      <c r="Y140" s="46" t="str" cm="1">
        <f t="array" ref="Y140">_xlfn.IFS(X140&lt;=5,"On Time",X140&gt;5,"Delayed",X140=" ","Pending")</f>
        <v>On Time</v>
      </c>
    </row>
    <row r="141" spans="1:25" ht="15" thickBot="1" x14ac:dyDescent="0.4">
      <c r="A141" s="30" t="s">
        <v>264</v>
      </c>
      <c r="B141" s="30" t="s">
        <v>63</v>
      </c>
      <c r="C141" s="30" t="s">
        <v>46</v>
      </c>
      <c r="D141" s="31">
        <v>45679</v>
      </c>
      <c r="E141" s="31">
        <v>45687</v>
      </c>
      <c r="F141" s="30" t="s">
        <v>110</v>
      </c>
      <c r="G141" s="30" t="s">
        <v>58</v>
      </c>
      <c r="H141" s="31">
        <v>32378</v>
      </c>
      <c r="I141" s="30" t="s">
        <v>91</v>
      </c>
      <c r="J141" s="30" t="s">
        <v>75</v>
      </c>
      <c r="K141" s="30" t="s">
        <v>39</v>
      </c>
      <c r="L141" s="30" t="s">
        <v>49</v>
      </c>
      <c r="M141" s="30">
        <v>19</v>
      </c>
      <c r="N141" s="30">
        <v>55000</v>
      </c>
      <c r="O141" s="30">
        <v>0</v>
      </c>
      <c r="P141" s="30">
        <v>1045000</v>
      </c>
      <c r="Q141" s="30">
        <v>2</v>
      </c>
      <c r="R141" s="30" t="s">
        <v>60</v>
      </c>
      <c r="S141" s="30" t="s">
        <v>32</v>
      </c>
      <c r="T141" s="30" t="s">
        <v>66</v>
      </c>
      <c r="U141" s="30">
        <v>9912945471</v>
      </c>
      <c r="V141" s="38" t="s">
        <v>53</v>
      </c>
      <c r="W141" s="49">
        <f t="shared" ca="1" si="4"/>
        <v>38</v>
      </c>
      <c r="X141" s="50">
        <f t="shared" si="5"/>
        <v>8</v>
      </c>
      <c r="Y141" s="46" t="str" cm="1">
        <f t="array" ref="Y141">_xlfn.IFS(X141&lt;=5,"On Time",X141&gt;5,"Delayed",X141=" ","Pending")</f>
        <v>Delayed</v>
      </c>
    </row>
    <row r="142" spans="1:25" ht="15" thickBot="1" x14ac:dyDescent="0.4">
      <c r="A142" s="27" t="s">
        <v>265</v>
      </c>
      <c r="B142" s="27" t="s">
        <v>45</v>
      </c>
      <c r="C142" s="27" t="s">
        <v>68</v>
      </c>
      <c r="D142" s="28">
        <v>45758</v>
      </c>
      <c r="E142" s="28">
        <v>45765</v>
      </c>
      <c r="F142" s="27" t="s">
        <v>101</v>
      </c>
      <c r="G142" s="27" t="s">
        <v>26</v>
      </c>
      <c r="H142" s="28">
        <v>28864</v>
      </c>
      <c r="I142" s="27" t="s">
        <v>79</v>
      </c>
      <c r="J142" s="27" t="s">
        <v>75</v>
      </c>
      <c r="K142" s="27" t="s">
        <v>29</v>
      </c>
      <c r="L142" s="27" t="s">
        <v>70</v>
      </c>
      <c r="M142" s="27">
        <v>20</v>
      </c>
      <c r="N142" s="27">
        <v>3500</v>
      </c>
      <c r="O142" s="27">
        <v>20</v>
      </c>
      <c r="P142" s="27">
        <v>56000</v>
      </c>
      <c r="Q142" s="27">
        <v>4</v>
      </c>
      <c r="R142" s="27" t="s">
        <v>41</v>
      </c>
      <c r="S142" s="27" t="s">
        <v>42</v>
      </c>
      <c r="T142" s="27" t="s">
        <v>51</v>
      </c>
      <c r="U142" s="27">
        <v>9912630684</v>
      </c>
      <c r="V142" s="35" t="s">
        <v>34</v>
      </c>
      <c r="W142" s="49">
        <f t="shared" ca="1" si="4"/>
        <v>47</v>
      </c>
      <c r="X142" s="50">
        <f t="shared" si="5"/>
        <v>7</v>
      </c>
      <c r="Y142" s="46" t="str" cm="1">
        <f t="array" ref="Y142">_xlfn.IFS(X142&lt;=5,"On Time",X142&gt;5,"Delayed",X142=" ","Pending")</f>
        <v>Delayed</v>
      </c>
    </row>
    <row r="143" spans="1:25" ht="15" thickBot="1" x14ac:dyDescent="0.4">
      <c r="A143" s="30" t="s">
        <v>266</v>
      </c>
      <c r="B143" s="30" t="s">
        <v>63</v>
      </c>
      <c r="C143" s="30" t="s">
        <v>24</v>
      </c>
      <c r="D143" s="31">
        <v>45842</v>
      </c>
      <c r="E143" s="31">
        <v>45852</v>
      </c>
      <c r="F143" s="30" t="s">
        <v>110</v>
      </c>
      <c r="G143" s="30" t="s">
        <v>58</v>
      </c>
      <c r="H143" s="31">
        <v>31649</v>
      </c>
      <c r="I143" s="30" t="s">
        <v>79</v>
      </c>
      <c r="J143" s="30" t="s">
        <v>75</v>
      </c>
      <c r="K143" s="30" t="s">
        <v>29</v>
      </c>
      <c r="L143" s="30" t="s">
        <v>30</v>
      </c>
      <c r="M143" s="30">
        <v>17</v>
      </c>
      <c r="N143" s="30">
        <v>2200</v>
      </c>
      <c r="O143" s="30">
        <v>0</v>
      </c>
      <c r="P143" s="30">
        <v>37400</v>
      </c>
      <c r="Q143" s="30">
        <v>5</v>
      </c>
      <c r="R143" s="30" t="s">
        <v>41</v>
      </c>
      <c r="S143" s="30" t="s">
        <v>32</v>
      </c>
      <c r="T143" s="30" t="s">
        <v>66</v>
      </c>
      <c r="U143" s="30">
        <v>9114017237</v>
      </c>
      <c r="V143" s="38" t="s">
        <v>52</v>
      </c>
      <c r="W143" s="49">
        <f t="shared" ca="1" si="4"/>
        <v>40</v>
      </c>
      <c r="X143" s="50">
        <f t="shared" si="5"/>
        <v>10</v>
      </c>
      <c r="Y143" s="46" t="str" cm="1">
        <f t="array" ref="Y143">_xlfn.IFS(X143&lt;=5,"On Time",X143&gt;5,"Delayed",X143=" ","Pending")</f>
        <v>Delayed</v>
      </c>
    </row>
    <row r="144" spans="1:25" ht="15" thickBot="1" x14ac:dyDescent="0.4">
      <c r="A144" s="27" t="s">
        <v>267</v>
      </c>
      <c r="B144" s="27" t="s">
        <v>63</v>
      </c>
      <c r="C144" s="27" t="s">
        <v>56</v>
      </c>
      <c r="D144" s="28">
        <v>45679</v>
      </c>
      <c r="E144" s="28">
        <v>45686</v>
      </c>
      <c r="F144" s="27" t="s">
        <v>110</v>
      </c>
      <c r="G144" s="27" t="s">
        <v>58</v>
      </c>
      <c r="H144" s="28">
        <v>28216</v>
      </c>
      <c r="I144" s="27" t="s">
        <v>79</v>
      </c>
      <c r="J144" s="27" t="s">
        <v>75</v>
      </c>
      <c r="K144" s="27" t="s">
        <v>39</v>
      </c>
      <c r="L144" s="27" t="s">
        <v>59</v>
      </c>
      <c r="M144" s="27">
        <v>10</v>
      </c>
      <c r="N144" s="27">
        <v>1200</v>
      </c>
      <c r="O144" s="27">
        <v>5</v>
      </c>
      <c r="P144" s="27">
        <v>11400</v>
      </c>
      <c r="Q144" s="27">
        <v>2</v>
      </c>
      <c r="R144" s="27" t="s">
        <v>31</v>
      </c>
      <c r="S144" s="27" t="s">
        <v>42</v>
      </c>
      <c r="T144" s="27" t="s">
        <v>66</v>
      </c>
      <c r="U144" s="27">
        <v>9872471236</v>
      </c>
      <c r="V144" s="37" t="s">
        <v>53</v>
      </c>
      <c r="W144" s="49">
        <f t="shared" ca="1" si="4"/>
        <v>49</v>
      </c>
      <c r="X144" s="50">
        <f t="shared" si="5"/>
        <v>7</v>
      </c>
      <c r="Y144" s="46" t="str" cm="1">
        <f t="array" ref="Y144">_xlfn.IFS(X144&lt;=5,"On Time",X144&gt;5,"Delayed",X144=" ","Pending")</f>
        <v>Delayed</v>
      </c>
    </row>
    <row r="145" spans="1:25" ht="15" thickBot="1" x14ac:dyDescent="0.4">
      <c r="A145" s="30" t="s">
        <v>268</v>
      </c>
      <c r="B145" s="30" t="s">
        <v>124</v>
      </c>
      <c r="C145" s="30" t="s">
        <v>82</v>
      </c>
      <c r="D145" s="31">
        <v>46008</v>
      </c>
      <c r="E145" s="31">
        <v>46009</v>
      </c>
      <c r="F145" s="30" t="s">
        <v>126</v>
      </c>
      <c r="G145" s="30" t="s">
        <v>58</v>
      </c>
      <c r="H145" s="31">
        <v>30532</v>
      </c>
      <c r="I145" s="30" t="s">
        <v>27</v>
      </c>
      <c r="J145" s="30" t="s">
        <v>28</v>
      </c>
      <c r="K145" s="30" t="s">
        <v>83</v>
      </c>
      <c r="L145" s="30" t="s">
        <v>84</v>
      </c>
      <c r="M145" s="30">
        <v>3</v>
      </c>
      <c r="N145" s="30">
        <v>60</v>
      </c>
      <c r="O145" s="30">
        <v>0</v>
      </c>
      <c r="P145" s="30">
        <v>180</v>
      </c>
      <c r="Q145" s="30">
        <v>4</v>
      </c>
      <c r="R145" s="30" t="s">
        <v>41</v>
      </c>
      <c r="S145" s="30" t="s">
        <v>96</v>
      </c>
      <c r="T145" s="30" t="s">
        <v>128</v>
      </c>
      <c r="U145" s="30">
        <v>9461383824</v>
      </c>
      <c r="V145" s="36" t="s">
        <v>34</v>
      </c>
      <c r="W145" s="49">
        <f t="shared" ca="1" si="4"/>
        <v>43</v>
      </c>
      <c r="X145" s="50">
        <f t="shared" si="5"/>
        <v>1</v>
      </c>
      <c r="Y145" s="46" t="str" cm="1">
        <f t="array" ref="Y145">_xlfn.IFS(X145&lt;=5,"On Time",X145&gt;5,"Delayed",X145=" ","Pending")</f>
        <v>On Time</v>
      </c>
    </row>
    <row r="146" spans="1:25" ht="15" thickBot="1" x14ac:dyDescent="0.4">
      <c r="A146" s="27" t="s">
        <v>269</v>
      </c>
      <c r="B146" s="27" t="s">
        <v>45</v>
      </c>
      <c r="C146" s="27" t="s">
        <v>24</v>
      </c>
      <c r="D146" s="28">
        <v>45940</v>
      </c>
      <c r="E146" s="28">
        <v>45951</v>
      </c>
      <c r="F146" s="27" t="s">
        <v>101</v>
      </c>
      <c r="G146" s="27" t="s">
        <v>26</v>
      </c>
      <c r="H146" s="28">
        <v>28587</v>
      </c>
      <c r="I146" s="27" t="s">
        <v>74</v>
      </c>
      <c r="J146" s="27" t="s">
        <v>75</v>
      </c>
      <c r="K146" s="27" t="s">
        <v>29</v>
      </c>
      <c r="L146" s="27" t="s">
        <v>30</v>
      </c>
      <c r="M146" s="27">
        <v>18</v>
      </c>
      <c r="N146" s="27">
        <v>2200</v>
      </c>
      <c r="O146" s="27">
        <v>10</v>
      </c>
      <c r="P146" s="27">
        <v>35640</v>
      </c>
      <c r="Q146" s="27">
        <v>1</v>
      </c>
      <c r="R146" s="27" t="s">
        <v>60</v>
      </c>
      <c r="S146" s="27" t="s">
        <v>96</v>
      </c>
      <c r="T146" s="27" t="s">
        <v>51</v>
      </c>
      <c r="U146" s="27">
        <v>9243407457</v>
      </c>
      <c r="V146" s="37" t="s">
        <v>53</v>
      </c>
      <c r="W146" s="49">
        <f t="shared" ca="1" si="4"/>
        <v>48</v>
      </c>
      <c r="X146" s="50">
        <f t="shared" si="5"/>
        <v>11</v>
      </c>
      <c r="Y146" s="46" t="str" cm="1">
        <f t="array" ref="Y146">_xlfn.IFS(X146&lt;=5,"On Time",X146&gt;5,"Delayed",X146=" ","Pending")</f>
        <v>Delayed</v>
      </c>
    </row>
    <row r="147" spans="1:25" ht="15" thickBot="1" x14ac:dyDescent="0.4">
      <c r="A147" s="30" t="s">
        <v>270</v>
      </c>
      <c r="B147" s="30" t="s">
        <v>55</v>
      </c>
      <c r="C147" s="30" t="s">
        <v>82</v>
      </c>
      <c r="D147" s="31">
        <v>46088</v>
      </c>
      <c r="E147" s="31">
        <v>46091</v>
      </c>
      <c r="F147" s="30" t="s">
        <v>57</v>
      </c>
      <c r="G147" s="30" t="s">
        <v>58</v>
      </c>
      <c r="H147" s="31">
        <v>30379</v>
      </c>
      <c r="I147" s="30" t="s">
        <v>37</v>
      </c>
      <c r="J147" s="30" t="s">
        <v>38</v>
      </c>
      <c r="K147" s="30" t="s">
        <v>83</v>
      </c>
      <c r="L147" s="30" t="s">
        <v>84</v>
      </c>
      <c r="M147" s="30">
        <v>18</v>
      </c>
      <c r="N147" s="30">
        <v>60</v>
      </c>
      <c r="O147" s="30">
        <v>5</v>
      </c>
      <c r="P147" s="30">
        <v>1026</v>
      </c>
      <c r="Q147" s="30">
        <v>3</v>
      </c>
      <c r="R147" s="30" t="s">
        <v>60</v>
      </c>
      <c r="S147" s="30" t="s">
        <v>42</v>
      </c>
      <c r="T147" s="30" t="s">
        <v>61</v>
      </c>
      <c r="U147" s="30">
        <v>9418672379</v>
      </c>
      <c r="V147" s="38" t="s">
        <v>52</v>
      </c>
      <c r="W147" s="49">
        <f t="shared" ca="1" si="4"/>
        <v>43</v>
      </c>
      <c r="X147" s="50">
        <f t="shared" si="5"/>
        <v>3</v>
      </c>
      <c r="Y147" s="46" t="str" cm="1">
        <f t="array" ref="Y147">_xlfn.IFS(X147&lt;=5,"On Time",X147&gt;5,"Delayed",X147=" ","Pending")</f>
        <v>On Time</v>
      </c>
    </row>
    <row r="148" spans="1:25" ht="15" thickBot="1" x14ac:dyDescent="0.4">
      <c r="A148" s="27" t="s">
        <v>271</v>
      </c>
      <c r="B148" s="27" t="s">
        <v>87</v>
      </c>
      <c r="C148" s="27" t="s">
        <v>46</v>
      </c>
      <c r="D148" s="28">
        <v>45885</v>
      </c>
      <c r="E148" s="28">
        <v>45892</v>
      </c>
      <c r="F148" s="27" t="s">
        <v>88</v>
      </c>
      <c r="G148" s="27" t="s">
        <v>58</v>
      </c>
      <c r="H148" s="28">
        <v>32077</v>
      </c>
      <c r="I148" s="27" t="s">
        <v>79</v>
      </c>
      <c r="J148" s="27" t="s">
        <v>75</v>
      </c>
      <c r="K148" s="27" t="s">
        <v>39</v>
      </c>
      <c r="L148" s="27" t="s">
        <v>49</v>
      </c>
      <c r="M148" s="27">
        <v>11</v>
      </c>
      <c r="N148" s="27">
        <v>55000</v>
      </c>
      <c r="O148" s="27">
        <v>15</v>
      </c>
      <c r="P148" s="27">
        <v>514250</v>
      </c>
      <c r="Q148" s="27">
        <v>4</v>
      </c>
      <c r="R148" s="27" t="s">
        <v>65</v>
      </c>
      <c r="S148" s="27" t="s">
        <v>80</v>
      </c>
      <c r="T148" s="27" t="s">
        <v>89</v>
      </c>
      <c r="U148" s="27">
        <v>9222733065</v>
      </c>
      <c r="V148" s="37" t="s">
        <v>53</v>
      </c>
      <c r="W148" s="49">
        <f t="shared" ca="1" si="4"/>
        <v>39</v>
      </c>
      <c r="X148" s="50">
        <f t="shared" si="5"/>
        <v>7</v>
      </c>
      <c r="Y148" s="46" t="str" cm="1">
        <f t="array" ref="Y148">_xlfn.IFS(X148&lt;=5,"On Time",X148&gt;5,"Delayed",X148=" ","Pending")</f>
        <v>Delayed</v>
      </c>
    </row>
    <row r="149" spans="1:25" ht="15" thickBot="1" x14ac:dyDescent="0.4">
      <c r="A149" s="30" t="s">
        <v>272</v>
      </c>
      <c r="B149" s="30" t="s">
        <v>134</v>
      </c>
      <c r="C149" s="30" t="s">
        <v>105</v>
      </c>
      <c r="D149" s="31">
        <v>46014</v>
      </c>
      <c r="E149" s="31">
        <v>46025</v>
      </c>
      <c r="F149" s="30" t="s">
        <v>135</v>
      </c>
      <c r="G149" s="30" t="s">
        <v>26</v>
      </c>
      <c r="H149" s="31">
        <v>37730</v>
      </c>
      <c r="I149" s="30" t="s">
        <v>147</v>
      </c>
      <c r="J149" s="30" t="s">
        <v>148</v>
      </c>
      <c r="K149" s="30" t="s">
        <v>29</v>
      </c>
      <c r="L149" s="30" t="s">
        <v>107</v>
      </c>
      <c r="M149" s="30">
        <v>5</v>
      </c>
      <c r="N149" s="30">
        <v>8500</v>
      </c>
      <c r="O149" s="30">
        <v>5</v>
      </c>
      <c r="P149" s="30">
        <v>40375</v>
      </c>
      <c r="Q149" s="30">
        <v>4</v>
      </c>
      <c r="R149" s="30" t="s">
        <v>31</v>
      </c>
      <c r="S149" s="30" t="s">
        <v>96</v>
      </c>
      <c r="T149" s="30" t="s">
        <v>136</v>
      </c>
      <c r="U149" s="30">
        <v>9684246902</v>
      </c>
      <c r="V149" s="36" t="s">
        <v>34</v>
      </c>
      <c r="W149" s="49">
        <f t="shared" ca="1" si="4"/>
        <v>23</v>
      </c>
      <c r="X149" s="50">
        <f t="shared" si="5"/>
        <v>11</v>
      </c>
      <c r="Y149" s="46" t="str" cm="1">
        <f t="array" ref="Y149">_xlfn.IFS(X149&lt;=5,"On Time",X149&gt;5,"Delayed",X149=" ","Pending")</f>
        <v>Delayed</v>
      </c>
    </row>
    <row r="150" spans="1:25" ht="15" thickBot="1" x14ac:dyDescent="0.4">
      <c r="A150" s="27" t="s">
        <v>116</v>
      </c>
      <c r="B150" s="27" t="s">
        <v>72</v>
      </c>
      <c r="C150" s="27" t="s">
        <v>112</v>
      </c>
      <c r="D150" s="28">
        <v>45908</v>
      </c>
      <c r="E150" s="28">
        <v>45919</v>
      </c>
      <c r="F150" s="27" t="s">
        <v>73</v>
      </c>
      <c r="G150" s="27" t="s">
        <v>26</v>
      </c>
      <c r="H150" s="28">
        <v>37301</v>
      </c>
      <c r="I150" s="27" t="s">
        <v>121</v>
      </c>
      <c r="J150" s="27" t="s">
        <v>38</v>
      </c>
      <c r="K150" s="27" t="s">
        <v>39</v>
      </c>
      <c r="L150" s="27" t="s">
        <v>114</v>
      </c>
      <c r="M150" s="27">
        <v>16</v>
      </c>
      <c r="N150" s="27">
        <v>700</v>
      </c>
      <c r="O150" s="27">
        <v>15</v>
      </c>
      <c r="P150" s="27">
        <v>9520</v>
      </c>
      <c r="Q150" s="27">
        <v>4</v>
      </c>
      <c r="R150" s="27" t="s">
        <v>60</v>
      </c>
      <c r="S150" s="27" t="s">
        <v>50</v>
      </c>
      <c r="T150" s="27" t="s">
        <v>93</v>
      </c>
      <c r="U150" s="27">
        <v>9989580228</v>
      </c>
      <c r="V150" s="35" t="s">
        <v>34</v>
      </c>
      <c r="W150" s="49">
        <f t="shared" ca="1" si="4"/>
        <v>24</v>
      </c>
      <c r="X150" s="50">
        <f t="shared" si="5"/>
        <v>11</v>
      </c>
      <c r="Y150" s="46" t="str" cm="1">
        <f t="array" ref="Y150">_xlfn.IFS(X150&lt;=5,"On Time",X150&gt;5,"Delayed",X150=" ","Pending")</f>
        <v>Delayed</v>
      </c>
    </row>
    <row r="151" spans="1:25" ht="15" thickBot="1" x14ac:dyDescent="0.4">
      <c r="A151" s="30" t="s">
        <v>273</v>
      </c>
      <c r="B151" s="30" t="s">
        <v>87</v>
      </c>
      <c r="C151" s="30" t="s">
        <v>112</v>
      </c>
      <c r="D151" s="31">
        <v>45845</v>
      </c>
      <c r="E151" s="31">
        <v>45851</v>
      </c>
      <c r="F151" s="30" t="s">
        <v>88</v>
      </c>
      <c r="G151" s="30" t="s">
        <v>58</v>
      </c>
      <c r="H151" s="31">
        <v>27580</v>
      </c>
      <c r="I151" s="30" t="s">
        <v>79</v>
      </c>
      <c r="J151" s="30" t="s">
        <v>75</v>
      </c>
      <c r="K151" s="30" t="s">
        <v>39</v>
      </c>
      <c r="L151" s="30" t="s">
        <v>114</v>
      </c>
      <c r="M151" s="30">
        <v>6</v>
      </c>
      <c r="N151" s="30">
        <v>700</v>
      </c>
      <c r="O151" s="30">
        <v>10</v>
      </c>
      <c r="P151" s="30">
        <v>3780</v>
      </c>
      <c r="Q151" s="30">
        <v>4</v>
      </c>
      <c r="R151" s="30" t="s">
        <v>31</v>
      </c>
      <c r="S151" s="30" t="s">
        <v>42</v>
      </c>
      <c r="T151" s="30" t="s">
        <v>89</v>
      </c>
      <c r="U151" s="30">
        <v>9110269572</v>
      </c>
      <c r="V151" s="38" t="s">
        <v>53</v>
      </c>
      <c r="W151" s="49">
        <f t="shared" ca="1" si="4"/>
        <v>51</v>
      </c>
      <c r="X151" s="50">
        <f t="shared" si="5"/>
        <v>6</v>
      </c>
      <c r="Y151" s="46" t="str" cm="1">
        <f t="array" ref="Y151">_xlfn.IFS(X151&lt;=5,"On Time",X151&gt;5,"Delayed",X151=" ","Pending")</f>
        <v>Delayed</v>
      </c>
    </row>
    <row r="152" spans="1:25" ht="15" thickBot="1" x14ac:dyDescent="0.4">
      <c r="A152" s="27" t="s">
        <v>274</v>
      </c>
      <c r="B152" s="27" t="s">
        <v>45</v>
      </c>
      <c r="C152" s="27" t="s">
        <v>68</v>
      </c>
      <c r="D152" s="28">
        <v>46145</v>
      </c>
      <c r="E152" s="28">
        <v>46157</v>
      </c>
      <c r="F152" s="27" t="s">
        <v>101</v>
      </c>
      <c r="G152" s="27" t="s">
        <v>26</v>
      </c>
      <c r="H152" s="28">
        <v>33668</v>
      </c>
      <c r="I152" s="27" t="s">
        <v>37</v>
      </c>
      <c r="J152" s="27" t="s">
        <v>38</v>
      </c>
      <c r="K152" s="27" t="s">
        <v>29</v>
      </c>
      <c r="L152" s="27" t="s">
        <v>70</v>
      </c>
      <c r="M152" s="27">
        <v>20</v>
      </c>
      <c r="N152" s="27">
        <v>3500</v>
      </c>
      <c r="O152" s="27">
        <v>10</v>
      </c>
      <c r="P152" s="27">
        <v>63000</v>
      </c>
      <c r="Q152" s="27">
        <v>4</v>
      </c>
      <c r="R152" s="27" t="s">
        <v>65</v>
      </c>
      <c r="S152" s="27" t="s">
        <v>42</v>
      </c>
      <c r="T152" s="27" t="s">
        <v>51</v>
      </c>
      <c r="U152" s="27">
        <v>9745972422</v>
      </c>
      <c r="V152" s="37" t="s">
        <v>52</v>
      </c>
      <c r="W152" s="49">
        <f t="shared" ca="1" si="4"/>
        <v>34</v>
      </c>
      <c r="X152" s="50">
        <f t="shared" si="5"/>
        <v>12</v>
      </c>
      <c r="Y152" s="46" t="str" cm="1">
        <f t="array" ref="Y152">_xlfn.IFS(X152&lt;=5,"On Time",X152&gt;5,"Delayed",X152=" ","Pending")</f>
        <v>Delayed</v>
      </c>
    </row>
    <row r="153" spans="1:25" ht="15" thickBot="1" x14ac:dyDescent="0.4">
      <c r="A153" s="30" t="s">
        <v>275</v>
      </c>
      <c r="B153" s="30" t="s">
        <v>23</v>
      </c>
      <c r="C153" s="30" t="s">
        <v>125</v>
      </c>
      <c r="D153" s="31">
        <v>45990</v>
      </c>
      <c r="E153" s="31">
        <v>45998</v>
      </c>
      <c r="F153" s="30" t="s">
        <v>25</v>
      </c>
      <c r="G153" s="30" t="s">
        <v>26</v>
      </c>
      <c r="H153" s="31">
        <v>35949</v>
      </c>
      <c r="I153" s="30" t="s">
        <v>48</v>
      </c>
      <c r="J153" s="30" t="s">
        <v>28</v>
      </c>
      <c r="K153" s="30" t="s">
        <v>83</v>
      </c>
      <c r="L153" s="30" t="s">
        <v>127</v>
      </c>
      <c r="M153" s="30">
        <v>2</v>
      </c>
      <c r="N153" s="30">
        <v>20</v>
      </c>
      <c r="O153" s="30">
        <v>10</v>
      </c>
      <c r="P153" s="30">
        <v>36</v>
      </c>
      <c r="Q153" s="30">
        <v>1</v>
      </c>
      <c r="R153" s="30" t="s">
        <v>41</v>
      </c>
      <c r="S153" s="30" t="s">
        <v>80</v>
      </c>
      <c r="T153" s="30" t="s">
        <v>43</v>
      </c>
      <c r="U153" s="30">
        <v>9123712257</v>
      </c>
      <c r="V153" s="38" t="s">
        <v>52</v>
      </c>
      <c r="W153" s="49">
        <f t="shared" ca="1" si="4"/>
        <v>28</v>
      </c>
      <c r="X153" s="50">
        <f t="shared" si="5"/>
        <v>8</v>
      </c>
      <c r="Y153" s="46" t="str" cm="1">
        <f t="array" ref="Y153">_xlfn.IFS(X153&lt;=5,"On Time",X153&gt;5,"Delayed",X153=" ","Pending")</f>
        <v>Delayed</v>
      </c>
    </row>
    <row r="154" spans="1:25" ht="15" thickBot="1" x14ac:dyDescent="0.4">
      <c r="A154" s="27" t="s">
        <v>276</v>
      </c>
      <c r="B154" s="27" t="s">
        <v>72</v>
      </c>
      <c r="C154" s="27" t="s">
        <v>24</v>
      </c>
      <c r="D154" s="28">
        <v>45852</v>
      </c>
      <c r="E154" s="28">
        <v>45857</v>
      </c>
      <c r="F154" s="27" t="s">
        <v>73</v>
      </c>
      <c r="G154" s="27" t="s">
        <v>26</v>
      </c>
      <c r="H154" s="28">
        <v>35336</v>
      </c>
      <c r="I154" s="27" t="s">
        <v>79</v>
      </c>
      <c r="J154" s="27" t="s">
        <v>75</v>
      </c>
      <c r="K154" s="27" t="s">
        <v>29</v>
      </c>
      <c r="L154" s="27" t="s">
        <v>30</v>
      </c>
      <c r="M154" s="27">
        <v>16</v>
      </c>
      <c r="N154" s="27">
        <v>2200</v>
      </c>
      <c r="O154" s="27">
        <v>20</v>
      </c>
      <c r="P154" s="27">
        <v>28160</v>
      </c>
      <c r="Q154" s="27">
        <v>2</v>
      </c>
      <c r="R154" s="27" t="s">
        <v>65</v>
      </c>
      <c r="S154" s="27" t="s">
        <v>96</v>
      </c>
      <c r="T154" s="27" t="s">
        <v>93</v>
      </c>
      <c r="U154" s="27">
        <v>9665525431</v>
      </c>
      <c r="V154" s="37" t="s">
        <v>52</v>
      </c>
      <c r="W154" s="49">
        <f t="shared" ca="1" si="4"/>
        <v>30</v>
      </c>
      <c r="X154" s="50">
        <f t="shared" si="5"/>
        <v>5</v>
      </c>
      <c r="Y154" s="46" t="str" cm="1">
        <f t="array" ref="Y154">_xlfn.IFS(X154&lt;=5,"On Time",X154&gt;5,"Delayed",X154=" ","Pending")</f>
        <v>On Time</v>
      </c>
    </row>
    <row r="155" spans="1:25" ht="15" thickBot="1" x14ac:dyDescent="0.4">
      <c r="A155" s="30" t="s">
        <v>277</v>
      </c>
      <c r="B155" s="30" t="s">
        <v>124</v>
      </c>
      <c r="C155" s="30" t="s">
        <v>36</v>
      </c>
      <c r="D155" s="31">
        <v>45729</v>
      </c>
      <c r="E155" s="31">
        <v>45739</v>
      </c>
      <c r="F155" s="30" t="s">
        <v>126</v>
      </c>
      <c r="G155" s="30" t="s">
        <v>58</v>
      </c>
      <c r="H155" s="31">
        <v>35048</v>
      </c>
      <c r="I155" s="30" t="s">
        <v>79</v>
      </c>
      <c r="J155" s="30" t="s">
        <v>75</v>
      </c>
      <c r="K155" s="30" t="s">
        <v>39</v>
      </c>
      <c r="L155" s="30" t="s">
        <v>40</v>
      </c>
      <c r="M155" s="30">
        <v>15</v>
      </c>
      <c r="N155" s="30">
        <v>12000</v>
      </c>
      <c r="O155" s="30">
        <v>0</v>
      </c>
      <c r="P155" s="30">
        <v>180000</v>
      </c>
      <c r="Q155" s="30">
        <v>1</v>
      </c>
      <c r="R155" s="30" t="s">
        <v>60</v>
      </c>
      <c r="S155" s="30" t="s">
        <v>50</v>
      </c>
      <c r="T155" s="30" t="s">
        <v>128</v>
      </c>
      <c r="U155" s="30">
        <v>9682415134</v>
      </c>
      <c r="V155" s="38" t="s">
        <v>52</v>
      </c>
      <c r="W155" s="49">
        <f t="shared" ca="1" si="4"/>
        <v>30</v>
      </c>
      <c r="X155" s="50">
        <f t="shared" si="5"/>
        <v>10</v>
      </c>
      <c r="Y155" s="46" t="str" cm="1">
        <f t="array" ref="Y155">_xlfn.IFS(X155&lt;=5,"On Time",X155&gt;5,"Delayed",X155=" ","Pending")</f>
        <v>Delayed</v>
      </c>
    </row>
    <row r="156" spans="1:25" ht="15" thickBot="1" x14ac:dyDescent="0.4">
      <c r="A156" s="27" t="s">
        <v>278</v>
      </c>
      <c r="B156" s="27" t="s">
        <v>23</v>
      </c>
      <c r="C156" s="27" t="s">
        <v>82</v>
      </c>
      <c r="D156" s="28">
        <v>45860</v>
      </c>
      <c r="E156" s="28">
        <v>45861</v>
      </c>
      <c r="F156" s="27" t="s">
        <v>25</v>
      </c>
      <c r="G156" s="27" t="s">
        <v>26</v>
      </c>
      <c r="H156" s="28">
        <v>27965</v>
      </c>
      <c r="I156" s="27" t="s">
        <v>37</v>
      </c>
      <c r="J156" s="27" t="s">
        <v>38</v>
      </c>
      <c r="K156" s="27" t="s">
        <v>83</v>
      </c>
      <c r="L156" s="27" t="s">
        <v>84</v>
      </c>
      <c r="M156" s="27">
        <v>14</v>
      </c>
      <c r="N156" s="27">
        <v>60</v>
      </c>
      <c r="O156" s="27">
        <v>15</v>
      </c>
      <c r="P156" s="27">
        <v>714</v>
      </c>
      <c r="Q156" s="27">
        <v>4</v>
      </c>
      <c r="R156" s="27" t="s">
        <v>65</v>
      </c>
      <c r="S156" s="27" t="s">
        <v>42</v>
      </c>
      <c r="T156" s="27" t="s">
        <v>43</v>
      </c>
      <c r="U156" s="27">
        <v>9808223872</v>
      </c>
      <c r="V156" s="35" t="s">
        <v>34</v>
      </c>
      <c r="W156" s="49">
        <f t="shared" ca="1" si="4"/>
        <v>50</v>
      </c>
      <c r="X156" s="50">
        <f t="shared" si="5"/>
        <v>1</v>
      </c>
      <c r="Y156" s="46" t="str" cm="1">
        <f t="array" ref="Y156">_xlfn.IFS(X156&lt;=5,"On Time",X156&gt;5,"Delayed",X156=" ","Pending")</f>
        <v>On Time</v>
      </c>
    </row>
    <row r="157" spans="1:25" ht="15" thickBot="1" x14ac:dyDescent="0.4">
      <c r="A157" s="30" t="s">
        <v>279</v>
      </c>
      <c r="B157" s="30" t="s">
        <v>45</v>
      </c>
      <c r="C157" s="30" t="s">
        <v>56</v>
      </c>
      <c r="D157" s="31">
        <v>45859</v>
      </c>
      <c r="E157" s="31">
        <v>45862</v>
      </c>
      <c r="F157" s="30" t="s">
        <v>101</v>
      </c>
      <c r="G157" s="30" t="s">
        <v>26</v>
      </c>
      <c r="H157" s="31">
        <v>30855</v>
      </c>
      <c r="I157" s="30" t="s">
        <v>27</v>
      </c>
      <c r="J157" s="30" t="s">
        <v>28</v>
      </c>
      <c r="K157" s="30" t="s">
        <v>39</v>
      </c>
      <c r="L157" s="30" t="s">
        <v>59</v>
      </c>
      <c r="M157" s="30">
        <v>9</v>
      </c>
      <c r="N157" s="30">
        <v>1200</v>
      </c>
      <c r="O157" s="30">
        <v>5</v>
      </c>
      <c r="P157" s="30">
        <v>10260</v>
      </c>
      <c r="Q157" s="30">
        <v>5</v>
      </c>
      <c r="R157" s="30" t="s">
        <v>41</v>
      </c>
      <c r="S157" s="30" t="s">
        <v>50</v>
      </c>
      <c r="T157" s="30" t="s">
        <v>51</v>
      </c>
      <c r="U157" s="30">
        <v>9193549730</v>
      </c>
      <c r="V157" s="38" t="s">
        <v>52</v>
      </c>
      <c r="W157" s="49">
        <f t="shared" ca="1" si="4"/>
        <v>42</v>
      </c>
      <c r="X157" s="50">
        <f t="shared" si="5"/>
        <v>3</v>
      </c>
      <c r="Y157" s="46" t="str" cm="1">
        <f t="array" ref="Y157">_xlfn.IFS(X157&lt;=5,"On Time",X157&gt;5,"Delayed",X157=" ","Pending")</f>
        <v>On Time</v>
      </c>
    </row>
    <row r="158" spans="1:25" ht="15" thickBot="1" x14ac:dyDescent="0.4">
      <c r="A158" s="27" t="s">
        <v>280</v>
      </c>
      <c r="B158" s="27" t="s">
        <v>124</v>
      </c>
      <c r="C158" s="27" t="s">
        <v>56</v>
      </c>
      <c r="D158" s="28">
        <v>45857</v>
      </c>
      <c r="E158" s="28">
        <v>45867</v>
      </c>
      <c r="F158" s="27" t="s">
        <v>126</v>
      </c>
      <c r="G158" s="27" t="s">
        <v>58</v>
      </c>
      <c r="H158" s="28">
        <v>36013</v>
      </c>
      <c r="I158" s="27" t="s">
        <v>147</v>
      </c>
      <c r="J158" s="27" t="s">
        <v>148</v>
      </c>
      <c r="K158" s="27" t="s">
        <v>39</v>
      </c>
      <c r="L158" s="27" t="s">
        <v>59</v>
      </c>
      <c r="M158" s="27">
        <v>3</v>
      </c>
      <c r="N158" s="27">
        <v>1200</v>
      </c>
      <c r="O158" s="27">
        <v>10</v>
      </c>
      <c r="P158" s="27">
        <v>3240</v>
      </c>
      <c r="Q158" s="27">
        <v>2</v>
      </c>
      <c r="R158" s="27" t="s">
        <v>60</v>
      </c>
      <c r="S158" s="27" t="s">
        <v>96</v>
      </c>
      <c r="T158" s="27" t="s">
        <v>128</v>
      </c>
      <c r="U158" s="27">
        <v>9520617130</v>
      </c>
      <c r="V158" s="37" t="s">
        <v>53</v>
      </c>
      <c r="W158" s="49">
        <f t="shared" ca="1" si="4"/>
        <v>28</v>
      </c>
      <c r="X158" s="50">
        <f t="shared" si="5"/>
        <v>10</v>
      </c>
      <c r="Y158" s="46" t="str" cm="1">
        <f t="array" ref="Y158">_xlfn.IFS(X158&lt;=5,"On Time",X158&gt;5,"Delayed",X158=" ","Pending")</f>
        <v>Delayed</v>
      </c>
    </row>
    <row r="159" spans="1:25" ht="15" thickBot="1" x14ac:dyDescent="0.4">
      <c r="A159" s="30" t="s">
        <v>281</v>
      </c>
      <c r="B159" s="30" t="s">
        <v>156</v>
      </c>
      <c r="C159" s="30" t="s">
        <v>82</v>
      </c>
      <c r="D159" s="31">
        <v>45757</v>
      </c>
      <c r="E159" s="31">
        <v>45759</v>
      </c>
      <c r="F159" s="30" t="s">
        <v>106</v>
      </c>
      <c r="G159" s="30" t="s">
        <v>58</v>
      </c>
      <c r="H159" s="31">
        <v>37060</v>
      </c>
      <c r="I159" s="30" t="s">
        <v>27</v>
      </c>
      <c r="J159" s="30" t="s">
        <v>28</v>
      </c>
      <c r="K159" s="30" t="s">
        <v>83</v>
      </c>
      <c r="L159" s="30" t="s">
        <v>84</v>
      </c>
      <c r="M159" s="30">
        <v>2</v>
      </c>
      <c r="N159" s="30">
        <v>60</v>
      </c>
      <c r="O159" s="30">
        <v>10</v>
      </c>
      <c r="P159" s="30">
        <v>108</v>
      </c>
      <c r="Q159" s="30">
        <v>2</v>
      </c>
      <c r="R159" s="30" t="s">
        <v>65</v>
      </c>
      <c r="S159" s="30" t="s">
        <v>50</v>
      </c>
      <c r="T159" s="30" t="s">
        <v>158</v>
      </c>
      <c r="U159" s="30">
        <v>9264578122</v>
      </c>
      <c r="V159" s="36" t="s">
        <v>34</v>
      </c>
      <c r="W159" s="49">
        <f t="shared" ca="1" si="4"/>
        <v>25</v>
      </c>
      <c r="X159" s="50">
        <f t="shared" si="5"/>
        <v>2</v>
      </c>
      <c r="Y159" s="46" t="str" cm="1">
        <f t="array" ref="Y159">_xlfn.IFS(X159&lt;=5,"On Time",X159&gt;5,"Delayed",X159=" ","Pending")</f>
        <v>On Time</v>
      </c>
    </row>
    <row r="160" spans="1:25" ht="15" thickBot="1" x14ac:dyDescent="0.4">
      <c r="A160" s="27" t="s">
        <v>282</v>
      </c>
      <c r="B160" s="27" t="s">
        <v>55</v>
      </c>
      <c r="C160" s="27" t="s">
        <v>68</v>
      </c>
      <c r="D160" s="28">
        <v>46155</v>
      </c>
      <c r="E160" s="28">
        <v>46165</v>
      </c>
      <c r="F160" s="27" t="s">
        <v>57</v>
      </c>
      <c r="G160" s="27" t="s">
        <v>58</v>
      </c>
      <c r="H160" s="28">
        <v>36414</v>
      </c>
      <c r="I160" s="27" t="s">
        <v>37</v>
      </c>
      <c r="J160" s="27" t="s">
        <v>38</v>
      </c>
      <c r="K160" s="27" t="s">
        <v>29</v>
      </c>
      <c r="L160" s="27" t="s">
        <v>70</v>
      </c>
      <c r="M160" s="27">
        <v>9</v>
      </c>
      <c r="N160" s="27">
        <v>3500</v>
      </c>
      <c r="O160" s="27">
        <v>20</v>
      </c>
      <c r="P160" s="27">
        <v>25200</v>
      </c>
      <c r="Q160" s="27">
        <v>1</v>
      </c>
      <c r="R160" s="27" t="s">
        <v>41</v>
      </c>
      <c r="S160" s="27" t="s">
        <v>32</v>
      </c>
      <c r="T160" s="27" t="s">
        <v>61</v>
      </c>
      <c r="U160" s="27">
        <v>9275071213</v>
      </c>
      <c r="V160" s="35" t="s">
        <v>34</v>
      </c>
      <c r="W160" s="49">
        <f t="shared" ca="1" si="4"/>
        <v>27</v>
      </c>
      <c r="X160" s="50">
        <f t="shared" si="5"/>
        <v>10</v>
      </c>
      <c r="Y160" s="46" t="str" cm="1">
        <f t="array" ref="Y160">_xlfn.IFS(X160&lt;=5,"On Time",X160&gt;5,"Delayed",X160=" ","Pending")</f>
        <v>Delayed</v>
      </c>
    </row>
    <row r="161" spans="1:25" ht="15" thickBot="1" x14ac:dyDescent="0.4">
      <c r="A161" s="30" t="s">
        <v>283</v>
      </c>
      <c r="B161" s="30" t="s">
        <v>124</v>
      </c>
      <c r="C161" s="30" t="s">
        <v>46</v>
      </c>
      <c r="D161" s="31">
        <v>46094</v>
      </c>
      <c r="E161" s="31">
        <v>46097</v>
      </c>
      <c r="F161" s="30" t="s">
        <v>126</v>
      </c>
      <c r="G161" s="30" t="s">
        <v>58</v>
      </c>
      <c r="H161" s="31">
        <v>35040</v>
      </c>
      <c r="I161" s="30" t="s">
        <v>121</v>
      </c>
      <c r="J161" s="30" t="s">
        <v>38</v>
      </c>
      <c r="K161" s="30" t="s">
        <v>39</v>
      </c>
      <c r="L161" s="30" t="s">
        <v>49</v>
      </c>
      <c r="M161" s="30">
        <v>4</v>
      </c>
      <c r="N161" s="30">
        <v>55000</v>
      </c>
      <c r="O161" s="30">
        <v>5</v>
      </c>
      <c r="P161" s="30">
        <v>209000</v>
      </c>
      <c r="Q161" s="30">
        <v>2</v>
      </c>
      <c r="R161" s="30" t="s">
        <v>31</v>
      </c>
      <c r="S161" s="30" t="s">
        <v>96</v>
      </c>
      <c r="T161" s="30" t="s">
        <v>128</v>
      </c>
      <c r="U161" s="30">
        <v>9715222543</v>
      </c>
      <c r="V161" s="38" t="s">
        <v>52</v>
      </c>
      <c r="W161" s="49">
        <f t="shared" ca="1" si="4"/>
        <v>30</v>
      </c>
      <c r="X161" s="50">
        <f t="shared" si="5"/>
        <v>3</v>
      </c>
      <c r="Y161" s="46" t="str" cm="1">
        <f t="array" ref="Y161">_xlfn.IFS(X161&lt;=5,"On Time",X161&gt;5,"Delayed",X161=" ","Pending")</f>
        <v>On Time</v>
      </c>
    </row>
    <row r="162" spans="1:25" ht="15" thickBot="1" x14ac:dyDescent="0.4">
      <c r="A162" s="27" t="s">
        <v>284</v>
      </c>
      <c r="B162" s="27" t="s">
        <v>156</v>
      </c>
      <c r="C162" s="27" t="s">
        <v>112</v>
      </c>
      <c r="D162" s="28">
        <v>45835</v>
      </c>
      <c r="E162" s="28">
        <v>45839</v>
      </c>
      <c r="F162" s="27" t="s">
        <v>106</v>
      </c>
      <c r="G162" s="27" t="s">
        <v>58</v>
      </c>
      <c r="H162" s="28">
        <v>36363</v>
      </c>
      <c r="I162" s="27" t="s">
        <v>37</v>
      </c>
      <c r="J162" s="27" t="s">
        <v>38</v>
      </c>
      <c r="K162" s="27" t="s">
        <v>39</v>
      </c>
      <c r="L162" s="27" t="s">
        <v>114</v>
      </c>
      <c r="M162" s="27">
        <v>11</v>
      </c>
      <c r="N162" s="27">
        <v>700</v>
      </c>
      <c r="O162" s="27">
        <v>20</v>
      </c>
      <c r="P162" s="27">
        <v>6160</v>
      </c>
      <c r="Q162" s="27">
        <v>4</v>
      </c>
      <c r="R162" s="27" t="s">
        <v>31</v>
      </c>
      <c r="S162" s="27" t="s">
        <v>96</v>
      </c>
      <c r="T162" s="27" t="s">
        <v>158</v>
      </c>
      <c r="U162" s="27">
        <v>9942010833</v>
      </c>
      <c r="V162" s="37" t="s">
        <v>53</v>
      </c>
      <c r="W162" s="49">
        <f t="shared" ca="1" si="4"/>
        <v>27</v>
      </c>
      <c r="X162" s="50">
        <f t="shared" si="5"/>
        <v>4</v>
      </c>
      <c r="Y162" s="46" t="str" cm="1">
        <f t="array" ref="Y162">_xlfn.IFS(X162&lt;=5,"On Time",X162&gt;5,"Delayed",X162=" ","Pending")</f>
        <v>On Time</v>
      </c>
    </row>
    <row r="163" spans="1:25" ht="15" thickBot="1" x14ac:dyDescent="0.4">
      <c r="A163" s="30" t="s">
        <v>285</v>
      </c>
      <c r="B163" s="30" t="s">
        <v>104</v>
      </c>
      <c r="C163" s="30" t="s">
        <v>56</v>
      </c>
      <c r="D163" s="31">
        <v>45980</v>
      </c>
      <c r="E163" s="31">
        <v>45990</v>
      </c>
      <c r="F163" s="30" t="s">
        <v>166</v>
      </c>
      <c r="G163" s="30" t="s">
        <v>26</v>
      </c>
      <c r="H163" s="31">
        <v>36844</v>
      </c>
      <c r="I163" s="30" t="s">
        <v>147</v>
      </c>
      <c r="J163" s="30" t="s">
        <v>148</v>
      </c>
      <c r="K163" s="30" t="s">
        <v>39</v>
      </c>
      <c r="L163" s="30" t="s">
        <v>59</v>
      </c>
      <c r="M163" s="30">
        <v>16</v>
      </c>
      <c r="N163" s="30">
        <v>1200</v>
      </c>
      <c r="O163" s="30">
        <v>5</v>
      </c>
      <c r="P163" s="30">
        <v>18240</v>
      </c>
      <c r="Q163" s="30">
        <v>1</v>
      </c>
      <c r="R163" s="30" t="s">
        <v>60</v>
      </c>
      <c r="S163" s="30" t="s">
        <v>32</v>
      </c>
      <c r="T163" s="30" t="s">
        <v>108</v>
      </c>
      <c r="U163" s="30">
        <v>9347718932</v>
      </c>
      <c r="V163" s="38" t="s">
        <v>52</v>
      </c>
      <c r="W163" s="49">
        <f t="shared" ca="1" si="4"/>
        <v>25</v>
      </c>
      <c r="X163" s="50">
        <f t="shared" si="5"/>
        <v>10</v>
      </c>
      <c r="Y163" s="46" t="str" cm="1">
        <f t="array" ref="Y163">_xlfn.IFS(X163&lt;=5,"On Time",X163&gt;5,"Delayed",X163=" ","Pending")</f>
        <v>Delayed</v>
      </c>
    </row>
    <row r="164" spans="1:25" ht="15" thickBot="1" x14ac:dyDescent="0.4">
      <c r="A164" s="27" t="s">
        <v>286</v>
      </c>
      <c r="B164" s="27" t="s">
        <v>104</v>
      </c>
      <c r="C164" s="27" t="s">
        <v>56</v>
      </c>
      <c r="D164" s="28">
        <v>45915</v>
      </c>
      <c r="E164" s="28">
        <v>45917</v>
      </c>
      <c r="F164" s="27" t="s">
        <v>166</v>
      </c>
      <c r="G164" s="27" t="s">
        <v>26</v>
      </c>
      <c r="H164" s="28">
        <v>37461</v>
      </c>
      <c r="I164" s="27" t="s">
        <v>79</v>
      </c>
      <c r="J164" s="27" t="s">
        <v>75</v>
      </c>
      <c r="K164" s="27" t="s">
        <v>39</v>
      </c>
      <c r="L164" s="27" t="s">
        <v>59</v>
      </c>
      <c r="M164" s="27">
        <v>1</v>
      </c>
      <c r="N164" s="27">
        <v>1200</v>
      </c>
      <c r="O164" s="27">
        <v>5</v>
      </c>
      <c r="P164" s="27">
        <v>1140</v>
      </c>
      <c r="Q164" s="27">
        <v>4</v>
      </c>
      <c r="R164" s="27" t="s">
        <v>60</v>
      </c>
      <c r="S164" s="27" t="s">
        <v>32</v>
      </c>
      <c r="T164" s="27" t="s">
        <v>108</v>
      </c>
      <c r="U164" s="27">
        <v>9274808844</v>
      </c>
      <c r="V164" s="35" t="s">
        <v>34</v>
      </c>
      <c r="W164" s="49">
        <f t="shared" ca="1" si="4"/>
        <v>24</v>
      </c>
      <c r="X164" s="50">
        <f t="shared" si="5"/>
        <v>2</v>
      </c>
      <c r="Y164" s="46" t="str" cm="1">
        <f t="array" ref="Y164">_xlfn.IFS(X164&lt;=5,"On Time",X164&gt;5,"Delayed",X164=" ","Pending")</f>
        <v>On Time</v>
      </c>
    </row>
    <row r="165" spans="1:25" ht="15" thickBot="1" x14ac:dyDescent="0.4">
      <c r="A165" s="30" t="s">
        <v>287</v>
      </c>
      <c r="B165" s="30" t="s">
        <v>156</v>
      </c>
      <c r="C165" s="30" t="s">
        <v>82</v>
      </c>
      <c r="D165" s="31">
        <v>45965</v>
      </c>
      <c r="E165" s="31">
        <v>45974</v>
      </c>
      <c r="F165" s="30" t="s">
        <v>106</v>
      </c>
      <c r="G165" s="30" t="s">
        <v>58</v>
      </c>
      <c r="H165" s="31">
        <v>37312</v>
      </c>
      <c r="I165" s="30" t="s">
        <v>121</v>
      </c>
      <c r="J165" s="30" t="s">
        <v>38</v>
      </c>
      <c r="K165" s="30" t="s">
        <v>83</v>
      </c>
      <c r="L165" s="30" t="s">
        <v>84</v>
      </c>
      <c r="M165" s="30">
        <v>7</v>
      </c>
      <c r="N165" s="30">
        <v>60</v>
      </c>
      <c r="O165" s="30">
        <v>0</v>
      </c>
      <c r="P165" s="30">
        <v>420</v>
      </c>
      <c r="Q165" s="30">
        <v>2</v>
      </c>
      <c r="R165" s="30" t="s">
        <v>65</v>
      </c>
      <c r="S165" s="30" t="s">
        <v>96</v>
      </c>
      <c r="T165" s="30" t="s">
        <v>158</v>
      </c>
      <c r="U165" s="30">
        <v>9798996063</v>
      </c>
      <c r="V165" s="36" t="s">
        <v>34</v>
      </c>
      <c r="W165" s="49">
        <f t="shared" ca="1" si="4"/>
        <v>24</v>
      </c>
      <c r="X165" s="50">
        <f t="shared" si="5"/>
        <v>9</v>
      </c>
      <c r="Y165" s="46" t="str" cm="1">
        <f t="array" ref="Y165">_xlfn.IFS(X165&lt;=5,"On Time",X165&gt;5,"Delayed",X165=" ","Pending")</f>
        <v>Delayed</v>
      </c>
    </row>
    <row r="166" spans="1:25" ht="15" thickBot="1" x14ac:dyDescent="0.4">
      <c r="A166" s="27" t="s">
        <v>288</v>
      </c>
      <c r="B166" s="27" t="s">
        <v>104</v>
      </c>
      <c r="C166" s="27" t="s">
        <v>24</v>
      </c>
      <c r="D166" s="28">
        <v>45660</v>
      </c>
      <c r="E166" s="28">
        <v>45664</v>
      </c>
      <c r="F166" s="27" t="s">
        <v>166</v>
      </c>
      <c r="G166" s="27" t="s">
        <v>26</v>
      </c>
      <c r="H166" s="28">
        <v>29418</v>
      </c>
      <c r="I166" s="27" t="s">
        <v>79</v>
      </c>
      <c r="J166" s="27" t="s">
        <v>75</v>
      </c>
      <c r="K166" s="27" t="s">
        <v>29</v>
      </c>
      <c r="L166" s="27" t="s">
        <v>30</v>
      </c>
      <c r="M166" s="27">
        <v>14</v>
      </c>
      <c r="N166" s="27">
        <v>2200</v>
      </c>
      <c r="O166" s="27">
        <v>0</v>
      </c>
      <c r="P166" s="27">
        <v>30800</v>
      </c>
      <c r="Q166" s="27">
        <v>2</v>
      </c>
      <c r="R166" s="27" t="s">
        <v>65</v>
      </c>
      <c r="S166" s="27" t="s">
        <v>32</v>
      </c>
      <c r="T166" s="27" t="s">
        <v>108</v>
      </c>
      <c r="U166" s="27">
        <v>9145200936</v>
      </c>
      <c r="V166" s="37" t="s">
        <v>53</v>
      </c>
      <c r="W166" s="49">
        <f t="shared" ca="1" si="4"/>
        <v>46</v>
      </c>
      <c r="X166" s="50">
        <f t="shared" si="5"/>
        <v>4</v>
      </c>
      <c r="Y166" s="46" t="str" cm="1">
        <f t="array" ref="Y166">_xlfn.IFS(X166&lt;=5,"On Time",X166&gt;5,"Delayed",X166=" ","Pending")</f>
        <v>On Time</v>
      </c>
    </row>
    <row r="167" spans="1:25" ht="15" thickBot="1" x14ac:dyDescent="0.4">
      <c r="A167" s="30" t="s">
        <v>289</v>
      </c>
      <c r="B167" s="30" t="s">
        <v>104</v>
      </c>
      <c r="C167" s="30" t="s">
        <v>68</v>
      </c>
      <c r="D167" s="31">
        <v>45827</v>
      </c>
      <c r="E167" s="31">
        <v>45835</v>
      </c>
      <c r="F167" s="30" t="s">
        <v>166</v>
      </c>
      <c r="G167" s="30" t="s">
        <v>26</v>
      </c>
      <c r="H167" s="31">
        <v>35210</v>
      </c>
      <c r="I167" s="30" t="s">
        <v>91</v>
      </c>
      <c r="J167" s="30" t="s">
        <v>75</v>
      </c>
      <c r="K167" s="30" t="s">
        <v>29</v>
      </c>
      <c r="L167" s="30" t="s">
        <v>70</v>
      </c>
      <c r="M167" s="30">
        <v>15</v>
      </c>
      <c r="N167" s="30">
        <v>3500</v>
      </c>
      <c r="O167" s="30">
        <v>15</v>
      </c>
      <c r="P167" s="30">
        <v>44625</v>
      </c>
      <c r="Q167" s="30">
        <v>2</v>
      </c>
      <c r="R167" s="30" t="s">
        <v>65</v>
      </c>
      <c r="S167" s="30" t="s">
        <v>50</v>
      </c>
      <c r="T167" s="30" t="s">
        <v>108</v>
      </c>
      <c r="U167" s="30">
        <v>9697654418</v>
      </c>
      <c r="V167" s="38" t="s">
        <v>52</v>
      </c>
      <c r="W167" s="49">
        <f t="shared" ca="1" si="4"/>
        <v>30</v>
      </c>
      <c r="X167" s="50">
        <f t="shared" si="5"/>
        <v>8</v>
      </c>
      <c r="Y167" s="46" t="str" cm="1">
        <f t="array" ref="Y167">_xlfn.IFS(X167&lt;=5,"On Time",X167&gt;5,"Delayed",X167=" ","Pending")</f>
        <v>Delayed</v>
      </c>
    </row>
    <row r="168" spans="1:25" ht="15" thickBot="1" x14ac:dyDescent="0.4">
      <c r="A168" s="27" t="s">
        <v>290</v>
      </c>
      <c r="B168" s="27" t="s">
        <v>87</v>
      </c>
      <c r="C168" s="27" t="s">
        <v>68</v>
      </c>
      <c r="D168" s="28">
        <v>45742</v>
      </c>
      <c r="E168" s="28">
        <v>45753</v>
      </c>
      <c r="F168" s="27" t="s">
        <v>88</v>
      </c>
      <c r="G168" s="27" t="s">
        <v>58</v>
      </c>
      <c r="H168" s="28">
        <v>31543</v>
      </c>
      <c r="I168" s="27" t="s">
        <v>147</v>
      </c>
      <c r="J168" s="27" t="s">
        <v>148</v>
      </c>
      <c r="K168" s="27" t="s">
        <v>29</v>
      </c>
      <c r="L168" s="27" t="s">
        <v>70</v>
      </c>
      <c r="M168" s="27">
        <v>19</v>
      </c>
      <c r="N168" s="27">
        <v>3500</v>
      </c>
      <c r="O168" s="27">
        <v>5</v>
      </c>
      <c r="P168" s="27">
        <v>63175</v>
      </c>
      <c r="Q168" s="27">
        <v>2</v>
      </c>
      <c r="R168" s="27" t="s">
        <v>31</v>
      </c>
      <c r="S168" s="27" t="s">
        <v>80</v>
      </c>
      <c r="T168" s="27" t="s">
        <v>89</v>
      </c>
      <c r="U168" s="27">
        <v>9457923119</v>
      </c>
      <c r="V168" s="37" t="s">
        <v>53</v>
      </c>
      <c r="W168" s="49">
        <f t="shared" ca="1" si="4"/>
        <v>40</v>
      </c>
      <c r="X168" s="50">
        <f t="shared" si="5"/>
        <v>11</v>
      </c>
      <c r="Y168" s="46" t="str" cm="1">
        <f t="array" ref="Y168">_xlfn.IFS(X168&lt;=5,"On Time",X168&gt;5,"Delayed",X168=" ","Pending")</f>
        <v>Delayed</v>
      </c>
    </row>
    <row r="169" spans="1:25" ht="15" thickBot="1" x14ac:dyDescent="0.4">
      <c r="A169" s="30" t="s">
        <v>291</v>
      </c>
      <c r="B169" s="30" t="s">
        <v>156</v>
      </c>
      <c r="C169" s="30" t="s">
        <v>46</v>
      </c>
      <c r="D169" s="31">
        <v>45844</v>
      </c>
      <c r="E169" s="31">
        <v>45848</v>
      </c>
      <c r="F169" s="30" t="s">
        <v>106</v>
      </c>
      <c r="G169" s="30" t="s">
        <v>58</v>
      </c>
      <c r="H169" s="31">
        <v>32653</v>
      </c>
      <c r="I169" s="30" t="s">
        <v>48</v>
      </c>
      <c r="J169" s="30" t="s">
        <v>28</v>
      </c>
      <c r="K169" s="30" t="s">
        <v>39</v>
      </c>
      <c r="L169" s="30" t="s">
        <v>49</v>
      </c>
      <c r="M169" s="30">
        <v>12</v>
      </c>
      <c r="N169" s="30">
        <v>55000</v>
      </c>
      <c r="O169" s="30">
        <v>5</v>
      </c>
      <c r="P169" s="30">
        <v>627000</v>
      </c>
      <c r="Q169" s="30">
        <v>4</v>
      </c>
      <c r="R169" s="30" t="s">
        <v>60</v>
      </c>
      <c r="S169" s="30" t="s">
        <v>50</v>
      </c>
      <c r="T169" s="30" t="s">
        <v>158</v>
      </c>
      <c r="U169" s="30">
        <v>9236111271</v>
      </c>
      <c r="V169" s="38" t="s">
        <v>53</v>
      </c>
      <c r="W169" s="49">
        <f t="shared" ca="1" si="4"/>
        <v>37</v>
      </c>
      <c r="X169" s="50">
        <f t="shared" si="5"/>
        <v>4</v>
      </c>
      <c r="Y169" s="46" t="str" cm="1">
        <f t="array" ref="Y169">_xlfn.IFS(X169&lt;=5,"On Time",X169&gt;5,"Delayed",X169=" ","Pending")</f>
        <v>On Time</v>
      </c>
    </row>
    <row r="170" spans="1:25" ht="15" thickBot="1" x14ac:dyDescent="0.4">
      <c r="A170" s="27" t="s">
        <v>292</v>
      </c>
      <c r="B170" s="27" t="s">
        <v>45</v>
      </c>
      <c r="C170" s="27" t="s">
        <v>56</v>
      </c>
      <c r="D170" s="28">
        <v>46040</v>
      </c>
      <c r="E170" s="28">
        <v>46048</v>
      </c>
      <c r="F170" s="27" t="s">
        <v>101</v>
      </c>
      <c r="G170" s="27" t="s">
        <v>26</v>
      </c>
      <c r="H170" s="28">
        <v>32745</v>
      </c>
      <c r="I170" s="27" t="s">
        <v>74</v>
      </c>
      <c r="J170" s="27" t="s">
        <v>75</v>
      </c>
      <c r="K170" s="27" t="s">
        <v>39</v>
      </c>
      <c r="L170" s="27" t="s">
        <v>59</v>
      </c>
      <c r="M170" s="27">
        <v>6</v>
      </c>
      <c r="N170" s="27">
        <v>1200</v>
      </c>
      <c r="O170" s="27">
        <v>10</v>
      </c>
      <c r="P170" s="27">
        <v>6480</v>
      </c>
      <c r="Q170" s="27">
        <v>5</v>
      </c>
      <c r="R170" s="27" t="s">
        <v>41</v>
      </c>
      <c r="S170" s="27" t="s">
        <v>80</v>
      </c>
      <c r="T170" s="27" t="s">
        <v>51</v>
      </c>
      <c r="U170" s="27">
        <v>9402569141</v>
      </c>
      <c r="V170" s="37" t="s">
        <v>53</v>
      </c>
      <c r="W170" s="49">
        <f t="shared" ca="1" si="4"/>
        <v>37</v>
      </c>
      <c r="X170" s="50">
        <f t="shared" si="5"/>
        <v>8</v>
      </c>
      <c r="Y170" s="46" t="str" cm="1">
        <f t="array" ref="Y170">_xlfn.IFS(X170&lt;=5,"On Time",X170&gt;5,"Delayed",X170=" ","Pending")</f>
        <v>Delayed</v>
      </c>
    </row>
    <row r="171" spans="1:25" ht="15" thickBot="1" x14ac:dyDescent="0.4">
      <c r="A171" s="30" t="s">
        <v>293</v>
      </c>
      <c r="B171" s="30" t="s">
        <v>134</v>
      </c>
      <c r="C171" s="30" t="s">
        <v>105</v>
      </c>
      <c r="D171" s="31">
        <v>45919</v>
      </c>
      <c r="E171" s="31">
        <v>45920</v>
      </c>
      <c r="F171" s="30" t="s">
        <v>135</v>
      </c>
      <c r="G171" s="30" t="s">
        <v>26</v>
      </c>
      <c r="H171" s="31">
        <v>35570</v>
      </c>
      <c r="I171" s="30" t="s">
        <v>27</v>
      </c>
      <c r="J171" s="30" t="s">
        <v>28</v>
      </c>
      <c r="K171" s="30" t="s">
        <v>29</v>
      </c>
      <c r="L171" s="30" t="s">
        <v>107</v>
      </c>
      <c r="M171" s="30">
        <v>1</v>
      </c>
      <c r="N171" s="30">
        <v>8500</v>
      </c>
      <c r="O171" s="30">
        <v>0</v>
      </c>
      <c r="P171" s="30">
        <v>8500</v>
      </c>
      <c r="Q171" s="30">
        <v>1</v>
      </c>
      <c r="R171" s="30" t="s">
        <v>65</v>
      </c>
      <c r="S171" s="30" t="s">
        <v>96</v>
      </c>
      <c r="T171" s="30" t="s">
        <v>136</v>
      </c>
      <c r="U171" s="30">
        <v>9138184056</v>
      </c>
      <c r="V171" s="38" t="s">
        <v>53</v>
      </c>
      <c r="W171" s="49">
        <f t="shared" ca="1" si="4"/>
        <v>29</v>
      </c>
      <c r="X171" s="50">
        <f t="shared" si="5"/>
        <v>1</v>
      </c>
      <c r="Y171" s="46" t="str" cm="1">
        <f t="array" ref="Y171">_xlfn.IFS(X171&lt;=5,"On Time",X171&gt;5,"Delayed",X171=" ","Pending")</f>
        <v>On Time</v>
      </c>
    </row>
    <row r="172" spans="1:25" ht="15" thickBot="1" x14ac:dyDescent="0.4">
      <c r="A172" s="27" t="s">
        <v>294</v>
      </c>
      <c r="B172" s="27" t="s">
        <v>87</v>
      </c>
      <c r="C172" s="27" t="s">
        <v>46</v>
      </c>
      <c r="D172" s="28">
        <v>46113</v>
      </c>
      <c r="E172" s="28">
        <v>46119</v>
      </c>
      <c r="F172" s="27" t="s">
        <v>88</v>
      </c>
      <c r="G172" s="27" t="s">
        <v>58</v>
      </c>
      <c r="H172" s="28">
        <v>31900</v>
      </c>
      <c r="I172" s="27" t="s">
        <v>91</v>
      </c>
      <c r="J172" s="27" t="s">
        <v>75</v>
      </c>
      <c r="K172" s="27" t="s">
        <v>39</v>
      </c>
      <c r="L172" s="27" t="s">
        <v>49</v>
      </c>
      <c r="M172" s="27">
        <v>20</v>
      </c>
      <c r="N172" s="27">
        <v>55000</v>
      </c>
      <c r="O172" s="27">
        <v>10</v>
      </c>
      <c r="P172" s="27">
        <v>990000</v>
      </c>
      <c r="Q172" s="27">
        <v>5</v>
      </c>
      <c r="R172" s="27" t="s">
        <v>41</v>
      </c>
      <c r="S172" s="27" t="s">
        <v>96</v>
      </c>
      <c r="T172" s="27" t="s">
        <v>89</v>
      </c>
      <c r="U172" s="27">
        <v>9609598700</v>
      </c>
      <c r="V172" s="35" t="s">
        <v>34</v>
      </c>
      <c r="W172" s="49">
        <f t="shared" ca="1" si="4"/>
        <v>39</v>
      </c>
      <c r="X172" s="50">
        <f t="shared" si="5"/>
        <v>6</v>
      </c>
      <c r="Y172" s="46" t="str" cm="1">
        <f t="array" ref="Y172">_xlfn.IFS(X172&lt;=5,"On Time",X172&gt;5,"Delayed",X172=" ","Pending")</f>
        <v>Delayed</v>
      </c>
    </row>
    <row r="173" spans="1:25" ht="15" thickBot="1" x14ac:dyDescent="0.4">
      <c r="A173" s="30" t="s">
        <v>295</v>
      </c>
      <c r="B173" s="30" t="s">
        <v>124</v>
      </c>
      <c r="C173" s="30" t="s">
        <v>56</v>
      </c>
      <c r="D173" s="31">
        <v>45958</v>
      </c>
      <c r="E173" s="31">
        <v>45959</v>
      </c>
      <c r="F173" s="30" t="s">
        <v>126</v>
      </c>
      <c r="G173" s="30" t="s">
        <v>58</v>
      </c>
      <c r="H173" s="31">
        <v>37592</v>
      </c>
      <c r="I173" s="30" t="s">
        <v>91</v>
      </c>
      <c r="J173" s="30" t="s">
        <v>75</v>
      </c>
      <c r="K173" s="30" t="s">
        <v>39</v>
      </c>
      <c r="L173" s="30" t="s">
        <v>59</v>
      </c>
      <c r="M173" s="30">
        <v>8</v>
      </c>
      <c r="N173" s="30">
        <v>1200</v>
      </c>
      <c r="O173" s="30">
        <v>15</v>
      </c>
      <c r="P173" s="30">
        <v>8160</v>
      </c>
      <c r="Q173" s="30">
        <v>2</v>
      </c>
      <c r="R173" s="30" t="s">
        <v>65</v>
      </c>
      <c r="S173" s="30" t="s">
        <v>80</v>
      </c>
      <c r="T173" s="30" t="s">
        <v>128</v>
      </c>
      <c r="U173" s="30">
        <v>9385894399</v>
      </c>
      <c r="V173" s="38" t="s">
        <v>53</v>
      </c>
      <c r="W173" s="49">
        <f t="shared" ca="1" si="4"/>
        <v>23</v>
      </c>
      <c r="X173" s="50">
        <f t="shared" si="5"/>
        <v>1</v>
      </c>
      <c r="Y173" s="46" t="str" cm="1">
        <f t="array" ref="Y173">_xlfn.IFS(X173&lt;=5,"On Time",X173&gt;5,"Delayed",X173=" ","Pending")</f>
        <v>On Time</v>
      </c>
    </row>
    <row r="174" spans="1:25" ht="15" thickBot="1" x14ac:dyDescent="0.4">
      <c r="A174" s="27" t="s">
        <v>296</v>
      </c>
      <c r="B174" s="27" t="s">
        <v>23</v>
      </c>
      <c r="C174" s="27" t="s">
        <v>68</v>
      </c>
      <c r="D174" s="28">
        <v>45694</v>
      </c>
      <c r="E174" s="28">
        <v>45705</v>
      </c>
      <c r="F174" s="27" t="s">
        <v>25</v>
      </c>
      <c r="G174" s="27" t="s">
        <v>26</v>
      </c>
      <c r="H174" s="28">
        <v>31557</v>
      </c>
      <c r="I174" s="27" t="s">
        <v>121</v>
      </c>
      <c r="J174" s="27" t="s">
        <v>38</v>
      </c>
      <c r="K174" s="27" t="s">
        <v>29</v>
      </c>
      <c r="L174" s="27" t="s">
        <v>70</v>
      </c>
      <c r="M174" s="27">
        <v>19</v>
      </c>
      <c r="N174" s="27">
        <v>3500</v>
      </c>
      <c r="O174" s="27">
        <v>5</v>
      </c>
      <c r="P174" s="27">
        <v>63175</v>
      </c>
      <c r="Q174" s="27">
        <v>4</v>
      </c>
      <c r="R174" s="27" t="s">
        <v>65</v>
      </c>
      <c r="S174" s="27" t="s">
        <v>42</v>
      </c>
      <c r="T174" s="27" t="s">
        <v>43</v>
      </c>
      <c r="U174" s="27">
        <v>9329448011</v>
      </c>
      <c r="V174" s="37" t="s">
        <v>52</v>
      </c>
      <c r="W174" s="49">
        <f t="shared" ca="1" si="4"/>
        <v>40</v>
      </c>
      <c r="X174" s="50">
        <f t="shared" si="5"/>
        <v>11</v>
      </c>
      <c r="Y174" s="46" t="str" cm="1">
        <f t="array" ref="Y174">_xlfn.IFS(X174&lt;=5,"On Time",X174&gt;5,"Delayed",X174=" ","Pending")</f>
        <v>Delayed</v>
      </c>
    </row>
    <row r="175" spans="1:25" ht="15" thickBot="1" x14ac:dyDescent="0.4">
      <c r="A175" s="30" t="s">
        <v>297</v>
      </c>
      <c r="B175" s="30" t="s">
        <v>124</v>
      </c>
      <c r="C175" s="30" t="s">
        <v>138</v>
      </c>
      <c r="D175" s="31">
        <v>45774</v>
      </c>
      <c r="E175" s="31">
        <v>45776</v>
      </c>
      <c r="F175" s="30" t="s">
        <v>126</v>
      </c>
      <c r="G175" s="30" t="s">
        <v>58</v>
      </c>
      <c r="H175" s="31">
        <v>31465</v>
      </c>
      <c r="I175" s="30" t="s">
        <v>121</v>
      </c>
      <c r="J175" s="30" t="s">
        <v>38</v>
      </c>
      <c r="K175" s="30" t="s">
        <v>83</v>
      </c>
      <c r="L175" s="30" t="s">
        <v>139</v>
      </c>
      <c r="M175" s="30">
        <v>6</v>
      </c>
      <c r="N175" s="30">
        <v>45</v>
      </c>
      <c r="O175" s="30">
        <v>20</v>
      </c>
      <c r="P175" s="30">
        <v>216</v>
      </c>
      <c r="Q175" s="30">
        <v>1</v>
      </c>
      <c r="R175" s="30" t="s">
        <v>60</v>
      </c>
      <c r="S175" s="30" t="s">
        <v>42</v>
      </c>
      <c r="T175" s="30" t="s">
        <v>298</v>
      </c>
      <c r="U175" s="30">
        <v>9889544104</v>
      </c>
      <c r="V175" s="38" t="s">
        <v>52</v>
      </c>
      <c r="W175" s="49">
        <f t="shared" ca="1" si="4"/>
        <v>40</v>
      </c>
      <c r="X175" s="50">
        <f t="shared" si="5"/>
        <v>2</v>
      </c>
      <c r="Y175" s="46" t="str" cm="1">
        <f t="array" ref="Y175">_xlfn.IFS(X175&lt;=5,"On Time",X175&gt;5,"Delayed",X175=" ","Pending")</f>
        <v>On Time</v>
      </c>
    </row>
    <row r="176" spans="1:25" ht="15" thickBot="1" x14ac:dyDescent="0.4">
      <c r="A176" s="27" t="s">
        <v>299</v>
      </c>
      <c r="B176" s="27" t="s">
        <v>134</v>
      </c>
      <c r="C176" s="27" t="s">
        <v>138</v>
      </c>
      <c r="D176" s="28">
        <v>45730</v>
      </c>
      <c r="E176" s="28">
        <v>45741</v>
      </c>
      <c r="F176" s="27" t="s">
        <v>135</v>
      </c>
      <c r="G176" s="27" t="s">
        <v>26</v>
      </c>
      <c r="H176" s="28">
        <v>32240</v>
      </c>
      <c r="I176" s="27" t="s">
        <v>79</v>
      </c>
      <c r="J176" s="27" t="s">
        <v>75</v>
      </c>
      <c r="K176" s="27" t="s">
        <v>83</v>
      </c>
      <c r="L176" s="27" t="s">
        <v>139</v>
      </c>
      <c r="M176" s="27">
        <v>17</v>
      </c>
      <c r="N176" s="27">
        <v>45</v>
      </c>
      <c r="O176" s="27">
        <v>15</v>
      </c>
      <c r="P176" s="27">
        <v>650.25</v>
      </c>
      <c r="Q176" s="27">
        <v>5</v>
      </c>
      <c r="R176" s="27" t="s">
        <v>31</v>
      </c>
      <c r="S176" s="27" t="s">
        <v>80</v>
      </c>
      <c r="T176" s="27" t="s">
        <v>136</v>
      </c>
      <c r="U176" s="27">
        <v>9101861045</v>
      </c>
      <c r="V176" s="37" t="s">
        <v>52</v>
      </c>
      <c r="W176" s="49">
        <f t="shared" ca="1" si="4"/>
        <v>38</v>
      </c>
      <c r="X176" s="50">
        <f t="shared" si="5"/>
        <v>11</v>
      </c>
      <c r="Y176" s="46" t="str" cm="1">
        <f t="array" ref="Y176">_xlfn.IFS(X176&lt;=5,"On Time",X176&gt;5,"Delayed",X176=" ","Pending")</f>
        <v>Delayed</v>
      </c>
    </row>
    <row r="177" spans="1:25" ht="15" thickBot="1" x14ac:dyDescent="0.4">
      <c r="A177" s="30" t="s">
        <v>300</v>
      </c>
      <c r="B177" s="30" t="s">
        <v>23</v>
      </c>
      <c r="C177" s="30" t="s">
        <v>125</v>
      </c>
      <c r="D177" s="31">
        <v>45842</v>
      </c>
      <c r="E177" s="31">
        <v>45854</v>
      </c>
      <c r="F177" s="30" t="s">
        <v>25</v>
      </c>
      <c r="G177" s="30" t="s">
        <v>26</v>
      </c>
      <c r="H177" s="31">
        <v>34147</v>
      </c>
      <c r="I177" s="30" t="s">
        <v>79</v>
      </c>
      <c r="J177" s="30" t="s">
        <v>75</v>
      </c>
      <c r="K177" s="30" t="s">
        <v>83</v>
      </c>
      <c r="L177" s="30" t="s">
        <v>127</v>
      </c>
      <c r="M177" s="30">
        <v>19</v>
      </c>
      <c r="N177" s="30">
        <v>20</v>
      </c>
      <c r="O177" s="30">
        <v>5</v>
      </c>
      <c r="P177" s="30">
        <v>361</v>
      </c>
      <c r="Q177" s="30">
        <v>4</v>
      </c>
      <c r="R177" s="30" t="s">
        <v>31</v>
      </c>
      <c r="S177" s="30" t="s">
        <v>32</v>
      </c>
      <c r="T177" s="30" t="s">
        <v>43</v>
      </c>
      <c r="U177" s="30">
        <v>9364712105</v>
      </c>
      <c r="V177" s="38" t="s">
        <v>52</v>
      </c>
      <c r="W177" s="49">
        <f t="shared" ca="1" si="4"/>
        <v>33</v>
      </c>
      <c r="X177" s="50">
        <f t="shared" si="5"/>
        <v>12</v>
      </c>
      <c r="Y177" s="46" t="str" cm="1">
        <f t="array" ref="Y177">_xlfn.IFS(X177&lt;=5,"On Time",X177&gt;5,"Delayed",X177=" ","Pending")</f>
        <v>Delayed</v>
      </c>
    </row>
    <row r="178" spans="1:25" ht="15" thickBot="1" x14ac:dyDescent="0.4">
      <c r="A178" s="27" t="s">
        <v>301</v>
      </c>
      <c r="B178" s="27" t="s">
        <v>134</v>
      </c>
      <c r="C178" s="27" t="s">
        <v>125</v>
      </c>
      <c r="D178" s="28">
        <v>45993</v>
      </c>
      <c r="E178" s="28">
        <v>45994</v>
      </c>
      <c r="F178" s="27" t="s">
        <v>135</v>
      </c>
      <c r="G178" s="27" t="s">
        <v>26</v>
      </c>
      <c r="H178" s="28">
        <v>38156</v>
      </c>
      <c r="I178" s="27" t="s">
        <v>91</v>
      </c>
      <c r="J178" s="27" t="s">
        <v>75</v>
      </c>
      <c r="K178" s="27" t="s">
        <v>83</v>
      </c>
      <c r="L178" s="27" t="s">
        <v>127</v>
      </c>
      <c r="M178" s="27">
        <v>11</v>
      </c>
      <c r="N178" s="27">
        <v>20</v>
      </c>
      <c r="O178" s="27">
        <v>0</v>
      </c>
      <c r="P178" s="27">
        <v>220</v>
      </c>
      <c r="Q178" s="27">
        <v>3</v>
      </c>
      <c r="R178" s="27" t="s">
        <v>41</v>
      </c>
      <c r="S178" s="27" t="s">
        <v>42</v>
      </c>
      <c r="T178" s="27" t="s">
        <v>136</v>
      </c>
      <c r="U178" s="27">
        <v>9950206376</v>
      </c>
      <c r="V178" s="35" t="s">
        <v>34</v>
      </c>
      <c r="W178" s="49">
        <f t="shared" ca="1" si="4"/>
        <v>22</v>
      </c>
      <c r="X178" s="50">
        <f t="shared" si="5"/>
        <v>1</v>
      </c>
      <c r="Y178" s="46" t="str" cm="1">
        <f t="array" ref="Y178">_xlfn.IFS(X178&lt;=5,"On Time",X178&gt;5,"Delayed",X178=" ","Pending")</f>
        <v>On Time</v>
      </c>
    </row>
    <row r="179" spans="1:25" ht="15" thickBot="1" x14ac:dyDescent="0.4">
      <c r="A179" s="30" t="s">
        <v>302</v>
      </c>
      <c r="B179" s="30" t="s">
        <v>104</v>
      </c>
      <c r="C179" s="30" t="s">
        <v>82</v>
      </c>
      <c r="D179" s="31">
        <v>46067</v>
      </c>
      <c r="E179" s="31">
        <v>46074</v>
      </c>
      <c r="F179" s="30" t="s">
        <v>166</v>
      </c>
      <c r="G179" s="30" t="s">
        <v>26</v>
      </c>
      <c r="H179" s="31">
        <v>34221</v>
      </c>
      <c r="I179" s="30" t="s">
        <v>37</v>
      </c>
      <c r="J179" s="30" t="s">
        <v>38</v>
      </c>
      <c r="K179" s="30" t="s">
        <v>83</v>
      </c>
      <c r="L179" s="30" t="s">
        <v>84</v>
      </c>
      <c r="M179" s="30">
        <v>12</v>
      </c>
      <c r="N179" s="30">
        <v>60</v>
      </c>
      <c r="O179" s="30">
        <v>0</v>
      </c>
      <c r="P179" s="30">
        <v>720</v>
      </c>
      <c r="Q179" s="30">
        <v>2</v>
      </c>
      <c r="R179" s="30" t="s">
        <v>41</v>
      </c>
      <c r="S179" s="30" t="s">
        <v>42</v>
      </c>
      <c r="T179" s="30" t="s">
        <v>108</v>
      </c>
      <c r="U179" s="30">
        <v>9235822094</v>
      </c>
      <c r="V179" s="36" t="s">
        <v>34</v>
      </c>
      <c r="W179" s="49">
        <f t="shared" ca="1" si="4"/>
        <v>33</v>
      </c>
      <c r="X179" s="50">
        <f t="shared" si="5"/>
        <v>7</v>
      </c>
      <c r="Y179" s="46" t="str" cm="1">
        <f t="array" ref="Y179">_xlfn.IFS(X179&lt;=5,"On Time",X179&gt;5,"Delayed",X179=" ","Pending")</f>
        <v>Delayed</v>
      </c>
    </row>
    <row r="180" spans="1:25" ht="15" thickBot="1" x14ac:dyDescent="0.4">
      <c r="A180" s="27" t="s">
        <v>303</v>
      </c>
      <c r="B180" s="27" t="s">
        <v>124</v>
      </c>
      <c r="C180" s="27" t="s">
        <v>138</v>
      </c>
      <c r="D180" s="28">
        <v>45970</v>
      </c>
      <c r="E180" s="28">
        <v>45974</v>
      </c>
      <c r="F180" s="27" t="s">
        <v>73</v>
      </c>
      <c r="G180" s="27" t="s">
        <v>58</v>
      </c>
      <c r="H180" s="28">
        <v>37147</v>
      </c>
      <c r="I180" s="27" t="s">
        <v>147</v>
      </c>
      <c r="J180" s="27" t="s">
        <v>148</v>
      </c>
      <c r="K180" s="27" t="s">
        <v>83</v>
      </c>
      <c r="L180" s="27" t="s">
        <v>139</v>
      </c>
      <c r="M180" s="27">
        <v>14</v>
      </c>
      <c r="N180" s="27">
        <v>45</v>
      </c>
      <c r="O180" s="27">
        <v>15</v>
      </c>
      <c r="P180" s="27">
        <v>535.5</v>
      </c>
      <c r="Q180" s="27">
        <v>5</v>
      </c>
      <c r="R180" s="27" t="s">
        <v>65</v>
      </c>
      <c r="S180" s="27" t="s">
        <v>80</v>
      </c>
      <c r="T180" s="27" t="s">
        <v>128</v>
      </c>
      <c r="U180" s="27">
        <v>9311021344</v>
      </c>
      <c r="V180" s="37" t="s">
        <v>52</v>
      </c>
      <c r="W180" s="49">
        <f t="shared" ca="1" si="4"/>
        <v>25</v>
      </c>
      <c r="X180" s="50">
        <f t="shared" si="5"/>
        <v>4</v>
      </c>
      <c r="Y180" s="46" t="str" cm="1">
        <f t="array" ref="Y180">_xlfn.IFS(X180&lt;=5,"On Time",X180&gt;5,"Delayed",X180=" ","Pending")</f>
        <v>On Time</v>
      </c>
    </row>
    <row r="181" spans="1:25" ht="15" thickBot="1" x14ac:dyDescent="0.4">
      <c r="A181" s="30" t="s">
        <v>304</v>
      </c>
      <c r="B181" s="30" t="s">
        <v>23</v>
      </c>
      <c r="C181" s="30" t="s">
        <v>112</v>
      </c>
      <c r="D181" s="31">
        <v>45695</v>
      </c>
      <c r="E181" s="31">
        <v>45707</v>
      </c>
      <c r="F181" s="30" t="s">
        <v>25</v>
      </c>
      <c r="G181" s="30" t="s">
        <v>26</v>
      </c>
      <c r="H181" s="31">
        <v>29905</v>
      </c>
      <c r="I181" s="30" t="s">
        <v>27</v>
      </c>
      <c r="J181" s="30" t="s">
        <v>28</v>
      </c>
      <c r="K181" s="30" t="s">
        <v>39</v>
      </c>
      <c r="L181" s="30" t="s">
        <v>114</v>
      </c>
      <c r="M181" s="30">
        <v>15</v>
      </c>
      <c r="N181" s="30">
        <v>700</v>
      </c>
      <c r="O181" s="30">
        <v>10</v>
      </c>
      <c r="P181" s="30">
        <v>9450</v>
      </c>
      <c r="Q181" s="30">
        <v>3</v>
      </c>
      <c r="R181" s="30" t="s">
        <v>41</v>
      </c>
      <c r="S181" s="30" t="s">
        <v>42</v>
      </c>
      <c r="T181" s="30" t="s">
        <v>43</v>
      </c>
      <c r="U181" s="30">
        <v>9891358505</v>
      </c>
      <c r="V181" s="38" t="s">
        <v>52</v>
      </c>
      <c r="W181" s="49">
        <f t="shared" ca="1" si="4"/>
        <v>44</v>
      </c>
      <c r="X181" s="50">
        <f t="shared" si="5"/>
        <v>12</v>
      </c>
      <c r="Y181" s="46" t="str" cm="1">
        <f t="array" ref="Y181">_xlfn.IFS(X181&lt;=5,"On Time",X181&gt;5,"Delayed",X181=" ","Pending")</f>
        <v>Delayed</v>
      </c>
    </row>
    <row r="182" spans="1:25" ht="15" thickBot="1" x14ac:dyDescent="0.4">
      <c r="A182" s="27" t="s">
        <v>305</v>
      </c>
      <c r="B182" s="27" t="s">
        <v>72</v>
      </c>
      <c r="C182" s="27" t="s">
        <v>105</v>
      </c>
      <c r="D182" s="28">
        <v>45803</v>
      </c>
      <c r="E182" s="28">
        <v>45807</v>
      </c>
      <c r="F182" s="27" t="s">
        <v>73</v>
      </c>
      <c r="G182" s="27" t="s">
        <v>26</v>
      </c>
      <c r="H182" s="28">
        <v>29476</v>
      </c>
      <c r="I182" s="27" t="s">
        <v>91</v>
      </c>
      <c r="J182" s="27" t="s">
        <v>75</v>
      </c>
      <c r="K182" s="27" t="s">
        <v>29</v>
      </c>
      <c r="L182" s="27" t="s">
        <v>107</v>
      </c>
      <c r="M182" s="27">
        <v>19</v>
      </c>
      <c r="N182" s="27">
        <v>8500</v>
      </c>
      <c r="O182" s="27">
        <v>15</v>
      </c>
      <c r="P182" s="27">
        <v>137275</v>
      </c>
      <c r="Q182" s="27">
        <v>2</v>
      </c>
      <c r="R182" s="27" t="s">
        <v>31</v>
      </c>
      <c r="S182" s="27" t="s">
        <v>32</v>
      </c>
      <c r="T182" s="27" t="s">
        <v>93</v>
      </c>
      <c r="U182" s="27">
        <v>9910085332</v>
      </c>
      <c r="V182" s="37" t="s">
        <v>53</v>
      </c>
      <c r="W182" s="49">
        <f t="shared" ca="1" si="4"/>
        <v>46</v>
      </c>
      <c r="X182" s="50">
        <f t="shared" si="5"/>
        <v>4</v>
      </c>
      <c r="Y182" s="46" t="str" cm="1">
        <f t="array" ref="Y182">_xlfn.IFS(X182&lt;=5,"On Time",X182&gt;5,"Delayed",X182=" ","Pending")</f>
        <v>On Time</v>
      </c>
    </row>
    <row r="183" spans="1:25" ht="15" thickBot="1" x14ac:dyDescent="0.4">
      <c r="A183" s="30" t="s">
        <v>306</v>
      </c>
      <c r="B183" s="30" t="s">
        <v>134</v>
      </c>
      <c r="C183" s="30" t="s">
        <v>82</v>
      </c>
      <c r="D183" s="31">
        <v>45934</v>
      </c>
      <c r="E183" s="31">
        <v>45936</v>
      </c>
      <c r="F183" s="30" t="s">
        <v>135</v>
      </c>
      <c r="G183" s="30" t="s">
        <v>26</v>
      </c>
      <c r="H183" s="31">
        <v>32240</v>
      </c>
      <c r="I183" s="30" t="s">
        <v>121</v>
      </c>
      <c r="J183" s="30" t="s">
        <v>38</v>
      </c>
      <c r="K183" s="30" t="s">
        <v>83</v>
      </c>
      <c r="L183" s="30" t="s">
        <v>84</v>
      </c>
      <c r="M183" s="30">
        <v>19</v>
      </c>
      <c r="N183" s="30">
        <v>60</v>
      </c>
      <c r="O183" s="30">
        <v>20</v>
      </c>
      <c r="P183" s="30">
        <v>912</v>
      </c>
      <c r="Q183" s="30">
        <v>4</v>
      </c>
      <c r="R183" s="30" t="s">
        <v>60</v>
      </c>
      <c r="S183" s="30" t="s">
        <v>42</v>
      </c>
      <c r="T183" s="30" t="s">
        <v>136</v>
      </c>
      <c r="U183" s="30">
        <v>9756908023</v>
      </c>
      <c r="V183" s="38" t="s">
        <v>52</v>
      </c>
      <c r="W183" s="49">
        <f t="shared" ca="1" si="4"/>
        <v>38</v>
      </c>
      <c r="X183" s="50">
        <f t="shared" si="5"/>
        <v>2</v>
      </c>
      <c r="Y183" s="46" t="str" cm="1">
        <f t="array" ref="Y183">_xlfn.IFS(X183&lt;=5,"On Time",X183&gt;5,"Delayed",X183=" ","Pending")</f>
        <v>On Time</v>
      </c>
    </row>
    <row r="184" spans="1:25" ht="15" thickBot="1" x14ac:dyDescent="0.4">
      <c r="A184" s="27" t="s">
        <v>307</v>
      </c>
      <c r="B184" s="27" t="s">
        <v>72</v>
      </c>
      <c r="C184" s="27" t="s">
        <v>138</v>
      </c>
      <c r="D184" s="28">
        <v>45792</v>
      </c>
      <c r="E184" s="28">
        <v>45803</v>
      </c>
      <c r="F184" s="27" t="s">
        <v>73</v>
      </c>
      <c r="G184" s="27" t="s">
        <v>26</v>
      </c>
      <c r="H184" s="28">
        <v>32192</v>
      </c>
      <c r="I184" s="27" t="s">
        <v>48</v>
      </c>
      <c r="J184" s="27" t="s">
        <v>28</v>
      </c>
      <c r="K184" s="27" t="s">
        <v>83</v>
      </c>
      <c r="L184" s="27" t="s">
        <v>139</v>
      </c>
      <c r="M184" s="27">
        <v>10</v>
      </c>
      <c r="N184" s="27">
        <v>45</v>
      </c>
      <c r="O184" s="27">
        <v>15</v>
      </c>
      <c r="P184" s="27">
        <v>382.5</v>
      </c>
      <c r="Q184" s="27">
        <v>4</v>
      </c>
      <c r="R184" s="27" t="s">
        <v>31</v>
      </c>
      <c r="S184" s="27" t="s">
        <v>96</v>
      </c>
      <c r="T184" s="27" t="s">
        <v>93</v>
      </c>
      <c r="U184" s="27">
        <v>9645913247</v>
      </c>
      <c r="V184" s="35" t="s">
        <v>34</v>
      </c>
      <c r="W184" s="49">
        <f t="shared" ca="1" si="4"/>
        <v>38</v>
      </c>
      <c r="X184" s="50">
        <f t="shared" si="5"/>
        <v>11</v>
      </c>
      <c r="Y184" s="46" t="str" cm="1">
        <f t="array" ref="Y184">_xlfn.IFS(X184&lt;=5,"On Time",X184&gt;5,"Delayed",X184=" ","Pending")</f>
        <v>Delayed</v>
      </c>
    </row>
    <row r="185" spans="1:25" ht="15" thickBot="1" x14ac:dyDescent="0.4">
      <c r="A185" s="30" t="s">
        <v>308</v>
      </c>
      <c r="B185" s="30" t="s">
        <v>55</v>
      </c>
      <c r="C185" s="30" t="s">
        <v>24</v>
      </c>
      <c r="D185" s="31">
        <v>45822</v>
      </c>
      <c r="E185" s="31">
        <v>45831</v>
      </c>
      <c r="F185" s="30" t="s">
        <v>57</v>
      </c>
      <c r="G185" s="30" t="s">
        <v>58</v>
      </c>
      <c r="H185" s="31">
        <v>29923</v>
      </c>
      <c r="I185" s="30" t="s">
        <v>37</v>
      </c>
      <c r="J185" s="30" t="s">
        <v>38</v>
      </c>
      <c r="K185" s="30" t="s">
        <v>29</v>
      </c>
      <c r="L185" s="30" t="s">
        <v>30</v>
      </c>
      <c r="M185" s="30">
        <v>7</v>
      </c>
      <c r="N185" s="30">
        <v>2200</v>
      </c>
      <c r="O185" s="30">
        <v>20</v>
      </c>
      <c r="P185" s="30">
        <v>12320</v>
      </c>
      <c r="Q185" s="30">
        <v>5</v>
      </c>
      <c r="R185" s="30" t="s">
        <v>65</v>
      </c>
      <c r="S185" s="30" t="s">
        <v>42</v>
      </c>
      <c r="T185" s="30" t="s">
        <v>61</v>
      </c>
      <c r="U185" s="30">
        <v>9806914795</v>
      </c>
      <c r="V185" s="38" t="s">
        <v>52</v>
      </c>
      <c r="W185" s="49">
        <f t="shared" ca="1" si="4"/>
        <v>44</v>
      </c>
      <c r="X185" s="50">
        <f t="shared" si="5"/>
        <v>9</v>
      </c>
      <c r="Y185" s="46" t="str" cm="1">
        <f t="array" ref="Y185">_xlfn.IFS(X185&lt;=5,"On Time",X185&gt;5,"Delayed",X185=" ","Pending")</f>
        <v>Delayed</v>
      </c>
    </row>
    <row r="186" spans="1:25" ht="15" thickBot="1" x14ac:dyDescent="0.4">
      <c r="A186" s="27" t="s">
        <v>309</v>
      </c>
      <c r="B186" s="27" t="s">
        <v>72</v>
      </c>
      <c r="C186" s="27" t="s">
        <v>105</v>
      </c>
      <c r="D186" s="28">
        <v>45769</v>
      </c>
      <c r="E186" s="28">
        <v>45781</v>
      </c>
      <c r="F186" s="27" t="s">
        <v>73</v>
      </c>
      <c r="G186" s="27" t="s">
        <v>26</v>
      </c>
      <c r="H186" s="28">
        <v>30723</v>
      </c>
      <c r="I186" s="27" t="s">
        <v>147</v>
      </c>
      <c r="J186" s="27" t="s">
        <v>148</v>
      </c>
      <c r="K186" s="27" t="s">
        <v>29</v>
      </c>
      <c r="L186" s="27" t="s">
        <v>107</v>
      </c>
      <c r="M186" s="27">
        <v>20</v>
      </c>
      <c r="N186" s="27">
        <v>8500</v>
      </c>
      <c r="O186" s="27">
        <v>20</v>
      </c>
      <c r="P186" s="27">
        <v>136000</v>
      </c>
      <c r="Q186" s="27">
        <v>4</v>
      </c>
      <c r="R186" s="27" t="s">
        <v>41</v>
      </c>
      <c r="S186" s="27" t="s">
        <v>32</v>
      </c>
      <c r="T186" s="27" t="s">
        <v>93</v>
      </c>
      <c r="U186" s="27">
        <v>9276222829</v>
      </c>
      <c r="V186" s="35" t="s">
        <v>34</v>
      </c>
      <c r="W186" s="49">
        <f t="shared" ca="1" si="4"/>
        <v>42</v>
      </c>
      <c r="X186" s="50">
        <f t="shared" si="5"/>
        <v>12</v>
      </c>
      <c r="Y186" s="46" t="str" cm="1">
        <f t="array" ref="Y186">_xlfn.IFS(X186&lt;=5,"On Time",X186&gt;5,"Delayed",X186=" ","Pending")</f>
        <v>Delayed</v>
      </c>
    </row>
    <row r="187" spans="1:25" ht="15" thickBot="1" x14ac:dyDescent="0.4">
      <c r="A187" s="30" t="s">
        <v>310</v>
      </c>
      <c r="B187" s="30" t="s">
        <v>134</v>
      </c>
      <c r="C187" s="30" t="s">
        <v>24</v>
      </c>
      <c r="D187" s="31">
        <v>45679</v>
      </c>
      <c r="E187" s="31">
        <v>45681</v>
      </c>
      <c r="F187" s="30" t="s">
        <v>135</v>
      </c>
      <c r="G187" s="30" t="s">
        <v>26</v>
      </c>
      <c r="H187" s="31">
        <v>33579</v>
      </c>
      <c r="I187" s="30" t="s">
        <v>27</v>
      </c>
      <c r="J187" s="30" t="s">
        <v>28</v>
      </c>
      <c r="K187" s="30" t="s">
        <v>29</v>
      </c>
      <c r="L187" s="30" t="s">
        <v>30</v>
      </c>
      <c r="M187" s="30">
        <v>10</v>
      </c>
      <c r="N187" s="30">
        <v>2200</v>
      </c>
      <c r="O187" s="30">
        <v>5</v>
      </c>
      <c r="P187" s="30">
        <v>20900</v>
      </c>
      <c r="Q187" s="30">
        <v>2</v>
      </c>
      <c r="R187" s="30" t="s">
        <v>41</v>
      </c>
      <c r="S187" s="30" t="s">
        <v>42</v>
      </c>
      <c r="T187" s="30" t="s">
        <v>136</v>
      </c>
      <c r="U187" s="30">
        <v>9533835528</v>
      </c>
      <c r="V187" s="36" t="s">
        <v>34</v>
      </c>
      <c r="W187" s="49">
        <f t="shared" ca="1" si="4"/>
        <v>34</v>
      </c>
      <c r="X187" s="50">
        <f t="shared" si="5"/>
        <v>2</v>
      </c>
      <c r="Y187" s="46" t="str" cm="1">
        <f t="array" ref="Y187">_xlfn.IFS(X187&lt;=5,"On Time",X187&gt;5,"Delayed",X187=" ","Pending")</f>
        <v>On Time</v>
      </c>
    </row>
    <row r="188" spans="1:25" ht="15" thickBot="1" x14ac:dyDescent="0.4">
      <c r="A188" s="27" t="s">
        <v>311</v>
      </c>
      <c r="B188" s="27" t="s">
        <v>87</v>
      </c>
      <c r="C188" s="27" t="s">
        <v>82</v>
      </c>
      <c r="D188" s="28">
        <v>46007</v>
      </c>
      <c r="E188" s="28">
        <v>46017</v>
      </c>
      <c r="F188" s="27" t="s">
        <v>88</v>
      </c>
      <c r="G188" s="27" t="s">
        <v>58</v>
      </c>
      <c r="H188" s="28">
        <v>27811</v>
      </c>
      <c r="I188" s="27" t="s">
        <v>79</v>
      </c>
      <c r="J188" s="27" t="s">
        <v>75</v>
      </c>
      <c r="K188" s="27" t="s">
        <v>83</v>
      </c>
      <c r="L188" s="27" t="s">
        <v>84</v>
      </c>
      <c r="M188" s="27">
        <v>15</v>
      </c>
      <c r="N188" s="27">
        <v>60</v>
      </c>
      <c r="O188" s="27">
        <v>20</v>
      </c>
      <c r="P188" s="27">
        <v>720</v>
      </c>
      <c r="Q188" s="27">
        <v>1</v>
      </c>
      <c r="R188" s="27" t="s">
        <v>60</v>
      </c>
      <c r="S188" s="27" t="s">
        <v>32</v>
      </c>
      <c r="T188" s="27" t="s">
        <v>89</v>
      </c>
      <c r="U188" s="27">
        <v>9654885820</v>
      </c>
      <c r="V188" s="35" t="s">
        <v>34</v>
      </c>
      <c r="W188" s="49">
        <f t="shared" ca="1" si="4"/>
        <v>50</v>
      </c>
      <c r="X188" s="50">
        <f t="shared" si="5"/>
        <v>10</v>
      </c>
      <c r="Y188" s="46" t="str" cm="1">
        <f t="array" ref="Y188">_xlfn.IFS(X188&lt;=5,"On Time",X188&gt;5,"Delayed",X188=" ","Pending")</f>
        <v>Delayed</v>
      </c>
    </row>
    <row r="189" spans="1:25" ht="15" thickBot="1" x14ac:dyDescent="0.4">
      <c r="A189" s="30" t="s">
        <v>312</v>
      </c>
      <c r="B189" s="30" t="s">
        <v>124</v>
      </c>
      <c r="C189" s="30" t="s">
        <v>68</v>
      </c>
      <c r="D189" s="31">
        <v>45832</v>
      </c>
      <c r="E189" s="31">
        <v>45836</v>
      </c>
      <c r="F189" s="30" t="s">
        <v>126</v>
      </c>
      <c r="G189" s="30" t="s">
        <v>58</v>
      </c>
      <c r="H189" s="31">
        <v>27634</v>
      </c>
      <c r="I189" s="30" t="s">
        <v>27</v>
      </c>
      <c r="J189" s="30" t="s">
        <v>28</v>
      </c>
      <c r="K189" s="30" t="s">
        <v>29</v>
      </c>
      <c r="L189" s="30" t="s">
        <v>70</v>
      </c>
      <c r="M189" s="30">
        <v>18</v>
      </c>
      <c r="N189" s="30">
        <v>3500</v>
      </c>
      <c r="O189" s="30">
        <v>5</v>
      </c>
      <c r="P189" s="30">
        <v>59850</v>
      </c>
      <c r="Q189" s="30">
        <v>1</v>
      </c>
      <c r="R189" s="30" t="s">
        <v>60</v>
      </c>
      <c r="S189" s="30" t="s">
        <v>42</v>
      </c>
      <c r="T189" s="30" t="s">
        <v>128</v>
      </c>
      <c r="U189" s="30">
        <v>9456029544</v>
      </c>
      <c r="V189" s="38" t="s">
        <v>53</v>
      </c>
      <c r="W189" s="49">
        <f t="shared" ca="1" si="4"/>
        <v>51</v>
      </c>
      <c r="X189" s="50">
        <f t="shared" si="5"/>
        <v>4</v>
      </c>
      <c r="Y189" s="46" t="str" cm="1">
        <f t="array" ref="Y189">_xlfn.IFS(X189&lt;=5,"On Time",X189&gt;5,"Delayed",X189=" ","Pending")</f>
        <v>On Time</v>
      </c>
    </row>
    <row r="190" spans="1:25" ht="15" thickBot="1" x14ac:dyDescent="0.4">
      <c r="A190" s="27" t="s">
        <v>313</v>
      </c>
      <c r="B190" s="27" t="s">
        <v>156</v>
      </c>
      <c r="C190" s="27" t="s">
        <v>36</v>
      </c>
      <c r="D190" s="28">
        <v>46154</v>
      </c>
      <c r="E190" s="28">
        <v>46164</v>
      </c>
      <c r="F190" s="27" t="s">
        <v>106</v>
      </c>
      <c r="G190" s="27" t="s">
        <v>58</v>
      </c>
      <c r="H190" s="28">
        <v>32116</v>
      </c>
      <c r="I190" s="27" t="s">
        <v>79</v>
      </c>
      <c r="J190" s="27" t="s">
        <v>75</v>
      </c>
      <c r="K190" s="27" t="s">
        <v>39</v>
      </c>
      <c r="L190" s="27" t="s">
        <v>40</v>
      </c>
      <c r="M190" s="27">
        <v>6</v>
      </c>
      <c r="N190" s="27">
        <v>12000</v>
      </c>
      <c r="O190" s="27">
        <v>5</v>
      </c>
      <c r="P190" s="27">
        <v>68400</v>
      </c>
      <c r="Q190" s="27">
        <v>1</v>
      </c>
      <c r="R190" s="27" t="s">
        <v>41</v>
      </c>
      <c r="S190" s="27" t="s">
        <v>42</v>
      </c>
      <c r="T190" s="27" t="s">
        <v>158</v>
      </c>
      <c r="U190" s="27">
        <v>9914571493</v>
      </c>
      <c r="V190" s="37" t="s">
        <v>53</v>
      </c>
      <c r="W190" s="49">
        <f t="shared" ca="1" si="4"/>
        <v>38</v>
      </c>
      <c r="X190" s="50">
        <f t="shared" si="5"/>
        <v>10</v>
      </c>
      <c r="Y190" s="46" t="str" cm="1">
        <f t="array" ref="Y190">_xlfn.IFS(X190&lt;=5,"On Time",X190&gt;5,"Delayed",X190=" ","Pending")</f>
        <v>Delayed</v>
      </c>
    </row>
    <row r="191" spans="1:25" ht="15" thickBot="1" x14ac:dyDescent="0.4">
      <c r="A191" s="30" t="s">
        <v>314</v>
      </c>
      <c r="B191" s="30" t="s">
        <v>156</v>
      </c>
      <c r="C191" s="30" t="s">
        <v>125</v>
      </c>
      <c r="D191" s="31">
        <v>46067</v>
      </c>
      <c r="E191" s="31">
        <v>46069</v>
      </c>
      <c r="F191" s="30" t="s">
        <v>106</v>
      </c>
      <c r="G191" s="30" t="s">
        <v>58</v>
      </c>
      <c r="H191" s="31">
        <v>38225</v>
      </c>
      <c r="I191" s="30" t="s">
        <v>48</v>
      </c>
      <c r="J191" s="30" t="s">
        <v>28</v>
      </c>
      <c r="K191" s="30" t="s">
        <v>83</v>
      </c>
      <c r="L191" s="30" t="s">
        <v>127</v>
      </c>
      <c r="M191" s="30">
        <v>19</v>
      </c>
      <c r="N191" s="30">
        <v>20</v>
      </c>
      <c r="O191" s="30">
        <v>10</v>
      </c>
      <c r="P191" s="30">
        <v>342</v>
      </c>
      <c r="Q191" s="30">
        <v>2</v>
      </c>
      <c r="R191" s="30" t="s">
        <v>41</v>
      </c>
      <c r="S191" s="30" t="s">
        <v>32</v>
      </c>
      <c r="T191" s="30" t="s">
        <v>158</v>
      </c>
      <c r="U191" s="30">
        <v>9270726986</v>
      </c>
      <c r="V191" s="38" t="s">
        <v>52</v>
      </c>
      <c r="W191" s="49">
        <f t="shared" ca="1" si="4"/>
        <v>22</v>
      </c>
      <c r="X191" s="50">
        <f t="shared" si="5"/>
        <v>2</v>
      </c>
      <c r="Y191" s="46" t="str" cm="1">
        <f t="array" ref="Y191">_xlfn.IFS(X191&lt;=5,"On Time",X191&gt;5,"Delayed",X191=" ","Pending")</f>
        <v>On Time</v>
      </c>
    </row>
    <row r="192" spans="1:25" ht="15" thickBot="1" x14ac:dyDescent="0.4">
      <c r="A192" s="27" t="s">
        <v>315</v>
      </c>
      <c r="B192" s="27" t="s">
        <v>124</v>
      </c>
      <c r="C192" s="27" t="s">
        <v>24</v>
      </c>
      <c r="D192" s="28">
        <v>46155</v>
      </c>
      <c r="E192" s="28">
        <v>46162</v>
      </c>
      <c r="F192" s="27" t="s">
        <v>126</v>
      </c>
      <c r="G192" s="27" t="s">
        <v>58</v>
      </c>
      <c r="H192" s="28">
        <v>34350</v>
      </c>
      <c r="I192" s="27" t="s">
        <v>79</v>
      </c>
      <c r="J192" s="27" t="s">
        <v>75</v>
      </c>
      <c r="K192" s="27" t="s">
        <v>29</v>
      </c>
      <c r="L192" s="27" t="s">
        <v>30</v>
      </c>
      <c r="M192" s="27">
        <v>7</v>
      </c>
      <c r="N192" s="27">
        <v>2200</v>
      </c>
      <c r="O192" s="27">
        <v>0</v>
      </c>
      <c r="P192" s="27">
        <v>15400</v>
      </c>
      <c r="Q192" s="27">
        <v>1</v>
      </c>
      <c r="R192" s="27" t="s">
        <v>60</v>
      </c>
      <c r="S192" s="27" t="s">
        <v>80</v>
      </c>
      <c r="T192" s="27" t="s">
        <v>128</v>
      </c>
      <c r="U192" s="27">
        <v>9570080664</v>
      </c>
      <c r="V192" s="37" t="s">
        <v>53</v>
      </c>
      <c r="W192" s="49">
        <f t="shared" ca="1" si="4"/>
        <v>32</v>
      </c>
      <c r="X192" s="50">
        <f t="shared" si="5"/>
        <v>7</v>
      </c>
      <c r="Y192" s="46" t="str" cm="1">
        <f t="array" ref="Y192">_xlfn.IFS(X192&lt;=5,"On Time",X192&gt;5,"Delayed",X192=" ","Pending")</f>
        <v>Delayed</v>
      </c>
    </row>
    <row r="193" spans="1:25" ht="15" thickBot="1" x14ac:dyDescent="0.4">
      <c r="A193" s="30" t="s">
        <v>316</v>
      </c>
      <c r="B193" s="30" t="s">
        <v>156</v>
      </c>
      <c r="C193" s="30" t="s">
        <v>36</v>
      </c>
      <c r="D193" s="31">
        <v>45977</v>
      </c>
      <c r="E193" s="31">
        <v>45981</v>
      </c>
      <c r="F193" s="30" t="s">
        <v>106</v>
      </c>
      <c r="G193" s="30" t="s">
        <v>58</v>
      </c>
      <c r="H193" s="31">
        <v>37922</v>
      </c>
      <c r="I193" s="30" t="s">
        <v>121</v>
      </c>
      <c r="J193" s="30" t="s">
        <v>38</v>
      </c>
      <c r="K193" s="30" t="s">
        <v>39</v>
      </c>
      <c r="L193" s="30" t="s">
        <v>40</v>
      </c>
      <c r="M193" s="30">
        <v>3</v>
      </c>
      <c r="N193" s="30">
        <v>12000</v>
      </c>
      <c r="O193" s="30">
        <v>5</v>
      </c>
      <c r="P193" s="30">
        <v>34200</v>
      </c>
      <c r="Q193" s="30">
        <v>3</v>
      </c>
      <c r="R193" s="30" t="s">
        <v>60</v>
      </c>
      <c r="S193" s="30" t="s">
        <v>50</v>
      </c>
      <c r="T193" s="30" t="s">
        <v>158</v>
      </c>
      <c r="U193" s="30">
        <v>9109009524</v>
      </c>
      <c r="V193" s="38" t="s">
        <v>53</v>
      </c>
      <c r="W193" s="49">
        <f t="shared" ca="1" si="4"/>
        <v>23</v>
      </c>
      <c r="X193" s="50">
        <f t="shared" si="5"/>
        <v>4</v>
      </c>
      <c r="Y193" s="46" t="str" cm="1">
        <f t="array" ref="Y193">_xlfn.IFS(X193&lt;=5,"On Time",X193&gt;5,"Delayed",X193=" ","Pending")</f>
        <v>On Time</v>
      </c>
    </row>
    <row r="194" spans="1:25" ht="15" thickBot="1" x14ac:dyDescent="0.4">
      <c r="A194" s="27" t="s">
        <v>317</v>
      </c>
      <c r="B194" s="27" t="s">
        <v>104</v>
      </c>
      <c r="C194" s="27" t="s">
        <v>24</v>
      </c>
      <c r="D194" s="28">
        <v>45953</v>
      </c>
      <c r="E194" s="28">
        <v>45965</v>
      </c>
      <c r="F194" s="27" t="s">
        <v>166</v>
      </c>
      <c r="G194" s="27" t="s">
        <v>26</v>
      </c>
      <c r="H194" s="28">
        <v>36662</v>
      </c>
      <c r="I194" s="27" t="s">
        <v>121</v>
      </c>
      <c r="J194" s="27" t="s">
        <v>38</v>
      </c>
      <c r="K194" s="27" t="s">
        <v>29</v>
      </c>
      <c r="L194" s="27" t="s">
        <v>30</v>
      </c>
      <c r="M194" s="27">
        <v>16</v>
      </c>
      <c r="N194" s="27">
        <v>2200</v>
      </c>
      <c r="O194" s="27">
        <v>0</v>
      </c>
      <c r="P194" s="27">
        <v>35200</v>
      </c>
      <c r="Q194" s="27">
        <v>5</v>
      </c>
      <c r="R194" s="27" t="s">
        <v>60</v>
      </c>
      <c r="S194" s="27" t="s">
        <v>32</v>
      </c>
      <c r="T194" s="27" t="s">
        <v>108</v>
      </c>
      <c r="U194" s="27">
        <v>9701276770</v>
      </c>
      <c r="V194" s="37" t="s">
        <v>52</v>
      </c>
      <c r="W194" s="49">
        <f t="shared" ca="1" si="4"/>
        <v>26</v>
      </c>
      <c r="X194" s="50">
        <f t="shared" si="5"/>
        <v>12</v>
      </c>
      <c r="Y194" s="46" t="str" cm="1">
        <f t="array" ref="Y194">_xlfn.IFS(X194&lt;=5,"On Time",X194&gt;5,"Delayed",X194=" ","Pending")</f>
        <v>Delayed</v>
      </c>
    </row>
    <row r="195" spans="1:25" ht="15" thickBot="1" x14ac:dyDescent="0.4">
      <c r="A195" s="30" t="s">
        <v>318</v>
      </c>
      <c r="B195" s="30" t="s">
        <v>134</v>
      </c>
      <c r="C195" s="30" t="s">
        <v>24</v>
      </c>
      <c r="D195" s="31">
        <v>45704</v>
      </c>
      <c r="E195" s="31">
        <v>45706</v>
      </c>
      <c r="F195" s="30" t="s">
        <v>135</v>
      </c>
      <c r="G195" s="30" t="s">
        <v>26</v>
      </c>
      <c r="H195" s="31">
        <v>32693</v>
      </c>
      <c r="I195" s="30" t="s">
        <v>37</v>
      </c>
      <c r="J195" s="30" t="s">
        <v>38</v>
      </c>
      <c r="K195" s="30" t="s">
        <v>29</v>
      </c>
      <c r="L195" s="30" t="s">
        <v>30</v>
      </c>
      <c r="M195" s="30">
        <v>8</v>
      </c>
      <c r="N195" s="30">
        <v>2200</v>
      </c>
      <c r="O195" s="30">
        <v>5</v>
      </c>
      <c r="P195" s="30">
        <v>16720</v>
      </c>
      <c r="Q195" s="30">
        <v>2</v>
      </c>
      <c r="R195" s="30" t="s">
        <v>65</v>
      </c>
      <c r="S195" s="30" t="s">
        <v>96</v>
      </c>
      <c r="T195" s="30" t="s">
        <v>136</v>
      </c>
      <c r="U195" s="30">
        <v>9298278507</v>
      </c>
      <c r="V195" s="36" t="s">
        <v>34</v>
      </c>
      <c r="W195" s="49">
        <f t="shared" ref="W195:W258" ca="1" si="6">INT(YEARFRAC(H195, TODAY()))</f>
        <v>37</v>
      </c>
      <c r="X195" s="50">
        <f t="shared" ref="X195:X258" si="7">IF(OR(E195="", E195&lt;D195), "", E195 - D195)</f>
        <v>2</v>
      </c>
      <c r="Y195" s="46" t="str" cm="1">
        <f t="array" ref="Y195">_xlfn.IFS(X195&lt;=5,"On Time",X195&gt;5,"Delayed",X195=" ","Pending")</f>
        <v>On Time</v>
      </c>
    </row>
    <row r="196" spans="1:25" ht="15" thickBot="1" x14ac:dyDescent="0.4">
      <c r="A196" s="27" t="s">
        <v>319</v>
      </c>
      <c r="B196" s="27" t="s">
        <v>134</v>
      </c>
      <c r="C196" s="27" t="s">
        <v>24</v>
      </c>
      <c r="D196" s="28">
        <v>46002</v>
      </c>
      <c r="E196" s="28">
        <v>46005</v>
      </c>
      <c r="F196" s="27" t="s">
        <v>135</v>
      </c>
      <c r="G196" s="27" t="s">
        <v>26</v>
      </c>
      <c r="H196" s="28">
        <v>35863</v>
      </c>
      <c r="I196" s="27" t="s">
        <v>91</v>
      </c>
      <c r="J196" s="27" t="s">
        <v>75</v>
      </c>
      <c r="K196" s="27" t="s">
        <v>29</v>
      </c>
      <c r="L196" s="27" t="s">
        <v>30</v>
      </c>
      <c r="M196" s="27">
        <v>10</v>
      </c>
      <c r="N196" s="27">
        <v>2200</v>
      </c>
      <c r="O196" s="27">
        <v>10</v>
      </c>
      <c r="P196" s="27">
        <v>19800</v>
      </c>
      <c r="Q196" s="27">
        <v>5</v>
      </c>
      <c r="R196" s="27" t="s">
        <v>41</v>
      </c>
      <c r="S196" s="27" t="s">
        <v>80</v>
      </c>
      <c r="T196" s="27" t="s">
        <v>136</v>
      </c>
      <c r="U196" s="27">
        <v>9895908093</v>
      </c>
      <c r="V196" s="37" t="s">
        <v>52</v>
      </c>
      <c r="W196" s="49">
        <f t="shared" ca="1" si="6"/>
        <v>28</v>
      </c>
      <c r="X196" s="50">
        <f t="shared" si="7"/>
        <v>3</v>
      </c>
      <c r="Y196" s="46" t="str" cm="1">
        <f t="array" ref="Y196">_xlfn.IFS(X196&lt;=5,"On Time",X196&gt;5,"Delayed",X196=" ","Pending")</f>
        <v>On Time</v>
      </c>
    </row>
    <row r="197" spans="1:25" ht="15" thickBot="1" x14ac:dyDescent="0.4">
      <c r="A197" s="30" t="s">
        <v>320</v>
      </c>
      <c r="B197" s="30" t="s">
        <v>63</v>
      </c>
      <c r="C197" s="30" t="s">
        <v>125</v>
      </c>
      <c r="D197" s="31">
        <v>45775</v>
      </c>
      <c r="E197" s="31">
        <v>45786</v>
      </c>
      <c r="F197" s="30" t="s">
        <v>110</v>
      </c>
      <c r="G197" s="30" t="s">
        <v>58</v>
      </c>
      <c r="H197" s="31">
        <v>32284</v>
      </c>
      <c r="I197" s="30" t="s">
        <v>37</v>
      </c>
      <c r="J197" s="30" t="s">
        <v>38</v>
      </c>
      <c r="K197" s="30" t="s">
        <v>83</v>
      </c>
      <c r="L197" s="30" t="s">
        <v>127</v>
      </c>
      <c r="M197" s="30">
        <v>7</v>
      </c>
      <c r="N197" s="30">
        <v>20</v>
      </c>
      <c r="O197" s="30">
        <v>10</v>
      </c>
      <c r="P197" s="30">
        <v>126</v>
      </c>
      <c r="Q197" s="30">
        <v>4</v>
      </c>
      <c r="R197" s="30" t="s">
        <v>60</v>
      </c>
      <c r="S197" s="30" t="s">
        <v>50</v>
      </c>
      <c r="T197" s="30" t="s">
        <v>66</v>
      </c>
      <c r="U197" s="30">
        <v>9734108795</v>
      </c>
      <c r="V197" s="36" t="s">
        <v>34</v>
      </c>
      <c r="W197" s="49">
        <f t="shared" ca="1" si="6"/>
        <v>38</v>
      </c>
      <c r="X197" s="50">
        <f t="shared" si="7"/>
        <v>11</v>
      </c>
      <c r="Y197" s="46" t="str" cm="1">
        <f t="array" ref="Y197">_xlfn.IFS(X197&lt;=5,"On Time",X197&gt;5,"Delayed",X197=" ","Pending")</f>
        <v>Delayed</v>
      </c>
    </row>
    <row r="198" spans="1:25" ht="15" thickBot="1" x14ac:dyDescent="0.4">
      <c r="A198" s="27" t="s">
        <v>321</v>
      </c>
      <c r="B198" s="27" t="s">
        <v>124</v>
      </c>
      <c r="C198" s="27" t="s">
        <v>105</v>
      </c>
      <c r="D198" s="28">
        <v>46033</v>
      </c>
      <c r="E198" s="28">
        <v>46036</v>
      </c>
      <c r="F198" s="27" t="s">
        <v>126</v>
      </c>
      <c r="G198" s="27" t="s">
        <v>58</v>
      </c>
      <c r="H198" s="28">
        <v>34533</v>
      </c>
      <c r="I198" s="27" t="s">
        <v>27</v>
      </c>
      <c r="J198" s="27" t="s">
        <v>28</v>
      </c>
      <c r="K198" s="27" t="s">
        <v>29</v>
      </c>
      <c r="L198" s="27" t="s">
        <v>107</v>
      </c>
      <c r="M198" s="27">
        <v>19</v>
      </c>
      <c r="N198" s="27">
        <v>8500</v>
      </c>
      <c r="O198" s="27">
        <v>20</v>
      </c>
      <c r="P198" s="27">
        <v>129200</v>
      </c>
      <c r="Q198" s="27">
        <v>3</v>
      </c>
      <c r="R198" s="27" t="s">
        <v>41</v>
      </c>
      <c r="S198" s="27" t="s">
        <v>50</v>
      </c>
      <c r="T198" s="27" t="s">
        <v>128</v>
      </c>
      <c r="U198" s="27">
        <v>9799597413</v>
      </c>
      <c r="V198" s="37" t="s">
        <v>52</v>
      </c>
      <c r="W198" s="49">
        <f t="shared" ca="1" si="6"/>
        <v>32</v>
      </c>
      <c r="X198" s="50">
        <f t="shared" si="7"/>
        <v>3</v>
      </c>
      <c r="Y198" s="46" t="str" cm="1">
        <f t="array" ref="Y198">_xlfn.IFS(X198&lt;=5,"On Time",X198&gt;5,"Delayed",X198=" ","Pending")</f>
        <v>On Time</v>
      </c>
    </row>
    <row r="199" spans="1:25" ht="15" thickBot="1" x14ac:dyDescent="0.4">
      <c r="A199" s="30" t="s">
        <v>322</v>
      </c>
      <c r="B199" s="30" t="s">
        <v>72</v>
      </c>
      <c r="C199" s="30" t="s">
        <v>82</v>
      </c>
      <c r="D199" s="31">
        <v>45717</v>
      </c>
      <c r="E199" s="31">
        <v>45722</v>
      </c>
      <c r="F199" s="30" t="s">
        <v>73</v>
      </c>
      <c r="G199" s="30" t="s">
        <v>26</v>
      </c>
      <c r="H199" s="31">
        <v>28444</v>
      </c>
      <c r="I199" s="30" t="s">
        <v>79</v>
      </c>
      <c r="J199" s="30" t="s">
        <v>75</v>
      </c>
      <c r="K199" s="30" t="s">
        <v>83</v>
      </c>
      <c r="L199" s="30" t="s">
        <v>84</v>
      </c>
      <c r="M199" s="30">
        <v>16</v>
      </c>
      <c r="N199" s="30">
        <v>60</v>
      </c>
      <c r="O199" s="30">
        <v>0</v>
      </c>
      <c r="P199" s="30">
        <v>960</v>
      </c>
      <c r="Q199" s="30">
        <v>2</v>
      </c>
      <c r="R199" s="30" t="s">
        <v>41</v>
      </c>
      <c r="S199" s="30" t="s">
        <v>80</v>
      </c>
      <c r="T199" s="30" t="s">
        <v>93</v>
      </c>
      <c r="U199" s="30">
        <v>9688987266</v>
      </c>
      <c r="V199" s="36" t="s">
        <v>34</v>
      </c>
      <c r="W199" s="49">
        <f t="shared" ca="1" si="6"/>
        <v>48</v>
      </c>
      <c r="X199" s="50">
        <f t="shared" si="7"/>
        <v>5</v>
      </c>
      <c r="Y199" s="46" t="str" cm="1">
        <f t="array" ref="Y199">_xlfn.IFS(X199&lt;=5,"On Time",X199&gt;5,"Delayed",X199=" ","Pending")</f>
        <v>On Time</v>
      </c>
    </row>
    <row r="200" spans="1:25" ht="15" thickBot="1" x14ac:dyDescent="0.4">
      <c r="A200" s="27" t="s">
        <v>323</v>
      </c>
      <c r="B200" s="27" t="s">
        <v>124</v>
      </c>
      <c r="C200" s="27" t="s">
        <v>68</v>
      </c>
      <c r="D200" s="28">
        <v>46127</v>
      </c>
      <c r="E200" s="28">
        <v>46139</v>
      </c>
      <c r="F200" s="27" t="s">
        <v>126</v>
      </c>
      <c r="G200" s="27" t="s">
        <v>58</v>
      </c>
      <c r="H200" s="28">
        <v>30216</v>
      </c>
      <c r="I200" s="27" t="s">
        <v>48</v>
      </c>
      <c r="J200" s="27" t="s">
        <v>28</v>
      </c>
      <c r="K200" s="27" t="s">
        <v>324</v>
      </c>
      <c r="L200" s="27" t="s">
        <v>70</v>
      </c>
      <c r="M200" s="27">
        <v>18</v>
      </c>
      <c r="N200" s="27">
        <v>3500</v>
      </c>
      <c r="O200" s="27">
        <v>5</v>
      </c>
      <c r="P200" s="27">
        <v>59850</v>
      </c>
      <c r="Q200" s="27">
        <v>1</v>
      </c>
      <c r="R200" s="27" t="s">
        <v>65</v>
      </c>
      <c r="S200" s="27" t="s">
        <v>80</v>
      </c>
      <c r="T200" s="27" t="s">
        <v>128</v>
      </c>
      <c r="U200" s="27">
        <v>9867169037</v>
      </c>
      <c r="V200" s="37" t="s">
        <v>52</v>
      </c>
      <c r="W200" s="49">
        <f t="shared" ca="1" si="6"/>
        <v>44</v>
      </c>
      <c r="X200" s="50">
        <f t="shared" si="7"/>
        <v>12</v>
      </c>
      <c r="Y200" s="46" t="str" cm="1">
        <f t="array" ref="Y200">_xlfn.IFS(X200&lt;=5,"On Time",X200&gt;5,"Delayed",X200=" ","Pending")</f>
        <v>Delayed</v>
      </c>
    </row>
    <row r="201" spans="1:25" ht="15" thickBot="1" x14ac:dyDescent="0.4">
      <c r="A201" s="30" t="s">
        <v>325</v>
      </c>
      <c r="B201" s="30" t="s">
        <v>72</v>
      </c>
      <c r="C201" s="30" t="s">
        <v>46</v>
      </c>
      <c r="D201" s="31">
        <v>45708</v>
      </c>
      <c r="E201" s="31">
        <v>45717</v>
      </c>
      <c r="F201" s="30" t="s">
        <v>73</v>
      </c>
      <c r="G201" s="30" t="s">
        <v>26</v>
      </c>
      <c r="H201" s="31">
        <v>34591</v>
      </c>
      <c r="I201" s="30" t="s">
        <v>121</v>
      </c>
      <c r="J201" s="30" t="s">
        <v>38</v>
      </c>
      <c r="K201" s="30" t="s">
        <v>39</v>
      </c>
      <c r="L201" s="30" t="s">
        <v>49</v>
      </c>
      <c r="M201" s="30">
        <v>16</v>
      </c>
      <c r="N201" s="30">
        <v>55000</v>
      </c>
      <c r="O201" s="30">
        <v>0</v>
      </c>
      <c r="P201" s="30">
        <v>880000</v>
      </c>
      <c r="Q201" s="30">
        <v>1</v>
      </c>
      <c r="R201" s="30" t="s">
        <v>60</v>
      </c>
      <c r="S201" s="30" t="s">
        <v>50</v>
      </c>
      <c r="T201" s="30" t="s">
        <v>93</v>
      </c>
      <c r="U201" s="30">
        <v>9485547425</v>
      </c>
      <c r="V201" s="38" t="s">
        <v>53</v>
      </c>
      <c r="W201" s="49">
        <f t="shared" ca="1" si="6"/>
        <v>32</v>
      </c>
      <c r="X201" s="50">
        <f t="shared" si="7"/>
        <v>9</v>
      </c>
      <c r="Y201" s="46" t="str" cm="1">
        <f t="array" ref="Y201">_xlfn.IFS(X201&lt;=5,"On Time",X201&gt;5,"Delayed",X201=" ","Pending")</f>
        <v>Delayed</v>
      </c>
    </row>
    <row r="202" spans="1:25" ht="15" thickBot="1" x14ac:dyDescent="0.4">
      <c r="A202" s="27" t="s">
        <v>326</v>
      </c>
      <c r="B202" s="27" t="s">
        <v>124</v>
      </c>
      <c r="C202" s="27" t="s">
        <v>56</v>
      </c>
      <c r="D202" s="28">
        <v>45694</v>
      </c>
      <c r="E202" s="28">
        <v>45697</v>
      </c>
      <c r="F202" s="27" t="s">
        <v>126</v>
      </c>
      <c r="G202" s="27" t="s">
        <v>58</v>
      </c>
      <c r="H202" s="28">
        <v>35035</v>
      </c>
      <c r="I202" s="27" t="s">
        <v>91</v>
      </c>
      <c r="J202" s="27" t="s">
        <v>75</v>
      </c>
      <c r="K202" s="27" t="s">
        <v>39</v>
      </c>
      <c r="L202" s="27" t="s">
        <v>59</v>
      </c>
      <c r="M202" s="27">
        <v>18</v>
      </c>
      <c r="N202" s="27">
        <v>1200</v>
      </c>
      <c r="O202" s="27">
        <v>15</v>
      </c>
      <c r="P202" s="27">
        <v>18360</v>
      </c>
      <c r="Q202" s="27">
        <v>2</v>
      </c>
      <c r="R202" s="27" t="s">
        <v>41</v>
      </c>
      <c r="S202" s="27" t="s">
        <v>32</v>
      </c>
      <c r="T202" s="27" t="s">
        <v>128</v>
      </c>
      <c r="U202" s="27">
        <v>9889733076</v>
      </c>
      <c r="V202" s="37" t="s">
        <v>53</v>
      </c>
      <c r="W202" s="49">
        <f t="shared" ca="1" si="6"/>
        <v>30</v>
      </c>
      <c r="X202" s="50">
        <f t="shared" si="7"/>
        <v>3</v>
      </c>
      <c r="Y202" s="46" t="str" cm="1">
        <f t="array" ref="Y202">_xlfn.IFS(X202&lt;=5,"On Time",X202&gt;5,"Delayed",X202=" ","Pending")</f>
        <v>On Time</v>
      </c>
    </row>
    <row r="203" spans="1:25" ht="15" thickBot="1" x14ac:dyDescent="0.4">
      <c r="A203" s="30" t="s">
        <v>327</v>
      </c>
      <c r="B203" s="30" t="s">
        <v>55</v>
      </c>
      <c r="C203" s="30" t="s">
        <v>138</v>
      </c>
      <c r="D203" s="31">
        <v>45801</v>
      </c>
      <c r="E203" s="31">
        <v>45804</v>
      </c>
      <c r="F203" s="30" t="s">
        <v>57</v>
      </c>
      <c r="G203" s="30" t="s">
        <v>58</v>
      </c>
      <c r="H203" s="31">
        <v>31238</v>
      </c>
      <c r="I203" s="30" t="s">
        <v>27</v>
      </c>
      <c r="J203" s="30" t="s">
        <v>28</v>
      </c>
      <c r="K203" s="30" t="s">
        <v>83</v>
      </c>
      <c r="L203" s="30" t="s">
        <v>139</v>
      </c>
      <c r="M203" s="30">
        <v>2</v>
      </c>
      <c r="N203" s="30">
        <v>45</v>
      </c>
      <c r="O203" s="30">
        <v>15</v>
      </c>
      <c r="P203" s="30">
        <v>76.5</v>
      </c>
      <c r="Q203" s="30">
        <v>5</v>
      </c>
      <c r="R203" s="30" t="s">
        <v>31</v>
      </c>
      <c r="S203" s="30" t="s">
        <v>50</v>
      </c>
      <c r="T203" s="30" t="s">
        <v>61</v>
      </c>
      <c r="U203" s="30">
        <v>9145434449</v>
      </c>
      <c r="V203" s="38" t="s">
        <v>53</v>
      </c>
      <c r="W203" s="49">
        <f t="shared" ca="1" si="6"/>
        <v>41</v>
      </c>
      <c r="X203" s="50">
        <f t="shared" si="7"/>
        <v>3</v>
      </c>
      <c r="Y203" s="46" t="str" cm="1">
        <f t="array" ref="Y203">_xlfn.IFS(X203&lt;=5,"On Time",X203&gt;5,"Delayed",X203=" ","Pending")</f>
        <v>On Time</v>
      </c>
    </row>
    <row r="204" spans="1:25" ht="15" thickBot="1" x14ac:dyDescent="0.4">
      <c r="A204" s="27" t="s">
        <v>328</v>
      </c>
      <c r="B204" s="27" t="s">
        <v>45</v>
      </c>
      <c r="C204" s="27" t="s">
        <v>105</v>
      </c>
      <c r="D204" s="28">
        <v>46028</v>
      </c>
      <c r="E204" s="28">
        <v>46034</v>
      </c>
      <c r="F204" s="27" t="s">
        <v>101</v>
      </c>
      <c r="G204" s="27" t="s">
        <v>26</v>
      </c>
      <c r="H204" s="28">
        <v>36975</v>
      </c>
      <c r="I204" s="27" t="s">
        <v>48</v>
      </c>
      <c r="J204" s="27" t="s">
        <v>28</v>
      </c>
      <c r="K204" s="27" t="s">
        <v>29</v>
      </c>
      <c r="L204" s="27" t="s">
        <v>107</v>
      </c>
      <c r="M204" s="27">
        <v>20</v>
      </c>
      <c r="N204" s="27">
        <v>8500</v>
      </c>
      <c r="O204" s="27">
        <v>0</v>
      </c>
      <c r="P204" s="27">
        <v>170000</v>
      </c>
      <c r="Q204" s="27">
        <v>4</v>
      </c>
      <c r="R204" s="27" t="s">
        <v>41</v>
      </c>
      <c r="S204" s="27" t="s">
        <v>50</v>
      </c>
      <c r="T204" s="27" t="s">
        <v>51</v>
      </c>
      <c r="U204" s="27">
        <v>9598942148</v>
      </c>
      <c r="V204" s="37" t="s">
        <v>53</v>
      </c>
      <c r="W204" s="49">
        <f t="shared" ca="1" si="6"/>
        <v>25</v>
      </c>
      <c r="X204" s="50">
        <f t="shared" si="7"/>
        <v>6</v>
      </c>
      <c r="Y204" s="46" t="str" cm="1">
        <f t="array" ref="Y204">_xlfn.IFS(X204&lt;=5,"On Time",X204&gt;5,"Delayed",X204=" ","Pending")</f>
        <v>Delayed</v>
      </c>
    </row>
    <row r="205" spans="1:25" ht="15" thickBot="1" x14ac:dyDescent="0.4">
      <c r="A205" s="30" t="s">
        <v>329</v>
      </c>
      <c r="B205" s="30" t="s">
        <v>87</v>
      </c>
      <c r="C205" s="30" t="s">
        <v>68</v>
      </c>
      <c r="D205" s="31">
        <v>46089</v>
      </c>
      <c r="E205" s="31">
        <v>46090</v>
      </c>
      <c r="F205" s="30" t="s">
        <v>88</v>
      </c>
      <c r="G205" s="30" t="s">
        <v>58</v>
      </c>
      <c r="H205" s="31">
        <v>29703</v>
      </c>
      <c r="I205" s="30" t="s">
        <v>121</v>
      </c>
      <c r="J205" s="30" t="s">
        <v>38</v>
      </c>
      <c r="K205" s="30" t="s">
        <v>29</v>
      </c>
      <c r="L205" s="30" t="s">
        <v>70</v>
      </c>
      <c r="M205" s="30">
        <v>6</v>
      </c>
      <c r="N205" s="30">
        <v>3500</v>
      </c>
      <c r="O205" s="30">
        <v>5</v>
      </c>
      <c r="P205" s="30">
        <v>19950</v>
      </c>
      <c r="Q205" s="30">
        <v>1</v>
      </c>
      <c r="R205" s="30" t="s">
        <v>31</v>
      </c>
      <c r="S205" s="30" t="s">
        <v>96</v>
      </c>
      <c r="T205" s="30" t="s">
        <v>89</v>
      </c>
      <c r="U205" s="30">
        <v>9599252705</v>
      </c>
      <c r="V205" s="36" t="s">
        <v>34</v>
      </c>
      <c r="W205" s="49">
        <f t="shared" ca="1" si="6"/>
        <v>45</v>
      </c>
      <c r="X205" s="50">
        <f t="shared" si="7"/>
        <v>1</v>
      </c>
      <c r="Y205" s="46" t="str" cm="1">
        <f t="array" ref="Y205">_xlfn.IFS(X205&lt;=5,"On Time",X205&gt;5,"Delayed",X205=" ","Pending")</f>
        <v>On Time</v>
      </c>
    </row>
    <row r="206" spans="1:25" ht="15" thickBot="1" x14ac:dyDescent="0.4">
      <c r="A206" s="27" t="s">
        <v>330</v>
      </c>
      <c r="B206" s="27" t="s">
        <v>104</v>
      </c>
      <c r="C206" s="27" t="s">
        <v>138</v>
      </c>
      <c r="D206" s="28">
        <v>45935</v>
      </c>
      <c r="E206" s="28">
        <v>45939</v>
      </c>
      <c r="F206" s="27" t="s">
        <v>166</v>
      </c>
      <c r="G206" s="27" t="s">
        <v>26</v>
      </c>
      <c r="H206" s="28">
        <v>37635</v>
      </c>
      <c r="I206" s="27" t="s">
        <v>79</v>
      </c>
      <c r="J206" s="27" t="s">
        <v>75</v>
      </c>
      <c r="K206" s="27" t="s">
        <v>83</v>
      </c>
      <c r="L206" s="27" t="s">
        <v>139</v>
      </c>
      <c r="M206" s="27">
        <v>8</v>
      </c>
      <c r="N206" s="27">
        <v>45</v>
      </c>
      <c r="O206" s="27">
        <v>5</v>
      </c>
      <c r="P206" s="27">
        <v>342</v>
      </c>
      <c r="Q206" s="27">
        <v>2</v>
      </c>
      <c r="R206" s="27" t="s">
        <v>31</v>
      </c>
      <c r="S206" s="27" t="s">
        <v>42</v>
      </c>
      <c r="T206" s="27" t="s">
        <v>108</v>
      </c>
      <c r="U206" s="27">
        <v>9626843681</v>
      </c>
      <c r="V206" s="37" t="s">
        <v>52</v>
      </c>
      <c r="W206" s="49">
        <f t="shared" ca="1" si="6"/>
        <v>23</v>
      </c>
      <c r="X206" s="50">
        <f t="shared" si="7"/>
        <v>4</v>
      </c>
      <c r="Y206" s="46" t="str" cm="1">
        <f t="array" ref="Y206">_xlfn.IFS(X206&lt;=5,"On Time",X206&gt;5,"Delayed",X206=" ","Pending")</f>
        <v>On Time</v>
      </c>
    </row>
    <row r="207" spans="1:25" ht="15" thickBot="1" x14ac:dyDescent="0.4">
      <c r="A207" s="30" t="s">
        <v>331</v>
      </c>
      <c r="B207" s="30" t="s">
        <v>156</v>
      </c>
      <c r="C207" s="30" t="s">
        <v>24</v>
      </c>
      <c r="D207" s="31">
        <v>45722</v>
      </c>
      <c r="E207" s="31">
        <v>45728</v>
      </c>
      <c r="F207" s="30" t="s">
        <v>106</v>
      </c>
      <c r="G207" s="30" t="s">
        <v>58</v>
      </c>
      <c r="H207" s="31">
        <v>29496</v>
      </c>
      <c r="I207" s="30" t="s">
        <v>74</v>
      </c>
      <c r="J207" s="30" t="s">
        <v>75</v>
      </c>
      <c r="K207" s="30" t="s">
        <v>29</v>
      </c>
      <c r="L207" s="30" t="s">
        <v>30</v>
      </c>
      <c r="M207" s="30">
        <v>18</v>
      </c>
      <c r="N207" s="30">
        <v>2200</v>
      </c>
      <c r="O207" s="30">
        <v>15</v>
      </c>
      <c r="P207" s="30">
        <v>33660</v>
      </c>
      <c r="Q207" s="30">
        <v>4</v>
      </c>
      <c r="R207" s="30" t="s">
        <v>60</v>
      </c>
      <c r="S207" s="30" t="s">
        <v>50</v>
      </c>
      <c r="T207" s="30" t="s">
        <v>158</v>
      </c>
      <c r="U207" s="30">
        <v>9934933215</v>
      </c>
      <c r="V207" s="38" t="s">
        <v>52</v>
      </c>
      <c r="W207" s="49">
        <f t="shared" ca="1" si="6"/>
        <v>46</v>
      </c>
      <c r="X207" s="50">
        <f t="shared" si="7"/>
        <v>6</v>
      </c>
      <c r="Y207" s="46" t="str" cm="1">
        <f t="array" ref="Y207">_xlfn.IFS(X207&lt;=5,"On Time",X207&gt;5,"Delayed",X207=" ","Pending")</f>
        <v>Delayed</v>
      </c>
    </row>
    <row r="208" spans="1:25" ht="15" thickBot="1" x14ac:dyDescent="0.4">
      <c r="A208" s="27" t="s">
        <v>332</v>
      </c>
      <c r="B208" s="27" t="s">
        <v>124</v>
      </c>
      <c r="C208" s="27" t="s">
        <v>112</v>
      </c>
      <c r="D208" s="28">
        <v>46118</v>
      </c>
      <c r="E208" s="28">
        <v>46127</v>
      </c>
      <c r="F208" s="27" t="s">
        <v>126</v>
      </c>
      <c r="G208" s="27" t="s">
        <v>58</v>
      </c>
      <c r="H208" s="28">
        <v>33170</v>
      </c>
      <c r="I208" s="27" t="s">
        <v>27</v>
      </c>
      <c r="J208" s="27" t="s">
        <v>28</v>
      </c>
      <c r="K208" s="27" t="s">
        <v>39</v>
      </c>
      <c r="L208" s="27" t="s">
        <v>114</v>
      </c>
      <c r="M208" s="27">
        <v>18</v>
      </c>
      <c r="N208" s="27">
        <v>700</v>
      </c>
      <c r="O208" s="27">
        <v>15</v>
      </c>
      <c r="P208" s="27">
        <v>10710</v>
      </c>
      <c r="Q208" s="27">
        <v>3</v>
      </c>
      <c r="R208" s="27" t="s">
        <v>60</v>
      </c>
      <c r="S208" s="27" t="s">
        <v>96</v>
      </c>
      <c r="T208" s="27" t="s">
        <v>128</v>
      </c>
      <c r="U208" s="27">
        <v>9508025585</v>
      </c>
      <c r="V208" s="37" t="s">
        <v>53</v>
      </c>
      <c r="W208" s="49">
        <f t="shared" ca="1" si="6"/>
        <v>36</v>
      </c>
      <c r="X208" s="50">
        <f t="shared" si="7"/>
        <v>9</v>
      </c>
      <c r="Y208" s="46" t="str" cm="1">
        <f t="array" ref="Y208">_xlfn.IFS(X208&lt;=5,"On Time",X208&gt;5,"Delayed",X208=" ","Pending")</f>
        <v>Delayed</v>
      </c>
    </row>
    <row r="209" spans="1:25" ht="15" thickBot="1" x14ac:dyDescent="0.4">
      <c r="A209" s="30" t="s">
        <v>333</v>
      </c>
      <c r="B209" s="30" t="s">
        <v>156</v>
      </c>
      <c r="C209" s="30" t="s">
        <v>46</v>
      </c>
      <c r="D209" s="31">
        <v>46039</v>
      </c>
      <c r="E209" s="31">
        <v>46042</v>
      </c>
      <c r="F209" s="30" t="s">
        <v>106</v>
      </c>
      <c r="G209" s="30" t="s">
        <v>58</v>
      </c>
      <c r="H209" s="31">
        <v>28392</v>
      </c>
      <c r="I209" s="30" t="s">
        <v>79</v>
      </c>
      <c r="J209" s="30" t="s">
        <v>75</v>
      </c>
      <c r="K209" s="30" t="s">
        <v>39</v>
      </c>
      <c r="L209" s="30" t="s">
        <v>49</v>
      </c>
      <c r="M209" s="30">
        <v>12</v>
      </c>
      <c r="N209" s="30">
        <v>55000</v>
      </c>
      <c r="O209" s="30">
        <v>0</v>
      </c>
      <c r="P209" s="30">
        <v>660000</v>
      </c>
      <c r="Q209" s="30">
        <v>2</v>
      </c>
      <c r="R209" s="30" t="s">
        <v>65</v>
      </c>
      <c r="S209" s="30" t="s">
        <v>42</v>
      </c>
      <c r="T209" s="30" t="s">
        <v>158</v>
      </c>
      <c r="U209" s="30">
        <v>9364681052</v>
      </c>
      <c r="V209" s="38" t="s">
        <v>53</v>
      </c>
      <c r="W209" s="49">
        <f t="shared" ca="1" si="6"/>
        <v>49</v>
      </c>
      <c r="X209" s="50">
        <f t="shared" si="7"/>
        <v>3</v>
      </c>
      <c r="Y209" s="46" t="str" cm="1">
        <f t="array" ref="Y209">_xlfn.IFS(X209&lt;=5,"On Time",X209&gt;5,"Delayed",X209=" ","Pending")</f>
        <v>On Time</v>
      </c>
    </row>
    <row r="210" spans="1:25" ht="15" thickBot="1" x14ac:dyDescent="0.4">
      <c r="A210" s="27" t="s">
        <v>334</v>
      </c>
      <c r="B210" s="27" t="s">
        <v>23</v>
      </c>
      <c r="C210" s="27" t="s">
        <v>36</v>
      </c>
      <c r="D210" s="28">
        <v>45976</v>
      </c>
      <c r="E210" s="28">
        <v>45985</v>
      </c>
      <c r="F210" s="27" t="s">
        <v>25</v>
      </c>
      <c r="G210" s="27" t="s">
        <v>26</v>
      </c>
      <c r="H210" s="28">
        <v>35340</v>
      </c>
      <c r="I210" s="27" t="s">
        <v>74</v>
      </c>
      <c r="J210" s="27" t="s">
        <v>75</v>
      </c>
      <c r="K210" s="27" t="s">
        <v>39</v>
      </c>
      <c r="L210" s="27" t="s">
        <v>40</v>
      </c>
      <c r="M210" s="27">
        <v>7</v>
      </c>
      <c r="N210" s="27">
        <v>12000</v>
      </c>
      <c r="O210" s="27">
        <v>5</v>
      </c>
      <c r="P210" s="27">
        <v>79800</v>
      </c>
      <c r="Q210" s="27">
        <v>3</v>
      </c>
      <c r="R210" s="27" t="s">
        <v>60</v>
      </c>
      <c r="S210" s="27" t="s">
        <v>96</v>
      </c>
      <c r="T210" s="27" t="s">
        <v>43</v>
      </c>
      <c r="U210" s="27">
        <v>9117102884</v>
      </c>
      <c r="V210" s="37" t="s">
        <v>52</v>
      </c>
      <c r="W210" s="49">
        <f t="shared" ca="1" si="6"/>
        <v>30</v>
      </c>
      <c r="X210" s="50">
        <f t="shared" si="7"/>
        <v>9</v>
      </c>
      <c r="Y210" s="46" t="str" cm="1">
        <f t="array" ref="Y210">_xlfn.IFS(X210&lt;=5,"On Time",X210&gt;5,"Delayed",X210=" ","Pending")</f>
        <v>Delayed</v>
      </c>
    </row>
    <row r="211" spans="1:25" ht="15" thickBot="1" x14ac:dyDescent="0.4">
      <c r="A211" s="30" t="s">
        <v>335</v>
      </c>
      <c r="B211" s="30" t="s">
        <v>134</v>
      </c>
      <c r="C211" s="30" t="s">
        <v>36</v>
      </c>
      <c r="D211" s="31">
        <v>45921</v>
      </c>
      <c r="E211" s="31">
        <v>45923</v>
      </c>
      <c r="F211" s="30" t="s">
        <v>135</v>
      </c>
      <c r="G211" s="30" t="s">
        <v>26</v>
      </c>
      <c r="H211" s="31">
        <v>27897</v>
      </c>
      <c r="I211" s="30" t="s">
        <v>74</v>
      </c>
      <c r="J211" s="30" t="s">
        <v>75</v>
      </c>
      <c r="K211" s="30" t="s">
        <v>39</v>
      </c>
      <c r="L211" s="30" t="s">
        <v>40</v>
      </c>
      <c r="M211" s="30">
        <v>8</v>
      </c>
      <c r="N211" s="30">
        <v>12000</v>
      </c>
      <c r="O211" s="30">
        <v>15</v>
      </c>
      <c r="P211" s="30">
        <v>81600</v>
      </c>
      <c r="Q211" s="30">
        <v>4</v>
      </c>
      <c r="R211" s="30" t="s">
        <v>60</v>
      </c>
      <c r="S211" s="30" t="s">
        <v>42</v>
      </c>
      <c r="T211" s="30" t="s">
        <v>136</v>
      </c>
      <c r="U211" s="30">
        <v>9819453185</v>
      </c>
      <c r="V211" s="36" t="s">
        <v>34</v>
      </c>
      <c r="W211" s="49">
        <f t="shared" ca="1" si="6"/>
        <v>50</v>
      </c>
      <c r="X211" s="50">
        <f t="shared" si="7"/>
        <v>2</v>
      </c>
      <c r="Y211" s="46" t="str" cm="1">
        <f t="array" ref="Y211">_xlfn.IFS(X211&lt;=5,"On Time",X211&gt;5,"Delayed",X211=" ","Pending")</f>
        <v>On Time</v>
      </c>
    </row>
    <row r="212" spans="1:25" ht="15" thickBot="1" x14ac:dyDescent="0.4">
      <c r="A212" s="27" t="s">
        <v>336</v>
      </c>
      <c r="B212" s="27" t="s">
        <v>156</v>
      </c>
      <c r="C212" s="27" t="s">
        <v>68</v>
      </c>
      <c r="D212" s="28">
        <v>46009</v>
      </c>
      <c r="E212" s="28">
        <v>46018</v>
      </c>
      <c r="F212" s="27" t="s">
        <v>106</v>
      </c>
      <c r="G212" s="27" t="s">
        <v>58</v>
      </c>
      <c r="H212" s="28">
        <v>32120</v>
      </c>
      <c r="I212" s="27" t="s">
        <v>74</v>
      </c>
      <c r="J212" s="27" t="s">
        <v>75</v>
      </c>
      <c r="K212" s="27" t="s">
        <v>29</v>
      </c>
      <c r="L212" s="27" t="s">
        <v>70</v>
      </c>
      <c r="M212" s="27">
        <v>19</v>
      </c>
      <c r="N212" s="27">
        <v>3500</v>
      </c>
      <c r="O212" s="27">
        <v>5</v>
      </c>
      <c r="P212" s="27">
        <v>63175</v>
      </c>
      <c r="Q212" s="27">
        <v>3</v>
      </c>
      <c r="R212" s="27" t="s">
        <v>60</v>
      </c>
      <c r="S212" s="27" t="s">
        <v>50</v>
      </c>
      <c r="T212" s="27" t="s">
        <v>158</v>
      </c>
      <c r="U212" s="27">
        <v>9511806701</v>
      </c>
      <c r="V212" s="37" t="s">
        <v>52</v>
      </c>
      <c r="W212" s="49">
        <f t="shared" ca="1" si="6"/>
        <v>38</v>
      </c>
      <c r="X212" s="50">
        <f t="shared" si="7"/>
        <v>9</v>
      </c>
      <c r="Y212" s="46" t="str" cm="1">
        <f t="array" ref="Y212">_xlfn.IFS(X212&lt;=5,"On Time",X212&gt;5,"Delayed",X212=" ","Pending")</f>
        <v>Delayed</v>
      </c>
    </row>
    <row r="213" spans="1:25" ht="15" thickBot="1" x14ac:dyDescent="0.4">
      <c r="A213" s="30" t="s">
        <v>337</v>
      </c>
      <c r="B213" s="30" t="s">
        <v>134</v>
      </c>
      <c r="C213" s="30" t="s">
        <v>138</v>
      </c>
      <c r="D213" s="31">
        <v>45694</v>
      </c>
      <c r="E213" s="31">
        <v>45704</v>
      </c>
      <c r="F213" s="30" t="s">
        <v>135</v>
      </c>
      <c r="G213" s="30" t="s">
        <v>26</v>
      </c>
      <c r="H213" s="31">
        <v>33070</v>
      </c>
      <c r="I213" s="30" t="s">
        <v>91</v>
      </c>
      <c r="J213" s="30" t="s">
        <v>75</v>
      </c>
      <c r="K213" s="30" t="s">
        <v>83</v>
      </c>
      <c r="L213" s="30" t="s">
        <v>139</v>
      </c>
      <c r="M213" s="30">
        <v>7</v>
      </c>
      <c r="N213" s="30">
        <v>45</v>
      </c>
      <c r="O213" s="30">
        <v>5</v>
      </c>
      <c r="P213" s="30">
        <v>299.25</v>
      </c>
      <c r="Q213" s="30">
        <v>3</v>
      </c>
      <c r="R213" s="30" t="s">
        <v>60</v>
      </c>
      <c r="S213" s="30" t="s">
        <v>32</v>
      </c>
      <c r="T213" s="30" t="s">
        <v>136</v>
      </c>
      <c r="U213" s="30">
        <v>9875249891</v>
      </c>
      <c r="V213" s="38" t="s">
        <v>53</v>
      </c>
      <c r="W213" s="49">
        <f t="shared" ca="1" si="6"/>
        <v>36</v>
      </c>
      <c r="X213" s="50">
        <f t="shared" si="7"/>
        <v>10</v>
      </c>
      <c r="Y213" s="46" t="str" cm="1">
        <f t="array" ref="Y213">_xlfn.IFS(X213&lt;=5,"On Time",X213&gt;5,"Delayed",X213=" ","Pending")</f>
        <v>Delayed</v>
      </c>
    </row>
    <row r="214" spans="1:25" ht="15" thickBot="1" x14ac:dyDescent="0.4">
      <c r="A214" s="27" t="s">
        <v>338</v>
      </c>
      <c r="B214" s="27" t="s">
        <v>23</v>
      </c>
      <c r="C214" s="27" t="s">
        <v>82</v>
      </c>
      <c r="D214" s="28">
        <v>45810</v>
      </c>
      <c r="E214" s="28">
        <v>45816</v>
      </c>
      <c r="F214" s="27" t="s">
        <v>25</v>
      </c>
      <c r="G214" s="27" t="s">
        <v>26</v>
      </c>
      <c r="H214" s="28">
        <v>33459</v>
      </c>
      <c r="I214" s="27" t="s">
        <v>27</v>
      </c>
      <c r="J214" s="27" t="s">
        <v>28</v>
      </c>
      <c r="K214" s="27" t="s">
        <v>83</v>
      </c>
      <c r="L214" s="27" t="s">
        <v>84</v>
      </c>
      <c r="M214" s="27">
        <v>3</v>
      </c>
      <c r="N214" s="27">
        <v>60</v>
      </c>
      <c r="O214" s="27">
        <v>15</v>
      </c>
      <c r="P214" s="27">
        <v>153</v>
      </c>
      <c r="Q214" s="27">
        <v>3</v>
      </c>
      <c r="R214" s="27" t="s">
        <v>41</v>
      </c>
      <c r="S214" s="27" t="s">
        <v>42</v>
      </c>
      <c r="T214" s="27" t="s">
        <v>43</v>
      </c>
      <c r="U214" s="27">
        <v>9438232503</v>
      </c>
      <c r="V214" s="37" t="s">
        <v>53</v>
      </c>
      <c r="W214" s="49">
        <f t="shared" ca="1" si="6"/>
        <v>35</v>
      </c>
      <c r="X214" s="50">
        <f t="shared" si="7"/>
        <v>6</v>
      </c>
      <c r="Y214" s="46" t="str" cm="1">
        <f t="array" ref="Y214">_xlfn.IFS(X214&lt;=5,"On Time",X214&gt;5,"Delayed",X214=" ","Pending")</f>
        <v>Delayed</v>
      </c>
    </row>
    <row r="215" spans="1:25" ht="15" thickBot="1" x14ac:dyDescent="0.4">
      <c r="A215" s="30" t="s">
        <v>339</v>
      </c>
      <c r="B215" s="30" t="s">
        <v>45</v>
      </c>
      <c r="C215" s="30" t="s">
        <v>138</v>
      </c>
      <c r="D215" s="31">
        <v>46134</v>
      </c>
      <c r="E215" s="31">
        <v>46146</v>
      </c>
      <c r="F215" s="30" t="s">
        <v>101</v>
      </c>
      <c r="G215" s="30" t="s">
        <v>26</v>
      </c>
      <c r="H215" s="31">
        <v>28485</v>
      </c>
      <c r="I215" s="30" t="s">
        <v>79</v>
      </c>
      <c r="J215" s="30" t="s">
        <v>75</v>
      </c>
      <c r="K215" s="30" t="s">
        <v>83</v>
      </c>
      <c r="L215" s="30" t="s">
        <v>139</v>
      </c>
      <c r="M215" s="30">
        <v>19</v>
      </c>
      <c r="N215" s="30">
        <v>45</v>
      </c>
      <c r="O215" s="30">
        <v>0</v>
      </c>
      <c r="P215" s="30">
        <v>855</v>
      </c>
      <c r="Q215" s="30">
        <v>2</v>
      </c>
      <c r="R215" s="30" t="s">
        <v>31</v>
      </c>
      <c r="S215" s="30" t="s">
        <v>50</v>
      </c>
      <c r="T215" s="30" t="s">
        <v>51</v>
      </c>
      <c r="U215" s="30">
        <v>9449953754</v>
      </c>
      <c r="V215" s="36" t="s">
        <v>34</v>
      </c>
      <c r="W215" s="49">
        <f t="shared" ca="1" si="6"/>
        <v>48</v>
      </c>
      <c r="X215" s="50">
        <f t="shared" si="7"/>
        <v>12</v>
      </c>
      <c r="Y215" s="46" t="str" cm="1">
        <f t="array" ref="Y215">_xlfn.IFS(X215&lt;=5,"On Time",X215&gt;5,"Delayed",X215=" ","Pending")</f>
        <v>Delayed</v>
      </c>
    </row>
    <row r="216" spans="1:25" ht="15" thickBot="1" x14ac:dyDescent="0.4">
      <c r="A216" s="27" t="s">
        <v>340</v>
      </c>
      <c r="B216" s="27" t="s">
        <v>72</v>
      </c>
      <c r="C216" s="27" t="s">
        <v>36</v>
      </c>
      <c r="D216" s="28">
        <v>46087</v>
      </c>
      <c r="E216" s="28">
        <v>46097</v>
      </c>
      <c r="F216" s="27" t="s">
        <v>73</v>
      </c>
      <c r="G216" s="27" t="s">
        <v>26</v>
      </c>
      <c r="H216" s="28">
        <v>34854</v>
      </c>
      <c r="I216" s="27" t="s">
        <v>48</v>
      </c>
      <c r="J216" s="27" t="s">
        <v>28</v>
      </c>
      <c r="K216" s="27" t="s">
        <v>39</v>
      </c>
      <c r="L216" s="27" t="s">
        <v>40</v>
      </c>
      <c r="M216" s="27">
        <v>10</v>
      </c>
      <c r="N216" s="27">
        <v>12000</v>
      </c>
      <c r="O216" s="27">
        <v>5</v>
      </c>
      <c r="P216" s="27">
        <v>114000</v>
      </c>
      <c r="Q216" s="27">
        <v>1</v>
      </c>
      <c r="R216" s="27" t="s">
        <v>60</v>
      </c>
      <c r="S216" s="27" t="s">
        <v>80</v>
      </c>
      <c r="T216" s="27" t="s">
        <v>93</v>
      </c>
      <c r="U216" s="27">
        <v>9833801891</v>
      </c>
      <c r="V216" s="37" t="s">
        <v>53</v>
      </c>
      <c r="W216" s="49">
        <f t="shared" ca="1" si="6"/>
        <v>31</v>
      </c>
      <c r="X216" s="50">
        <f t="shared" si="7"/>
        <v>10</v>
      </c>
      <c r="Y216" s="46" t="str" cm="1">
        <f t="array" ref="Y216">_xlfn.IFS(X216&lt;=5,"On Time",X216&gt;5,"Delayed",X216=" ","Pending")</f>
        <v>Delayed</v>
      </c>
    </row>
    <row r="217" spans="1:25" ht="15" thickBot="1" x14ac:dyDescent="0.4">
      <c r="A217" s="30" t="s">
        <v>341</v>
      </c>
      <c r="B217" s="30" t="s">
        <v>23</v>
      </c>
      <c r="C217" s="30" t="s">
        <v>56</v>
      </c>
      <c r="D217" s="31">
        <v>45716</v>
      </c>
      <c r="E217" s="31">
        <v>45728</v>
      </c>
      <c r="F217" s="30" t="s">
        <v>25</v>
      </c>
      <c r="G217" s="30" t="s">
        <v>26</v>
      </c>
      <c r="H217" s="31">
        <v>30636</v>
      </c>
      <c r="I217" s="30" t="s">
        <v>147</v>
      </c>
      <c r="J217" s="30" t="s">
        <v>148</v>
      </c>
      <c r="K217" s="30" t="s">
        <v>39</v>
      </c>
      <c r="L217" s="30" t="s">
        <v>59</v>
      </c>
      <c r="M217" s="30">
        <v>4</v>
      </c>
      <c r="N217" s="30">
        <v>1200</v>
      </c>
      <c r="O217" s="30">
        <v>0</v>
      </c>
      <c r="P217" s="30">
        <v>4800</v>
      </c>
      <c r="Q217" s="30">
        <v>4</v>
      </c>
      <c r="R217" s="30" t="s">
        <v>31</v>
      </c>
      <c r="S217" s="30" t="s">
        <v>50</v>
      </c>
      <c r="T217" s="30" t="s">
        <v>43</v>
      </c>
      <c r="U217" s="30">
        <v>9183949273</v>
      </c>
      <c r="V217" s="36" t="s">
        <v>34</v>
      </c>
      <c r="W217" s="49">
        <f t="shared" ca="1" si="6"/>
        <v>42</v>
      </c>
      <c r="X217" s="50">
        <f t="shared" si="7"/>
        <v>12</v>
      </c>
      <c r="Y217" s="46" t="str" cm="1">
        <f t="array" ref="Y217">_xlfn.IFS(X217&lt;=5,"On Time",X217&gt;5,"Delayed",X217=" ","Pending")</f>
        <v>Delayed</v>
      </c>
    </row>
    <row r="218" spans="1:25" ht="15" thickBot="1" x14ac:dyDescent="0.4">
      <c r="A218" s="27" t="s">
        <v>342</v>
      </c>
      <c r="B218" s="27" t="s">
        <v>124</v>
      </c>
      <c r="C218" s="27" t="s">
        <v>105</v>
      </c>
      <c r="D218" s="28">
        <v>45961</v>
      </c>
      <c r="E218" s="28">
        <v>45968</v>
      </c>
      <c r="F218" s="27" t="s">
        <v>126</v>
      </c>
      <c r="G218" s="27" t="s">
        <v>58</v>
      </c>
      <c r="H218" s="28">
        <v>31330</v>
      </c>
      <c r="I218" s="27" t="s">
        <v>48</v>
      </c>
      <c r="J218" s="27" t="s">
        <v>28</v>
      </c>
      <c r="K218" s="27" t="s">
        <v>29</v>
      </c>
      <c r="L218" s="27" t="s">
        <v>107</v>
      </c>
      <c r="M218" s="27">
        <v>2</v>
      </c>
      <c r="N218" s="27">
        <v>8500</v>
      </c>
      <c r="O218" s="27">
        <v>20</v>
      </c>
      <c r="P218" s="27">
        <v>13600</v>
      </c>
      <c r="Q218" s="27">
        <v>3</v>
      </c>
      <c r="R218" s="27" t="s">
        <v>60</v>
      </c>
      <c r="S218" s="27" t="s">
        <v>96</v>
      </c>
      <c r="T218" s="27" t="s">
        <v>128</v>
      </c>
      <c r="U218" s="27">
        <v>9168257367</v>
      </c>
      <c r="V218" s="35" t="s">
        <v>34</v>
      </c>
      <c r="W218" s="49">
        <f t="shared" ca="1" si="6"/>
        <v>41</v>
      </c>
      <c r="X218" s="50">
        <f t="shared" si="7"/>
        <v>7</v>
      </c>
      <c r="Y218" s="46" t="str" cm="1">
        <f t="array" ref="Y218">_xlfn.IFS(X218&lt;=5,"On Time",X218&gt;5,"Delayed",X218=" ","Pending")</f>
        <v>Delayed</v>
      </c>
    </row>
    <row r="219" spans="1:25" ht="15" thickBot="1" x14ac:dyDescent="0.4">
      <c r="A219" s="30" t="s">
        <v>343</v>
      </c>
      <c r="B219" s="30" t="s">
        <v>63</v>
      </c>
      <c r="C219" s="30" t="s">
        <v>112</v>
      </c>
      <c r="D219" s="31">
        <v>46052</v>
      </c>
      <c r="E219" s="31">
        <v>46061</v>
      </c>
      <c r="F219" s="30" t="s">
        <v>110</v>
      </c>
      <c r="G219" s="30" t="s">
        <v>58</v>
      </c>
      <c r="H219" s="31">
        <v>37263</v>
      </c>
      <c r="I219" s="30" t="s">
        <v>147</v>
      </c>
      <c r="J219" s="30" t="s">
        <v>148</v>
      </c>
      <c r="K219" s="30" t="s">
        <v>39</v>
      </c>
      <c r="L219" s="30" t="s">
        <v>114</v>
      </c>
      <c r="M219" s="30">
        <v>7</v>
      </c>
      <c r="N219" s="30">
        <v>700</v>
      </c>
      <c r="O219" s="30">
        <v>20</v>
      </c>
      <c r="P219" s="30">
        <v>3920</v>
      </c>
      <c r="Q219" s="30">
        <v>2</v>
      </c>
      <c r="R219" s="30" t="s">
        <v>60</v>
      </c>
      <c r="S219" s="30" t="s">
        <v>96</v>
      </c>
      <c r="T219" s="30" t="s">
        <v>66</v>
      </c>
      <c r="U219" s="30">
        <v>9580903210</v>
      </c>
      <c r="V219" s="38" t="s">
        <v>52</v>
      </c>
      <c r="W219" s="49">
        <f t="shared" ca="1" si="6"/>
        <v>24</v>
      </c>
      <c r="X219" s="50">
        <f t="shared" si="7"/>
        <v>9</v>
      </c>
      <c r="Y219" s="46" t="str" cm="1">
        <f t="array" ref="Y219">_xlfn.IFS(X219&lt;=5,"On Time",X219&gt;5,"Delayed",X219=" ","Pending")</f>
        <v>Delayed</v>
      </c>
    </row>
    <row r="220" spans="1:25" ht="15" thickBot="1" x14ac:dyDescent="0.4">
      <c r="A220" s="27" t="s">
        <v>344</v>
      </c>
      <c r="B220" s="27" t="s">
        <v>45</v>
      </c>
      <c r="C220" s="27" t="s">
        <v>125</v>
      </c>
      <c r="D220" s="28">
        <v>46141</v>
      </c>
      <c r="E220" s="28">
        <v>46145</v>
      </c>
      <c r="F220" s="27" t="s">
        <v>101</v>
      </c>
      <c r="G220" s="27" t="s">
        <v>26</v>
      </c>
      <c r="H220" s="28">
        <v>36359</v>
      </c>
      <c r="I220" s="27" t="s">
        <v>79</v>
      </c>
      <c r="J220" s="27" t="s">
        <v>75</v>
      </c>
      <c r="K220" s="27" t="s">
        <v>83</v>
      </c>
      <c r="L220" s="27" t="s">
        <v>127</v>
      </c>
      <c r="M220" s="27">
        <v>9</v>
      </c>
      <c r="N220" s="27">
        <v>20</v>
      </c>
      <c r="O220" s="27">
        <v>15</v>
      </c>
      <c r="P220" s="27">
        <v>153</v>
      </c>
      <c r="Q220" s="27">
        <v>3</v>
      </c>
      <c r="R220" s="27" t="s">
        <v>41</v>
      </c>
      <c r="S220" s="27" t="s">
        <v>80</v>
      </c>
      <c r="T220" s="27" t="s">
        <v>51</v>
      </c>
      <c r="U220" s="27">
        <v>9602152945</v>
      </c>
      <c r="V220" s="35" t="s">
        <v>34</v>
      </c>
      <c r="W220" s="49">
        <f t="shared" ca="1" si="6"/>
        <v>27</v>
      </c>
      <c r="X220" s="50">
        <f t="shared" si="7"/>
        <v>4</v>
      </c>
      <c r="Y220" s="46" t="str" cm="1">
        <f t="array" ref="Y220">_xlfn.IFS(X220&lt;=5,"On Time",X220&gt;5,"Delayed",X220=" ","Pending")</f>
        <v>On Time</v>
      </c>
    </row>
    <row r="221" spans="1:25" ht="15" thickBot="1" x14ac:dyDescent="0.4">
      <c r="A221" s="30" t="s">
        <v>345</v>
      </c>
      <c r="B221" s="30" t="s">
        <v>72</v>
      </c>
      <c r="C221" s="30" t="s">
        <v>105</v>
      </c>
      <c r="D221" s="31">
        <v>45795</v>
      </c>
      <c r="E221" s="31">
        <v>45797</v>
      </c>
      <c r="F221" s="30" t="s">
        <v>73</v>
      </c>
      <c r="G221" s="30" t="s">
        <v>26</v>
      </c>
      <c r="H221" s="31">
        <v>33118</v>
      </c>
      <c r="I221" s="30" t="s">
        <v>147</v>
      </c>
      <c r="J221" s="30" t="s">
        <v>148</v>
      </c>
      <c r="K221" s="30" t="s">
        <v>29</v>
      </c>
      <c r="L221" s="30" t="s">
        <v>107</v>
      </c>
      <c r="M221" s="30">
        <v>16</v>
      </c>
      <c r="N221" s="30">
        <v>8500</v>
      </c>
      <c r="O221" s="30">
        <v>0</v>
      </c>
      <c r="P221" s="30">
        <v>136000</v>
      </c>
      <c r="Q221" s="30">
        <v>4</v>
      </c>
      <c r="R221" s="30" t="s">
        <v>41</v>
      </c>
      <c r="S221" s="30" t="s">
        <v>32</v>
      </c>
      <c r="T221" s="30" t="s">
        <v>93</v>
      </c>
      <c r="U221" s="30">
        <v>9646917552</v>
      </c>
      <c r="V221" s="36" t="s">
        <v>34</v>
      </c>
      <c r="W221" s="49">
        <f t="shared" ca="1" si="6"/>
        <v>36</v>
      </c>
      <c r="X221" s="50">
        <f t="shared" si="7"/>
        <v>2</v>
      </c>
      <c r="Y221" s="46" t="str" cm="1">
        <f t="array" ref="Y221">_xlfn.IFS(X221&lt;=5,"On Time",X221&gt;5,"Delayed",X221=" ","Pending")</f>
        <v>On Time</v>
      </c>
    </row>
    <row r="222" spans="1:25" ht="15" thickBot="1" x14ac:dyDescent="0.4">
      <c r="A222" s="27" t="s">
        <v>346</v>
      </c>
      <c r="B222" s="27" t="s">
        <v>134</v>
      </c>
      <c r="C222" s="27" t="s">
        <v>68</v>
      </c>
      <c r="D222" s="28">
        <v>46107</v>
      </c>
      <c r="E222" s="28">
        <v>46109</v>
      </c>
      <c r="F222" s="27" t="s">
        <v>135</v>
      </c>
      <c r="G222" s="27" t="s">
        <v>26</v>
      </c>
      <c r="H222" s="28">
        <v>33818</v>
      </c>
      <c r="I222" s="27" t="s">
        <v>37</v>
      </c>
      <c r="J222" s="27" t="s">
        <v>38</v>
      </c>
      <c r="K222" s="27" t="s">
        <v>29</v>
      </c>
      <c r="L222" s="27" t="s">
        <v>70</v>
      </c>
      <c r="M222" s="27">
        <v>10</v>
      </c>
      <c r="N222" s="27">
        <v>3500</v>
      </c>
      <c r="O222" s="27">
        <v>5</v>
      </c>
      <c r="P222" s="27">
        <v>33250</v>
      </c>
      <c r="Q222" s="27">
        <v>3</v>
      </c>
      <c r="R222" s="27" t="s">
        <v>41</v>
      </c>
      <c r="S222" s="27" t="s">
        <v>80</v>
      </c>
      <c r="T222" s="27" t="s">
        <v>136</v>
      </c>
      <c r="U222" s="27">
        <v>9127548552</v>
      </c>
      <c r="V222" s="35" t="s">
        <v>34</v>
      </c>
      <c r="W222" s="49">
        <f t="shared" ca="1" si="6"/>
        <v>34</v>
      </c>
      <c r="X222" s="50">
        <f t="shared" si="7"/>
        <v>2</v>
      </c>
      <c r="Y222" s="46" t="str" cm="1">
        <f t="array" ref="Y222">_xlfn.IFS(X222&lt;=5,"On Time",X222&gt;5,"Delayed",X222=" ","Pending")</f>
        <v>On Time</v>
      </c>
    </row>
    <row r="223" spans="1:25" ht="15" thickBot="1" x14ac:dyDescent="0.4">
      <c r="A223" s="30" t="s">
        <v>347</v>
      </c>
      <c r="B223" s="30" t="s">
        <v>45</v>
      </c>
      <c r="C223" s="30" t="s">
        <v>36</v>
      </c>
      <c r="D223" s="31">
        <v>46041</v>
      </c>
      <c r="E223" s="31">
        <v>46049</v>
      </c>
      <c r="F223" s="30" t="s">
        <v>101</v>
      </c>
      <c r="G223" s="30" t="s">
        <v>26</v>
      </c>
      <c r="H223" s="31">
        <v>29260</v>
      </c>
      <c r="I223" s="30" t="s">
        <v>147</v>
      </c>
      <c r="J223" s="30" t="s">
        <v>148</v>
      </c>
      <c r="K223" s="30" t="s">
        <v>39</v>
      </c>
      <c r="L223" s="30" t="s">
        <v>40</v>
      </c>
      <c r="M223" s="30">
        <v>1</v>
      </c>
      <c r="N223" s="30">
        <v>12000</v>
      </c>
      <c r="O223" s="30">
        <v>0</v>
      </c>
      <c r="P223" s="30">
        <v>12000</v>
      </c>
      <c r="Q223" s="30">
        <v>5</v>
      </c>
      <c r="R223" s="30" t="s">
        <v>65</v>
      </c>
      <c r="S223" s="30" t="s">
        <v>80</v>
      </c>
      <c r="T223" s="30" t="s">
        <v>51</v>
      </c>
      <c r="U223" s="30">
        <v>9712805603</v>
      </c>
      <c r="V223" s="38" t="s">
        <v>52</v>
      </c>
      <c r="W223" s="49">
        <f t="shared" ca="1" si="6"/>
        <v>46</v>
      </c>
      <c r="X223" s="50">
        <f t="shared" si="7"/>
        <v>8</v>
      </c>
      <c r="Y223" s="46" t="str" cm="1">
        <f t="array" ref="Y223">_xlfn.IFS(X223&lt;=5,"On Time",X223&gt;5,"Delayed",X223=" ","Pending")</f>
        <v>Delayed</v>
      </c>
    </row>
    <row r="224" spans="1:25" ht="15" thickBot="1" x14ac:dyDescent="0.4">
      <c r="A224" s="27" t="s">
        <v>348</v>
      </c>
      <c r="B224" s="27" t="s">
        <v>156</v>
      </c>
      <c r="C224" s="27" t="s">
        <v>138</v>
      </c>
      <c r="D224" s="28">
        <v>46144</v>
      </c>
      <c r="E224" s="28">
        <v>46152</v>
      </c>
      <c r="F224" s="27" t="s">
        <v>106</v>
      </c>
      <c r="G224" s="27" t="s">
        <v>58</v>
      </c>
      <c r="H224" s="28">
        <v>32557</v>
      </c>
      <c r="I224" s="27" t="s">
        <v>147</v>
      </c>
      <c r="J224" s="27" t="s">
        <v>148</v>
      </c>
      <c r="K224" s="27" t="s">
        <v>83</v>
      </c>
      <c r="L224" s="27" t="s">
        <v>139</v>
      </c>
      <c r="M224" s="27">
        <v>19</v>
      </c>
      <c r="N224" s="27">
        <v>45</v>
      </c>
      <c r="O224" s="27">
        <v>15</v>
      </c>
      <c r="P224" s="27">
        <v>726.75</v>
      </c>
      <c r="Q224" s="27">
        <v>2</v>
      </c>
      <c r="R224" s="27" t="s">
        <v>65</v>
      </c>
      <c r="S224" s="27" t="s">
        <v>96</v>
      </c>
      <c r="T224" s="27" t="s">
        <v>158</v>
      </c>
      <c r="U224" s="27">
        <v>9798313682</v>
      </c>
      <c r="V224" s="37" t="s">
        <v>52</v>
      </c>
      <c r="W224" s="49">
        <f t="shared" ca="1" si="6"/>
        <v>37</v>
      </c>
      <c r="X224" s="50">
        <f t="shared" si="7"/>
        <v>8</v>
      </c>
      <c r="Y224" s="46" t="str" cm="1">
        <f t="array" ref="Y224">_xlfn.IFS(X224&lt;=5,"On Time",X224&gt;5,"Delayed",X224=" ","Pending")</f>
        <v>Delayed</v>
      </c>
    </row>
    <row r="225" spans="1:25" ht="15" thickBot="1" x14ac:dyDescent="0.4">
      <c r="A225" s="30" t="s">
        <v>349</v>
      </c>
      <c r="B225" s="30" t="s">
        <v>23</v>
      </c>
      <c r="C225" s="30" t="s">
        <v>46</v>
      </c>
      <c r="D225" s="31">
        <v>45961</v>
      </c>
      <c r="E225" s="31">
        <v>45963</v>
      </c>
      <c r="F225" s="30" t="s">
        <v>25</v>
      </c>
      <c r="G225" s="30" t="s">
        <v>26</v>
      </c>
      <c r="H225" s="31">
        <v>34222</v>
      </c>
      <c r="I225" s="30" t="s">
        <v>37</v>
      </c>
      <c r="J225" s="30" t="s">
        <v>38</v>
      </c>
      <c r="K225" s="30" t="s">
        <v>39</v>
      </c>
      <c r="L225" s="30" t="s">
        <v>49</v>
      </c>
      <c r="M225" s="30">
        <v>13</v>
      </c>
      <c r="N225" s="30">
        <v>55000</v>
      </c>
      <c r="O225" s="30">
        <v>5</v>
      </c>
      <c r="P225" s="30">
        <v>679250</v>
      </c>
      <c r="Q225" s="30">
        <v>4</v>
      </c>
      <c r="R225" s="30" t="s">
        <v>60</v>
      </c>
      <c r="S225" s="30" t="s">
        <v>42</v>
      </c>
      <c r="T225" s="30" t="s">
        <v>43</v>
      </c>
      <c r="U225" s="30">
        <v>9642822397</v>
      </c>
      <c r="V225" s="38" t="s">
        <v>53</v>
      </c>
      <c r="W225" s="49">
        <f t="shared" ca="1" si="6"/>
        <v>33</v>
      </c>
      <c r="X225" s="50">
        <f t="shared" si="7"/>
        <v>2</v>
      </c>
      <c r="Y225" s="46" t="str" cm="1">
        <f t="array" ref="Y225">_xlfn.IFS(X225&lt;=5,"On Time",X225&gt;5,"Delayed",X225=" ","Pending")</f>
        <v>On Time</v>
      </c>
    </row>
    <row r="226" spans="1:25" ht="15" thickBot="1" x14ac:dyDescent="0.4">
      <c r="A226" s="27" t="s">
        <v>350</v>
      </c>
      <c r="B226" s="27" t="s">
        <v>63</v>
      </c>
      <c r="C226" s="27" t="s">
        <v>138</v>
      </c>
      <c r="D226" s="28">
        <v>45858</v>
      </c>
      <c r="E226" s="28">
        <v>45864</v>
      </c>
      <c r="F226" s="27" t="s">
        <v>110</v>
      </c>
      <c r="G226" s="27" t="s">
        <v>58</v>
      </c>
      <c r="H226" s="28">
        <v>29907</v>
      </c>
      <c r="I226" s="27" t="s">
        <v>74</v>
      </c>
      <c r="J226" s="27" t="s">
        <v>75</v>
      </c>
      <c r="K226" s="27" t="s">
        <v>83</v>
      </c>
      <c r="L226" s="27" t="s">
        <v>139</v>
      </c>
      <c r="M226" s="27">
        <v>2</v>
      </c>
      <c r="N226" s="27">
        <v>45</v>
      </c>
      <c r="O226" s="27">
        <v>15</v>
      </c>
      <c r="P226" s="27">
        <v>76.5</v>
      </c>
      <c r="Q226" s="27">
        <v>1</v>
      </c>
      <c r="R226" s="27" t="s">
        <v>41</v>
      </c>
      <c r="S226" s="27" t="s">
        <v>80</v>
      </c>
      <c r="T226" s="27" t="s">
        <v>66</v>
      </c>
      <c r="U226" s="27">
        <v>9490067655</v>
      </c>
      <c r="V226" s="35" t="s">
        <v>34</v>
      </c>
      <c r="W226" s="49">
        <f t="shared" ca="1" si="6"/>
        <v>44</v>
      </c>
      <c r="X226" s="50">
        <f t="shared" si="7"/>
        <v>6</v>
      </c>
      <c r="Y226" s="46" t="str" cm="1">
        <f t="array" ref="Y226">_xlfn.IFS(X226&lt;=5,"On Time",X226&gt;5,"Delayed",X226=" ","Pending")</f>
        <v>Delayed</v>
      </c>
    </row>
    <row r="227" spans="1:25" ht="15" thickBot="1" x14ac:dyDescent="0.4">
      <c r="A227" s="30" t="s">
        <v>351</v>
      </c>
      <c r="B227" s="30" t="s">
        <v>72</v>
      </c>
      <c r="C227" s="30" t="s">
        <v>125</v>
      </c>
      <c r="D227" s="31">
        <v>45707</v>
      </c>
      <c r="E227" s="31">
        <v>45712</v>
      </c>
      <c r="F227" s="30" t="s">
        <v>73</v>
      </c>
      <c r="G227" s="30" t="s">
        <v>26</v>
      </c>
      <c r="H227" s="31">
        <v>37857</v>
      </c>
      <c r="I227" s="30" t="s">
        <v>27</v>
      </c>
      <c r="J227" s="30" t="s">
        <v>28</v>
      </c>
      <c r="K227" s="30" t="s">
        <v>83</v>
      </c>
      <c r="L227" s="30" t="s">
        <v>127</v>
      </c>
      <c r="M227" s="30">
        <v>8</v>
      </c>
      <c r="N227" s="30">
        <v>20</v>
      </c>
      <c r="O227" s="30">
        <v>15</v>
      </c>
      <c r="P227" s="30">
        <v>136</v>
      </c>
      <c r="Q227" s="30">
        <v>1</v>
      </c>
      <c r="R227" s="30" t="s">
        <v>60</v>
      </c>
      <c r="S227" s="30" t="s">
        <v>32</v>
      </c>
      <c r="T227" s="30" t="s">
        <v>93</v>
      </c>
      <c r="U227" s="30">
        <v>9389792144</v>
      </c>
      <c r="V227" s="38" t="s">
        <v>52</v>
      </c>
      <c r="W227" s="49">
        <f t="shared" ca="1" si="6"/>
        <v>23</v>
      </c>
      <c r="X227" s="50">
        <f t="shared" si="7"/>
        <v>5</v>
      </c>
      <c r="Y227" s="46" t="str" cm="1">
        <f t="array" ref="Y227">_xlfn.IFS(X227&lt;=5,"On Time",X227&gt;5,"Delayed",X227=" ","Pending")</f>
        <v>On Time</v>
      </c>
    </row>
    <row r="228" spans="1:25" ht="15" thickBot="1" x14ac:dyDescent="0.4">
      <c r="A228" s="27" t="s">
        <v>352</v>
      </c>
      <c r="B228" s="27" t="s">
        <v>104</v>
      </c>
      <c r="C228" s="27" t="s">
        <v>36</v>
      </c>
      <c r="D228" s="28">
        <v>45767</v>
      </c>
      <c r="E228" s="28">
        <v>45778</v>
      </c>
      <c r="F228" s="27" t="s">
        <v>166</v>
      </c>
      <c r="G228" s="27" t="s">
        <v>26</v>
      </c>
      <c r="H228" s="28">
        <v>31247</v>
      </c>
      <c r="I228" s="27" t="s">
        <v>27</v>
      </c>
      <c r="J228" s="27" t="s">
        <v>28</v>
      </c>
      <c r="K228" s="27" t="s">
        <v>39</v>
      </c>
      <c r="L228" s="27" t="s">
        <v>40</v>
      </c>
      <c r="M228" s="27">
        <v>9</v>
      </c>
      <c r="N228" s="27">
        <v>12000</v>
      </c>
      <c r="O228" s="27">
        <v>5</v>
      </c>
      <c r="P228" s="27">
        <v>102600</v>
      </c>
      <c r="Q228" s="27">
        <v>2</v>
      </c>
      <c r="R228" s="27" t="s">
        <v>60</v>
      </c>
      <c r="S228" s="27" t="s">
        <v>32</v>
      </c>
      <c r="T228" s="27" t="s">
        <v>108</v>
      </c>
      <c r="U228" s="27">
        <v>9736113863</v>
      </c>
      <c r="V228" s="37" t="s">
        <v>53</v>
      </c>
      <c r="W228" s="49">
        <f t="shared" ca="1" si="6"/>
        <v>41</v>
      </c>
      <c r="X228" s="50">
        <f t="shared" si="7"/>
        <v>11</v>
      </c>
      <c r="Y228" s="46" t="str" cm="1">
        <f t="array" ref="Y228">_xlfn.IFS(X228&lt;=5,"On Time",X228&gt;5,"Delayed",X228=" ","Pending")</f>
        <v>Delayed</v>
      </c>
    </row>
    <row r="229" spans="1:25" ht="15" thickBot="1" x14ac:dyDescent="0.4">
      <c r="A229" s="30" t="s">
        <v>353</v>
      </c>
      <c r="B229" s="30" t="s">
        <v>55</v>
      </c>
      <c r="C229" s="30" t="s">
        <v>68</v>
      </c>
      <c r="D229" s="31">
        <v>45813</v>
      </c>
      <c r="E229" s="31">
        <v>45821</v>
      </c>
      <c r="F229" s="30" t="s">
        <v>57</v>
      </c>
      <c r="G229" s="30" t="s">
        <v>58</v>
      </c>
      <c r="H229" s="31">
        <v>34464</v>
      </c>
      <c r="I229" s="30" t="s">
        <v>147</v>
      </c>
      <c r="J229" s="30" t="s">
        <v>148</v>
      </c>
      <c r="K229" s="30" t="s">
        <v>29</v>
      </c>
      <c r="L229" s="30" t="s">
        <v>70</v>
      </c>
      <c r="M229" s="30">
        <v>3</v>
      </c>
      <c r="N229" s="30">
        <v>3500</v>
      </c>
      <c r="O229" s="30">
        <v>15</v>
      </c>
      <c r="P229" s="30">
        <v>8925</v>
      </c>
      <c r="Q229" s="30">
        <v>1</v>
      </c>
      <c r="R229" s="30" t="s">
        <v>31</v>
      </c>
      <c r="S229" s="30" t="s">
        <v>42</v>
      </c>
      <c r="T229" s="30" t="s">
        <v>61</v>
      </c>
      <c r="U229" s="30">
        <v>9324634732</v>
      </c>
      <c r="V229" s="38" t="s">
        <v>53</v>
      </c>
      <c r="W229" s="49">
        <f t="shared" ca="1" si="6"/>
        <v>32</v>
      </c>
      <c r="X229" s="50">
        <f t="shared" si="7"/>
        <v>8</v>
      </c>
      <c r="Y229" s="46" t="str" cm="1">
        <f t="array" ref="Y229">_xlfn.IFS(X229&lt;=5,"On Time",X229&gt;5,"Delayed",X229=" ","Pending")</f>
        <v>Delayed</v>
      </c>
    </row>
    <row r="230" spans="1:25" ht="15" thickBot="1" x14ac:dyDescent="0.4">
      <c r="A230" s="27" t="s">
        <v>354</v>
      </c>
      <c r="B230" s="27" t="s">
        <v>72</v>
      </c>
      <c r="C230" s="27" t="s">
        <v>112</v>
      </c>
      <c r="D230" s="28">
        <v>45797</v>
      </c>
      <c r="E230" s="28">
        <v>45800</v>
      </c>
      <c r="F230" s="27" t="s">
        <v>73</v>
      </c>
      <c r="G230" s="27" t="s">
        <v>26</v>
      </c>
      <c r="H230" s="28">
        <v>34051</v>
      </c>
      <c r="I230" s="27" t="s">
        <v>27</v>
      </c>
      <c r="J230" s="27" t="s">
        <v>28</v>
      </c>
      <c r="K230" s="27" t="s">
        <v>39</v>
      </c>
      <c r="L230" s="27" t="s">
        <v>114</v>
      </c>
      <c r="M230" s="27">
        <v>18</v>
      </c>
      <c r="N230" s="27">
        <v>700</v>
      </c>
      <c r="O230" s="27">
        <v>20</v>
      </c>
      <c r="P230" s="27">
        <v>10080</v>
      </c>
      <c r="Q230" s="27">
        <v>1</v>
      </c>
      <c r="R230" s="27" t="s">
        <v>60</v>
      </c>
      <c r="S230" s="27" t="s">
        <v>96</v>
      </c>
      <c r="T230" s="27" t="s">
        <v>93</v>
      </c>
      <c r="U230" s="27">
        <v>9529968110</v>
      </c>
      <c r="V230" s="35" t="s">
        <v>34</v>
      </c>
      <c r="W230" s="49">
        <f t="shared" ca="1" si="6"/>
        <v>33</v>
      </c>
      <c r="X230" s="50">
        <f t="shared" si="7"/>
        <v>3</v>
      </c>
      <c r="Y230" s="46" t="str" cm="1">
        <f t="array" ref="Y230">_xlfn.IFS(X230&lt;=5,"On Time",X230&gt;5,"Delayed",X230=" ","Pending")</f>
        <v>On Time</v>
      </c>
    </row>
    <row r="231" spans="1:25" ht="15" thickBot="1" x14ac:dyDescent="0.4">
      <c r="A231" s="30" t="s">
        <v>355</v>
      </c>
      <c r="B231" s="30" t="s">
        <v>55</v>
      </c>
      <c r="C231" s="30" t="s">
        <v>68</v>
      </c>
      <c r="D231" s="31">
        <v>46046</v>
      </c>
      <c r="E231" s="31">
        <v>46053</v>
      </c>
      <c r="F231" s="30" t="s">
        <v>57</v>
      </c>
      <c r="G231" s="30" t="s">
        <v>58</v>
      </c>
      <c r="H231" s="31">
        <v>29019</v>
      </c>
      <c r="I231" s="30" t="s">
        <v>79</v>
      </c>
      <c r="J231" s="30" t="s">
        <v>75</v>
      </c>
      <c r="K231" s="30" t="s">
        <v>29</v>
      </c>
      <c r="L231" s="30" t="s">
        <v>70</v>
      </c>
      <c r="M231" s="30">
        <v>14</v>
      </c>
      <c r="N231" s="30">
        <v>3500</v>
      </c>
      <c r="O231" s="30">
        <v>5</v>
      </c>
      <c r="P231" s="30">
        <v>46550</v>
      </c>
      <c r="Q231" s="30">
        <v>1</v>
      </c>
      <c r="R231" s="30" t="s">
        <v>31</v>
      </c>
      <c r="S231" s="30" t="s">
        <v>50</v>
      </c>
      <c r="T231" s="30" t="s">
        <v>61</v>
      </c>
      <c r="U231" s="30">
        <v>9102417647</v>
      </c>
      <c r="V231" s="36" t="s">
        <v>34</v>
      </c>
      <c r="W231" s="49">
        <f t="shared" ca="1" si="6"/>
        <v>47</v>
      </c>
      <c r="X231" s="50">
        <f t="shared" si="7"/>
        <v>7</v>
      </c>
      <c r="Y231" s="46" t="str" cm="1">
        <f t="array" ref="Y231">_xlfn.IFS(X231&lt;=5,"On Time",X231&gt;5,"Delayed",X231=" ","Pending")</f>
        <v>Delayed</v>
      </c>
    </row>
    <row r="232" spans="1:25" ht="15" thickBot="1" x14ac:dyDescent="0.4">
      <c r="A232" s="27" t="s">
        <v>356</v>
      </c>
      <c r="B232" s="27" t="s">
        <v>72</v>
      </c>
      <c r="C232" s="27" t="s">
        <v>112</v>
      </c>
      <c r="D232" s="28">
        <v>45810</v>
      </c>
      <c r="E232" s="28">
        <v>45812</v>
      </c>
      <c r="F232" s="27" t="s">
        <v>73</v>
      </c>
      <c r="G232" s="27" t="s">
        <v>26</v>
      </c>
      <c r="H232" s="28">
        <v>33262</v>
      </c>
      <c r="I232" s="27" t="s">
        <v>147</v>
      </c>
      <c r="J232" s="27" t="s">
        <v>148</v>
      </c>
      <c r="K232" s="27" t="s">
        <v>39</v>
      </c>
      <c r="L232" s="27" t="s">
        <v>114</v>
      </c>
      <c r="M232" s="27">
        <v>6</v>
      </c>
      <c r="N232" s="27">
        <v>700</v>
      </c>
      <c r="O232" s="27">
        <v>5</v>
      </c>
      <c r="P232" s="27">
        <v>3990</v>
      </c>
      <c r="Q232" s="27">
        <v>5</v>
      </c>
      <c r="R232" s="27" t="s">
        <v>31</v>
      </c>
      <c r="S232" s="27" t="s">
        <v>32</v>
      </c>
      <c r="T232" s="27" t="s">
        <v>93</v>
      </c>
      <c r="U232" s="27">
        <v>9630302865</v>
      </c>
      <c r="V232" s="35" t="s">
        <v>34</v>
      </c>
      <c r="W232" s="49">
        <f t="shared" ca="1" si="6"/>
        <v>35</v>
      </c>
      <c r="X232" s="50">
        <f t="shared" si="7"/>
        <v>2</v>
      </c>
      <c r="Y232" s="46" t="str" cm="1">
        <f t="array" ref="Y232">_xlfn.IFS(X232&lt;=5,"On Time",X232&gt;5,"Delayed",X232=" ","Pending")</f>
        <v>On Time</v>
      </c>
    </row>
    <row r="233" spans="1:25" ht="15" thickBot="1" x14ac:dyDescent="0.4">
      <c r="A233" s="30" t="s">
        <v>357</v>
      </c>
      <c r="B233" s="30" t="s">
        <v>72</v>
      </c>
      <c r="C233" s="30" t="s">
        <v>68</v>
      </c>
      <c r="D233" s="31">
        <v>45819</v>
      </c>
      <c r="E233" s="31">
        <v>45827</v>
      </c>
      <c r="F233" s="30" t="s">
        <v>73</v>
      </c>
      <c r="G233" s="30" t="s">
        <v>26</v>
      </c>
      <c r="H233" s="31">
        <v>38039</v>
      </c>
      <c r="I233" s="30" t="s">
        <v>74</v>
      </c>
      <c r="J233" s="30" t="s">
        <v>75</v>
      </c>
      <c r="K233" s="30" t="s">
        <v>29</v>
      </c>
      <c r="L233" s="30" t="s">
        <v>70</v>
      </c>
      <c r="M233" s="30">
        <v>17</v>
      </c>
      <c r="N233" s="30">
        <v>3500</v>
      </c>
      <c r="O233" s="30">
        <v>15</v>
      </c>
      <c r="P233" s="30">
        <v>50575</v>
      </c>
      <c r="Q233" s="30">
        <v>3</v>
      </c>
      <c r="R233" s="30" t="s">
        <v>41</v>
      </c>
      <c r="S233" s="30" t="s">
        <v>42</v>
      </c>
      <c r="T233" s="30" t="s">
        <v>93</v>
      </c>
      <c r="U233" s="30">
        <v>9465353780</v>
      </c>
      <c r="V233" s="38" t="s">
        <v>52</v>
      </c>
      <c r="W233" s="49">
        <f t="shared" ca="1" si="6"/>
        <v>22</v>
      </c>
      <c r="X233" s="50">
        <f t="shared" si="7"/>
        <v>8</v>
      </c>
      <c r="Y233" s="46" t="str" cm="1">
        <f t="array" ref="Y233">_xlfn.IFS(X233&lt;=5,"On Time",X233&gt;5,"Delayed",X233=" ","Pending")</f>
        <v>Delayed</v>
      </c>
    </row>
    <row r="234" spans="1:25" ht="15" thickBot="1" x14ac:dyDescent="0.4">
      <c r="A234" s="27" t="s">
        <v>358</v>
      </c>
      <c r="B234" s="27" t="s">
        <v>134</v>
      </c>
      <c r="C234" s="27" t="s">
        <v>125</v>
      </c>
      <c r="D234" s="28">
        <v>46038</v>
      </c>
      <c r="E234" s="28">
        <v>46046</v>
      </c>
      <c r="F234" s="27" t="s">
        <v>135</v>
      </c>
      <c r="G234" s="27" t="s">
        <v>26</v>
      </c>
      <c r="H234" s="28">
        <v>28240</v>
      </c>
      <c r="I234" s="27" t="s">
        <v>147</v>
      </c>
      <c r="J234" s="27" t="s">
        <v>148</v>
      </c>
      <c r="K234" s="27" t="s">
        <v>83</v>
      </c>
      <c r="L234" s="27" t="s">
        <v>127</v>
      </c>
      <c r="M234" s="27">
        <v>7</v>
      </c>
      <c r="N234" s="27">
        <v>20</v>
      </c>
      <c r="O234" s="27">
        <v>5</v>
      </c>
      <c r="P234" s="27">
        <v>133</v>
      </c>
      <c r="Q234" s="27">
        <v>2</v>
      </c>
      <c r="R234" s="27" t="s">
        <v>65</v>
      </c>
      <c r="S234" s="27" t="s">
        <v>96</v>
      </c>
      <c r="T234" s="27" t="s">
        <v>136</v>
      </c>
      <c r="U234" s="27">
        <v>9837426414</v>
      </c>
      <c r="V234" s="35" t="s">
        <v>34</v>
      </c>
      <c r="W234" s="49">
        <f t="shared" ca="1" si="6"/>
        <v>49</v>
      </c>
      <c r="X234" s="50">
        <f t="shared" si="7"/>
        <v>8</v>
      </c>
      <c r="Y234" s="46" t="str" cm="1">
        <f t="array" ref="Y234">_xlfn.IFS(X234&lt;=5,"On Time",X234&gt;5,"Delayed",X234=" ","Pending")</f>
        <v>Delayed</v>
      </c>
    </row>
    <row r="235" spans="1:25" ht="15" thickBot="1" x14ac:dyDescent="0.4">
      <c r="A235" s="30" t="s">
        <v>359</v>
      </c>
      <c r="B235" s="30" t="s">
        <v>23</v>
      </c>
      <c r="C235" s="30" t="s">
        <v>24</v>
      </c>
      <c r="D235" s="31">
        <v>46073</v>
      </c>
      <c r="E235" s="31">
        <v>46085</v>
      </c>
      <c r="F235" s="30" t="s">
        <v>25</v>
      </c>
      <c r="G235" s="30" t="s">
        <v>26</v>
      </c>
      <c r="H235" s="31">
        <v>34537</v>
      </c>
      <c r="I235" s="30" t="s">
        <v>48</v>
      </c>
      <c r="J235" s="30" t="s">
        <v>28</v>
      </c>
      <c r="K235" s="30" t="s">
        <v>29</v>
      </c>
      <c r="L235" s="30" t="s">
        <v>30</v>
      </c>
      <c r="M235" s="30">
        <v>15</v>
      </c>
      <c r="N235" s="30">
        <v>2200</v>
      </c>
      <c r="O235" s="30">
        <v>20</v>
      </c>
      <c r="P235" s="30">
        <v>26400</v>
      </c>
      <c r="Q235" s="30">
        <v>2</v>
      </c>
      <c r="R235" s="30" t="s">
        <v>31</v>
      </c>
      <c r="S235" s="30" t="s">
        <v>50</v>
      </c>
      <c r="T235" s="30" t="s">
        <v>43</v>
      </c>
      <c r="U235" s="30">
        <v>9249918272</v>
      </c>
      <c r="V235" s="36" t="s">
        <v>34</v>
      </c>
      <c r="W235" s="49">
        <f t="shared" ca="1" si="6"/>
        <v>32</v>
      </c>
      <c r="X235" s="50">
        <f t="shared" si="7"/>
        <v>12</v>
      </c>
      <c r="Y235" s="46" t="str" cm="1">
        <f t="array" ref="Y235">_xlfn.IFS(X235&lt;=5,"On Time",X235&gt;5,"Delayed",X235=" ","Pending")</f>
        <v>Delayed</v>
      </c>
    </row>
    <row r="236" spans="1:25" ht="15" thickBot="1" x14ac:dyDescent="0.4">
      <c r="A236" s="27" t="s">
        <v>360</v>
      </c>
      <c r="B236" s="27" t="s">
        <v>55</v>
      </c>
      <c r="C236" s="27" t="s">
        <v>125</v>
      </c>
      <c r="D236" s="28">
        <v>46070</v>
      </c>
      <c r="E236" s="28">
        <v>46078</v>
      </c>
      <c r="F236" s="27" t="s">
        <v>57</v>
      </c>
      <c r="G236" s="27" t="s">
        <v>58</v>
      </c>
      <c r="H236" s="28">
        <v>29170</v>
      </c>
      <c r="I236" s="27" t="s">
        <v>74</v>
      </c>
      <c r="J236" s="27" t="s">
        <v>75</v>
      </c>
      <c r="K236" s="27" t="s">
        <v>83</v>
      </c>
      <c r="L236" s="27" t="s">
        <v>127</v>
      </c>
      <c r="M236" s="27">
        <v>5</v>
      </c>
      <c r="N236" s="27">
        <v>20</v>
      </c>
      <c r="O236" s="27">
        <v>0</v>
      </c>
      <c r="P236" s="27">
        <v>100</v>
      </c>
      <c r="Q236" s="27">
        <v>3</v>
      </c>
      <c r="R236" s="27" t="s">
        <v>31</v>
      </c>
      <c r="S236" s="27" t="s">
        <v>96</v>
      </c>
      <c r="T236" s="27" t="s">
        <v>61</v>
      </c>
      <c r="U236" s="27">
        <v>9265580582</v>
      </c>
      <c r="V236" s="35" t="s">
        <v>34</v>
      </c>
      <c r="W236" s="49">
        <f t="shared" ca="1" si="6"/>
        <v>46</v>
      </c>
      <c r="X236" s="50">
        <f t="shared" si="7"/>
        <v>8</v>
      </c>
      <c r="Y236" s="46" t="str" cm="1">
        <f t="array" ref="Y236">_xlfn.IFS(X236&lt;=5,"On Time",X236&gt;5,"Delayed",X236=" ","Pending")</f>
        <v>Delayed</v>
      </c>
    </row>
    <row r="237" spans="1:25" ht="15" thickBot="1" x14ac:dyDescent="0.4">
      <c r="A237" s="30" t="s">
        <v>361</v>
      </c>
      <c r="B237" s="30" t="s">
        <v>87</v>
      </c>
      <c r="C237" s="30" t="s">
        <v>36</v>
      </c>
      <c r="D237" s="31">
        <v>45847</v>
      </c>
      <c r="E237" s="31">
        <v>45852</v>
      </c>
      <c r="F237" s="30" t="s">
        <v>88</v>
      </c>
      <c r="G237" s="30" t="s">
        <v>58</v>
      </c>
      <c r="H237" s="31">
        <v>34846</v>
      </c>
      <c r="I237" s="30" t="s">
        <v>37</v>
      </c>
      <c r="J237" s="30" t="s">
        <v>38</v>
      </c>
      <c r="K237" s="30" t="s">
        <v>39</v>
      </c>
      <c r="L237" s="30" t="s">
        <v>40</v>
      </c>
      <c r="M237" s="30">
        <v>8</v>
      </c>
      <c r="N237" s="30">
        <v>12000</v>
      </c>
      <c r="O237" s="30">
        <v>20</v>
      </c>
      <c r="P237" s="30">
        <v>76800</v>
      </c>
      <c r="Q237" s="30">
        <v>3</v>
      </c>
      <c r="R237" s="30" t="s">
        <v>60</v>
      </c>
      <c r="S237" s="30" t="s">
        <v>50</v>
      </c>
      <c r="T237" s="30" t="s">
        <v>89</v>
      </c>
      <c r="U237" s="30">
        <v>9751049833</v>
      </c>
      <c r="V237" s="38" t="s">
        <v>52</v>
      </c>
      <c r="W237" s="49">
        <f t="shared" ca="1" si="6"/>
        <v>31</v>
      </c>
      <c r="X237" s="50">
        <f t="shared" si="7"/>
        <v>5</v>
      </c>
      <c r="Y237" s="46" t="str" cm="1">
        <f t="array" ref="Y237">_xlfn.IFS(X237&lt;=5,"On Time",X237&gt;5,"Delayed",X237=" ","Pending")</f>
        <v>On Time</v>
      </c>
    </row>
    <row r="238" spans="1:25" ht="15" thickBot="1" x14ac:dyDescent="0.4">
      <c r="A238" s="27" t="s">
        <v>362</v>
      </c>
      <c r="B238" s="27" t="s">
        <v>87</v>
      </c>
      <c r="C238" s="27" t="s">
        <v>68</v>
      </c>
      <c r="D238" s="28">
        <v>45696</v>
      </c>
      <c r="E238" s="28">
        <v>45704</v>
      </c>
      <c r="F238" s="27" t="s">
        <v>88</v>
      </c>
      <c r="G238" s="27" t="s">
        <v>58</v>
      </c>
      <c r="H238" s="28">
        <v>35964</v>
      </c>
      <c r="I238" s="27" t="s">
        <v>74</v>
      </c>
      <c r="J238" s="27" t="s">
        <v>75</v>
      </c>
      <c r="K238" s="27" t="s">
        <v>29</v>
      </c>
      <c r="L238" s="27" t="s">
        <v>70</v>
      </c>
      <c r="M238" s="27">
        <v>4</v>
      </c>
      <c r="N238" s="27">
        <v>3500</v>
      </c>
      <c r="O238" s="27">
        <v>20</v>
      </c>
      <c r="P238" s="27">
        <v>11200</v>
      </c>
      <c r="Q238" s="27">
        <v>1</v>
      </c>
      <c r="R238" s="27" t="s">
        <v>60</v>
      </c>
      <c r="S238" s="27" t="s">
        <v>80</v>
      </c>
      <c r="T238" s="27" t="s">
        <v>89</v>
      </c>
      <c r="U238" s="27">
        <v>9741671507</v>
      </c>
      <c r="V238" s="35" t="s">
        <v>34</v>
      </c>
      <c r="W238" s="49">
        <f t="shared" ca="1" si="6"/>
        <v>28</v>
      </c>
      <c r="X238" s="50">
        <f t="shared" si="7"/>
        <v>8</v>
      </c>
      <c r="Y238" s="46" t="str" cm="1">
        <f t="array" ref="Y238">_xlfn.IFS(X238&lt;=5,"On Time",X238&gt;5,"Delayed",X238=" ","Pending")</f>
        <v>Delayed</v>
      </c>
    </row>
    <row r="239" spans="1:25" ht="15" thickBot="1" x14ac:dyDescent="0.4">
      <c r="A239" s="30" t="s">
        <v>363</v>
      </c>
      <c r="B239" s="30" t="s">
        <v>124</v>
      </c>
      <c r="C239" s="30" t="s">
        <v>138</v>
      </c>
      <c r="D239" s="31">
        <v>45713</v>
      </c>
      <c r="E239" s="31">
        <v>45720</v>
      </c>
      <c r="F239" s="30" t="s">
        <v>126</v>
      </c>
      <c r="G239" s="30" t="s">
        <v>58</v>
      </c>
      <c r="H239" s="31">
        <v>30337</v>
      </c>
      <c r="I239" s="30" t="s">
        <v>27</v>
      </c>
      <c r="J239" s="30" t="s">
        <v>28</v>
      </c>
      <c r="K239" s="30" t="s">
        <v>83</v>
      </c>
      <c r="L239" s="30" t="s">
        <v>139</v>
      </c>
      <c r="M239" s="30">
        <v>19</v>
      </c>
      <c r="N239" s="30">
        <v>45</v>
      </c>
      <c r="O239" s="30">
        <v>10</v>
      </c>
      <c r="P239" s="30">
        <v>769.5</v>
      </c>
      <c r="Q239" s="30">
        <v>1</v>
      </c>
      <c r="R239" s="30" t="s">
        <v>31</v>
      </c>
      <c r="S239" s="30" t="s">
        <v>80</v>
      </c>
      <c r="T239" s="30" t="s">
        <v>128</v>
      </c>
      <c r="U239" s="30">
        <v>9367541035</v>
      </c>
      <c r="V239" s="36" t="s">
        <v>34</v>
      </c>
      <c r="W239" s="49">
        <f t="shared" ca="1" si="6"/>
        <v>43</v>
      </c>
      <c r="X239" s="50">
        <f t="shared" si="7"/>
        <v>7</v>
      </c>
      <c r="Y239" s="46" t="str" cm="1">
        <f t="array" ref="Y239">_xlfn.IFS(X239&lt;=5,"On Time",X239&gt;5,"Delayed",X239=" ","Pending")</f>
        <v>Delayed</v>
      </c>
    </row>
    <row r="240" spans="1:25" ht="15" thickBot="1" x14ac:dyDescent="0.4">
      <c r="A240" s="27" t="s">
        <v>364</v>
      </c>
      <c r="B240" s="27" t="s">
        <v>45</v>
      </c>
      <c r="C240" s="27" t="s">
        <v>138</v>
      </c>
      <c r="D240" s="28">
        <v>46049</v>
      </c>
      <c r="E240" s="28">
        <v>46059</v>
      </c>
      <c r="F240" s="27" t="s">
        <v>101</v>
      </c>
      <c r="G240" s="27" t="s">
        <v>26</v>
      </c>
      <c r="H240" s="28">
        <v>28552</v>
      </c>
      <c r="I240" s="27" t="s">
        <v>79</v>
      </c>
      <c r="J240" s="27" t="s">
        <v>75</v>
      </c>
      <c r="K240" s="27" t="s">
        <v>83</v>
      </c>
      <c r="L240" s="27" t="s">
        <v>139</v>
      </c>
      <c r="M240" s="27">
        <v>10</v>
      </c>
      <c r="N240" s="27">
        <v>45</v>
      </c>
      <c r="O240" s="27">
        <v>0</v>
      </c>
      <c r="P240" s="27">
        <v>450</v>
      </c>
      <c r="Q240" s="27">
        <v>4</v>
      </c>
      <c r="R240" s="27" t="s">
        <v>65</v>
      </c>
      <c r="S240" s="27" t="s">
        <v>50</v>
      </c>
      <c r="T240" s="27" t="s">
        <v>51</v>
      </c>
      <c r="U240" s="27">
        <v>9323696971</v>
      </c>
      <c r="V240" s="35" t="s">
        <v>34</v>
      </c>
      <c r="W240" s="49">
        <f t="shared" ca="1" si="6"/>
        <v>48</v>
      </c>
      <c r="X240" s="50">
        <f t="shared" si="7"/>
        <v>10</v>
      </c>
      <c r="Y240" s="46" t="str" cm="1">
        <f t="array" ref="Y240">_xlfn.IFS(X240&lt;=5,"On Time",X240&gt;5,"Delayed",X240=" ","Pending")</f>
        <v>Delayed</v>
      </c>
    </row>
    <row r="241" spans="1:25" ht="15" thickBot="1" x14ac:dyDescent="0.4">
      <c r="A241" s="30" t="s">
        <v>365</v>
      </c>
      <c r="B241" s="30" t="s">
        <v>45</v>
      </c>
      <c r="C241" s="30" t="s">
        <v>138</v>
      </c>
      <c r="D241" s="31">
        <v>46030</v>
      </c>
      <c r="E241" s="31">
        <v>46039</v>
      </c>
      <c r="F241" s="30" t="s">
        <v>101</v>
      </c>
      <c r="G241" s="30" t="s">
        <v>26</v>
      </c>
      <c r="H241" s="31">
        <v>35605</v>
      </c>
      <c r="I241" s="30" t="s">
        <v>27</v>
      </c>
      <c r="J241" s="30" t="s">
        <v>28</v>
      </c>
      <c r="K241" s="30" t="s">
        <v>83</v>
      </c>
      <c r="L241" s="30" t="s">
        <v>139</v>
      </c>
      <c r="M241" s="30">
        <v>16</v>
      </c>
      <c r="N241" s="30">
        <v>45</v>
      </c>
      <c r="O241" s="30">
        <v>15</v>
      </c>
      <c r="P241" s="30">
        <v>612</v>
      </c>
      <c r="Q241" s="30">
        <v>3</v>
      </c>
      <c r="R241" s="30" t="s">
        <v>31</v>
      </c>
      <c r="S241" s="30" t="s">
        <v>80</v>
      </c>
      <c r="T241" s="30" t="s">
        <v>51</v>
      </c>
      <c r="U241" s="30">
        <v>9786384529</v>
      </c>
      <c r="V241" s="38" t="s">
        <v>53</v>
      </c>
      <c r="W241" s="49">
        <f t="shared" ca="1" si="6"/>
        <v>29</v>
      </c>
      <c r="X241" s="50">
        <f t="shared" si="7"/>
        <v>9</v>
      </c>
      <c r="Y241" s="46" t="str" cm="1">
        <f t="array" ref="Y241">_xlfn.IFS(X241&lt;=5,"On Time",X241&gt;5,"Delayed",X241=" ","Pending")</f>
        <v>Delayed</v>
      </c>
    </row>
    <row r="242" spans="1:25" ht="15" thickBot="1" x14ac:dyDescent="0.4">
      <c r="A242" s="27" t="s">
        <v>366</v>
      </c>
      <c r="B242" s="27" t="s">
        <v>104</v>
      </c>
      <c r="C242" s="27" t="s">
        <v>105</v>
      </c>
      <c r="D242" s="28">
        <v>45741</v>
      </c>
      <c r="E242" s="28">
        <v>45743</v>
      </c>
      <c r="F242" s="27" t="s">
        <v>166</v>
      </c>
      <c r="G242" s="27" t="s">
        <v>26</v>
      </c>
      <c r="H242" s="28">
        <v>27997</v>
      </c>
      <c r="I242" s="27" t="s">
        <v>79</v>
      </c>
      <c r="J242" s="27" t="s">
        <v>75</v>
      </c>
      <c r="K242" s="27" t="s">
        <v>29</v>
      </c>
      <c r="L242" s="27" t="s">
        <v>107</v>
      </c>
      <c r="M242" s="27">
        <v>16</v>
      </c>
      <c r="N242" s="27">
        <v>8500</v>
      </c>
      <c r="O242" s="27">
        <v>15</v>
      </c>
      <c r="P242" s="27">
        <v>115600</v>
      </c>
      <c r="Q242" s="27">
        <v>4</v>
      </c>
      <c r="R242" s="27" t="s">
        <v>41</v>
      </c>
      <c r="S242" s="27" t="s">
        <v>32</v>
      </c>
      <c r="T242" s="27" t="s">
        <v>108</v>
      </c>
      <c r="U242" s="27">
        <v>9444900541</v>
      </c>
      <c r="V242" s="37" t="s">
        <v>53</v>
      </c>
      <c r="W242" s="49">
        <f t="shared" ca="1" si="6"/>
        <v>50</v>
      </c>
      <c r="X242" s="50">
        <f t="shared" si="7"/>
        <v>2</v>
      </c>
      <c r="Y242" s="46" t="str" cm="1">
        <f t="array" ref="Y242">_xlfn.IFS(X242&lt;=5,"On Time",X242&gt;5,"Delayed",X242=" ","Pending")</f>
        <v>On Time</v>
      </c>
    </row>
    <row r="243" spans="1:25" ht="15" thickBot="1" x14ac:dyDescent="0.4">
      <c r="A243" s="30" t="s">
        <v>367</v>
      </c>
      <c r="B243" s="30" t="s">
        <v>104</v>
      </c>
      <c r="C243" s="30" t="s">
        <v>125</v>
      </c>
      <c r="D243" s="31">
        <v>45901</v>
      </c>
      <c r="E243" s="31">
        <v>45912</v>
      </c>
      <c r="F243" s="30" t="s">
        <v>166</v>
      </c>
      <c r="G243" s="30" t="s">
        <v>26</v>
      </c>
      <c r="H243" s="31">
        <v>35159</v>
      </c>
      <c r="I243" s="30" t="s">
        <v>147</v>
      </c>
      <c r="J243" s="30" t="s">
        <v>148</v>
      </c>
      <c r="K243" s="30" t="s">
        <v>83</v>
      </c>
      <c r="L243" s="30" t="s">
        <v>127</v>
      </c>
      <c r="M243" s="30">
        <v>15</v>
      </c>
      <c r="N243" s="30">
        <v>20</v>
      </c>
      <c r="O243" s="30">
        <v>20</v>
      </c>
      <c r="P243" s="30">
        <v>240</v>
      </c>
      <c r="Q243" s="30">
        <v>3</v>
      </c>
      <c r="R243" s="30" t="s">
        <v>41</v>
      </c>
      <c r="S243" s="30" t="s">
        <v>42</v>
      </c>
      <c r="T243" s="30" t="s">
        <v>108</v>
      </c>
      <c r="U243" s="30">
        <v>9108024911</v>
      </c>
      <c r="V243" s="38" t="s">
        <v>53</v>
      </c>
      <c r="W243" s="49">
        <f t="shared" ca="1" si="6"/>
        <v>30</v>
      </c>
      <c r="X243" s="50">
        <f t="shared" si="7"/>
        <v>11</v>
      </c>
      <c r="Y243" s="46" t="str" cm="1">
        <f t="array" ref="Y243">_xlfn.IFS(X243&lt;=5,"On Time",X243&gt;5,"Delayed",X243=" ","Pending")</f>
        <v>Delayed</v>
      </c>
    </row>
    <row r="244" spans="1:25" ht="15" thickBot="1" x14ac:dyDescent="0.4">
      <c r="A244" s="27" t="s">
        <v>368</v>
      </c>
      <c r="B244" s="27" t="s">
        <v>63</v>
      </c>
      <c r="C244" s="27" t="s">
        <v>82</v>
      </c>
      <c r="D244" s="28">
        <v>46031</v>
      </c>
      <c r="E244" s="28">
        <v>46035</v>
      </c>
      <c r="F244" s="27" t="s">
        <v>110</v>
      </c>
      <c r="G244" s="27" t="s">
        <v>58</v>
      </c>
      <c r="H244" s="28">
        <v>37173</v>
      </c>
      <c r="I244" s="27" t="s">
        <v>48</v>
      </c>
      <c r="J244" s="27" t="s">
        <v>28</v>
      </c>
      <c r="K244" s="27" t="s">
        <v>83</v>
      </c>
      <c r="L244" s="27" t="s">
        <v>84</v>
      </c>
      <c r="M244" s="27">
        <v>14</v>
      </c>
      <c r="N244" s="27">
        <v>60</v>
      </c>
      <c r="O244" s="27">
        <v>5</v>
      </c>
      <c r="P244" s="27">
        <v>798</v>
      </c>
      <c r="Q244" s="27">
        <v>4</v>
      </c>
      <c r="R244" s="27" t="s">
        <v>31</v>
      </c>
      <c r="S244" s="27" t="s">
        <v>42</v>
      </c>
      <c r="T244" s="27" t="s">
        <v>66</v>
      </c>
      <c r="U244" s="27">
        <v>9897181325</v>
      </c>
      <c r="V244" s="35" t="s">
        <v>34</v>
      </c>
      <c r="W244" s="49">
        <f t="shared" ca="1" si="6"/>
        <v>25</v>
      </c>
      <c r="X244" s="50">
        <f t="shared" si="7"/>
        <v>4</v>
      </c>
      <c r="Y244" s="46" t="str" cm="1">
        <f t="array" ref="Y244">_xlfn.IFS(X244&lt;=5,"On Time",X244&gt;5,"Delayed",X244=" ","Pending")</f>
        <v>On Time</v>
      </c>
    </row>
    <row r="245" spans="1:25" ht="15" thickBot="1" x14ac:dyDescent="0.4">
      <c r="A245" s="30" t="s">
        <v>369</v>
      </c>
      <c r="B245" s="30" t="s">
        <v>45</v>
      </c>
      <c r="C245" s="30" t="s">
        <v>56</v>
      </c>
      <c r="D245" s="31">
        <v>46158</v>
      </c>
      <c r="E245" s="31">
        <v>46161</v>
      </c>
      <c r="F245" s="30" t="s">
        <v>101</v>
      </c>
      <c r="G245" s="30" t="s">
        <v>26</v>
      </c>
      <c r="H245" s="31">
        <v>34800</v>
      </c>
      <c r="I245" s="30" t="s">
        <v>74</v>
      </c>
      <c r="J245" s="30" t="s">
        <v>75</v>
      </c>
      <c r="K245" s="30" t="s">
        <v>39</v>
      </c>
      <c r="L245" s="30" t="s">
        <v>59</v>
      </c>
      <c r="M245" s="30">
        <v>19</v>
      </c>
      <c r="N245" s="30">
        <v>1200</v>
      </c>
      <c r="O245" s="30">
        <v>20</v>
      </c>
      <c r="P245" s="30">
        <v>18240</v>
      </c>
      <c r="Q245" s="30">
        <v>2</v>
      </c>
      <c r="R245" s="30" t="s">
        <v>31</v>
      </c>
      <c r="S245" s="30" t="s">
        <v>80</v>
      </c>
      <c r="T245" s="30" t="s">
        <v>51</v>
      </c>
      <c r="U245" s="30">
        <v>9554719621</v>
      </c>
      <c r="V245" s="38" t="s">
        <v>53</v>
      </c>
      <c r="W245" s="49">
        <f t="shared" ca="1" si="6"/>
        <v>31</v>
      </c>
      <c r="X245" s="50">
        <f t="shared" si="7"/>
        <v>3</v>
      </c>
      <c r="Y245" s="46" t="str" cm="1">
        <f t="array" ref="Y245">_xlfn.IFS(X245&lt;=5,"On Time",X245&gt;5,"Delayed",X245=" ","Pending")</f>
        <v>On Time</v>
      </c>
    </row>
    <row r="246" spans="1:25" ht="15" thickBot="1" x14ac:dyDescent="0.4">
      <c r="A246" s="27" t="s">
        <v>370</v>
      </c>
      <c r="B246" s="27" t="s">
        <v>23</v>
      </c>
      <c r="C246" s="27" t="s">
        <v>138</v>
      </c>
      <c r="D246" s="28">
        <v>45943</v>
      </c>
      <c r="E246" s="28">
        <v>45944</v>
      </c>
      <c r="F246" s="27" t="s">
        <v>25</v>
      </c>
      <c r="G246" s="27" t="s">
        <v>26</v>
      </c>
      <c r="H246" s="28">
        <v>36650</v>
      </c>
      <c r="I246" s="27" t="s">
        <v>48</v>
      </c>
      <c r="J246" s="27" t="s">
        <v>28</v>
      </c>
      <c r="K246" s="27" t="s">
        <v>83</v>
      </c>
      <c r="L246" s="27" t="s">
        <v>139</v>
      </c>
      <c r="M246" s="27">
        <v>5</v>
      </c>
      <c r="N246" s="27">
        <v>45</v>
      </c>
      <c r="O246" s="27">
        <v>15</v>
      </c>
      <c r="P246" s="27">
        <v>191.25</v>
      </c>
      <c r="Q246" s="27">
        <v>2</v>
      </c>
      <c r="R246" s="27" t="s">
        <v>31</v>
      </c>
      <c r="S246" s="27" t="s">
        <v>50</v>
      </c>
      <c r="T246" s="27" t="s">
        <v>43</v>
      </c>
      <c r="U246" s="27">
        <v>9815899217</v>
      </c>
      <c r="V246" s="37" t="s">
        <v>53</v>
      </c>
      <c r="W246" s="49">
        <f t="shared" ca="1" si="6"/>
        <v>26</v>
      </c>
      <c r="X246" s="50">
        <f t="shared" si="7"/>
        <v>1</v>
      </c>
      <c r="Y246" s="46" t="str" cm="1">
        <f t="array" ref="Y246">_xlfn.IFS(X246&lt;=5,"On Time",X246&gt;5,"Delayed",X246=" ","Pending")</f>
        <v>On Time</v>
      </c>
    </row>
    <row r="247" spans="1:25" ht="15" thickBot="1" x14ac:dyDescent="0.4">
      <c r="A247" s="30" t="s">
        <v>371</v>
      </c>
      <c r="B247" s="30" t="s">
        <v>156</v>
      </c>
      <c r="C247" s="30" t="s">
        <v>112</v>
      </c>
      <c r="D247" s="31">
        <v>45802</v>
      </c>
      <c r="E247" s="31">
        <v>45809</v>
      </c>
      <c r="F247" s="30" t="s">
        <v>106</v>
      </c>
      <c r="G247" s="30" t="s">
        <v>58</v>
      </c>
      <c r="H247" s="31">
        <v>37316</v>
      </c>
      <c r="I247" s="30" t="s">
        <v>27</v>
      </c>
      <c r="J247" s="30" t="s">
        <v>28</v>
      </c>
      <c r="K247" s="30" t="s">
        <v>39</v>
      </c>
      <c r="L247" s="30" t="s">
        <v>114</v>
      </c>
      <c r="M247" s="30">
        <v>19</v>
      </c>
      <c r="N247" s="30">
        <v>700</v>
      </c>
      <c r="O247" s="30">
        <v>5</v>
      </c>
      <c r="P247" s="30">
        <v>12635</v>
      </c>
      <c r="Q247" s="30">
        <v>5</v>
      </c>
      <c r="R247" s="30" t="s">
        <v>65</v>
      </c>
      <c r="S247" s="30" t="s">
        <v>96</v>
      </c>
      <c r="T247" s="30" t="s">
        <v>158</v>
      </c>
      <c r="U247" s="30">
        <v>9308497039</v>
      </c>
      <c r="V247" s="36" t="s">
        <v>34</v>
      </c>
      <c r="W247" s="49">
        <f t="shared" ca="1" si="6"/>
        <v>24</v>
      </c>
      <c r="X247" s="50">
        <f t="shared" si="7"/>
        <v>7</v>
      </c>
      <c r="Y247" s="46" t="str" cm="1">
        <f t="array" ref="Y247">_xlfn.IFS(X247&lt;=5,"On Time",X247&gt;5,"Delayed",X247=" ","Pending")</f>
        <v>Delayed</v>
      </c>
    </row>
    <row r="248" spans="1:25" ht="15" thickBot="1" x14ac:dyDescent="0.4">
      <c r="A248" s="27" t="s">
        <v>372</v>
      </c>
      <c r="B248" s="27" t="s">
        <v>87</v>
      </c>
      <c r="C248" s="27" t="s">
        <v>82</v>
      </c>
      <c r="D248" s="28">
        <v>46025</v>
      </c>
      <c r="E248" s="28">
        <v>46026</v>
      </c>
      <c r="F248" s="27" t="s">
        <v>88</v>
      </c>
      <c r="G248" s="27" t="s">
        <v>58</v>
      </c>
      <c r="H248" s="28">
        <v>27541</v>
      </c>
      <c r="I248" s="27" t="s">
        <v>147</v>
      </c>
      <c r="J248" s="27" t="s">
        <v>148</v>
      </c>
      <c r="K248" s="27" t="s">
        <v>83</v>
      </c>
      <c r="L248" s="27" t="s">
        <v>84</v>
      </c>
      <c r="M248" s="27">
        <v>7</v>
      </c>
      <c r="N248" s="27">
        <v>60</v>
      </c>
      <c r="O248" s="27">
        <v>0</v>
      </c>
      <c r="P248" s="27">
        <v>420</v>
      </c>
      <c r="Q248" s="27">
        <v>4</v>
      </c>
      <c r="R248" s="27" t="s">
        <v>31</v>
      </c>
      <c r="S248" s="27" t="s">
        <v>80</v>
      </c>
      <c r="T248" s="27" t="s">
        <v>89</v>
      </c>
      <c r="U248" s="27">
        <v>9882054354</v>
      </c>
      <c r="V248" s="37" t="s">
        <v>52</v>
      </c>
      <c r="W248" s="49">
        <f t="shared" ca="1" si="6"/>
        <v>51</v>
      </c>
      <c r="X248" s="50">
        <f t="shared" si="7"/>
        <v>1</v>
      </c>
      <c r="Y248" s="46" t="str" cm="1">
        <f t="array" ref="Y248">_xlfn.IFS(X248&lt;=5,"On Time",X248&gt;5,"Delayed",X248=" ","Pending")</f>
        <v>On Time</v>
      </c>
    </row>
    <row r="249" spans="1:25" ht="15" thickBot="1" x14ac:dyDescent="0.4">
      <c r="A249" s="30" t="s">
        <v>373</v>
      </c>
      <c r="B249" s="30" t="s">
        <v>55</v>
      </c>
      <c r="C249" s="30" t="s">
        <v>24</v>
      </c>
      <c r="D249" s="31">
        <v>46013</v>
      </c>
      <c r="E249" s="31">
        <v>46024</v>
      </c>
      <c r="F249" s="30" t="s">
        <v>57</v>
      </c>
      <c r="G249" s="30" t="s">
        <v>58</v>
      </c>
      <c r="H249" s="31">
        <v>32479</v>
      </c>
      <c r="I249" s="30" t="s">
        <v>74</v>
      </c>
      <c r="J249" s="30" t="s">
        <v>75</v>
      </c>
      <c r="K249" s="30" t="s">
        <v>29</v>
      </c>
      <c r="L249" s="30" t="s">
        <v>30</v>
      </c>
      <c r="M249" s="30">
        <v>13</v>
      </c>
      <c r="N249" s="30">
        <v>2200</v>
      </c>
      <c r="O249" s="30">
        <v>10</v>
      </c>
      <c r="P249" s="30">
        <v>25740</v>
      </c>
      <c r="Q249" s="30">
        <v>1</v>
      </c>
      <c r="R249" s="30" t="s">
        <v>60</v>
      </c>
      <c r="S249" s="30" t="s">
        <v>96</v>
      </c>
      <c r="T249" s="30" t="s">
        <v>61</v>
      </c>
      <c r="U249" s="30">
        <v>9193016830</v>
      </c>
      <c r="V249" s="36" t="s">
        <v>34</v>
      </c>
      <c r="W249" s="49">
        <f t="shared" ca="1" si="6"/>
        <v>37</v>
      </c>
      <c r="X249" s="50">
        <f t="shared" si="7"/>
        <v>11</v>
      </c>
      <c r="Y249" s="46" t="str" cm="1">
        <f t="array" ref="Y249">_xlfn.IFS(X249&lt;=5,"On Time",X249&gt;5,"Delayed",X249=" ","Pending")</f>
        <v>Delayed</v>
      </c>
    </row>
    <row r="250" spans="1:25" ht="15" thickBot="1" x14ac:dyDescent="0.4">
      <c r="A250" s="27" t="s">
        <v>374</v>
      </c>
      <c r="B250" s="27" t="s">
        <v>55</v>
      </c>
      <c r="C250" s="27" t="s">
        <v>24</v>
      </c>
      <c r="D250" s="28">
        <v>46019</v>
      </c>
      <c r="E250" s="28">
        <v>46027</v>
      </c>
      <c r="F250" s="27" t="s">
        <v>57</v>
      </c>
      <c r="G250" s="27" t="s">
        <v>58</v>
      </c>
      <c r="H250" s="28">
        <v>31022</v>
      </c>
      <c r="I250" s="27" t="s">
        <v>48</v>
      </c>
      <c r="J250" s="27" t="s">
        <v>28</v>
      </c>
      <c r="K250" s="27" t="s">
        <v>29</v>
      </c>
      <c r="L250" s="27" t="s">
        <v>30</v>
      </c>
      <c r="M250" s="27">
        <v>9</v>
      </c>
      <c r="N250" s="27">
        <v>2200</v>
      </c>
      <c r="O250" s="27">
        <v>10</v>
      </c>
      <c r="P250" s="27">
        <v>17820</v>
      </c>
      <c r="Q250" s="27">
        <v>2</v>
      </c>
      <c r="R250" s="27" t="s">
        <v>375</v>
      </c>
      <c r="S250" s="27" t="s">
        <v>50</v>
      </c>
      <c r="T250" s="27" t="s">
        <v>61</v>
      </c>
      <c r="U250" s="27">
        <v>9921470418</v>
      </c>
      <c r="V250" s="37" t="s">
        <v>53</v>
      </c>
      <c r="W250" s="49">
        <f t="shared" ca="1" si="6"/>
        <v>41</v>
      </c>
      <c r="X250" s="50">
        <f t="shared" si="7"/>
        <v>8</v>
      </c>
      <c r="Y250" s="46" t="str" cm="1">
        <f t="array" ref="Y250">_xlfn.IFS(X250&lt;=5,"On Time",X250&gt;5,"Delayed",X250=" ","Pending")</f>
        <v>Delayed</v>
      </c>
    </row>
    <row r="251" spans="1:25" ht="15" thickBot="1" x14ac:dyDescent="0.4">
      <c r="A251" s="30" t="s">
        <v>376</v>
      </c>
      <c r="B251" s="30" t="s">
        <v>156</v>
      </c>
      <c r="C251" s="30" t="s">
        <v>105</v>
      </c>
      <c r="D251" s="31">
        <v>45792</v>
      </c>
      <c r="E251" s="31">
        <v>45794</v>
      </c>
      <c r="F251" s="30" t="s">
        <v>106</v>
      </c>
      <c r="G251" s="30" t="s">
        <v>58</v>
      </c>
      <c r="H251" s="31">
        <v>32994</v>
      </c>
      <c r="I251" s="30" t="s">
        <v>48</v>
      </c>
      <c r="J251" s="30" t="s">
        <v>28</v>
      </c>
      <c r="K251" s="30" t="s">
        <v>29</v>
      </c>
      <c r="L251" s="30" t="s">
        <v>107</v>
      </c>
      <c r="M251" s="30">
        <v>6</v>
      </c>
      <c r="N251" s="30">
        <v>8500</v>
      </c>
      <c r="O251" s="30">
        <v>15</v>
      </c>
      <c r="P251" s="30">
        <v>43350</v>
      </c>
      <c r="Q251" s="30">
        <v>2</v>
      </c>
      <c r="R251" s="30" t="s">
        <v>31</v>
      </c>
      <c r="S251" s="30" t="s">
        <v>96</v>
      </c>
      <c r="T251" s="30" t="s">
        <v>158</v>
      </c>
      <c r="U251" s="30">
        <v>9686979026</v>
      </c>
      <c r="V251" s="38" t="s">
        <v>53</v>
      </c>
      <c r="W251" s="49">
        <f t="shared" ca="1" si="6"/>
        <v>36</v>
      </c>
      <c r="X251" s="50">
        <f t="shared" si="7"/>
        <v>2</v>
      </c>
      <c r="Y251" s="46" t="str" cm="1">
        <f t="array" ref="Y251">_xlfn.IFS(X251&lt;=5,"On Time",X251&gt;5,"Delayed",X251=" ","Pending")</f>
        <v>On Time</v>
      </c>
    </row>
    <row r="252" spans="1:25" ht="15" thickBot="1" x14ac:dyDescent="0.4">
      <c r="A252" s="27" t="s">
        <v>377</v>
      </c>
      <c r="B252" s="27" t="s">
        <v>124</v>
      </c>
      <c r="C252" s="27" t="s">
        <v>24</v>
      </c>
      <c r="D252" s="28">
        <v>46070</v>
      </c>
      <c r="E252" s="28">
        <v>46078</v>
      </c>
      <c r="F252" s="27" t="s">
        <v>126</v>
      </c>
      <c r="G252" s="27" t="s">
        <v>58</v>
      </c>
      <c r="H252" s="28">
        <v>32182</v>
      </c>
      <c r="I252" s="27" t="s">
        <v>37</v>
      </c>
      <c r="J252" s="27" t="s">
        <v>38</v>
      </c>
      <c r="K252" s="27" t="s">
        <v>29</v>
      </c>
      <c r="L252" s="27" t="s">
        <v>30</v>
      </c>
      <c r="M252" s="27">
        <v>9</v>
      </c>
      <c r="N252" s="27">
        <v>2200</v>
      </c>
      <c r="O252" s="27">
        <v>10</v>
      </c>
      <c r="P252" s="27">
        <v>17820</v>
      </c>
      <c r="Q252" s="27">
        <v>3</v>
      </c>
      <c r="R252" s="27" t="s">
        <v>60</v>
      </c>
      <c r="S252" s="27" t="s">
        <v>32</v>
      </c>
      <c r="T252" s="27" t="s">
        <v>128</v>
      </c>
      <c r="U252" s="27">
        <v>9569007422</v>
      </c>
      <c r="V252" s="37" t="s">
        <v>52</v>
      </c>
      <c r="W252" s="49">
        <f t="shared" ca="1" si="6"/>
        <v>38</v>
      </c>
      <c r="X252" s="50">
        <f t="shared" si="7"/>
        <v>8</v>
      </c>
      <c r="Y252" s="46" t="str" cm="1">
        <f t="array" ref="Y252">_xlfn.IFS(X252&lt;=5,"On Time",X252&gt;5,"Delayed",X252=" ","Pending")</f>
        <v>Delayed</v>
      </c>
    </row>
    <row r="253" spans="1:25" ht="15" thickBot="1" x14ac:dyDescent="0.4">
      <c r="A253" s="30" t="s">
        <v>378</v>
      </c>
      <c r="B253" s="30" t="s">
        <v>23</v>
      </c>
      <c r="C253" s="30" t="s">
        <v>105</v>
      </c>
      <c r="D253" s="31">
        <v>45739</v>
      </c>
      <c r="E253" s="31">
        <v>45742</v>
      </c>
      <c r="F253" s="30" t="s">
        <v>25</v>
      </c>
      <c r="G253" s="30" t="s">
        <v>26</v>
      </c>
      <c r="H253" s="31">
        <v>30038</v>
      </c>
      <c r="I253" s="30" t="s">
        <v>147</v>
      </c>
      <c r="J253" s="30" t="s">
        <v>148</v>
      </c>
      <c r="K253" s="30" t="s">
        <v>29</v>
      </c>
      <c r="L253" s="30" t="s">
        <v>107</v>
      </c>
      <c r="M253" s="30">
        <v>16</v>
      </c>
      <c r="N253" s="30">
        <v>8500</v>
      </c>
      <c r="O253" s="30">
        <v>0</v>
      </c>
      <c r="P253" s="30">
        <v>136000</v>
      </c>
      <c r="Q253" s="30">
        <v>5</v>
      </c>
      <c r="R253" s="30" t="s">
        <v>65</v>
      </c>
      <c r="S253" s="30" t="s">
        <v>80</v>
      </c>
      <c r="T253" s="30" t="s">
        <v>43</v>
      </c>
      <c r="U253" s="30">
        <v>9180820441</v>
      </c>
      <c r="V253" s="38" t="s">
        <v>53</v>
      </c>
      <c r="W253" s="49">
        <f t="shared" ca="1" si="6"/>
        <v>44</v>
      </c>
      <c r="X253" s="50">
        <f t="shared" si="7"/>
        <v>3</v>
      </c>
      <c r="Y253" s="46" t="str" cm="1">
        <f t="array" ref="Y253">_xlfn.IFS(X253&lt;=5,"On Time",X253&gt;5,"Delayed",X253=" ","Pending")</f>
        <v>On Time</v>
      </c>
    </row>
    <row r="254" spans="1:25" ht="15" thickBot="1" x14ac:dyDescent="0.4">
      <c r="A254" s="27" t="s">
        <v>379</v>
      </c>
      <c r="B254" s="27" t="s">
        <v>156</v>
      </c>
      <c r="C254" s="27" t="s">
        <v>56</v>
      </c>
      <c r="D254" s="28">
        <v>46006</v>
      </c>
      <c r="E254" s="28">
        <v>46007</v>
      </c>
      <c r="F254" s="27" t="s">
        <v>106</v>
      </c>
      <c r="G254" s="27" t="s">
        <v>58</v>
      </c>
      <c r="H254" s="28">
        <v>28122</v>
      </c>
      <c r="I254" s="27" t="s">
        <v>37</v>
      </c>
      <c r="J254" s="27" t="s">
        <v>38</v>
      </c>
      <c r="K254" s="27" t="s">
        <v>39</v>
      </c>
      <c r="L254" s="27" t="s">
        <v>59</v>
      </c>
      <c r="M254" s="27">
        <v>10</v>
      </c>
      <c r="N254" s="27">
        <v>1200</v>
      </c>
      <c r="O254" s="27">
        <v>15</v>
      </c>
      <c r="P254" s="27">
        <v>10200</v>
      </c>
      <c r="Q254" s="27">
        <v>5</v>
      </c>
      <c r="R254" s="27" t="s">
        <v>31</v>
      </c>
      <c r="S254" s="27" t="s">
        <v>42</v>
      </c>
      <c r="T254" s="27" t="s">
        <v>158</v>
      </c>
      <c r="U254" s="27">
        <v>9769075826</v>
      </c>
      <c r="V254" s="35" t="s">
        <v>34</v>
      </c>
      <c r="W254" s="49">
        <f t="shared" ca="1" si="6"/>
        <v>49</v>
      </c>
      <c r="X254" s="50">
        <f t="shared" si="7"/>
        <v>1</v>
      </c>
      <c r="Y254" s="46" t="str" cm="1">
        <f t="array" ref="Y254">_xlfn.IFS(X254&lt;=5,"On Time",X254&gt;5,"Delayed",X254=" ","Pending")</f>
        <v>On Time</v>
      </c>
    </row>
    <row r="255" spans="1:25" ht="15" thickBot="1" x14ac:dyDescent="0.4">
      <c r="A255" s="30" t="s">
        <v>380</v>
      </c>
      <c r="B255" s="30" t="s">
        <v>87</v>
      </c>
      <c r="C255" s="30" t="s">
        <v>36</v>
      </c>
      <c r="D255" s="31">
        <v>45721</v>
      </c>
      <c r="E255" s="31">
        <v>45731</v>
      </c>
      <c r="F255" s="30" t="s">
        <v>88</v>
      </c>
      <c r="G255" s="30" t="s">
        <v>58</v>
      </c>
      <c r="H255" s="31">
        <v>37836</v>
      </c>
      <c r="I255" s="30" t="s">
        <v>147</v>
      </c>
      <c r="J255" s="30" t="s">
        <v>148</v>
      </c>
      <c r="K255" s="30" t="s">
        <v>39</v>
      </c>
      <c r="L255" s="30" t="s">
        <v>40</v>
      </c>
      <c r="M255" s="30">
        <v>7</v>
      </c>
      <c r="N255" s="30">
        <v>12000</v>
      </c>
      <c r="O255" s="30">
        <v>0</v>
      </c>
      <c r="P255" s="30">
        <v>84000</v>
      </c>
      <c r="Q255" s="30">
        <v>1</v>
      </c>
      <c r="R255" s="30" t="s">
        <v>65</v>
      </c>
      <c r="S255" s="30" t="s">
        <v>96</v>
      </c>
      <c r="T255" s="30" t="s">
        <v>89</v>
      </c>
      <c r="U255" s="30">
        <v>9467916296</v>
      </c>
      <c r="V255" s="38" t="s">
        <v>52</v>
      </c>
      <c r="W255" s="49">
        <f t="shared" ca="1" si="6"/>
        <v>23</v>
      </c>
      <c r="X255" s="50">
        <f t="shared" si="7"/>
        <v>10</v>
      </c>
      <c r="Y255" s="46" t="str" cm="1">
        <f t="array" ref="Y255">_xlfn.IFS(X255&lt;=5,"On Time",X255&gt;5,"Delayed",X255=" ","Pending")</f>
        <v>Delayed</v>
      </c>
    </row>
    <row r="256" spans="1:25" ht="15" thickBot="1" x14ac:dyDescent="0.4">
      <c r="A256" s="27" t="s">
        <v>381</v>
      </c>
      <c r="B256" s="27" t="s">
        <v>124</v>
      </c>
      <c r="C256" s="27" t="s">
        <v>36</v>
      </c>
      <c r="D256" s="28">
        <v>45919</v>
      </c>
      <c r="E256" s="28">
        <v>45931</v>
      </c>
      <c r="F256" s="27" t="s">
        <v>126</v>
      </c>
      <c r="G256" s="27" t="s">
        <v>58</v>
      </c>
      <c r="H256" s="28">
        <v>31538</v>
      </c>
      <c r="I256" s="27" t="s">
        <v>79</v>
      </c>
      <c r="J256" s="27" t="s">
        <v>75</v>
      </c>
      <c r="K256" s="27" t="s">
        <v>39</v>
      </c>
      <c r="L256" s="27" t="s">
        <v>40</v>
      </c>
      <c r="M256" s="27">
        <v>3</v>
      </c>
      <c r="N256" s="27">
        <v>12000</v>
      </c>
      <c r="O256" s="27">
        <v>10</v>
      </c>
      <c r="P256" s="27">
        <v>32400</v>
      </c>
      <c r="Q256" s="27">
        <v>4</v>
      </c>
      <c r="R256" s="27" t="s">
        <v>60</v>
      </c>
      <c r="S256" s="27" t="s">
        <v>96</v>
      </c>
      <c r="T256" s="27" t="s">
        <v>128</v>
      </c>
      <c r="U256" s="27">
        <v>9477052923</v>
      </c>
      <c r="V256" s="35" t="s">
        <v>34</v>
      </c>
      <c r="W256" s="49">
        <f t="shared" ca="1" si="6"/>
        <v>40</v>
      </c>
      <c r="X256" s="50">
        <f t="shared" si="7"/>
        <v>12</v>
      </c>
      <c r="Y256" s="46" t="str" cm="1">
        <f t="array" ref="Y256">_xlfn.IFS(X256&lt;=5,"On Time",X256&gt;5,"Delayed",X256=" ","Pending")</f>
        <v>Delayed</v>
      </c>
    </row>
    <row r="257" spans="1:25" ht="15" thickBot="1" x14ac:dyDescent="0.4">
      <c r="A257" s="30" t="s">
        <v>382</v>
      </c>
      <c r="B257" s="30" t="s">
        <v>124</v>
      </c>
      <c r="C257" s="30" t="s">
        <v>36</v>
      </c>
      <c r="D257" s="31">
        <v>45964</v>
      </c>
      <c r="E257" s="31">
        <v>45970</v>
      </c>
      <c r="F257" s="30" t="s">
        <v>126</v>
      </c>
      <c r="G257" s="30" t="s">
        <v>58</v>
      </c>
      <c r="H257" s="31">
        <v>32543</v>
      </c>
      <c r="I257" s="30" t="s">
        <v>27</v>
      </c>
      <c r="J257" s="30" t="s">
        <v>28</v>
      </c>
      <c r="K257" s="30" t="s">
        <v>39</v>
      </c>
      <c r="L257" s="30" t="s">
        <v>40</v>
      </c>
      <c r="M257" s="30">
        <v>4</v>
      </c>
      <c r="N257" s="30">
        <v>12000</v>
      </c>
      <c r="O257" s="30">
        <v>15</v>
      </c>
      <c r="P257" s="30">
        <v>40800</v>
      </c>
      <c r="Q257" s="30">
        <v>3</v>
      </c>
      <c r="R257" s="30" t="s">
        <v>60</v>
      </c>
      <c r="S257" s="30" t="s">
        <v>32</v>
      </c>
      <c r="T257" s="30" t="s">
        <v>128</v>
      </c>
      <c r="U257" s="30">
        <v>9184311420</v>
      </c>
      <c r="V257" s="38" t="s">
        <v>52</v>
      </c>
      <c r="W257" s="49">
        <f t="shared" ca="1" si="6"/>
        <v>37</v>
      </c>
      <c r="X257" s="50">
        <f t="shared" si="7"/>
        <v>6</v>
      </c>
      <c r="Y257" s="46" t="str" cm="1">
        <f t="array" ref="Y257">_xlfn.IFS(X257&lt;=5,"On Time",X257&gt;5,"Delayed",X257=" ","Pending")</f>
        <v>Delayed</v>
      </c>
    </row>
    <row r="258" spans="1:25" ht="15" thickBot="1" x14ac:dyDescent="0.4">
      <c r="A258" s="27" t="s">
        <v>383</v>
      </c>
      <c r="B258" s="27" t="s">
        <v>87</v>
      </c>
      <c r="C258" s="27" t="s">
        <v>36</v>
      </c>
      <c r="D258" s="28">
        <v>45824</v>
      </c>
      <c r="E258" s="28">
        <v>45826</v>
      </c>
      <c r="F258" s="27" t="s">
        <v>88</v>
      </c>
      <c r="G258" s="27" t="s">
        <v>58</v>
      </c>
      <c r="H258" s="28">
        <v>29259</v>
      </c>
      <c r="I258" s="27" t="s">
        <v>27</v>
      </c>
      <c r="J258" s="27" t="s">
        <v>28</v>
      </c>
      <c r="K258" s="27" t="s">
        <v>39</v>
      </c>
      <c r="L258" s="27" t="s">
        <v>40</v>
      </c>
      <c r="M258" s="27">
        <v>13</v>
      </c>
      <c r="N258" s="27">
        <v>12000</v>
      </c>
      <c r="O258" s="27">
        <v>10</v>
      </c>
      <c r="P258" s="27">
        <v>140400</v>
      </c>
      <c r="Q258" s="27">
        <v>2</v>
      </c>
      <c r="R258" s="27" t="s">
        <v>31</v>
      </c>
      <c r="S258" s="27" t="s">
        <v>96</v>
      </c>
      <c r="T258" s="27" t="s">
        <v>89</v>
      </c>
      <c r="U258" s="27">
        <v>9630913127</v>
      </c>
      <c r="V258" s="37" t="s">
        <v>53</v>
      </c>
      <c r="W258" s="49">
        <f t="shared" ca="1" si="6"/>
        <v>46</v>
      </c>
      <c r="X258" s="50">
        <f t="shared" si="7"/>
        <v>2</v>
      </c>
      <c r="Y258" s="46" t="str" cm="1">
        <f t="array" ref="Y258">_xlfn.IFS(X258&lt;=5,"On Time",X258&gt;5,"Delayed",X258=" ","Pending")</f>
        <v>On Time</v>
      </c>
    </row>
    <row r="259" spans="1:25" ht="15" thickBot="1" x14ac:dyDescent="0.4">
      <c r="A259" s="30" t="s">
        <v>384</v>
      </c>
      <c r="B259" s="30" t="s">
        <v>23</v>
      </c>
      <c r="C259" s="30" t="s">
        <v>68</v>
      </c>
      <c r="D259" s="31">
        <v>45812</v>
      </c>
      <c r="E259" s="31">
        <v>45819</v>
      </c>
      <c r="F259" s="30" t="s">
        <v>25</v>
      </c>
      <c r="G259" s="30" t="s">
        <v>26</v>
      </c>
      <c r="H259" s="31">
        <v>31060</v>
      </c>
      <c r="I259" s="30" t="s">
        <v>48</v>
      </c>
      <c r="J259" s="30" t="s">
        <v>28</v>
      </c>
      <c r="K259" s="30" t="s">
        <v>29</v>
      </c>
      <c r="L259" s="30" t="s">
        <v>70</v>
      </c>
      <c r="M259" s="30">
        <v>19</v>
      </c>
      <c r="N259" s="30">
        <v>3500</v>
      </c>
      <c r="O259" s="30">
        <v>20</v>
      </c>
      <c r="P259" s="30">
        <v>53200</v>
      </c>
      <c r="Q259" s="30">
        <v>1</v>
      </c>
      <c r="R259" s="30" t="s">
        <v>31</v>
      </c>
      <c r="S259" s="30" t="s">
        <v>50</v>
      </c>
      <c r="T259" s="30" t="s">
        <v>43</v>
      </c>
      <c r="U259" s="30">
        <v>9997515828</v>
      </c>
      <c r="V259" s="38" t="s">
        <v>53</v>
      </c>
      <c r="W259" s="49">
        <f t="shared" ref="W259:W322" ca="1" si="8">INT(YEARFRAC(H259, TODAY()))</f>
        <v>41</v>
      </c>
      <c r="X259" s="50">
        <f t="shared" ref="X259:X322" si="9">IF(OR(E259="", E259&lt;D259), "", E259 - D259)</f>
        <v>7</v>
      </c>
      <c r="Y259" s="46" t="str" cm="1">
        <f t="array" ref="Y259">_xlfn.IFS(X259&lt;=5,"On Time",X259&gt;5,"Delayed",X259=" ","Pending")</f>
        <v>Delayed</v>
      </c>
    </row>
    <row r="260" spans="1:25" ht="15" thickBot="1" x14ac:dyDescent="0.4">
      <c r="A260" s="27" t="s">
        <v>385</v>
      </c>
      <c r="B260" s="27" t="s">
        <v>23</v>
      </c>
      <c r="C260" s="27" t="s">
        <v>24</v>
      </c>
      <c r="D260" s="28">
        <v>45695</v>
      </c>
      <c r="E260" s="28">
        <v>45700</v>
      </c>
      <c r="F260" s="27" t="s">
        <v>25</v>
      </c>
      <c r="G260" s="27" t="s">
        <v>26</v>
      </c>
      <c r="H260" s="28">
        <v>29060</v>
      </c>
      <c r="I260" s="27" t="s">
        <v>74</v>
      </c>
      <c r="J260" s="27" t="s">
        <v>75</v>
      </c>
      <c r="K260" s="27" t="s">
        <v>29</v>
      </c>
      <c r="L260" s="27" t="s">
        <v>30</v>
      </c>
      <c r="M260" s="27">
        <v>7</v>
      </c>
      <c r="N260" s="27">
        <v>2200</v>
      </c>
      <c r="O260" s="27">
        <v>5</v>
      </c>
      <c r="P260" s="27">
        <v>14630</v>
      </c>
      <c r="Q260" s="27">
        <v>3</v>
      </c>
      <c r="R260" s="27" t="s">
        <v>65</v>
      </c>
      <c r="S260" s="27" t="s">
        <v>50</v>
      </c>
      <c r="T260" s="27" t="s">
        <v>43</v>
      </c>
      <c r="U260" s="27">
        <v>9394291182</v>
      </c>
      <c r="V260" s="37" t="s">
        <v>53</v>
      </c>
      <c r="W260" s="49">
        <f t="shared" ca="1" si="8"/>
        <v>47</v>
      </c>
      <c r="X260" s="50">
        <f t="shared" si="9"/>
        <v>5</v>
      </c>
      <c r="Y260" s="46" t="str" cm="1">
        <f t="array" ref="Y260">_xlfn.IFS(X260&lt;=5,"On Time",X260&gt;5,"Delayed",X260=" ","Pending")</f>
        <v>On Time</v>
      </c>
    </row>
    <row r="261" spans="1:25" ht="15" thickBot="1" x14ac:dyDescent="0.4">
      <c r="A261" s="30" t="s">
        <v>386</v>
      </c>
      <c r="B261" s="30" t="s">
        <v>63</v>
      </c>
      <c r="C261" s="30" t="s">
        <v>112</v>
      </c>
      <c r="D261" s="31">
        <v>46151</v>
      </c>
      <c r="E261" s="31">
        <v>46155</v>
      </c>
      <c r="F261" s="30" t="s">
        <v>110</v>
      </c>
      <c r="G261" s="30" t="s">
        <v>58</v>
      </c>
      <c r="H261" s="31">
        <v>34184</v>
      </c>
      <c r="I261" s="30" t="s">
        <v>121</v>
      </c>
      <c r="J261" s="30" t="s">
        <v>38</v>
      </c>
      <c r="K261" s="30" t="s">
        <v>39</v>
      </c>
      <c r="L261" s="30" t="s">
        <v>114</v>
      </c>
      <c r="M261" s="30">
        <v>18</v>
      </c>
      <c r="N261" s="30">
        <v>700</v>
      </c>
      <c r="O261" s="30">
        <v>5</v>
      </c>
      <c r="P261" s="30">
        <v>11970</v>
      </c>
      <c r="Q261" s="30">
        <v>2</v>
      </c>
      <c r="R261" s="30" t="s">
        <v>65</v>
      </c>
      <c r="S261" s="30" t="s">
        <v>50</v>
      </c>
      <c r="T261" s="30" t="s">
        <v>66</v>
      </c>
      <c r="U261" s="30">
        <v>9616853220</v>
      </c>
      <c r="V261" s="38" t="s">
        <v>53</v>
      </c>
      <c r="W261" s="49">
        <f t="shared" ca="1" si="8"/>
        <v>33</v>
      </c>
      <c r="X261" s="50">
        <f t="shared" si="9"/>
        <v>4</v>
      </c>
      <c r="Y261" s="46" t="str" cm="1">
        <f t="array" ref="Y261">_xlfn.IFS(X261&lt;=5,"On Time",X261&gt;5,"Delayed",X261=" ","Pending")</f>
        <v>On Time</v>
      </c>
    </row>
    <row r="262" spans="1:25" ht="15" thickBot="1" x14ac:dyDescent="0.4">
      <c r="A262" s="27" t="s">
        <v>387</v>
      </c>
      <c r="B262" s="27" t="s">
        <v>23</v>
      </c>
      <c r="C262" s="27" t="s">
        <v>125</v>
      </c>
      <c r="D262" s="28">
        <v>45858</v>
      </c>
      <c r="E262" s="28">
        <v>45868</v>
      </c>
      <c r="F262" s="27" t="s">
        <v>25</v>
      </c>
      <c r="G262" s="27" t="s">
        <v>26</v>
      </c>
      <c r="H262" s="28">
        <v>27629</v>
      </c>
      <c r="I262" s="27" t="s">
        <v>147</v>
      </c>
      <c r="J262" s="27" t="s">
        <v>148</v>
      </c>
      <c r="K262" s="27" t="s">
        <v>83</v>
      </c>
      <c r="L262" s="27" t="s">
        <v>127</v>
      </c>
      <c r="M262" s="27">
        <v>11</v>
      </c>
      <c r="N262" s="27">
        <v>20</v>
      </c>
      <c r="O262" s="27">
        <v>0</v>
      </c>
      <c r="P262" s="27">
        <v>220</v>
      </c>
      <c r="Q262" s="27">
        <v>2</v>
      </c>
      <c r="R262" s="27" t="s">
        <v>41</v>
      </c>
      <c r="S262" s="27" t="s">
        <v>80</v>
      </c>
      <c r="T262" s="27" t="s">
        <v>43</v>
      </c>
      <c r="U262" s="27">
        <v>9147552626</v>
      </c>
      <c r="V262" s="37" t="s">
        <v>53</v>
      </c>
      <c r="W262" s="49">
        <f t="shared" ca="1" si="8"/>
        <v>51</v>
      </c>
      <c r="X262" s="50">
        <f t="shared" si="9"/>
        <v>10</v>
      </c>
      <c r="Y262" s="46" t="str" cm="1">
        <f t="array" ref="Y262">_xlfn.IFS(X262&lt;=5,"On Time",X262&gt;5,"Delayed",X262=" ","Pending")</f>
        <v>Delayed</v>
      </c>
    </row>
    <row r="263" spans="1:25" ht="15" thickBot="1" x14ac:dyDescent="0.4">
      <c r="A263" s="30" t="s">
        <v>388</v>
      </c>
      <c r="B263" s="30" t="s">
        <v>156</v>
      </c>
      <c r="C263" s="30" t="s">
        <v>36</v>
      </c>
      <c r="D263" s="31">
        <v>45716</v>
      </c>
      <c r="E263" s="31">
        <v>45723</v>
      </c>
      <c r="F263" s="30" t="s">
        <v>106</v>
      </c>
      <c r="G263" s="30" t="s">
        <v>58</v>
      </c>
      <c r="H263" s="31">
        <v>28603</v>
      </c>
      <c r="I263" s="30" t="s">
        <v>79</v>
      </c>
      <c r="J263" s="30" t="s">
        <v>75</v>
      </c>
      <c r="K263" s="30" t="s">
        <v>39</v>
      </c>
      <c r="L263" s="30" t="s">
        <v>40</v>
      </c>
      <c r="M263" s="30">
        <v>17</v>
      </c>
      <c r="N263" s="30">
        <v>12000</v>
      </c>
      <c r="O263" s="30">
        <v>20</v>
      </c>
      <c r="P263" s="30">
        <v>163200</v>
      </c>
      <c r="Q263" s="30">
        <v>4</v>
      </c>
      <c r="R263" s="30" t="s">
        <v>65</v>
      </c>
      <c r="S263" s="30" t="s">
        <v>96</v>
      </c>
      <c r="T263" s="30" t="s">
        <v>158</v>
      </c>
      <c r="U263" s="30">
        <v>9724197033</v>
      </c>
      <c r="V263" s="36" t="s">
        <v>34</v>
      </c>
      <c r="W263" s="49">
        <f t="shared" ca="1" si="8"/>
        <v>48</v>
      </c>
      <c r="X263" s="50">
        <f t="shared" si="9"/>
        <v>7</v>
      </c>
      <c r="Y263" s="46" t="str" cm="1">
        <f t="array" ref="Y263">_xlfn.IFS(X263&lt;=5,"On Time",X263&gt;5,"Delayed",X263=" ","Pending")</f>
        <v>Delayed</v>
      </c>
    </row>
    <row r="264" spans="1:25" ht="15" thickBot="1" x14ac:dyDescent="0.4">
      <c r="A264" s="27" t="s">
        <v>389</v>
      </c>
      <c r="B264" s="27" t="s">
        <v>134</v>
      </c>
      <c r="C264" s="27" t="s">
        <v>24</v>
      </c>
      <c r="D264" s="28">
        <v>45846</v>
      </c>
      <c r="E264" s="28">
        <v>45851</v>
      </c>
      <c r="F264" s="27" t="s">
        <v>135</v>
      </c>
      <c r="G264" s="27" t="s">
        <v>26</v>
      </c>
      <c r="H264" s="28">
        <v>37889</v>
      </c>
      <c r="I264" s="27" t="s">
        <v>147</v>
      </c>
      <c r="J264" s="27" t="s">
        <v>148</v>
      </c>
      <c r="K264" s="27" t="s">
        <v>29</v>
      </c>
      <c r="L264" s="27" t="s">
        <v>30</v>
      </c>
      <c r="M264" s="27">
        <v>4</v>
      </c>
      <c r="N264" s="27">
        <v>2200</v>
      </c>
      <c r="O264" s="27">
        <v>5</v>
      </c>
      <c r="P264" s="27">
        <v>8360</v>
      </c>
      <c r="Q264" s="27">
        <v>2</v>
      </c>
      <c r="R264" s="27" t="s">
        <v>31</v>
      </c>
      <c r="S264" s="27" t="s">
        <v>32</v>
      </c>
      <c r="T264" s="27" t="s">
        <v>136</v>
      </c>
      <c r="U264" s="27">
        <v>9130666128</v>
      </c>
      <c r="V264" s="35" t="s">
        <v>34</v>
      </c>
      <c r="W264" s="49">
        <f t="shared" ca="1" si="8"/>
        <v>23</v>
      </c>
      <c r="X264" s="50">
        <f t="shared" si="9"/>
        <v>5</v>
      </c>
      <c r="Y264" s="46" t="str" cm="1">
        <f t="array" ref="Y264">_xlfn.IFS(X264&lt;=5,"On Time",X264&gt;5,"Delayed",X264=" ","Pending")</f>
        <v>On Time</v>
      </c>
    </row>
    <row r="265" spans="1:25" ht="15" thickBot="1" x14ac:dyDescent="0.4">
      <c r="A265" s="30" t="s">
        <v>390</v>
      </c>
      <c r="B265" s="30" t="s">
        <v>23</v>
      </c>
      <c r="C265" s="30" t="s">
        <v>46</v>
      </c>
      <c r="D265" s="31">
        <v>46003</v>
      </c>
      <c r="E265" s="31">
        <v>46010</v>
      </c>
      <c r="F265" s="30" t="s">
        <v>25</v>
      </c>
      <c r="G265" s="30" t="s">
        <v>26</v>
      </c>
      <c r="H265" s="31">
        <v>37355</v>
      </c>
      <c r="I265" s="30" t="s">
        <v>91</v>
      </c>
      <c r="J265" s="30" t="s">
        <v>75</v>
      </c>
      <c r="K265" s="30" t="s">
        <v>39</v>
      </c>
      <c r="L265" s="30" t="s">
        <v>49</v>
      </c>
      <c r="M265" s="30">
        <v>6</v>
      </c>
      <c r="N265" s="30">
        <v>55000</v>
      </c>
      <c r="O265" s="30">
        <v>20</v>
      </c>
      <c r="P265" s="30">
        <v>264000</v>
      </c>
      <c r="Q265" s="30">
        <v>2</v>
      </c>
      <c r="R265" s="30" t="s">
        <v>65</v>
      </c>
      <c r="S265" s="30" t="s">
        <v>96</v>
      </c>
      <c r="T265" s="30" t="s">
        <v>43</v>
      </c>
      <c r="U265" s="30">
        <v>9866567601</v>
      </c>
      <c r="V265" s="38" t="s">
        <v>53</v>
      </c>
      <c r="W265" s="49">
        <f t="shared" ca="1" si="8"/>
        <v>24</v>
      </c>
      <c r="X265" s="50">
        <f t="shared" si="9"/>
        <v>7</v>
      </c>
      <c r="Y265" s="46" t="str" cm="1">
        <f t="array" ref="Y265">_xlfn.IFS(X265&lt;=5,"On Time",X265&gt;5,"Delayed",X265=" ","Pending")</f>
        <v>Delayed</v>
      </c>
    </row>
    <row r="266" spans="1:25" ht="15" thickBot="1" x14ac:dyDescent="0.4">
      <c r="A266" s="27" t="s">
        <v>391</v>
      </c>
      <c r="B266" s="27" t="s">
        <v>55</v>
      </c>
      <c r="C266" s="27" t="s">
        <v>105</v>
      </c>
      <c r="D266" s="28">
        <v>46026</v>
      </c>
      <c r="E266" s="28">
        <v>46036</v>
      </c>
      <c r="F266" s="27" t="s">
        <v>57</v>
      </c>
      <c r="G266" s="27" t="s">
        <v>58</v>
      </c>
      <c r="H266" s="28">
        <v>31314</v>
      </c>
      <c r="I266" s="27" t="s">
        <v>37</v>
      </c>
      <c r="J266" s="27" t="s">
        <v>38</v>
      </c>
      <c r="K266" s="27" t="s">
        <v>29</v>
      </c>
      <c r="L266" s="27" t="s">
        <v>107</v>
      </c>
      <c r="M266" s="27">
        <v>6</v>
      </c>
      <c r="N266" s="27">
        <v>8500</v>
      </c>
      <c r="O266" s="27">
        <v>10</v>
      </c>
      <c r="P266" s="27">
        <v>45900</v>
      </c>
      <c r="Q266" s="27">
        <v>5</v>
      </c>
      <c r="R266" s="27" t="s">
        <v>65</v>
      </c>
      <c r="S266" s="27" t="s">
        <v>50</v>
      </c>
      <c r="T266" s="27" t="s">
        <v>61</v>
      </c>
      <c r="U266" s="27">
        <v>9477282450</v>
      </c>
      <c r="V266" s="35" t="s">
        <v>34</v>
      </c>
      <c r="W266" s="49">
        <f t="shared" ca="1" si="8"/>
        <v>41</v>
      </c>
      <c r="X266" s="50">
        <f t="shared" si="9"/>
        <v>10</v>
      </c>
      <c r="Y266" s="46" t="str" cm="1">
        <f t="array" ref="Y266">_xlfn.IFS(X266&lt;=5,"On Time",X266&gt;5,"Delayed",X266=" ","Pending")</f>
        <v>Delayed</v>
      </c>
    </row>
    <row r="267" spans="1:25" ht="15" thickBot="1" x14ac:dyDescent="0.4">
      <c r="A267" s="30" t="s">
        <v>392</v>
      </c>
      <c r="B267" s="30" t="s">
        <v>23</v>
      </c>
      <c r="C267" s="30" t="s">
        <v>125</v>
      </c>
      <c r="D267" s="31">
        <v>45889</v>
      </c>
      <c r="E267" s="31">
        <v>45894</v>
      </c>
      <c r="F267" s="30" t="s">
        <v>25</v>
      </c>
      <c r="G267" s="30" t="s">
        <v>26</v>
      </c>
      <c r="H267" s="31">
        <v>31028</v>
      </c>
      <c r="I267" s="30" t="s">
        <v>121</v>
      </c>
      <c r="J267" s="30" t="s">
        <v>38</v>
      </c>
      <c r="K267" s="30" t="s">
        <v>83</v>
      </c>
      <c r="L267" s="30" t="s">
        <v>127</v>
      </c>
      <c r="M267" s="30">
        <v>6</v>
      </c>
      <c r="N267" s="30">
        <v>20</v>
      </c>
      <c r="O267" s="30">
        <v>15</v>
      </c>
      <c r="P267" s="30">
        <v>102</v>
      </c>
      <c r="Q267" s="30">
        <v>2</v>
      </c>
      <c r="R267" s="30" t="s">
        <v>65</v>
      </c>
      <c r="S267" s="30" t="s">
        <v>42</v>
      </c>
      <c r="T267" s="30" t="s">
        <v>43</v>
      </c>
      <c r="U267" s="30">
        <v>9857621478</v>
      </c>
      <c r="V267" s="38" t="s">
        <v>53</v>
      </c>
      <c r="W267" s="49">
        <f t="shared" ca="1" si="8"/>
        <v>41</v>
      </c>
      <c r="X267" s="50">
        <f t="shared" si="9"/>
        <v>5</v>
      </c>
      <c r="Y267" s="46" t="str" cm="1">
        <f t="array" ref="Y267">_xlfn.IFS(X267&lt;=5,"On Time",X267&gt;5,"Delayed",X267=" ","Pending")</f>
        <v>On Time</v>
      </c>
    </row>
    <row r="268" spans="1:25" ht="15" thickBot="1" x14ac:dyDescent="0.4">
      <c r="A268" s="27" t="s">
        <v>393</v>
      </c>
      <c r="B268" s="27" t="s">
        <v>45</v>
      </c>
      <c r="C268" s="27" t="s">
        <v>82</v>
      </c>
      <c r="D268" s="28">
        <v>45780</v>
      </c>
      <c r="E268" s="28">
        <v>45788</v>
      </c>
      <c r="F268" s="27" t="s">
        <v>101</v>
      </c>
      <c r="G268" s="27" t="s">
        <v>26</v>
      </c>
      <c r="H268" s="28">
        <v>30883</v>
      </c>
      <c r="I268" s="27" t="s">
        <v>74</v>
      </c>
      <c r="J268" s="27" t="s">
        <v>75</v>
      </c>
      <c r="K268" s="27" t="s">
        <v>83</v>
      </c>
      <c r="L268" s="27" t="s">
        <v>84</v>
      </c>
      <c r="M268" s="27">
        <v>6</v>
      </c>
      <c r="N268" s="27">
        <v>60</v>
      </c>
      <c r="O268" s="27">
        <v>5</v>
      </c>
      <c r="P268" s="27">
        <v>342</v>
      </c>
      <c r="Q268" s="27">
        <v>1</v>
      </c>
      <c r="R268" s="27" t="s">
        <v>41</v>
      </c>
      <c r="S268" s="27" t="s">
        <v>50</v>
      </c>
      <c r="T268" s="27" t="s">
        <v>51</v>
      </c>
      <c r="U268" s="27">
        <v>9753869055</v>
      </c>
      <c r="V268" s="35" t="s">
        <v>34</v>
      </c>
      <c r="W268" s="49">
        <f t="shared" ca="1" si="8"/>
        <v>42</v>
      </c>
      <c r="X268" s="50">
        <f t="shared" si="9"/>
        <v>8</v>
      </c>
      <c r="Y268" s="46" t="str" cm="1">
        <f t="array" ref="Y268">_xlfn.IFS(X268&lt;=5,"On Time",X268&gt;5,"Delayed",X268=" ","Pending")</f>
        <v>Delayed</v>
      </c>
    </row>
    <row r="269" spans="1:25" ht="15" thickBot="1" x14ac:dyDescent="0.4">
      <c r="A269" s="30" t="s">
        <v>394</v>
      </c>
      <c r="B269" s="30" t="s">
        <v>87</v>
      </c>
      <c r="C269" s="30" t="s">
        <v>105</v>
      </c>
      <c r="D269" s="31">
        <v>45666</v>
      </c>
      <c r="E269" s="31">
        <v>45669</v>
      </c>
      <c r="F269" s="30" t="s">
        <v>88</v>
      </c>
      <c r="G269" s="30" t="s">
        <v>58</v>
      </c>
      <c r="H269" s="31">
        <v>32217</v>
      </c>
      <c r="I269" s="30" t="s">
        <v>27</v>
      </c>
      <c r="J269" s="30" t="s">
        <v>28</v>
      </c>
      <c r="K269" s="30" t="s">
        <v>29</v>
      </c>
      <c r="L269" s="30" t="s">
        <v>107</v>
      </c>
      <c r="M269" s="30">
        <v>19</v>
      </c>
      <c r="N269" s="30">
        <v>8500</v>
      </c>
      <c r="O269" s="30">
        <v>0</v>
      </c>
      <c r="P269" s="30">
        <v>161500</v>
      </c>
      <c r="Q269" s="30">
        <v>5</v>
      </c>
      <c r="R269" s="30" t="s">
        <v>65</v>
      </c>
      <c r="S269" s="30" t="s">
        <v>96</v>
      </c>
      <c r="T269" s="30" t="s">
        <v>89</v>
      </c>
      <c r="U269" s="30">
        <v>9663266204</v>
      </c>
      <c r="V269" s="36" t="s">
        <v>34</v>
      </c>
      <c r="W269" s="49">
        <f t="shared" ca="1" si="8"/>
        <v>38</v>
      </c>
      <c r="X269" s="50">
        <f t="shared" si="9"/>
        <v>3</v>
      </c>
      <c r="Y269" s="46" t="str" cm="1">
        <f t="array" ref="Y269">_xlfn.IFS(X269&lt;=5,"On Time",X269&gt;5,"Delayed",X269=" ","Pending")</f>
        <v>On Time</v>
      </c>
    </row>
    <row r="270" spans="1:25" ht="15" thickBot="1" x14ac:dyDescent="0.4">
      <c r="A270" s="27" t="s">
        <v>395</v>
      </c>
      <c r="B270" s="27" t="s">
        <v>134</v>
      </c>
      <c r="C270" s="27" t="s">
        <v>46</v>
      </c>
      <c r="D270" s="28">
        <v>45901</v>
      </c>
      <c r="E270" s="28">
        <v>45910</v>
      </c>
      <c r="F270" s="27" t="s">
        <v>135</v>
      </c>
      <c r="G270" s="27" t="s">
        <v>26</v>
      </c>
      <c r="H270" s="28">
        <v>31924</v>
      </c>
      <c r="I270" s="27" t="s">
        <v>121</v>
      </c>
      <c r="J270" s="27" t="s">
        <v>38</v>
      </c>
      <c r="K270" s="27" t="s">
        <v>39</v>
      </c>
      <c r="L270" s="27" t="s">
        <v>49</v>
      </c>
      <c r="M270" s="27">
        <v>8</v>
      </c>
      <c r="N270" s="27">
        <v>55000</v>
      </c>
      <c r="O270" s="27">
        <v>0</v>
      </c>
      <c r="P270" s="27">
        <v>440000</v>
      </c>
      <c r="Q270" s="27">
        <v>3</v>
      </c>
      <c r="R270" s="27" t="s">
        <v>60</v>
      </c>
      <c r="S270" s="27" t="s">
        <v>80</v>
      </c>
      <c r="T270" s="27" t="s">
        <v>136</v>
      </c>
      <c r="U270" s="27">
        <v>9675208616</v>
      </c>
      <c r="V270" s="37" t="s">
        <v>52</v>
      </c>
      <c r="W270" s="49">
        <f t="shared" ca="1" si="8"/>
        <v>39</v>
      </c>
      <c r="X270" s="50">
        <f t="shared" si="9"/>
        <v>9</v>
      </c>
      <c r="Y270" s="46" t="str" cm="1">
        <f t="array" ref="Y270">_xlfn.IFS(X270&lt;=5,"On Time",X270&gt;5,"Delayed",X270=" ","Pending")</f>
        <v>Delayed</v>
      </c>
    </row>
    <row r="271" spans="1:25" ht="15" thickBot="1" x14ac:dyDescent="0.4">
      <c r="A271" s="30" t="s">
        <v>396</v>
      </c>
      <c r="B271" s="30" t="s">
        <v>55</v>
      </c>
      <c r="C271" s="30" t="s">
        <v>36</v>
      </c>
      <c r="D271" s="31">
        <v>46144</v>
      </c>
      <c r="E271" s="31">
        <v>46149</v>
      </c>
      <c r="F271" s="30" t="s">
        <v>57</v>
      </c>
      <c r="G271" s="30" t="s">
        <v>58</v>
      </c>
      <c r="H271" s="31">
        <v>32441</v>
      </c>
      <c r="I271" s="30" t="s">
        <v>147</v>
      </c>
      <c r="J271" s="30" t="s">
        <v>148</v>
      </c>
      <c r="K271" s="30" t="s">
        <v>39</v>
      </c>
      <c r="L271" s="30" t="s">
        <v>40</v>
      </c>
      <c r="M271" s="30">
        <v>18</v>
      </c>
      <c r="N271" s="30">
        <v>12000</v>
      </c>
      <c r="O271" s="30">
        <v>20</v>
      </c>
      <c r="P271" s="30">
        <v>172800</v>
      </c>
      <c r="Q271" s="30">
        <v>5</v>
      </c>
      <c r="R271" s="30" t="s">
        <v>65</v>
      </c>
      <c r="S271" s="30" t="s">
        <v>50</v>
      </c>
      <c r="T271" s="30" t="s">
        <v>61</v>
      </c>
      <c r="U271" s="30">
        <v>9618393586</v>
      </c>
      <c r="V271" s="38" t="s">
        <v>53</v>
      </c>
      <c r="W271" s="49">
        <f t="shared" ca="1" si="8"/>
        <v>38</v>
      </c>
      <c r="X271" s="50">
        <f t="shared" si="9"/>
        <v>5</v>
      </c>
      <c r="Y271" s="46" t="str" cm="1">
        <f t="array" ref="Y271">_xlfn.IFS(X271&lt;=5,"On Time",X271&gt;5,"Delayed",X271=" ","Pending")</f>
        <v>On Time</v>
      </c>
    </row>
    <row r="272" spans="1:25" ht="15" thickBot="1" x14ac:dyDescent="0.4">
      <c r="A272" s="27" t="s">
        <v>397</v>
      </c>
      <c r="B272" s="27" t="s">
        <v>87</v>
      </c>
      <c r="C272" s="27" t="s">
        <v>105</v>
      </c>
      <c r="D272" s="28">
        <v>45764</v>
      </c>
      <c r="E272" s="28">
        <v>45773</v>
      </c>
      <c r="F272" s="27" t="s">
        <v>88</v>
      </c>
      <c r="G272" s="27" t="s">
        <v>58</v>
      </c>
      <c r="H272" s="28">
        <v>33219</v>
      </c>
      <c r="I272" s="27" t="s">
        <v>91</v>
      </c>
      <c r="J272" s="27" t="s">
        <v>75</v>
      </c>
      <c r="K272" s="27" t="s">
        <v>29</v>
      </c>
      <c r="L272" s="27" t="s">
        <v>107</v>
      </c>
      <c r="M272" s="27">
        <v>8</v>
      </c>
      <c r="N272" s="27">
        <v>8500</v>
      </c>
      <c r="O272" s="27">
        <v>5</v>
      </c>
      <c r="P272" s="27">
        <v>64600</v>
      </c>
      <c r="Q272" s="27">
        <v>2</v>
      </c>
      <c r="R272" s="27" t="s">
        <v>60</v>
      </c>
      <c r="S272" s="27" t="s">
        <v>50</v>
      </c>
      <c r="T272" s="27" t="s">
        <v>89</v>
      </c>
      <c r="U272" s="27">
        <v>9137027840</v>
      </c>
      <c r="V272" s="37" t="s">
        <v>53</v>
      </c>
      <c r="W272" s="49">
        <f t="shared" ca="1" si="8"/>
        <v>35</v>
      </c>
      <c r="X272" s="50">
        <f t="shared" si="9"/>
        <v>9</v>
      </c>
      <c r="Y272" s="46" t="str" cm="1">
        <f t="array" ref="Y272">_xlfn.IFS(X272&lt;=5,"On Time",X272&gt;5,"Delayed",X272=" ","Pending")</f>
        <v>Delayed</v>
      </c>
    </row>
    <row r="273" spans="1:25" ht="15" thickBot="1" x14ac:dyDescent="0.4">
      <c r="A273" s="30" t="s">
        <v>398</v>
      </c>
      <c r="B273" s="30" t="s">
        <v>23</v>
      </c>
      <c r="C273" s="30" t="s">
        <v>125</v>
      </c>
      <c r="D273" s="31">
        <v>45878</v>
      </c>
      <c r="E273" s="31">
        <v>45887</v>
      </c>
      <c r="F273" s="30" t="s">
        <v>25</v>
      </c>
      <c r="G273" s="30" t="s">
        <v>26</v>
      </c>
      <c r="H273" s="31">
        <v>29640</v>
      </c>
      <c r="I273" s="30" t="s">
        <v>74</v>
      </c>
      <c r="J273" s="30" t="s">
        <v>75</v>
      </c>
      <c r="K273" s="30" t="s">
        <v>83</v>
      </c>
      <c r="L273" s="30" t="s">
        <v>127</v>
      </c>
      <c r="M273" s="30">
        <v>13</v>
      </c>
      <c r="N273" s="30">
        <v>20</v>
      </c>
      <c r="O273" s="30">
        <v>5</v>
      </c>
      <c r="P273" s="30">
        <v>247</v>
      </c>
      <c r="Q273" s="30">
        <v>3</v>
      </c>
      <c r="R273" s="30" t="s">
        <v>41</v>
      </c>
      <c r="S273" s="30" t="s">
        <v>80</v>
      </c>
      <c r="T273" s="30" t="s">
        <v>43</v>
      </c>
      <c r="U273" s="30">
        <v>9362758134</v>
      </c>
      <c r="V273" s="38" t="s">
        <v>52</v>
      </c>
      <c r="W273" s="49">
        <f t="shared" ca="1" si="8"/>
        <v>45</v>
      </c>
      <c r="X273" s="50">
        <f t="shared" si="9"/>
        <v>9</v>
      </c>
      <c r="Y273" s="46" t="str" cm="1">
        <f t="array" ref="Y273">_xlfn.IFS(X273&lt;=5,"On Time",X273&gt;5,"Delayed",X273=" ","Pending")</f>
        <v>Delayed</v>
      </c>
    </row>
    <row r="274" spans="1:25" ht="15" thickBot="1" x14ac:dyDescent="0.4">
      <c r="A274" s="27" t="s">
        <v>399</v>
      </c>
      <c r="B274" s="27" t="s">
        <v>63</v>
      </c>
      <c r="C274" s="27" t="s">
        <v>82</v>
      </c>
      <c r="D274" s="28">
        <v>46116</v>
      </c>
      <c r="E274" s="28">
        <v>46128</v>
      </c>
      <c r="F274" s="27" t="s">
        <v>110</v>
      </c>
      <c r="G274" s="27" t="s">
        <v>58</v>
      </c>
      <c r="H274" s="28">
        <v>31140</v>
      </c>
      <c r="I274" s="27" t="s">
        <v>121</v>
      </c>
      <c r="J274" s="27" t="s">
        <v>38</v>
      </c>
      <c r="K274" s="27" t="s">
        <v>83</v>
      </c>
      <c r="L274" s="27" t="s">
        <v>84</v>
      </c>
      <c r="M274" s="27">
        <v>1</v>
      </c>
      <c r="N274" s="27">
        <v>60</v>
      </c>
      <c r="O274" s="27">
        <v>15</v>
      </c>
      <c r="P274" s="27">
        <v>51</v>
      </c>
      <c r="Q274" s="27">
        <v>2</v>
      </c>
      <c r="R274" s="27" t="s">
        <v>60</v>
      </c>
      <c r="S274" s="27" t="s">
        <v>50</v>
      </c>
      <c r="T274" s="27" t="s">
        <v>66</v>
      </c>
      <c r="U274" s="27">
        <v>9648541985</v>
      </c>
      <c r="V274" s="37" t="s">
        <v>53</v>
      </c>
      <c r="W274" s="49">
        <f t="shared" ca="1" si="8"/>
        <v>41</v>
      </c>
      <c r="X274" s="50">
        <f t="shared" si="9"/>
        <v>12</v>
      </c>
      <c r="Y274" s="46" t="str" cm="1">
        <f t="array" ref="Y274">_xlfn.IFS(X274&lt;=5,"On Time",X274&gt;5,"Delayed",X274=" ","Pending")</f>
        <v>Delayed</v>
      </c>
    </row>
    <row r="275" spans="1:25" ht="15" thickBot="1" x14ac:dyDescent="0.4">
      <c r="A275" s="30" t="s">
        <v>400</v>
      </c>
      <c r="B275" s="30" t="s">
        <v>45</v>
      </c>
      <c r="C275" s="30" t="s">
        <v>125</v>
      </c>
      <c r="D275" s="31">
        <v>45830</v>
      </c>
      <c r="E275" s="31">
        <v>45836</v>
      </c>
      <c r="F275" s="30" t="s">
        <v>101</v>
      </c>
      <c r="G275" s="30" t="s">
        <v>26</v>
      </c>
      <c r="H275" s="31">
        <v>27978</v>
      </c>
      <c r="I275" s="30" t="s">
        <v>79</v>
      </c>
      <c r="J275" s="30" t="s">
        <v>75</v>
      </c>
      <c r="K275" s="30" t="s">
        <v>83</v>
      </c>
      <c r="L275" s="30" t="s">
        <v>127</v>
      </c>
      <c r="M275" s="30">
        <v>5</v>
      </c>
      <c r="N275" s="30">
        <v>20</v>
      </c>
      <c r="O275" s="30">
        <v>5</v>
      </c>
      <c r="P275" s="30">
        <v>95</v>
      </c>
      <c r="Q275" s="30">
        <v>2</v>
      </c>
      <c r="R275" s="30" t="s">
        <v>41</v>
      </c>
      <c r="S275" s="30" t="s">
        <v>42</v>
      </c>
      <c r="T275" s="30" t="s">
        <v>51</v>
      </c>
      <c r="U275" s="30">
        <v>9175002781</v>
      </c>
      <c r="V275" s="38" t="s">
        <v>52</v>
      </c>
      <c r="W275" s="49">
        <f t="shared" ca="1" si="8"/>
        <v>50</v>
      </c>
      <c r="X275" s="50">
        <f t="shared" si="9"/>
        <v>6</v>
      </c>
      <c r="Y275" s="46" t="str" cm="1">
        <f t="array" ref="Y275">_xlfn.IFS(X275&lt;=5,"On Time",X275&gt;5,"Delayed",X275=" ","Pending")</f>
        <v>Delayed</v>
      </c>
    </row>
    <row r="276" spans="1:25" ht="15" thickBot="1" x14ac:dyDescent="0.4">
      <c r="A276" s="27" t="s">
        <v>401</v>
      </c>
      <c r="B276" s="27" t="s">
        <v>124</v>
      </c>
      <c r="C276" s="27" t="s">
        <v>125</v>
      </c>
      <c r="D276" s="28">
        <v>45796</v>
      </c>
      <c r="E276" s="28">
        <v>45801</v>
      </c>
      <c r="F276" s="27" t="s">
        <v>126</v>
      </c>
      <c r="G276" s="27" t="s">
        <v>58</v>
      </c>
      <c r="H276" s="28">
        <v>28623</v>
      </c>
      <c r="I276" s="27" t="s">
        <v>147</v>
      </c>
      <c r="J276" s="27" t="s">
        <v>148</v>
      </c>
      <c r="K276" s="27" t="s">
        <v>83</v>
      </c>
      <c r="L276" s="27" t="s">
        <v>127</v>
      </c>
      <c r="M276" s="27">
        <v>19</v>
      </c>
      <c r="N276" s="27">
        <v>20</v>
      </c>
      <c r="O276" s="27">
        <v>20</v>
      </c>
      <c r="P276" s="27">
        <v>304</v>
      </c>
      <c r="Q276" s="27">
        <v>3</v>
      </c>
      <c r="R276" s="27" t="s">
        <v>31</v>
      </c>
      <c r="S276" s="27" t="s">
        <v>32</v>
      </c>
      <c r="T276" s="27" t="s">
        <v>128</v>
      </c>
      <c r="U276" s="27">
        <v>9786241263</v>
      </c>
      <c r="V276" s="37" t="s">
        <v>53</v>
      </c>
      <c r="W276" s="49">
        <f t="shared" ca="1" si="8"/>
        <v>48</v>
      </c>
      <c r="X276" s="50">
        <f t="shared" si="9"/>
        <v>5</v>
      </c>
      <c r="Y276" s="46" t="str" cm="1">
        <f t="array" ref="Y276">_xlfn.IFS(X276&lt;=5,"On Time",X276&gt;5,"Delayed",X276=" ","Pending")</f>
        <v>On Time</v>
      </c>
    </row>
    <row r="277" spans="1:25" ht="15" thickBot="1" x14ac:dyDescent="0.4">
      <c r="A277" s="30" t="s">
        <v>402</v>
      </c>
      <c r="B277" s="30" t="s">
        <v>72</v>
      </c>
      <c r="C277" s="30" t="s">
        <v>138</v>
      </c>
      <c r="D277" s="31">
        <v>45745</v>
      </c>
      <c r="E277" s="31">
        <v>45754</v>
      </c>
      <c r="F277" s="30" t="s">
        <v>73</v>
      </c>
      <c r="G277" s="30" t="s">
        <v>26</v>
      </c>
      <c r="H277" s="31">
        <v>36026</v>
      </c>
      <c r="I277" s="30" t="s">
        <v>91</v>
      </c>
      <c r="J277" s="30" t="s">
        <v>75</v>
      </c>
      <c r="K277" s="30" t="s">
        <v>83</v>
      </c>
      <c r="L277" s="30" t="s">
        <v>139</v>
      </c>
      <c r="M277" s="30">
        <v>17</v>
      </c>
      <c r="N277" s="30">
        <v>45</v>
      </c>
      <c r="O277" s="30">
        <v>5</v>
      </c>
      <c r="P277" s="30">
        <v>726.75</v>
      </c>
      <c r="Q277" s="30">
        <v>4</v>
      </c>
      <c r="R277" s="30" t="s">
        <v>31</v>
      </c>
      <c r="S277" s="30" t="s">
        <v>80</v>
      </c>
      <c r="T277" s="30" t="s">
        <v>93</v>
      </c>
      <c r="U277" s="30">
        <v>9691078176</v>
      </c>
      <c r="V277" s="38" t="s">
        <v>52</v>
      </c>
      <c r="W277" s="49">
        <f t="shared" ca="1" si="8"/>
        <v>28</v>
      </c>
      <c r="X277" s="50">
        <f t="shared" si="9"/>
        <v>9</v>
      </c>
      <c r="Y277" s="46" t="str" cm="1">
        <f t="array" ref="Y277">_xlfn.IFS(X277&lt;=5,"On Time",X277&gt;5,"Delayed",X277=" ","Pending")</f>
        <v>Delayed</v>
      </c>
    </row>
    <row r="278" spans="1:25" ht="15" thickBot="1" x14ac:dyDescent="0.4">
      <c r="A278" s="27" t="s">
        <v>403</v>
      </c>
      <c r="B278" s="27" t="s">
        <v>63</v>
      </c>
      <c r="C278" s="27" t="s">
        <v>112</v>
      </c>
      <c r="D278" s="28">
        <v>46071</v>
      </c>
      <c r="E278" s="28">
        <v>46075</v>
      </c>
      <c r="F278" s="27" t="s">
        <v>110</v>
      </c>
      <c r="G278" s="27" t="s">
        <v>58</v>
      </c>
      <c r="H278" s="28">
        <v>27687</v>
      </c>
      <c r="I278" s="27" t="s">
        <v>48</v>
      </c>
      <c r="J278" s="27" t="s">
        <v>28</v>
      </c>
      <c r="K278" s="27" t="s">
        <v>39</v>
      </c>
      <c r="L278" s="27" t="s">
        <v>114</v>
      </c>
      <c r="M278" s="27">
        <v>8</v>
      </c>
      <c r="N278" s="27">
        <v>700</v>
      </c>
      <c r="O278" s="27">
        <v>15</v>
      </c>
      <c r="P278" s="27">
        <v>4760</v>
      </c>
      <c r="Q278" s="27">
        <v>4</v>
      </c>
      <c r="R278" s="27" t="s">
        <v>41</v>
      </c>
      <c r="S278" s="27" t="s">
        <v>32</v>
      </c>
      <c r="T278" s="27" t="s">
        <v>66</v>
      </c>
      <c r="U278" s="27">
        <v>9336679085</v>
      </c>
      <c r="V278" s="37" t="s">
        <v>52</v>
      </c>
      <c r="W278" s="49">
        <f t="shared" ca="1" si="8"/>
        <v>51</v>
      </c>
      <c r="X278" s="50">
        <f t="shared" si="9"/>
        <v>4</v>
      </c>
      <c r="Y278" s="46" t="str" cm="1">
        <f t="array" ref="Y278">_xlfn.IFS(X278&lt;=5,"On Time",X278&gt;5,"Delayed",X278=" ","Pending")</f>
        <v>On Time</v>
      </c>
    </row>
    <row r="279" spans="1:25" ht="15" thickBot="1" x14ac:dyDescent="0.4">
      <c r="A279" s="30" t="s">
        <v>404</v>
      </c>
      <c r="B279" s="30" t="s">
        <v>104</v>
      </c>
      <c r="C279" s="30" t="s">
        <v>24</v>
      </c>
      <c r="D279" s="31">
        <v>46043</v>
      </c>
      <c r="E279" s="31">
        <v>46051</v>
      </c>
      <c r="F279" s="30" t="s">
        <v>166</v>
      </c>
      <c r="G279" s="30" t="s">
        <v>26</v>
      </c>
      <c r="H279" s="31">
        <v>27665</v>
      </c>
      <c r="I279" s="30" t="s">
        <v>74</v>
      </c>
      <c r="J279" s="30" t="s">
        <v>75</v>
      </c>
      <c r="K279" s="30" t="s">
        <v>29</v>
      </c>
      <c r="L279" s="30" t="s">
        <v>30</v>
      </c>
      <c r="M279" s="30">
        <v>15</v>
      </c>
      <c r="N279" s="30">
        <v>2200</v>
      </c>
      <c r="O279" s="30">
        <v>10</v>
      </c>
      <c r="P279" s="30">
        <v>29700</v>
      </c>
      <c r="Q279" s="30">
        <v>5</v>
      </c>
      <c r="R279" s="30" t="s">
        <v>65</v>
      </c>
      <c r="S279" s="30" t="s">
        <v>96</v>
      </c>
      <c r="T279" s="30" t="s">
        <v>108</v>
      </c>
      <c r="U279" s="30">
        <v>9497351043</v>
      </c>
      <c r="V279" s="36" t="s">
        <v>34</v>
      </c>
      <c r="W279" s="49">
        <f t="shared" ca="1" si="8"/>
        <v>51</v>
      </c>
      <c r="X279" s="50">
        <f t="shared" si="9"/>
        <v>8</v>
      </c>
      <c r="Y279" s="46" t="str" cm="1">
        <f t="array" ref="Y279">_xlfn.IFS(X279&lt;=5,"On Time",X279&gt;5,"Delayed",X279=" ","Pending")</f>
        <v>Delayed</v>
      </c>
    </row>
    <row r="280" spans="1:25" ht="15" thickBot="1" x14ac:dyDescent="0.4">
      <c r="A280" s="27" t="s">
        <v>405</v>
      </c>
      <c r="B280" s="27" t="s">
        <v>72</v>
      </c>
      <c r="C280" s="27" t="s">
        <v>24</v>
      </c>
      <c r="D280" s="28">
        <v>45917</v>
      </c>
      <c r="E280" s="28">
        <v>45929</v>
      </c>
      <c r="F280" s="27" t="s">
        <v>73</v>
      </c>
      <c r="G280" s="27" t="s">
        <v>26</v>
      </c>
      <c r="H280" s="28">
        <v>37522</v>
      </c>
      <c r="I280" s="27" t="s">
        <v>74</v>
      </c>
      <c r="J280" s="27" t="s">
        <v>75</v>
      </c>
      <c r="K280" s="27" t="s">
        <v>29</v>
      </c>
      <c r="L280" s="27" t="s">
        <v>30</v>
      </c>
      <c r="M280" s="27">
        <v>1</v>
      </c>
      <c r="N280" s="27">
        <v>2200</v>
      </c>
      <c r="O280" s="27">
        <v>0</v>
      </c>
      <c r="P280" s="27">
        <v>2200</v>
      </c>
      <c r="Q280" s="27">
        <v>4</v>
      </c>
      <c r="R280" s="27" t="s">
        <v>31</v>
      </c>
      <c r="S280" s="27" t="s">
        <v>42</v>
      </c>
      <c r="T280" s="27" t="s">
        <v>93</v>
      </c>
      <c r="U280" s="27">
        <v>9357038998</v>
      </c>
      <c r="V280" s="37" t="s">
        <v>53</v>
      </c>
      <c r="W280" s="49">
        <f t="shared" ca="1" si="8"/>
        <v>24</v>
      </c>
      <c r="X280" s="50">
        <f t="shared" si="9"/>
        <v>12</v>
      </c>
      <c r="Y280" s="46" t="str" cm="1">
        <f t="array" ref="Y280">_xlfn.IFS(X280&lt;=5,"On Time",X280&gt;5,"Delayed",X280=" ","Pending")</f>
        <v>Delayed</v>
      </c>
    </row>
    <row r="281" spans="1:25" ht="15" thickBot="1" x14ac:dyDescent="0.4">
      <c r="A281" s="30" t="s">
        <v>406</v>
      </c>
      <c r="B281" s="30" t="s">
        <v>134</v>
      </c>
      <c r="C281" s="30" t="s">
        <v>68</v>
      </c>
      <c r="D281" s="31">
        <v>45827</v>
      </c>
      <c r="E281" s="31">
        <v>45838</v>
      </c>
      <c r="F281" s="30" t="s">
        <v>135</v>
      </c>
      <c r="G281" s="30" t="s">
        <v>26</v>
      </c>
      <c r="H281" s="31">
        <v>32311</v>
      </c>
      <c r="I281" s="30" t="s">
        <v>91</v>
      </c>
      <c r="J281" s="30" t="s">
        <v>75</v>
      </c>
      <c r="K281" s="30" t="s">
        <v>29</v>
      </c>
      <c r="L281" s="30" t="s">
        <v>70</v>
      </c>
      <c r="M281" s="30">
        <v>10</v>
      </c>
      <c r="N281" s="30">
        <v>3500</v>
      </c>
      <c r="O281" s="30">
        <v>10</v>
      </c>
      <c r="P281" s="30">
        <v>31500</v>
      </c>
      <c r="Q281" s="30">
        <v>4</v>
      </c>
      <c r="R281" s="30" t="s">
        <v>41</v>
      </c>
      <c r="S281" s="30" t="s">
        <v>32</v>
      </c>
      <c r="T281" s="30" t="s">
        <v>136</v>
      </c>
      <c r="U281" s="30">
        <v>9986371291</v>
      </c>
      <c r="V281" s="38" t="s">
        <v>53</v>
      </c>
      <c r="W281" s="49">
        <f t="shared" ca="1" si="8"/>
        <v>38</v>
      </c>
      <c r="X281" s="50">
        <f t="shared" si="9"/>
        <v>11</v>
      </c>
      <c r="Y281" s="46" t="str" cm="1">
        <f t="array" ref="Y281">_xlfn.IFS(X281&lt;=5,"On Time",X281&gt;5,"Delayed",X281=" ","Pending")</f>
        <v>Delayed</v>
      </c>
    </row>
    <row r="282" spans="1:25" ht="15" thickBot="1" x14ac:dyDescent="0.4">
      <c r="A282" s="27" t="s">
        <v>407</v>
      </c>
      <c r="B282" s="27" t="s">
        <v>55</v>
      </c>
      <c r="C282" s="27" t="s">
        <v>68</v>
      </c>
      <c r="D282" s="28">
        <v>45789</v>
      </c>
      <c r="E282" s="28">
        <v>45793</v>
      </c>
      <c r="F282" s="27" t="s">
        <v>57</v>
      </c>
      <c r="G282" s="27" t="s">
        <v>58</v>
      </c>
      <c r="H282" s="28">
        <v>33271</v>
      </c>
      <c r="I282" s="27" t="s">
        <v>121</v>
      </c>
      <c r="J282" s="27" t="s">
        <v>38</v>
      </c>
      <c r="K282" s="27" t="s">
        <v>29</v>
      </c>
      <c r="L282" s="27" t="s">
        <v>70</v>
      </c>
      <c r="M282" s="27">
        <v>16</v>
      </c>
      <c r="N282" s="27">
        <v>3500</v>
      </c>
      <c r="O282" s="27">
        <v>15</v>
      </c>
      <c r="P282" s="27">
        <v>47600</v>
      </c>
      <c r="Q282" s="27">
        <v>1</v>
      </c>
      <c r="R282" s="27" t="s">
        <v>60</v>
      </c>
      <c r="S282" s="27" t="s">
        <v>80</v>
      </c>
      <c r="T282" s="27" t="s">
        <v>61</v>
      </c>
      <c r="U282" s="27">
        <v>9397839191</v>
      </c>
      <c r="V282" s="37" t="s">
        <v>52</v>
      </c>
      <c r="W282" s="49">
        <f t="shared" ca="1" si="8"/>
        <v>35</v>
      </c>
      <c r="X282" s="50">
        <f t="shared" si="9"/>
        <v>4</v>
      </c>
      <c r="Y282" s="46" t="str" cm="1">
        <f t="array" ref="Y282">_xlfn.IFS(X282&lt;=5,"On Time",X282&gt;5,"Delayed",X282=" ","Pending")</f>
        <v>On Time</v>
      </c>
    </row>
    <row r="283" spans="1:25" ht="15" thickBot="1" x14ac:dyDescent="0.4">
      <c r="A283" s="30" t="s">
        <v>408</v>
      </c>
      <c r="B283" s="30" t="s">
        <v>134</v>
      </c>
      <c r="C283" s="30" t="s">
        <v>36</v>
      </c>
      <c r="D283" s="31">
        <v>45906</v>
      </c>
      <c r="E283" s="31">
        <v>45918</v>
      </c>
      <c r="F283" s="30" t="s">
        <v>135</v>
      </c>
      <c r="G283" s="30" t="s">
        <v>26</v>
      </c>
      <c r="H283" s="31">
        <v>28711</v>
      </c>
      <c r="I283" s="30" t="s">
        <v>121</v>
      </c>
      <c r="J283" s="30" t="s">
        <v>38</v>
      </c>
      <c r="K283" s="30" t="s">
        <v>39</v>
      </c>
      <c r="L283" s="30" t="s">
        <v>40</v>
      </c>
      <c r="M283" s="30">
        <v>1</v>
      </c>
      <c r="N283" s="30">
        <v>12000</v>
      </c>
      <c r="O283" s="30">
        <v>0</v>
      </c>
      <c r="P283" s="30">
        <v>12000</v>
      </c>
      <c r="Q283" s="30">
        <v>4</v>
      </c>
      <c r="R283" s="30" t="s">
        <v>41</v>
      </c>
      <c r="S283" s="30" t="s">
        <v>80</v>
      </c>
      <c r="T283" s="30" t="s">
        <v>136</v>
      </c>
      <c r="U283" s="30">
        <v>9162975843</v>
      </c>
      <c r="V283" s="38" t="s">
        <v>53</v>
      </c>
      <c r="W283" s="49">
        <f t="shared" ca="1" si="8"/>
        <v>48</v>
      </c>
      <c r="X283" s="50">
        <f t="shared" si="9"/>
        <v>12</v>
      </c>
      <c r="Y283" s="46" t="str" cm="1">
        <f t="array" ref="Y283">_xlfn.IFS(X283&lt;=5,"On Time",X283&gt;5,"Delayed",X283=" ","Pending")</f>
        <v>Delayed</v>
      </c>
    </row>
    <row r="284" spans="1:25" ht="15" thickBot="1" x14ac:dyDescent="0.4">
      <c r="A284" s="27" t="s">
        <v>409</v>
      </c>
      <c r="B284" s="27" t="s">
        <v>63</v>
      </c>
      <c r="C284" s="27" t="s">
        <v>112</v>
      </c>
      <c r="D284" s="28">
        <v>45770</v>
      </c>
      <c r="E284" s="28">
        <v>45776</v>
      </c>
      <c r="F284" s="27" t="s">
        <v>110</v>
      </c>
      <c r="G284" s="27" t="s">
        <v>58</v>
      </c>
      <c r="H284" s="28">
        <v>34367</v>
      </c>
      <c r="I284" s="27" t="s">
        <v>74</v>
      </c>
      <c r="J284" s="27" t="s">
        <v>75</v>
      </c>
      <c r="K284" s="27" t="s">
        <v>39</v>
      </c>
      <c r="L284" s="27" t="s">
        <v>114</v>
      </c>
      <c r="M284" s="27">
        <v>6</v>
      </c>
      <c r="N284" s="27">
        <v>700</v>
      </c>
      <c r="O284" s="27">
        <v>20</v>
      </c>
      <c r="P284" s="27">
        <v>3360</v>
      </c>
      <c r="Q284" s="27">
        <v>2</v>
      </c>
      <c r="R284" s="27" t="s">
        <v>41</v>
      </c>
      <c r="S284" s="27" t="s">
        <v>80</v>
      </c>
      <c r="T284" s="27" t="s">
        <v>66</v>
      </c>
      <c r="U284" s="27">
        <v>9237616558</v>
      </c>
      <c r="V284" s="37" t="s">
        <v>52</v>
      </c>
      <c r="W284" s="49">
        <f t="shared" ca="1" si="8"/>
        <v>32</v>
      </c>
      <c r="X284" s="50">
        <f t="shared" si="9"/>
        <v>6</v>
      </c>
      <c r="Y284" s="46" t="str" cm="1">
        <f t="array" ref="Y284">_xlfn.IFS(X284&lt;=5,"On Time",X284&gt;5,"Delayed",X284=" ","Pending")</f>
        <v>Delayed</v>
      </c>
    </row>
    <row r="285" spans="1:25" ht="15" thickBot="1" x14ac:dyDescent="0.4">
      <c r="A285" s="30" t="s">
        <v>410</v>
      </c>
      <c r="B285" s="30" t="s">
        <v>55</v>
      </c>
      <c r="C285" s="30" t="s">
        <v>24</v>
      </c>
      <c r="D285" s="31">
        <v>46074</v>
      </c>
      <c r="E285" s="31">
        <v>46080</v>
      </c>
      <c r="F285" s="30" t="s">
        <v>57</v>
      </c>
      <c r="G285" s="30" t="s">
        <v>58</v>
      </c>
      <c r="H285" s="31">
        <v>34786</v>
      </c>
      <c r="I285" s="30" t="s">
        <v>91</v>
      </c>
      <c r="J285" s="30" t="s">
        <v>75</v>
      </c>
      <c r="K285" s="30" t="s">
        <v>29</v>
      </c>
      <c r="L285" s="30" t="s">
        <v>30</v>
      </c>
      <c r="M285" s="30">
        <v>3</v>
      </c>
      <c r="N285" s="30">
        <v>2200</v>
      </c>
      <c r="O285" s="30">
        <v>0</v>
      </c>
      <c r="P285" s="30">
        <v>6600</v>
      </c>
      <c r="Q285" s="30">
        <v>4</v>
      </c>
      <c r="R285" s="30" t="s">
        <v>60</v>
      </c>
      <c r="S285" s="30" t="s">
        <v>32</v>
      </c>
      <c r="T285" s="30" t="s">
        <v>61</v>
      </c>
      <c r="U285" s="30">
        <v>9935063989</v>
      </c>
      <c r="V285" s="36" t="s">
        <v>34</v>
      </c>
      <c r="W285" s="49">
        <f t="shared" ca="1" si="8"/>
        <v>31</v>
      </c>
      <c r="X285" s="50">
        <f t="shared" si="9"/>
        <v>6</v>
      </c>
      <c r="Y285" s="46" t="str" cm="1">
        <f t="array" ref="Y285">_xlfn.IFS(X285&lt;=5,"On Time",X285&gt;5,"Delayed",X285=" ","Pending")</f>
        <v>Delayed</v>
      </c>
    </row>
    <row r="286" spans="1:25" ht="15" thickBot="1" x14ac:dyDescent="0.4">
      <c r="A286" s="27" t="s">
        <v>411</v>
      </c>
      <c r="B286" s="27" t="s">
        <v>134</v>
      </c>
      <c r="C286" s="27" t="s">
        <v>138</v>
      </c>
      <c r="D286" s="28">
        <v>46019</v>
      </c>
      <c r="E286" s="28">
        <v>46023</v>
      </c>
      <c r="F286" s="27" t="s">
        <v>135</v>
      </c>
      <c r="G286" s="27" t="s">
        <v>26</v>
      </c>
      <c r="H286" s="28">
        <v>33675</v>
      </c>
      <c r="I286" s="27" t="s">
        <v>27</v>
      </c>
      <c r="J286" s="27" t="s">
        <v>28</v>
      </c>
      <c r="K286" s="27" t="s">
        <v>83</v>
      </c>
      <c r="L286" s="27" t="s">
        <v>139</v>
      </c>
      <c r="M286" s="27">
        <v>6</v>
      </c>
      <c r="N286" s="27">
        <v>45</v>
      </c>
      <c r="O286" s="27">
        <v>15</v>
      </c>
      <c r="P286" s="27">
        <v>229.5</v>
      </c>
      <c r="Q286" s="27">
        <v>1</v>
      </c>
      <c r="R286" s="27" t="s">
        <v>65</v>
      </c>
      <c r="S286" s="27" t="s">
        <v>42</v>
      </c>
      <c r="T286" s="27" t="s">
        <v>136</v>
      </c>
      <c r="U286" s="27">
        <v>9167376169</v>
      </c>
      <c r="V286" s="35" t="s">
        <v>34</v>
      </c>
      <c r="W286" s="49">
        <f t="shared" ca="1" si="8"/>
        <v>34</v>
      </c>
      <c r="X286" s="50">
        <f t="shared" si="9"/>
        <v>4</v>
      </c>
      <c r="Y286" s="46" t="str" cm="1">
        <f t="array" ref="Y286">_xlfn.IFS(X286&lt;=5,"On Time",X286&gt;5,"Delayed",X286=" ","Pending")</f>
        <v>On Time</v>
      </c>
    </row>
    <row r="287" spans="1:25" ht="15" thickBot="1" x14ac:dyDescent="0.4">
      <c r="A287" s="30" t="s">
        <v>412</v>
      </c>
      <c r="B287" s="30" t="s">
        <v>134</v>
      </c>
      <c r="C287" s="30" t="s">
        <v>56</v>
      </c>
      <c r="D287" s="31">
        <v>45922</v>
      </c>
      <c r="E287" s="31">
        <v>45930</v>
      </c>
      <c r="F287" s="30" t="s">
        <v>135</v>
      </c>
      <c r="G287" s="30" t="s">
        <v>26</v>
      </c>
      <c r="H287" s="31">
        <v>29609</v>
      </c>
      <c r="I287" s="30" t="s">
        <v>48</v>
      </c>
      <c r="J287" s="30" t="s">
        <v>28</v>
      </c>
      <c r="K287" s="30" t="s">
        <v>39</v>
      </c>
      <c r="L287" s="30" t="s">
        <v>59</v>
      </c>
      <c r="M287" s="30">
        <v>2</v>
      </c>
      <c r="N287" s="30">
        <v>1200</v>
      </c>
      <c r="O287" s="30">
        <v>0</v>
      </c>
      <c r="P287" s="30">
        <v>2400</v>
      </c>
      <c r="Q287" s="30">
        <v>1</v>
      </c>
      <c r="R287" s="30" t="s">
        <v>31</v>
      </c>
      <c r="S287" s="30" t="s">
        <v>96</v>
      </c>
      <c r="T287" s="30" t="s">
        <v>136</v>
      </c>
      <c r="U287" s="30">
        <v>9231845497</v>
      </c>
      <c r="V287" s="38" t="s">
        <v>53</v>
      </c>
      <c r="W287" s="49">
        <f t="shared" ca="1" si="8"/>
        <v>45</v>
      </c>
      <c r="X287" s="50">
        <f t="shared" si="9"/>
        <v>8</v>
      </c>
      <c r="Y287" s="46" t="str" cm="1">
        <f t="array" ref="Y287">_xlfn.IFS(X287&lt;=5,"On Time",X287&gt;5,"Delayed",X287=" ","Pending")</f>
        <v>Delayed</v>
      </c>
    </row>
    <row r="288" spans="1:25" ht="15" thickBot="1" x14ac:dyDescent="0.4">
      <c r="A288" s="27" t="s">
        <v>413</v>
      </c>
      <c r="B288" s="27" t="s">
        <v>104</v>
      </c>
      <c r="C288" s="27" t="s">
        <v>112</v>
      </c>
      <c r="D288" s="28">
        <v>46150</v>
      </c>
      <c r="E288" s="28">
        <v>46153</v>
      </c>
      <c r="F288" s="27" t="s">
        <v>166</v>
      </c>
      <c r="G288" s="27" t="s">
        <v>26</v>
      </c>
      <c r="H288" s="28">
        <v>30953</v>
      </c>
      <c r="I288" s="27" t="s">
        <v>27</v>
      </c>
      <c r="J288" s="27" t="s">
        <v>28</v>
      </c>
      <c r="K288" s="27" t="s">
        <v>39</v>
      </c>
      <c r="L288" s="27" t="s">
        <v>114</v>
      </c>
      <c r="M288" s="27">
        <v>14</v>
      </c>
      <c r="N288" s="27">
        <v>700</v>
      </c>
      <c r="O288" s="27">
        <v>15</v>
      </c>
      <c r="P288" s="27">
        <v>8330</v>
      </c>
      <c r="Q288" s="27">
        <v>5</v>
      </c>
      <c r="R288" s="27" t="s">
        <v>31</v>
      </c>
      <c r="S288" s="27" t="s">
        <v>80</v>
      </c>
      <c r="T288" s="27" t="s">
        <v>108</v>
      </c>
      <c r="U288" s="27">
        <v>9409415805</v>
      </c>
      <c r="V288" s="37" t="s">
        <v>52</v>
      </c>
      <c r="W288" s="49">
        <f t="shared" ca="1" si="8"/>
        <v>42</v>
      </c>
      <c r="X288" s="50">
        <f t="shared" si="9"/>
        <v>3</v>
      </c>
      <c r="Y288" s="46" t="str" cm="1">
        <f t="array" ref="Y288">_xlfn.IFS(X288&lt;=5,"On Time",X288&gt;5,"Delayed",X288=" ","Pending")</f>
        <v>On Time</v>
      </c>
    </row>
    <row r="289" spans="1:25" ht="15" thickBot="1" x14ac:dyDescent="0.4">
      <c r="A289" s="30" t="s">
        <v>414</v>
      </c>
      <c r="B289" s="30" t="s">
        <v>72</v>
      </c>
      <c r="C289" s="30" t="s">
        <v>125</v>
      </c>
      <c r="D289" s="31">
        <v>45966</v>
      </c>
      <c r="E289" s="31">
        <v>45967</v>
      </c>
      <c r="F289" s="30" t="s">
        <v>73</v>
      </c>
      <c r="G289" s="30" t="s">
        <v>26</v>
      </c>
      <c r="H289" s="31">
        <v>27704</v>
      </c>
      <c r="I289" s="30" t="s">
        <v>74</v>
      </c>
      <c r="J289" s="30" t="s">
        <v>75</v>
      </c>
      <c r="K289" s="30" t="s">
        <v>83</v>
      </c>
      <c r="L289" s="30" t="s">
        <v>127</v>
      </c>
      <c r="M289" s="30">
        <v>13</v>
      </c>
      <c r="N289" s="30">
        <v>20</v>
      </c>
      <c r="O289" s="30">
        <v>5</v>
      </c>
      <c r="P289" s="30">
        <v>247</v>
      </c>
      <c r="Q289" s="30">
        <v>1</v>
      </c>
      <c r="R289" s="30" t="s">
        <v>60</v>
      </c>
      <c r="S289" s="30" t="s">
        <v>32</v>
      </c>
      <c r="T289" s="30" t="s">
        <v>415</v>
      </c>
      <c r="U289" s="30">
        <v>9240800508</v>
      </c>
      <c r="V289" s="38" t="s">
        <v>52</v>
      </c>
      <c r="W289" s="49">
        <f t="shared" ca="1" si="8"/>
        <v>50</v>
      </c>
      <c r="X289" s="50">
        <f t="shared" si="9"/>
        <v>1</v>
      </c>
      <c r="Y289" s="46" t="str" cm="1">
        <f t="array" ref="Y289">_xlfn.IFS(X289&lt;=5,"On Time",X289&gt;5,"Delayed",X289=" ","Pending")</f>
        <v>On Time</v>
      </c>
    </row>
    <row r="290" spans="1:25" ht="15" thickBot="1" x14ac:dyDescent="0.4">
      <c r="A290" s="27" t="s">
        <v>416</v>
      </c>
      <c r="B290" s="27" t="s">
        <v>55</v>
      </c>
      <c r="C290" s="27" t="s">
        <v>24</v>
      </c>
      <c r="D290" s="28">
        <v>45724</v>
      </c>
      <c r="E290" s="28">
        <v>45731</v>
      </c>
      <c r="F290" s="27" t="s">
        <v>57</v>
      </c>
      <c r="G290" s="27" t="s">
        <v>58</v>
      </c>
      <c r="H290" s="28">
        <v>34876</v>
      </c>
      <c r="I290" s="27" t="s">
        <v>79</v>
      </c>
      <c r="J290" s="27" t="s">
        <v>75</v>
      </c>
      <c r="K290" s="27" t="s">
        <v>29</v>
      </c>
      <c r="L290" s="27" t="s">
        <v>30</v>
      </c>
      <c r="M290" s="27">
        <v>3</v>
      </c>
      <c r="N290" s="27">
        <v>2200</v>
      </c>
      <c r="O290" s="27">
        <v>0</v>
      </c>
      <c r="P290" s="27">
        <v>6600</v>
      </c>
      <c r="Q290" s="27">
        <v>4</v>
      </c>
      <c r="R290" s="27" t="s">
        <v>41</v>
      </c>
      <c r="S290" s="27" t="s">
        <v>50</v>
      </c>
      <c r="T290" s="27" t="s">
        <v>61</v>
      </c>
      <c r="U290" s="27">
        <v>9764609936</v>
      </c>
      <c r="V290" s="37" t="s">
        <v>53</v>
      </c>
      <c r="W290" s="49">
        <f t="shared" ca="1" si="8"/>
        <v>31</v>
      </c>
      <c r="X290" s="50">
        <f t="shared" si="9"/>
        <v>7</v>
      </c>
      <c r="Y290" s="46" t="str" cm="1">
        <f t="array" ref="Y290">_xlfn.IFS(X290&lt;=5,"On Time",X290&gt;5,"Delayed",X290=" ","Pending")</f>
        <v>Delayed</v>
      </c>
    </row>
    <row r="291" spans="1:25" ht="15" thickBot="1" x14ac:dyDescent="0.4">
      <c r="A291" s="30" t="s">
        <v>417</v>
      </c>
      <c r="B291" s="30" t="s">
        <v>55</v>
      </c>
      <c r="C291" s="30" t="s">
        <v>82</v>
      </c>
      <c r="D291" s="31">
        <v>46062</v>
      </c>
      <c r="E291" s="31">
        <v>46074</v>
      </c>
      <c r="F291" s="30" t="s">
        <v>57</v>
      </c>
      <c r="G291" s="30" t="s">
        <v>58</v>
      </c>
      <c r="H291" s="31">
        <v>29180</v>
      </c>
      <c r="I291" s="30" t="s">
        <v>79</v>
      </c>
      <c r="J291" s="30" t="s">
        <v>75</v>
      </c>
      <c r="K291" s="30" t="s">
        <v>83</v>
      </c>
      <c r="L291" s="30" t="s">
        <v>84</v>
      </c>
      <c r="M291" s="30">
        <v>3</v>
      </c>
      <c r="N291" s="30">
        <v>60</v>
      </c>
      <c r="O291" s="30">
        <v>15</v>
      </c>
      <c r="P291" s="30">
        <v>153</v>
      </c>
      <c r="Q291" s="30">
        <v>4</v>
      </c>
      <c r="R291" s="30" t="s">
        <v>65</v>
      </c>
      <c r="S291" s="30" t="s">
        <v>80</v>
      </c>
      <c r="T291" s="30" t="s">
        <v>61</v>
      </c>
      <c r="U291" s="30">
        <v>9362733217</v>
      </c>
      <c r="V291" s="36" t="s">
        <v>34</v>
      </c>
      <c r="W291" s="49">
        <f t="shared" ca="1" si="8"/>
        <v>46</v>
      </c>
      <c r="X291" s="50">
        <f t="shared" si="9"/>
        <v>12</v>
      </c>
      <c r="Y291" s="46" t="str" cm="1">
        <f t="array" ref="Y291">_xlfn.IFS(X291&lt;=5,"On Time",X291&gt;5,"Delayed",X291=" ","Pending")</f>
        <v>Delayed</v>
      </c>
    </row>
    <row r="292" spans="1:25" ht="15" thickBot="1" x14ac:dyDescent="0.4">
      <c r="A292" s="27" t="s">
        <v>418</v>
      </c>
      <c r="B292" s="27" t="s">
        <v>87</v>
      </c>
      <c r="C292" s="27" t="s">
        <v>68</v>
      </c>
      <c r="D292" s="28">
        <v>45733</v>
      </c>
      <c r="E292" s="28">
        <v>45739</v>
      </c>
      <c r="F292" s="27" t="s">
        <v>88</v>
      </c>
      <c r="G292" s="27" t="s">
        <v>58</v>
      </c>
      <c r="H292" s="28">
        <v>31805</v>
      </c>
      <c r="I292" s="27" t="s">
        <v>74</v>
      </c>
      <c r="J292" s="27" t="s">
        <v>75</v>
      </c>
      <c r="K292" s="27" t="s">
        <v>29</v>
      </c>
      <c r="L292" s="27" t="s">
        <v>70</v>
      </c>
      <c r="M292" s="27">
        <v>9</v>
      </c>
      <c r="N292" s="27">
        <v>3500</v>
      </c>
      <c r="O292" s="27">
        <v>5</v>
      </c>
      <c r="P292" s="27">
        <v>29925</v>
      </c>
      <c r="Q292" s="27">
        <v>1</v>
      </c>
      <c r="R292" s="27" t="s">
        <v>31</v>
      </c>
      <c r="S292" s="27" t="s">
        <v>50</v>
      </c>
      <c r="T292" s="27" t="s">
        <v>89</v>
      </c>
      <c r="U292" s="27">
        <v>9270466205</v>
      </c>
      <c r="V292" s="37" t="s">
        <v>52</v>
      </c>
      <c r="W292" s="49">
        <f t="shared" ca="1" si="8"/>
        <v>39</v>
      </c>
      <c r="X292" s="50">
        <f t="shared" si="9"/>
        <v>6</v>
      </c>
      <c r="Y292" s="46" t="str" cm="1">
        <f t="array" ref="Y292">_xlfn.IFS(X292&lt;=5,"On Time",X292&gt;5,"Delayed",X292=" ","Pending")</f>
        <v>Delayed</v>
      </c>
    </row>
    <row r="293" spans="1:25" ht="15" thickBot="1" x14ac:dyDescent="0.4">
      <c r="A293" s="30" t="s">
        <v>419</v>
      </c>
      <c r="B293" s="30" t="s">
        <v>156</v>
      </c>
      <c r="C293" s="30" t="s">
        <v>56</v>
      </c>
      <c r="D293" s="31">
        <v>45743</v>
      </c>
      <c r="E293" s="31">
        <v>45748</v>
      </c>
      <c r="F293" s="30" t="s">
        <v>106</v>
      </c>
      <c r="G293" s="30" t="s">
        <v>58</v>
      </c>
      <c r="H293" s="31">
        <v>36930</v>
      </c>
      <c r="I293" s="30" t="s">
        <v>121</v>
      </c>
      <c r="J293" s="30" t="s">
        <v>38</v>
      </c>
      <c r="K293" s="30" t="s">
        <v>39</v>
      </c>
      <c r="L293" s="30" t="s">
        <v>59</v>
      </c>
      <c r="M293" s="30">
        <v>5</v>
      </c>
      <c r="N293" s="30">
        <v>1200</v>
      </c>
      <c r="O293" s="30">
        <v>20</v>
      </c>
      <c r="P293" s="30">
        <v>4800</v>
      </c>
      <c r="Q293" s="30">
        <v>2</v>
      </c>
      <c r="R293" s="30" t="s">
        <v>65</v>
      </c>
      <c r="S293" s="30" t="s">
        <v>80</v>
      </c>
      <c r="T293" s="30" t="s">
        <v>158</v>
      </c>
      <c r="U293" s="30">
        <v>9571436865</v>
      </c>
      <c r="V293" s="38" t="s">
        <v>52</v>
      </c>
      <c r="W293" s="49">
        <f t="shared" ca="1" si="8"/>
        <v>25</v>
      </c>
      <c r="X293" s="50">
        <f t="shared" si="9"/>
        <v>5</v>
      </c>
      <c r="Y293" s="46" t="str" cm="1">
        <f t="array" ref="Y293">_xlfn.IFS(X293&lt;=5,"On Time",X293&gt;5,"Delayed",X293=" ","Pending")</f>
        <v>On Time</v>
      </c>
    </row>
    <row r="294" spans="1:25" ht="15" thickBot="1" x14ac:dyDescent="0.4">
      <c r="A294" s="27" t="s">
        <v>420</v>
      </c>
      <c r="B294" s="27" t="s">
        <v>45</v>
      </c>
      <c r="C294" s="27" t="s">
        <v>56</v>
      </c>
      <c r="D294" s="28">
        <v>45728</v>
      </c>
      <c r="E294" s="28">
        <v>45730</v>
      </c>
      <c r="F294" s="27" t="s">
        <v>101</v>
      </c>
      <c r="G294" s="27" t="s">
        <v>26</v>
      </c>
      <c r="H294" s="28">
        <v>32856</v>
      </c>
      <c r="I294" s="27" t="s">
        <v>121</v>
      </c>
      <c r="J294" s="27" t="s">
        <v>38</v>
      </c>
      <c r="K294" s="27" t="s">
        <v>39</v>
      </c>
      <c r="L294" s="27" t="s">
        <v>59</v>
      </c>
      <c r="M294" s="27">
        <v>10</v>
      </c>
      <c r="N294" s="27">
        <v>1200</v>
      </c>
      <c r="O294" s="27">
        <v>20</v>
      </c>
      <c r="P294" s="27">
        <v>9600</v>
      </c>
      <c r="Q294" s="27">
        <v>4</v>
      </c>
      <c r="R294" s="27" t="s">
        <v>31</v>
      </c>
      <c r="S294" s="27" t="s">
        <v>42</v>
      </c>
      <c r="T294" s="29" t="s">
        <v>421</v>
      </c>
      <c r="U294" s="27">
        <v>9307011171</v>
      </c>
      <c r="V294" s="35" t="s">
        <v>34</v>
      </c>
      <c r="W294" s="49">
        <f t="shared" ca="1" si="8"/>
        <v>36</v>
      </c>
      <c r="X294" s="50">
        <f t="shared" si="9"/>
        <v>2</v>
      </c>
      <c r="Y294" s="46" t="str" cm="1">
        <f t="array" ref="Y294">_xlfn.IFS(X294&lt;=5,"On Time",X294&gt;5,"Delayed",X294=" ","Pending")</f>
        <v>On Time</v>
      </c>
    </row>
    <row r="295" spans="1:25" ht="15" thickBot="1" x14ac:dyDescent="0.4">
      <c r="A295" s="30" t="s">
        <v>422</v>
      </c>
      <c r="B295" s="30" t="s">
        <v>23</v>
      </c>
      <c r="C295" s="30" t="s">
        <v>56</v>
      </c>
      <c r="D295" s="31">
        <v>46066</v>
      </c>
      <c r="E295" s="31">
        <v>46077</v>
      </c>
      <c r="F295" s="30" t="s">
        <v>25</v>
      </c>
      <c r="G295" s="30" t="s">
        <v>26</v>
      </c>
      <c r="H295" s="31">
        <v>32492</v>
      </c>
      <c r="I295" s="30" t="s">
        <v>91</v>
      </c>
      <c r="J295" s="30" t="s">
        <v>75</v>
      </c>
      <c r="K295" s="30" t="s">
        <v>39</v>
      </c>
      <c r="L295" s="30" t="s">
        <v>59</v>
      </c>
      <c r="M295" s="30">
        <v>5</v>
      </c>
      <c r="N295" s="30">
        <v>1200</v>
      </c>
      <c r="O295" s="30">
        <v>20</v>
      </c>
      <c r="P295" s="30">
        <v>4800</v>
      </c>
      <c r="Q295" s="30">
        <v>3</v>
      </c>
      <c r="R295" s="30" t="s">
        <v>41</v>
      </c>
      <c r="S295" s="30" t="s">
        <v>96</v>
      </c>
      <c r="T295" s="30" t="s">
        <v>43</v>
      </c>
      <c r="U295" s="30">
        <v>9922380435</v>
      </c>
      <c r="V295" s="36" t="s">
        <v>34</v>
      </c>
      <c r="W295" s="49">
        <f t="shared" ca="1" si="8"/>
        <v>37</v>
      </c>
      <c r="X295" s="50">
        <f t="shared" si="9"/>
        <v>11</v>
      </c>
      <c r="Y295" s="46" t="str" cm="1">
        <f t="array" ref="Y295">_xlfn.IFS(X295&lt;=5,"On Time",X295&gt;5,"Delayed",X295=" ","Pending")</f>
        <v>Delayed</v>
      </c>
    </row>
    <row r="296" spans="1:25" ht="15" thickBot="1" x14ac:dyDescent="0.4">
      <c r="A296" s="27" t="s">
        <v>423</v>
      </c>
      <c r="B296" s="27" t="s">
        <v>104</v>
      </c>
      <c r="C296" s="27" t="s">
        <v>125</v>
      </c>
      <c r="D296" s="28">
        <v>45699</v>
      </c>
      <c r="E296" s="28">
        <v>45702</v>
      </c>
      <c r="F296" s="27" t="s">
        <v>166</v>
      </c>
      <c r="G296" s="27" t="s">
        <v>26</v>
      </c>
      <c r="H296" s="28">
        <v>33166</v>
      </c>
      <c r="I296" s="27" t="s">
        <v>74</v>
      </c>
      <c r="J296" s="27" t="s">
        <v>75</v>
      </c>
      <c r="K296" s="27" t="s">
        <v>83</v>
      </c>
      <c r="L296" s="27" t="s">
        <v>127</v>
      </c>
      <c r="M296" s="27">
        <v>10</v>
      </c>
      <c r="N296" s="27">
        <v>20</v>
      </c>
      <c r="O296" s="27">
        <v>5</v>
      </c>
      <c r="P296" s="27">
        <v>190</v>
      </c>
      <c r="Q296" s="27">
        <v>4</v>
      </c>
      <c r="R296" s="27" t="s">
        <v>31</v>
      </c>
      <c r="S296" s="27" t="s">
        <v>96</v>
      </c>
      <c r="T296" s="27" t="s">
        <v>108</v>
      </c>
      <c r="U296" s="27">
        <v>9463618792</v>
      </c>
      <c r="V296" s="37" t="s">
        <v>52</v>
      </c>
      <c r="W296" s="49">
        <f t="shared" ca="1" si="8"/>
        <v>36</v>
      </c>
      <c r="X296" s="50">
        <f t="shared" si="9"/>
        <v>3</v>
      </c>
      <c r="Y296" s="46" t="str" cm="1">
        <f t="array" ref="Y296">_xlfn.IFS(X296&lt;=5,"On Time",X296&gt;5,"Delayed",X296=" ","Pending")</f>
        <v>On Time</v>
      </c>
    </row>
    <row r="297" spans="1:25" ht="15" thickBot="1" x14ac:dyDescent="0.4">
      <c r="A297" s="30" t="s">
        <v>424</v>
      </c>
      <c r="B297" s="30" t="s">
        <v>72</v>
      </c>
      <c r="C297" s="30" t="s">
        <v>82</v>
      </c>
      <c r="D297" s="31">
        <v>45674</v>
      </c>
      <c r="E297" s="31">
        <v>45684</v>
      </c>
      <c r="F297" s="30" t="s">
        <v>73</v>
      </c>
      <c r="G297" s="30" t="s">
        <v>26</v>
      </c>
      <c r="H297" s="31">
        <v>28741</v>
      </c>
      <c r="I297" s="30" t="s">
        <v>37</v>
      </c>
      <c r="J297" s="30" t="s">
        <v>38</v>
      </c>
      <c r="K297" s="30" t="s">
        <v>83</v>
      </c>
      <c r="L297" s="30" t="s">
        <v>84</v>
      </c>
      <c r="M297" s="30">
        <v>20</v>
      </c>
      <c r="N297" s="30">
        <v>60</v>
      </c>
      <c r="O297" s="30">
        <v>15</v>
      </c>
      <c r="P297" s="30">
        <v>1020</v>
      </c>
      <c r="Q297" s="30">
        <v>5</v>
      </c>
      <c r="R297" s="30" t="s">
        <v>60</v>
      </c>
      <c r="S297" s="30" t="s">
        <v>32</v>
      </c>
      <c r="T297" s="30" t="s">
        <v>93</v>
      </c>
      <c r="U297" s="30">
        <v>9954973200</v>
      </c>
      <c r="V297" s="38" t="s">
        <v>52</v>
      </c>
      <c r="W297" s="49">
        <f t="shared" ca="1" si="8"/>
        <v>48</v>
      </c>
      <c r="X297" s="50">
        <f t="shared" si="9"/>
        <v>10</v>
      </c>
      <c r="Y297" s="46" t="str" cm="1">
        <f t="array" ref="Y297">_xlfn.IFS(X297&lt;=5,"On Time",X297&gt;5,"Delayed",X297=" ","Pending")</f>
        <v>Delayed</v>
      </c>
    </row>
    <row r="298" spans="1:25" ht="15" thickBot="1" x14ac:dyDescent="0.4">
      <c r="A298" s="27" t="s">
        <v>425</v>
      </c>
      <c r="B298" s="27" t="s">
        <v>156</v>
      </c>
      <c r="C298" s="27" t="s">
        <v>24</v>
      </c>
      <c r="D298" s="28">
        <v>45748</v>
      </c>
      <c r="E298" s="28">
        <v>45759</v>
      </c>
      <c r="F298" s="27" t="s">
        <v>106</v>
      </c>
      <c r="G298" s="27" t="s">
        <v>58</v>
      </c>
      <c r="H298" s="28">
        <v>28530</v>
      </c>
      <c r="I298" s="27" t="s">
        <v>91</v>
      </c>
      <c r="J298" s="27" t="s">
        <v>75</v>
      </c>
      <c r="K298" s="27" t="s">
        <v>29</v>
      </c>
      <c r="L298" s="27" t="s">
        <v>30</v>
      </c>
      <c r="M298" s="27">
        <v>7</v>
      </c>
      <c r="N298" s="27">
        <v>2200</v>
      </c>
      <c r="O298" s="27">
        <v>15</v>
      </c>
      <c r="P298" s="27">
        <v>13090</v>
      </c>
      <c r="Q298" s="27">
        <v>4</v>
      </c>
      <c r="R298" s="27" t="s">
        <v>31</v>
      </c>
      <c r="S298" s="27" t="s">
        <v>50</v>
      </c>
      <c r="T298" s="27" t="s">
        <v>158</v>
      </c>
      <c r="U298" s="27">
        <v>9383199236</v>
      </c>
      <c r="V298" s="37" t="s">
        <v>53</v>
      </c>
      <c r="W298" s="49">
        <f t="shared" ca="1" si="8"/>
        <v>48</v>
      </c>
      <c r="X298" s="50">
        <f t="shared" si="9"/>
        <v>11</v>
      </c>
      <c r="Y298" s="46" t="str" cm="1">
        <f t="array" ref="Y298">_xlfn.IFS(X298&lt;=5,"On Time",X298&gt;5,"Delayed",X298=" ","Pending")</f>
        <v>Delayed</v>
      </c>
    </row>
    <row r="299" spans="1:25" ht="15" thickBot="1" x14ac:dyDescent="0.4">
      <c r="A299" s="30" t="s">
        <v>426</v>
      </c>
      <c r="B299" s="30" t="s">
        <v>87</v>
      </c>
      <c r="C299" s="30" t="s">
        <v>46</v>
      </c>
      <c r="D299" s="31">
        <v>45670</v>
      </c>
      <c r="E299" s="31">
        <v>45673</v>
      </c>
      <c r="F299" s="30" t="s">
        <v>88</v>
      </c>
      <c r="G299" s="30" t="s">
        <v>58</v>
      </c>
      <c r="H299" s="31">
        <v>37989</v>
      </c>
      <c r="I299" s="30" t="s">
        <v>27</v>
      </c>
      <c r="J299" s="30" t="s">
        <v>28</v>
      </c>
      <c r="K299" s="30" t="s">
        <v>39</v>
      </c>
      <c r="L299" s="30" t="s">
        <v>49</v>
      </c>
      <c r="M299" s="30">
        <v>11</v>
      </c>
      <c r="N299" s="30">
        <v>55000</v>
      </c>
      <c r="O299" s="30">
        <v>5</v>
      </c>
      <c r="P299" s="30">
        <v>574750</v>
      </c>
      <c r="Q299" s="30">
        <v>1</v>
      </c>
      <c r="R299" s="30" t="s">
        <v>65</v>
      </c>
      <c r="S299" s="30" t="s">
        <v>32</v>
      </c>
      <c r="T299" s="30" t="s">
        <v>89</v>
      </c>
      <c r="U299" s="30">
        <v>9482699727</v>
      </c>
      <c r="V299" s="38" t="s">
        <v>53</v>
      </c>
      <c r="W299" s="49">
        <f t="shared" ca="1" si="8"/>
        <v>22</v>
      </c>
      <c r="X299" s="50">
        <f t="shared" si="9"/>
        <v>3</v>
      </c>
      <c r="Y299" s="46" t="str" cm="1">
        <f t="array" ref="Y299">_xlfn.IFS(X299&lt;=5,"On Time",X299&gt;5,"Delayed",X299=" ","Pending")</f>
        <v>On Time</v>
      </c>
    </row>
    <row r="300" spans="1:25" ht="15" thickBot="1" x14ac:dyDescent="0.4">
      <c r="A300" s="27" t="s">
        <v>427</v>
      </c>
      <c r="B300" s="27" t="s">
        <v>63</v>
      </c>
      <c r="C300" s="27" t="s">
        <v>68</v>
      </c>
      <c r="D300" s="28">
        <v>45935</v>
      </c>
      <c r="E300" s="28">
        <v>45947</v>
      </c>
      <c r="F300" s="27" t="s">
        <v>110</v>
      </c>
      <c r="G300" s="27" t="s">
        <v>58</v>
      </c>
      <c r="H300" s="28">
        <v>33726</v>
      </c>
      <c r="I300" s="27" t="s">
        <v>121</v>
      </c>
      <c r="J300" s="27" t="s">
        <v>38</v>
      </c>
      <c r="K300" s="27" t="s">
        <v>29</v>
      </c>
      <c r="L300" s="27" t="s">
        <v>70</v>
      </c>
      <c r="M300" s="27">
        <v>12</v>
      </c>
      <c r="N300" s="27">
        <v>3500</v>
      </c>
      <c r="O300" s="27">
        <v>0</v>
      </c>
      <c r="P300" s="27">
        <v>42000</v>
      </c>
      <c r="Q300" s="27">
        <v>2</v>
      </c>
      <c r="R300" s="21" t="s">
        <v>41</v>
      </c>
      <c r="S300" s="27"/>
      <c r="T300" s="27" t="s">
        <v>66</v>
      </c>
      <c r="U300" s="27">
        <v>9332473934</v>
      </c>
      <c r="V300" s="37" t="s">
        <v>52</v>
      </c>
      <c r="W300" s="49">
        <f t="shared" ca="1" si="8"/>
        <v>34</v>
      </c>
      <c r="X300" s="50">
        <f t="shared" si="9"/>
        <v>12</v>
      </c>
      <c r="Y300" s="46" t="str" cm="1">
        <f t="array" ref="Y300">_xlfn.IFS(X300&lt;=5,"On Time",X300&gt;5,"Delayed",X300=" ","Pending")</f>
        <v>Delayed</v>
      </c>
    </row>
    <row r="301" spans="1:25" ht="15" thickBot="1" x14ac:dyDescent="0.4">
      <c r="A301" s="30" t="s">
        <v>428</v>
      </c>
      <c r="B301" s="30" t="s">
        <v>55</v>
      </c>
      <c r="C301" s="30" t="s">
        <v>138</v>
      </c>
      <c r="D301" s="31">
        <v>46078</v>
      </c>
      <c r="E301" s="31">
        <v>46089</v>
      </c>
      <c r="F301" s="30" t="s">
        <v>57</v>
      </c>
      <c r="G301" s="30" t="s">
        <v>58</v>
      </c>
      <c r="H301" s="31">
        <v>37647</v>
      </c>
      <c r="I301" s="30" t="s">
        <v>27</v>
      </c>
      <c r="J301" s="30" t="s">
        <v>28</v>
      </c>
      <c r="K301" s="30" t="s">
        <v>83</v>
      </c>
      <c r="L301" s="30" t="s">
        <v>139</v>
      </c>
      <c r="M301" s="30">
        <v>15</v>
      </c>
      <c r="N301" s="30">
        <v>45</v>
      </c>
      <c r="O301" s="30">
        <v>10</v>
      </c>
      <c r="P301" s="30">
        <v>607.5</v>
      </c>
      <c r="Q301" s="30">
        <v>2</v>
      </c>
      <c r="R301" s="30" t="s">
        <v>31</v>
      </c>
      <c r="S301" s="30" t="s">
        <v>96</v>
      </c>
      <c r="T301" s="30" t="s">
        <v>61</v>
      </c>
      <c r="U301" s="30">
        <v>9647657382</v>
      </c>
      <c r="V301" s="38" t="s">
        <v>52</v>
      </c>
      <c r="W301" s="49">
        <f t="shared" ca="1" si="8"/>
        <v>23</v>
      </c>
      <c r="X301" s="50">
        <f t="shared" si="9"/>
        <v>11</v>
      </c>
      <c r="Y301" s="46" t="str" cm="1">
        <f t="array" ref="Y301">_xlfn.IFS(X301&lt;=5,"On Time",X301&gt;5,"Delayed",X301=" ","Pending")</f>
        <v>Delayed</v>
      </c>
    </row>
    <row r="302" spans="1:25" ht="15" thickBot="1" x14ac:dyDescent="0.4">
      <c r="A302" s="27" t="s">
        <v>429</v>
      </c>
      <c r="B302" s="27" t="s">
        <v>156</v>
      </c>
      <c r="C302" s="27" t="s">
        <v>138</v>
      </c>
      <c r="D302" s="28">
        <v>45793</v>
      </c>
      <c r="E302" s="28">
        <v>45803</v>
      </c>
      <c r="F302" s="27" t="s">
        <v>106</v>
      </c>
      <c r="G302" s="27" t="s">
        <v>58</v>
      </c>
      <c r="H302" s="28">
        <v>31917</v>
      </c>
      <c r="I302" s="27" t="s">
        <v>48</v>
      </c>
      <c r="J302" s="27" t="s">
        <v>28</v>
      </c>
      <c r="K302" s="27" t="s">
        <v>83</v>
      </c>
      <c r="L302" s="27" t="s">
        <v>139</v>
      </c>
      <c r="M302" s="27">
        <v>13</v>
      </c>
      <c r="N302" s="27">
        <v>45</v>
      </c>
      <c r="O302" s="27">
        <v>0</v>
      </c>
      <c r="P302" s="27">
        <v>585</v>
      </c>
      <c r="Q302" s="27">
        <v>5</v>
      </c>
      <c r="R302" s="27" t="s">
        <v>41</v>
      </c>
      <c r="S302" s="27" t="s">
        <v>42</v>
      </c>
      <c r="T302" s="27" t="s">
        <v>158</v>
      </c>
      <c r="U302" s="27">
        <v>9736797776</v>
      </c>
      <c r="V302" s="37" t="s">
        <v>52</v>
      </c>
      <c r="W302" s="49">
        <f t="shared" ca="1" si="8"/>
        <v>39</v>
      </c>
      <c r="X302" s="50">
        <f t="shared" si="9"/>
        <v>10</v>
      </c>
      <c r="Y302" s="46" t="str" cm="1">
        <f t="array" ref="Y302">_xlfn.IFS(X302&lt;=5,"On Time",X302&gt;5,"Delayed",X302=" ","Pending")</f>
        <v>Delayed</v>
      </c>
    </row>
    <row r="303" spans="1:25" ht="15" thickBot="1" x14ac:dyDescent="0.4">
      <c r="A303" s="30" t="s">
        <v>430</v>
      </c>
      <c r="B303" s="30" t="s">
        <v>87</v>
      </c>
      <c r="C303" s="30" t="s">
        <v>46</v>
      </c>
      <c r="D303" s="31">
        <v>46024</v>
      </c>
      <c r="E303" s="31">
        <v>46027</v>
      </c>
      <c r="F303" s="30" t="s">
        <v>88</v>
      </c>
      <c r="G303" s="30" t="s">
        <v>58</v>
      </c>
      <c r="H303" s="31">
        <v>27644</v>
      </c>
      <c r="I303" s="30" t="s">
        <v>48</v>
      </c>
      <c r="J303" s="30" t="s">
        <v>28</v>
      </c>
      <c r="K303" s="30" t="s">
        <v>39</v>
      </c>
      <c r="L303" s="30" t="s">
        <v>49</v>
      </c>
      <c r="M303" s="30">
        <v>8</v>
      </c>
      <c r="N303" s="30">
        <v>55000</v>
      </c>
      <c r="O303" s="30">
        <v>0</v>
      </c>
      <c r="P303" s="30">
        <v>440000</v>
      </c>
      <c r="Q303" s="30">
        <v>2</v>
      </c>
      <c r="R303" s="30" t="s">
        <v>65</v>
      </c>
      <c r="S303" s="30" t="s">
        <v>96</v>
      </c>
      <c r="T303" s="30" t="s">
        <v>89</v>
      </c>
      <c r="U303" s="30">
        <v>9745773533</v>
      </c>
      <c r="V303" s="38" t="s">
        <v>53</v>
      </c>
      <c r="W303" s="49">
        <f t="shared" ca="1" si="8"/>
        <v>51</v>
      </c>
      <c r="X303" s="50">
        <f t="shared" si="9"/>
        <v>3</v>
      </c>
      <c r="Y303" s="46" t="str" cm="1">
        <f t="array" ref="Y303">_xlfn.IFS(X303&lt;=5,"On Time",X303&gt;5,"Delayed",X303=" ","Pending")</f>
        <v>On Time</v>
      </c>
    </row>
    <row r="304" spans="1:25" ht="15" thickBot="1" x14ac:dyDescent="0.4">
      <c r="A304" s="27" t="s">
        <v>431</v>
      </c>
      <c r="B304" s="27" t="s">
        <v>134</v>
      </c>
      <c r="C304" s="27" t="s">
        <v>46</v>
      </c>
      <c r="D304" s="28">
        <v>45861</v>
      </c>
      <c r="E304" s="28">
        <v>45865</v>
      </c>
      <c r="F304" s="27" t="s">
        <v>135</v>
      </c>
      <c r="G304" s="27" t="s">
        <v>26</v>
      </c>
      <c r="H304" s="28">
        <v>29443</v>
      </c>
      <c r="I304" s="27" t="s">
        <v>37</v>
      </c>
      <c r="J304" s="27" t="s">
        <v>38</v>
      </c>
      <c r="K304" s="27" t="s">
        <v>39</v>
      </c>
      <c r="L304" s="27" t="s">
        <v>49</v>
      </c>
      <c r="M304" s="27">
        <v>4</v>
      </c>
      <c r="N304" s="27">
        <v>55000</v>
      </c>
      <c r="O304" s="27">
        <v>20</v>
      </c>
      <c r="P304" s="27">
        <v>176000</v>
      </c>
      <c r="Q304" s="27">
        <v>5</v>
      </c>
      <c r="R304" s="27" t="s">
        <v>31</v>
      </c>
      <c r="S304" s="27" t="s">
        <v>42</v>
      </c>
      <c r="T304" s="27" t="s">
        <v>136</v>
      </c>
      <c r="U304" s="27">
        <v>9246715757</v>
      </c>
      <c r="V304" s="37" t="s">
        <v>52</v>
      </c>
      <c r="W304" s="49">
        <f t="shared" ca="1" si="8"/>
        <v>46</v>
      </c>
      <c r="X304" s="50">
        <f t="shared" si="9"/>
        <v>4</v>
      </c>
      <c r="Y304" s="46" t="str" cm="1">
        <f t="array" ref="Y304">_xlfn.IFS(X304&lt;=5,"On Time",X304&gt;5,"Delayed",X304=" ","Pending")</f>
        <v>On Time</v>
      </c>
    </row>
    <row r="305" spans="1:25" ht="15" thickBot="1" x14ac:dyDescent="0.4">
      <c r="A305" s="30" t="s">
        <v>432</v>
      </c>
      <c r="B305" s="30" t="s">
        <v>23</v>
      </c>
      <c r="C305" s="30" t="s">
        <v>68</v>
      </c>
      <c r="D305" s="31">
        <v>46135</v>
      </c>
      <c r="E305" s="31">
        <v>46138</v>
      </c>
      <c r="F305" s="30" t="s">
        <v>25</v>
      </c>
      <c r="G305" s="30" t="s">
        <v>26</v>
      </c>
      <c r="H305" s="31">
        <v>32605</v>
      </c>
      <c r="I305" s="30" t="s">
        <v>91</v>
      </c>
      <c r="J305" s="30" t="s">
        <v>75</v>
      </c>
      <c r="K305" s="30" t="s">
        <v>29</v>
      </c>
      <c r="L305" s="30" t="s">
        <v>70</v>
      </c>
      <c r="M305" s="30">
        <v>19</v>
      </c>
      <c r="N305" s="30">
        <v>3500</v>
      </c>
      <c r="O305" s="30">
        <v>5</v>
      </c>
      <c r="P305" s="30">
        <v>63175</v>
      </c>
      <c r="Q305" s="30">
        <v>1</v>
      </c>
      <c r="R305" s="30" t="s">
        <v>60</v>
      </c>
      <c r="S305" s="30" t="s">
        <v>80</v>
      </c>
      <c r="T305" s="30" t="s">
        <v>43</v>
      </c>
      <c r="U305" s="30">
        <v>9904065774</v>
      </c>
      <c r="V305" s="36" t="s">
        <v>34</v>
      </c>
      <c r="W305" s="49">
        <f t="shared" ca="1" si="8"/>
        <v>37</v>
      </c>
      <c r="X305" s="50">
        <f t="shared" si="9"/>
        <v>3</v>
      </c>
      <c r="Y305" s="46" t="str" cm="1">
        <f t="array" ref="Y305">_xlfn.IFS(X305&lt;=5,"On Time",X305&gt;5,"Delayed",X305=" ","Pending")</f>
        <v>On Time</v>
      </c>
    </row>
    <row r="306" spans="1:25" ht="15" thickBot="1" x14ac:dyDescent="0.4">
      <c r="A306" s="27" t="s">
        <v>433</v>
      </c>
      <c r="B306" s="27" t="s">
        <v>124</v>
      </c>
      <c r="C306" s="27" t="s">
        <v>56</v>
      </c>
      <c r="D306" s="28">
        <v>45718</v>
      </c>
      <c r="E306" s="28">
        <v>45722</v>
      </c>
      <c r="F306" s="27" t="s">
        <v>126</v>
      </c>
      <c r="G306" s="27" t="s">
        <v>58</v>
      </c>
      <c r="H306" s="28">
        <v>36027</v>
      </c>
      <c r="I306" s="27" t="s">
        <v>121</v>
      </c>
      <c r="J306" s="27" t="s">
        <v>38</v>
      </c>
      <c r="K306" s="27" t="s">
        <v>39</v>
      </c>
      <c r="L306" s="27" t="s">
        <v>59</v>
      </c>
      <c r="M306" s="27">
        <v>17</v>
      </c>
      <c r="N306" s="27">
        <v>1200</v>
      </c>
      <c r="O306" s="27">
        <v>15</v>
      </c>
      <c r="P306" s="27">
        <v>17340</v>
      </c>
      <c r="Q306" s="27">
        <v>2</v>
      </c>
      <c r="R306" s="27" t="s">
        <v>41</v>
      </c>
      <c r="S306" s="27" t="s">
        <v>42</v>
      </c>
      <c r="T306" s="27" t="s">
        <v>128</v>
      </c>
      <c r="U306" s="27">
        <v>9652985385</v>
      </c>
      <c r="V306" s="35" t="s">
        <v>34</v>
      </c>
      <c r="W306" s="49">
        <f t="shared" ca="1" si="8"/>
        <v>28</v>
      </c>
      <c r="X306" s="50">
        <f t="shared" si="9"/>
        <v>4</v>
      </c>
      <c r="Y306" s="46" t="str" cm="1">
        <f t="array" ref="Y306">_xlfn.IFS(X306&lt;=5,"On Time",X306&gt;5,"Delayed",X306=" ","Pending")</f>
        <v>On Time</v>
      </c>
    </row>
    <row r="307" spans="1:25" ht="15" thickBot="1" x14ac:dyDescent="0.4">
      <c r="A307" s="30" t="s">
        <v>434</v>
      </c>
      <c r="B307" s="30" t="s">
        <v>23</v>
      </c>
      <c r="C307" s="30" t="s">
        <v>24</v>
      </c>
      <c r="D307" s="31">
        <v>46062</v>
      </c>
      <c r="E307" s="31">
        <v>46070</v>
      </c>
      <c r="F307" s="30" t="s">
        <v>25</v>
      </c>
      <c r="G307" s="30" t="s">
        <v>26</v>
      </c>
      <c r="H307" s="31">
        <v>36984</v>
      </c>
      <c r="I307" s="30" t="s">
        <v>27</v>
      </c>
      <c r="J307" s="30" t="s">
        <v>28</v>
      </c>
      <c r="K307" s="30" t="s">
        <v>29</v>
      </c>
      <c r="L307" s="30" t="s">
        <v>30</v>
      </c>
      <c r="M307" s="30">
        <v>8</v>
      </c>
      <c r="N307" s="30">
        <v>2200</v>
      </c>
      <c r="O307" s="30">
        <v>5</v>
      </c>
      <c r="P307" s="30">
        <v>16720</v>
      </c>
      <c r="Q307" s="30">
        <v>3</v>
      </c>
      <c r="R307" s="30" t="s">
        <v>60</v>
      </c>
      <c r="S307" s="30" t="s">
        <v>80</v>
      </c>
      <c r="T307" s="30" t="s">
        <v>43</v>
      </c>
      <c r="U307" s="30">
        <v>9427001508</v>
      </c>
      <c r="V307" s="38" t="s">
        <v>52</v>
      </c>
      <c r="W307" s="49">
        <f t="shared" ca="1" si="8"/>
        <v>25</v>
      </c>
      <c r="X307" s="50">
        <f t="shared" si="9"/>
        <v>8</v>
      </c>
      <c r="Y307" s="46" t="str" cm="1">
        <f t="array" ref="Y307">_xlfn.IFS(X307&lt;=5,"On Time",X307&gt;5,"Delayed",X307=" ","Pending")</f>
        <v>Delayed</v>
      </c>
    </row>
    <row r="308" spans="1:25" ht="15" thickBot="1" x14ac:dyDescent="0.4">
      <c r="A308" s="27" t="s">
        <v>435</v>
      </c>
      <c r="B308" s="27" t="s">
        <v>134</v>
      </c>
      <c r="C308" s="27" t="s">
        <v>112</v>
      </c>
      <c r="D308" s="28">
        <v>45704</v>
      </c>
      <c r="E308" s="28">
        <v>45714</v>
      </c>
      <c r="F308" s="27" t="s">
        <v>135</v>
      </c>
      <c r="G308" s="27" t="s">
        <v>26</v>
      </c>
      <c r="H308" s="28">
        <v>33668</v>
      </c>
      <c r="I308" s="27" t="s">
        <v>74</v>
      </c>
      <c r="J308" s="27" t="s">
        <v>75</v>
      </c>
      <c r="K308" s="27" t="s">
        <v>39</v>
      </c>
      <c r="L308" s="27" t="s">
        <v>114</v>
      </c>
      <c r="M308" s="27">
        <v>17</v>
      </c>
      <c r="N308" s="27">
        <v>700</v>
      </c>
      <c r="O308" s="27">
        <v>20</v>
      </c>
      <c r="P308" s="27">
        <v>9520</v>
      </c>
      <c r="Q308" s="27">
        <v>4</v>
      </c>
      <c r="R308" s="27" t="s">
        <v>41</v>
      </c>
      <c r="S308" s="27" t="s">
        <v>80</v>
      </c>
      <c r="T308" s="27" t="s">
        <v>136</v>
      </c>
      <c r="U308" s="27">
        <v>9666803655</v>
      </c>
      <c r="V308" s="35" t="s">
        <v>34</v>
      </c>
      <c r="W308" s="49">
        <f t="shared" ca="1" si="8"/>
        <v>34</v>
      </c>
      <c r="X308" s="50">
        <f t="shared" si="9"/>
        <v>10</v>
      </c>
      <c r="Y308" s="46" t="str" cm="1">
        <f t="array" ref="Y308">_xlfn.IFS(X308&lt;=5,"On Time",X308&gt;5,"Delayed",X308=" ","Pending")</f>
        <v>Delayed</v>
      </c>
    </row>
    <row r="309" spans="1:25" ht="15" thickBot="1" x14ac:dyDescent="0.4">
      <c r="A309" s="30" t="s">
        <v>436</v>
      </c>
      <c r="B309" s="30" t="s">
        <v>134</v>
      </c>
      <c r="C309" s="30" t="s">
        <v>105</v>
      </c>
      <c r="D309" s="31">
        <v>45897</v>
      </c>
      <c r="E309" s="31">
        <v>45908</v>
      </c>
      <c r="F309" s="30" t="s">
        <v>135</v>
      </c>
      <c r="G309" s="30" t="s">
        <v>26</v>
      </c>
      <c r="H309" s="31">
        <v>28122</v>
      </c>
      <c r="I309" s="30" t="s">
        <v>79</v>
      </c>
      <c r="J309" s="30" t="s">
        <v>75</v>
      </c>
      <c r="K309" s="30" t="s">
        <v>29</v>
      </c>
      <c r="L309" s="30" t="s">
        <v>107</v>
      </c>
      <c r="M309" s="30">
        <v>6</v>
      </c>
      <c r="N309" s="30">
        <v>8500</v>
      </c>
      <c r="O309" s="30">
        <v>15</v>
      </c>
      <c r="P309" s="30">
        <v>43350</v>
      </c>
      <c r="Q309" s="30">
        <v>1</v>
      </c>
      <c r="R309" s="30" t="s">
        <v>31</v>
      </c>
      <c r="S309" s="30" t="s">
        <v>50</v>
      </c>
      <c r="T309" s="30" t="s">
        <v>136</v>
      </c>
      <c r="U309" s="30">
        <v>9134878547</v>
      </c>
      <c r="V309" s="36" t="s">
        <v>34</v>
      </c>
      <c r="W309" s="49">
        <f t="shared" ca="1" si="8"/>
        <v>49</v>
      </c>
      <c r="X309" s="50">
        <f t="shared" si="9"/>
        <v>11</v>
      </c>
      <c r="Y309" s="46" t="str" cm="1">
        <f t="array" ref="Y309">_xlfn.IFS(X309&lt;=5,"On Time",X309&gt;5,"Delayed",X309=" ","Pending")</f>
        <v>Delayed</v>
      </c>
    </row>
    <row r="310" spans="1:25" ht="15" thickBot="1" x14ac:dyDescent="0.4">
      <c r="A310" s="27" t="s">
        <v>437</v>
      </c>
      <c r="B310" s="27" t="s">
        <v>45</v>
      </c>
      <c r="C310" s="27" t="s">
        <v>68</v>
      </c>
      <c r="D310" s="28">
        <v>45936</v>
      </c>
      <c r="E310" s="28">
        <v>45941</v>
      </c>
      <c r="F310" s="27" t="s">
        <v>101</v>
      </c>
      <c r="G310" s="27" t="s">
        <v>26</v>
      </c>
      <c r="H310" s="28">
        <v>31659</v>
      </c>
      <c r="I310" s="27" t="s">
        <v>27</v>
      </c>
      <c r="J310" s="27" t="s">
        <v>28</v>
      </c>
      <c r="K310" s="27" t="s">
        <v>29</v>
      </c>
      <c r="L310" s="27" t="s">
        <v>70</v>
      </c>
      <c r="M310" s="27">
        <v>3</v>
      </c>
      <c r="N310" s="27">
        <v>3500</v>
      </c>
      <c r="O310" s="27">
        <v>10</v>
      </c>
      <c r="P310" s="27">
        <v>9450</v>
      </c>
      <c r="Q310" s="27">
        <v>1</v>
      </c>
      <c r="R310" s="27" t="s">
        <v>41</v>
      </c>
      <c r="S310" s="27" t="s">
        <v>42</v>
      </c>
      <c r="T310" s="27" t="s">
        <v>51</v>
      </c>
      <c r="U310" s="27">
        <v>9253593557</v>
      </c>
      <c r="V310" s="35" t="s">
        <v>34</v>
      </c>
      <c r="W310" s="49">
        <f t="shared" ca="1" si="8"/>
        <v>40</v>
      </c>
      <c r="X310" s="50">
        <f t="shared" si="9"/>
        <v>5</v>
      </c>
      <c r="Y310" s="46" t="str" cm="1">
        <f t="array" ref="Y310">_xlfn.IFS(X310&lt;=5,"On Time",X310&gt;5,"Delayed",X310=" ","Pending")</f>
        <v>On Time</v>
      </c>
    </row>
    <row r="311" spans="1:25" ht="15" thickBot="1" x14ac:dyDescent="0.4">
      <c r="A311" s="30" t="s">
        <v>438</v>
      </c>
      <c r="B311" s="30" t="s">
        <v>55</v>
      </c>
      <c r="C311" s="30" t="s">
        <v>36</v>
      </c>
      <c r="D311" s="31">
        <v>45674</v>
      </c>
      <c r="E311" s="31">
        <v>45686</v>
      </c>
      <c r="F311" s="30" t="s">
        <v>57</v>
      </c>
      <c r="G311" s="30" t="s">
        <v>58</v>
      </c>
      <c r="H311" s="31">
        <v>32734</v>
      </c>
      <c r="I311" s="30" t="s">
        <v>91</v>
      </c>
      <c r="J311" s="30" t="s">
        <v>75</v>
      </c>
      <c r="K311" s="30" t="s">
        <v>39</v>
      </c>
      <c r="L311" s="30" t="s">
        <v>40</v>
      </c>
      <c r="M311" s="30">
        <v>2</v>
      </c>
      <c r="N311" s="30">
        <v>12000</v>
      </c>
      <c r="O311" s="30">
        <v>20</v>
      </c>
      <c r="P311" s="30">
        <v>19200</v>
      </c>
      <c r="Q311" s="30">
        <v>1</v>
      </c>
      <c r="R311" s="30" t="s">
        <v>60</v>
      </c>
      <c r="S311" s="30" t="s">
        <v>50</v>
      </c>
      <c r="T311" s="30" t="s">
        <v>61</v>
      </c>
      <c r="U311" s="30">
        <v>9183094051</v>
      </c>
      <c r="V311" s="36" t="s">
        <v>34</v>
      </c>
      <c r="W311" s="49">
        <f t="shared" ca="1" si="8"/>
        <v>37</v>
      </c>
      <c r="X311" s="50">
        <f t="shared" si="9"/>
        <v>12</v>
      </c>
      <c r="Y311" s="46" t="str" cm="1">
        <f t="array" ref="Y311">_xlfn.IFS(X311&lt;=5,"On Time",X311&gt;5,"Delayed",X311=" ","Pending")</f>
        <v>Delayed</v>
      </c>
    </row>
    <row r="312" spans="1:25" ht="15" thickBot="1" x14ac:dyDescent="0.4">
      <c r="A312" s="27" t="s">
        <v>439</v>
      </c>
      <c r="B312" s="27" t="s">
        <v>124</v>
      </c>
      <c r="C312" s="27" t="s">
        <v>125</v>
      </c>
      <c r="D312" s="28">
        <v>45943</v>
      </c>
      <c r="E312" s="28">
        <v>45946</v>
      </c>
      <c r="F312" s="27" t="s">
        <v>126</v>
      </c>
      <c r="G312" s="27" t="s">
        <v>58</v>
      </c>
      <c r="H312" s="28">
        <v>33299</v>
      </c>
      <c r="I312" s="27" t="s">
        <v>37</v>
      </c>
      <c r="J312" s="27" t="s">
        <v>38</v>
      </c>
      <c r="K312" s="27" t="s">
        <v>83</v>
      </c>
      <c r="L312" s="27" t="s">
        <v>127</v>
      </c>
      <c r="M312" s="27">
        <v>12</v>
      </c>
      <c r="N312" s="27">
        <v>20</v>
      </c>
      <c r="O312" s="27">
        <v>20</v>
      </c>
      <c r="P312" s="27">
        <v>192</v>
      </c>
      <c r="Q312" s="27">
        <v>2</v>
      </c>
      <c r="R312" s="27" t="s">
        <v>60</v>
      </c>
      <c r="S312" s="27" t="s">
        <v>42</v>
      </c>
      <c r="T312" s="27" t="s">
        <v>128</v>
      </c>
      <c r="U312" s="27">
        <v>9293147620</v>
      </c>
      <c r="V312" s="35" t="s">
        <v>34</v>
      </c>
      <c r="W312" s="49">
        <f t="shared" ca="1" si="8"/>
        <v>35</v>
      </c>
      <c r="X312" s="50">
        <f t="shared" si="9"/>
        <v>3</v>
      </c>
      <c r="Y312" s="46" t="str" cm="1">
        <f t="array" ref="Y312">_xlfn.IFS(X312&lt;=5,"On Time",X312&gt;5,"Delayed",X312=" ","Pending")</f>
        <v>On Time</v>
      </c>
    </row>
    <row r="313" spans="1:25" ht="15" thickBot="1" x14ac:dyDescent="0.4">
      <c r="A313" s="30" t="s">
        <v>440</v>
      </c>
      <c r="B313" s="30" t="s">
        <v>72</v>
      </c>
      <c r="C313" s="30" t="s">
        <v>36</v>
      </c>
      <c r="D313" s="31">
        <v>46138</v>
      </c>
      <c r="E313" s="31">
        <v>46140</v>
      </c>
      <c r="F313" s="30" t="s">
        <v>73</v>
      </c>
      <c r="G313" s="30" t="s">
        <v>26</v>
      </c>
      <c r="H313" s="31">
        <v>32733</v>
      </c>
      <c r="I313" s="30" t="s">
        <v>147</v>
      </c>
      <c r="J313" s="30" t="s">
        <v>148</v>
      </c>
      <c r="K313" s="30" t="s">
        <v>39</v>
      </c>
      <c r="L313" s="30" t="s">
        <v>40</v>
      </c>
      <c r="M313" s="30">
        <v>20</v>
      </c>
      <c r="N313" s="30">
        <v>12000</v>
      </c>
      <c r="O313" s="30">
        <v>15</v>
      </c>
      <c r="P313" s="30">
        <v>204000</v>
      </c>
      <c r="Q313" s="30">
        <v>3</v>
      </c>
      <c r="R313" s="30" t="s">
        <v>31</v>
      </c>
      <c r="S313" s="30" t="s">
        <v>32</v>
      </c>
      <c r="T313" s="30" t="s">
        <v>93</v>
      </c>
      <c r="U313" s="30">
        <v>9755583734</v>
      </c>
      <c r="V313" s="38" t="s">
        <v>52</v>
      </c>
      <c r="W313" s="49">
        <f t="shared" ca="1" si="8"/>
        <v>37</v>
      </c>
      <c r="X313" s="50">
        <f t="shared" si="9"/>
        <v>2</v>
      </c>
      <c r="Y313" s="46" t="str" cm="1">
        <f t="array" ref="Y313">_xlfn.IFS(X313&lt;=5,"On Time",X313&gt;5,"Delayed",X313=" ","Pending")</f>
        <v>On Time</v>
      </c>
    </row>
    <row r="314" spans="1:25" ht="15" thickBot="1" x14ac:dyDescent="0.4">
      <c r="A314" s="27" t="s">
        <v>441</v>
      </c>
      <c r="B314" s="27" t="s">
        <v>45</v>
      </c>
      <c r="C314" s="27" t="s">
        <v>82</v>
      </c>
      <c r="D314" s="28">
        <v>46105</v>
      </c>
      <c r="E314" s="28">
        <v>46116</v>
      </c>
      <c r="F314" s="27" t="s">
        <v>101</v>
      </c>
      <c r="G314" s="27" t="s">
        <v>26</v>
      </c>
      <c r="H314" s="28">
        <v>37654</v>
      </c>
      <c r="I314" s="27" t="s">
        <v>121</v>
      </c>
      <c r="J314" s="27" t="s">
        <v>38</v>
      </c>
      <c r="K314" s="27" t="s">
        <v>83</v>
      </c>
      <c r="L314" s="27" t="s">
        <v>84</v>
      </c>
      <c r="M314" s="27">
        <v>13</v>
      </c>
      <c r="N314" s="27">
        <v>60</v>
      </c>
      <c r="O314" s="27">
        <v>10</v>
      </c>
      <c r="P314" s="27">
        <v>702</v>
      </c>
      <c r="Q314" s="27">
        <v>5</v>
      </c>
      <c r="R314" s="27" t="s">
        <v>31</v>
      </c>
      <c r="S314" s="27" t="s">
        <v>32</v>
      </c>
      <c r="T314" s="27" t="s">
        <v>51</v>
      </c>
      <c r="U314" s="27">
        <v>9186592813</v>
      </c>
      <c r="V314" s="37" t="s">
        <v>52</v>
      </c>
      <c r="W314" s="49">
        <f t="shared" ca="1" si="8"/>
        <v>23</v>
      </c>
      <c r="X314" s="50">
        <f t="shared" si="9"/>
        <v>11</v>
      </c>
      <c r="Y314" s="46" t="str" cm="1">
        <f t="array" ref="Y314">_xlfn.IFS(X314&lt;=5,"On Time",X314&gt;5,"Delayed",X314=" ","Pending")</f>
        <v>Delayed</v>
      </c>
    </row>
    <row r="315" spans="1:25" ht="15" thickBot="1" x14ac:dyDescent="0.4">
      <c r="A315" s="30" t="s">
        <v>442</v>
      </c>
      <c r="B315" s="30" t="s">
        <v>55</v>
      </c>
      <c r="C315" s="30" t="s">
        <v>46</v>
      </c>
      <c r="D315" s="31">
        <v>45785</v>
      </c>
      <c r="E315" s="31">
        <v>45796</v>
      </c>
      <c r="F315" s="30" t="s">
        <v>57</v>
      </c>
      <c r="G315" s="30" t="s">
        <v>58</v>
      </c>
      <c r="H315" s="31">
        <v>35019</v>
      </c>
      <c r="I315" s="30" t="s">
        <v>79</v>
      </c>
      <c r="J315" s="30" t="s">
        <v>75</v>
      </c>
      <c r="K315" s="30" t="s">
        <v>39</v>
      </c>
      <c r="L315" s="30" t="s">
        <v>49</v>
      </c>
      <c r="M315" s="30">
        <v>13</v>
      </c>
      <c r="N315" s="30">
        <v>55000</v>
      </c>
      <c r="O315" s="30">
        <v>5</v>
      </c>
      <c r="P315" s="30">
        <v>679250</v>
      </c>
      <c r="Q315" s="30">
        <v>1</v>
      </c>
      <c r="R315" s="30" t="s">
        <v>65</v>
      </c>
      <c r="S315" s="30" t="s">
        <v>96</v>
      </c>
      <c r="T315" s="30" t="s">
        <v>61</v>
      </c>
      <c r="U315" s="30">
        <v>9203482008</v>
      </c>
      <c r="V315" s="38" t="s">
        <v>52</v>
      </c>
      <c r="W315" s="49">
        <f t="shared" ca="1" si="8"/>
        <v>30</v>
      </c>
      <c r="X315" s="50">
        <f t="shared" si="9"/>
        <v>11</v>
      </c>
      <c r="Y315" s="46" t="str" cm="1">
        <f t="array" ref="Y315">_xlfn.IFS(X315&lt;=5,"On Time",X315&gt;5,"Delayed",X315=" ","Pending")</f>
        <v>Delayed</v>
      </c>
    </row>
    <row r="316" spans="1:25" ht="15" thickBot="1" x14ac:dyDescent="0.4">
      <c r="A316" s="27" t="s">
        <v>443</v>
      </c>
      <c r="B316" s="27" t="s">
        <v>72</v>
      </c>
      <c r="C316" s="27" t="s">
        <v>56</v>
      </c>
      <c r="D316" s="28">
        <v>46088</v>
      </c>
      <c r="E316" s="28">
        <v>46091</v>
      </c>
      <c r="F316" s="27" t="s">
        <v>73</v>
      </c>
      <c r="G316" s="27" t="s">
        <v>26</v>
      </c>
      <c r="H316" s="28">
        <v>32836</v>
      </c>
      <c r="I316" s="27" t="s">
        <v>48</v>
      </c>
      <c r="J316" s="27" t="s">
        <v>28</v>
      </c>
      <c r="K316" s="27" t="s">
        <v>39</v>
      </c>
      <c r="L316" s="27" t="s">
        <v>59</v>
      </c>
      <c r="M316" s="27">
        <v>7</v>
      </c>
      <c r="N316" s="27">
        <v>1200</v>
      </c>
      <c r="O316" s="27">
        <v>15</v>
      </c>
      <c r="P316" s="27">
        <v>7140</v>
      </c>
      <c r="Q316" s="27">
        <v>5</v>
      </c>
      <c r="R316" s="27" t="s">
        <v>65</v>
      </c>
      <c r="S316" s="27" t="s">
        <v>42</v>
      </c>
      <c r="T316" s="27" t="s">
        <v>93</v>
      </c>
      <c r="U316" s="27">
        <v>9829888777</v>
      </c>
      <c r="V316" s="37" t="s">
        <v>52</v>
      </c>
      <c r="W316" s="49">
        <f t="shared" ca="1" si="8"/>
        <v>36</v>
      </c>
      <c r="X316" s="50">
        <f t="shared" si="9"/>
        <v>3</v>
      </c>
      <c r="Y316" s="46" t="str" cm="1">
        <f t="array" ref="Y316">_xlfn.IFS(X316&lt;=5,"On Time",X316&gt;5,"Delayed",X316=" ","Pending")</f>
        <v>On Time</v>
      </c>
    </row>
    <row r="317" spans="1:25" ht="15" thickBot="1" x14ac:dyDescent="0.4">
      <c r="A317" s="30" t="s">
        <v>444</v>
      </c>
      <c r="B317" s="30" t="s">
        <v>63</v>
      </c>
      <c r="C317" s="30" t="s">
        <v>36</v>
      </c>
      <c r="D317" s="31">
        <v>46017</v>
      </c>
      <c r="E317" s="31">
        <v>46021</v>
      </c>
      <c r="F317" s="30" t="s">
        <v>110</v>
      </c>
      <c r="G317" s="30" t="s">
        <v>58</v>
      </c>
      <c r="H317" s="31">
        <v>32253</v>
      </c>
      <c r="I317" s="30" t="s">
        <v>121</v>
      </c>
      <c r="J317" s="30" t="s">
        <v>38</v>
      </c>
      <c r="K317" s="30" t="s">
        <v>39</v>
      </c>
      <c r="L317" s="30" t="s">
        <v>40</v>
      </c>
      <c r="M317" s="30">
        <v>17</v>
      </c>
      <c r="N317" s="30">
        <v>12000</v>
      </c>
      <c r="O317" s="30">
        <v>5</v>
      </c>
      <c r="P317" s="30">
        <v>193800</v>
      </c>
      <c r="Q317" s="30">
        <v>1</v>
      </c>
      <c r="R317" s="30" t="s">
        <v>31</v>
      </c>
      <c r="S317" s="30" t="s">
        <v>50</v>
      </c>
      <c r="T317" s="30" t="s">
        <v>66</v>
      </c>
      <c r="U317" s="30">
        <v>9566101317</v>
      </c>
      <c r="V317" s="38" t="s">
        <v>53</v>
      </c>
      <c r="W317" s="49">
        <f t="shared" ca="1" si="8"/>
        <v>38</v>
      </c>
      <c r="X317" s="50">
        <f t="shared" si="9"/>
        <v>4</v>
      </c>
      <c r="Y317" s="46" t="str" cm="1">
        <f t="array" ref="Y317">_xlfn.IFS(X317&lt;=5,"On Time",X317&gt;5,"Delayed",X317=" ","Pending")</f>
        <v>On Time</v>
      </c>
    </row>
    <row r="318" spans="1:25" ht="15" thickBot="1" x14ac:dyDescent="0.4">
      <c r="A318" s="27" t="s">
        <v>445</v>
      </c>
      <c r="B318" s="27" t="s">
        <v>63</v>
      </c>
      <c r="C318" s="27" t="s">
        <v>125</v>
      </c>
      <c r="D318" s="28">
        <v>46131</v>
      </c>
      <c r="E318" s="28">
        <v>46137</v>
      </c>
      <c r="F318" s="27" t="s">
        <v>110</v>
      </c>
      <c r="G318" s="27" t="s">
        <v>58</v>
      </c>
      <c r="H318" s="28">
        <v>28796</v>
      </c>
      <c r="I318" s="27" t="s">
        <v>48</v>
      </c>
      <c r="J318" s="27" t="s">
        <v>28</v>
      </c>
      <c r="K318" s="27" t="s">
        <v>83</v>
      </c>
      <c r="L318" s="27" t="s">
        <v>127</v>
      </c>
      <c r="M318" s="27">
        <v>10</v>
      </c>
      <c r="N318" s="27">
        <v>20</v>
      </c>
      <c r="O318" s="27">
        <v>5</v>
      </c>
      <c r="P318" s="27">
        <v>190</v>
      </c>
      <c r="Q318" s="27">
        <v>2</v>
      </c>
      <c r="R318" s="27" t="s">
        <v>31</v>
      </c>
      <c r="S318" s="27" t="s">
        <v>50</v>
      </c>
      <c r="T318" s="27" t="s">
        <v>66</v>
      </c>
      <c r="U318" s="27">
        <v>9706240823</v>
      </c>
      <c r="V318" s="37" t="s">
        <v>53</v>
      </c>
      <c r="W318" s="49">
        <f t="shared" ca="1" si="8"/>
        <v>47</v>
      </c>
      <c r="X318" s="50">
        <f t="shared" si="9"/>
        <v>6</v>
      </c>
      <c r="Y318" s="46" t="str" cm="1">
        <f t="array" ref="Y318">_xlfn.IFS(X318&lt;=5,"On Time",X318&gt;5,"Delayed",X318=" ","Pending")</f>
        <v>Delayed</v>
      </c>
    </row>
    <row r="319" spans="1:25" ht="15" thickBot="1" x14ac:dyDescent="0.4">
      <c r="A319" s="30" t="s">
        <v>446</v>
      </c>
      <c r="B319" s="30" t="s">
        <v>104</v>
      </c>
      <c r="C319" s="30" t="s">
        <v>24</v>
      </c>
      <c r="D319" s="31">
        <v>45966</v>
      </c>
      <c r="E319" s="31">
        <v>45969</v>
      </c>
      <c r="F319" s="30" t="s">
        <v>166</v>
      </c>
      <c r="G319" s="30" t="s">
        <v>26</v>
      </c>
      <c r="H319" s="31">
        <v>32855</v>
      </c>
      <c r="I319" s="30" t="s">
        <v>37</v>
      </c>
      <c r="J319" s="30" t="s">
        <v>38</v>
      </c>
      <c r="K319" s="30" t="s">
        <v>29</v>
      </c>
      <c r="L319" s="30" t="s">
        <v>30</v>
      </c>
      <c r="M319" s="30">
        <v>11</v>
      </c>
      <c r="N319" s="30">
        <v>2200</v>
      </c>
      <c r="O319" s="30">
        <v>5</v>
      </c>
      <c r="P319" s="30">
        <v>22990</v>
      </c>
      <c r="Q319" s="30">
        <v>5</v>
      </c>
      <c r="R319" s="30" t="s">
        <v>60</v>
      </c>
      <c r="S319" s="30" t="s">
        <v>42</v>
      </c>
      <c r="T319" s="30" t="s">
        <v>108</v>
      </c>
      <c r="U319" s="30">
        <v>9259943760</v>
      </c>
      <c r="V319" s="38" t="s">
        <v>52</v>
      </c>
      <c r="W319" s="49">
        <f t="shared" ca="1" si="8"/>
        <v>36</v>
      </c>
      <c r="X319" s="50">
        <f t="shared" si="9"/>
        <v>3</v>
      </c>
      <c r="Y319" s="46" t="str" cm="1">
        <f t="array" ref="Y319">_xlfn.IFS(X319&lt;=5,"On Time",X319&gt;5,"Delayed",X319=" ","Pending")</f>
        <v>On Time</v>
      </c>
    </row>
    <row r="320" spans="1:25" ht="15" thickBot="1" x14ac:dyDescent="0.4">
      <c r="A320" s="27" t="s">
        <v>447</v>
      </c>
      <c r="B320" s="27" t="s">
        <v>72</v>
      </c>
      <c r="C320" s="27" t="s">
        <v>82</v>
      </c>
      <c r="D320" s="28">
        <v>46077</v>
      </c>
      <c r="E320" s="28">
        <v>46081</v>
      </c>
      <c r="F320" s="27" t="s">
        <v>73</v>
      </c>
      <c r="G320" s="27" t="s">
        <v>26</v>
      </c>
      <c r="H320" s="28">
        <v>34707</v>
      </c>
      <c r="I320" s="27" t="s">
        <v>121</v>
      </c>
      <c r="J320" s="27" t="s">
        <v>38</v>
      </c>
      <c r="K320" s="27" t="s">
        <v>83</v>
      </c>
      <c r="L320" s="27" t="s">
        <v>84</v>
      </c>
      <c r="M320" s="27">
        <v>8</v>
      </c>
      <c r="N320" s="27">
        <v>60</v>
      </c>
      <c r="O320" s="27">
        <v>15</v>
      </c>
      <c r="P320" s="27">
        <v>408</v>
      </c>
      <c r="Q320" s="27">
        <v>4</v>
      </c>
      <c r="R320" s="27" t="s">
        <v>31</v>
      </c>
      <c r="S320" s="27" t="s">
        <v>42</v>
      </c>
      <c r="T320" s="27" t="s">
        <v>93</v>
      </c>
      <c r="U320" s="27">
        <v>9527326977</v>
      </c>
      <c r="V320" s="37" t="s">
        <v>52</v>
      </c>
      <c r="W320" s="49">
        <f t="shared" ca="1" si="8"/>
        <v>31</v>
      </c>
      <c r="X320" s="50">
        <f t="shared" si="9"/>
        <v>4</v>
      </c>
      <c r="Y320" s="46" t="str" cm="1">
        <f t="array" ref="Y320">_xlfn.IFS(X320&lt;=5,"On Time",X320&gt;5,"Delayed",X320=" ","Pending")</f>
        <v>On Time</v>
      </c>
    </row>
    <row r="321" spans="1:25" ht="15" thickBot="1" x14ac:dyDescent="0.4">
      <c r="A321" s="30" t="s">
        <v>448</v>
      </c>
      <c r="B321" s="30" t="s">
        <v>124</v>
      </c>
      <c r="C321" s="30" t="s">
        <v>138</v>
      </c>
      <c r="D321" s="31">
        <v>45739</v>
      </c>
      <c r="E321" s="31">
        <v>45741</v>
      </c>
      <c r="F321" s="30" t="s">
        <v>126</v>
      </c>
      <c r="G321" s="30" t="s">
        <v>58</v>
      </c>
      <c r="H321" s="31">
        <v>34630</v>
      </c>
      <c r="I321" s="30" t="s">
        <v>37</v>
      </c>
      <c r="J321" s="30" t="s">
        <v>38</v>
      </c>
      <c r="K321" s="30" t="s">
        <v>83</v>
      </c>
      <c r="L321" s="30" t="s">
        <v>139</v>
      </c>
      <c r="M321" s="30">
        <v>17</v>
      </c>
      <c r="N321" s="30">
        <v>45</v>
      </c>
      <c r="O321" s="30">
        <v>15</v>
      </c>
      <c r="P321" s="30">
        <v>650.25</v>
      </c>
      <c r="Q321" s="30">
        <v>2</v>
      </c>
      <c r="R321" s="30" t="s">
        <v>65</v>
      </c>
      <c r="S321" s="30" t="s">
        <v>96</v>
      </c>
      <c r="T321" s="30" t="s">
        <v>128</v>
      </c>
      <c r="U321" s="30">
        <v>9886970990</v>
      </c>
      <c r="V321" s="36" t="s">
        <v>34</v>
      </c>
      <c r="W321" s="49">
        <f t="shared" ca="1" si="8"/>
        <v>32</v>
      </c>
      <c r="X321" s="50">
        <f t="shared" si="9"/>
        <v>2</v>
      </c>
      <c r="Y321" s="46" t="str" cm="1">
        <f t="array" ref="Y321">_xlfn.IFS(X321&lt;=5,"On Time",X321&gt;5,"Delayed",X321=" ","Pending")</f>
        <v>On Time</v>
      </c>
    </row>
    <row r="322" spans="1:25" ht="15" thickBot="1" x14ac:dyDescent="0.4">
      <c r="A322" s="27" t="s">
        <v>449</v>
      </c>
      <c r="B322" s="27" t="s">
        <v>156</v>
      </c>
      <c r="C322" s="27" t="s">
        <v>112</v>
      </c>
      <c r="D322" s="28">
        <v>45715</v>
      </c>
      <c r="E322" s="28">
        <v>45726</v>
      </c>
      <c r="F322" s="27" t="s">
        <v>106</v>
      </c>
      <c r="G322" s="27" t="s">
        <v>58</v>
      </c>
      <c r="H322" s="28">
        <v>35206</v>
      </c>
      <c r="I322" s="27" t="s">
        <v>121</v>
      </c>
      <c r="J322" s="27" t="s">
        <v>38</v>
      </c>
      <c r="K322" s="27" t="s">
        <v>39</v>
      </c>
      <c r="L322" s="27" t="s">
        <v>114</v>
      </c>
      <c r="M322" s="27">
        <v>14</v>
      </c>
      <c r="N322" s="27">
        <v>700</v>
      </c>
      <c r="O322" s="27">
        <v>15</v>
      </c>
      <c r="P322" s="27">
        <v>8330</v>
      </c>
      <c r="Q322" s="27">
        <v>1</v>
      </c>
      <c r="R322" s="27" t="s">
        <v>60</v>
      </c>
      <c r="S322" s="27" t="s">
        <v>80</v>
      </c>
      <c r="T322" s="27" t="s">
        <v>158</v>
      </c>
      <c r="U322" s="27">
        <v>9106930369</v>
      </c>
      <c r="V322" s="35" t="s">
        <v>34</v>
      </c>
      <c r="W322" s="49">
        <f t="shared" ca="1" si="8"/>
        <v>30</v>
      </c>
      <c r="X322" s="50">
        <f t="shared" si="9"/>
        <v>11</v>
      </c>
      <c r="Y322" s="46" t="str" cm="1">
        <f t="array" ref="Y322">_xlfn.IFS(X322&lt;=5,"On Time",X322&gt;5,"Delayed",X322=" ","Pending")</f>
        <v>Delayed</v>
      </c>
    </row>
    <row r="323" spans="1:25" ht="15" thickBot="1" x14ac:dyDescent="0.4">
      <c r="A323" s="30" t="s">
        <v>450</v>
      </c>
      <c r="B323" s="30" t="s">
        <v>63</v>
      </c>
      <c r="C323" s="30" t="s">
        <v>56</v>
      </c>
      <c r="D323" s="31">
        <v>45811</v>
      </c>
      <c r="E323" s="31">
        <v>45822</v>
      </c>
      <c r="F323" s="30" t="s">
        <v>110</v>
      </c>
      <c r="G323" s="30" t="s">
        <v>58</v>
      </c>
      <c r="H323" s="31">
        <v>30097</v>
      </c>
      <c r="I323" s="30" t="s">
        <v>79</v>
      </c>
      <c r="J323" s="30" t="s">
        <v>75</v>
      </c>
      <c r="K323" s="30" t="s">
        <v>39</v>
      </c>
      <c r="L323" s="30" t="s">
        <v>59</v>
      </c>
      <c r="M323" s="30">
        <v>3</v>
      </c>
      <c r="N323" s="30">
        <v>1200</v>
      </c>
      <c r="O323" s="30">
        <v>5</v>
      </c>
      <c r="P323" s="30">
        <v>3420</v>
      </c>
      <c r="Q323" s="30">
        <v>3</v>
      </c>
      <c r="R323" s="30" t="s">
        <v>41</v>
      </c>
      <c r="S323" s="30" t="s">
        <v>96</v>
      </c>
      <c r="T323" s="30" t="s">
        <v>66</v>
      </c>
      <c r="U323" s="30">
        <v>9342009114</v>
      </c>
      <c r="V323" s="36" t="s">
        <v>34</v>
      </c>
      <c r="W323" s="49">
        <f t="shared" ref="W323:W386" ca="1" si="10">INT(YEARFRAC(H323, TODAY()))</f>
        <v>44</v>
      </c>
      <c r="X323" s="50">
        <f t="shared" ref="X323:X386" si="11">IF(OR(E323="", E323&lt;D323), "", E323 - D323)</f>
        <v>11</v>
      </c>
      <c r="Y323" s="46" t="str" cm="1">
        <f t="array" ref="Y323">_xlfn.IFS(X323&lt;=5,"On Time",X323&gt;5,"Delayed",X323=" ","Pending")</f>
        <v>Delayed</v>
      </c>
    </row>
    <row r="324" spans="1:25" ht="15" thickBot="1" x14ac:dyDescent="0.4">
      <c r="A324" s="27" t="s">
        <v>451</v>
      </c>
      <c r="B324" s="27" t="s">
        <v>23</v>
      </c>
      <c r="C324" s="27" t="s">
        <v>56</v>
      </c>
      <c r="D324" s="28">
        <v>45845</v>
      </c>
      <c r="E324" s="28">
        <v>45854</v>
      </c>
      <c r="F324" s="27" t="s">
        <v>25</v>
      </c>
      <c r="G324" s="27" t="s">
        <v>26</v>
      </c>
      <c r="H324" s="28">
        <v>37217</v>
      </c>
      <c r="I324" s="27" t="s">
        <v>91</v>
      </c>
      <c r="J324" s="27" t="s">
        <v>75</v>
      </c>
      <c r="K324" s="27" t="s">
        <v>39</v>
      </c>
      <c r="L324" s="27" t="s">
        <v>59</v>
      </c>
      <c r="M324" s="27">
        <v>9</v>
      </c>
      <c r="N324" s="27">
        <v>1200</v>
      </c>
      <c r="O324" s="27">
        <v>15</v>
      </c>
      <c r="P324" s="27">
        <v>9180</v>
      </c>
      <c r="Q324" s="27">
        <v>3</v>
      </c>
      <c r="R324" s="27" t="s">
        <v>31</v>
      </c>
      <c r="S324" s="27" t="s">
        <v>42</v>
      </c>
      <c r="T324" s="27" t="s">
        <v>43</v>
      </c>
      <c r="U324" s="27">
        <v>9992739960</v>
      </c>
      <c r="V324" s="35" t="s">
        <v>34</v>
      </c>
      <c r="W324" s="49">
        <f t="shared" ca="1" si="10"/>
        <v>24</v>
      </c>
      <c r="X324" s="50">
        <f t="shared" si="11"/>
        <v>9</v>
      </c>
      <c r="Y324" s="46" t="str" cm="1">
        <f t="array" ref="Y324">_xlfn.IFS(X324&lt;=5,"On Time",X324&gt;5,"Delayed",X324=" ","Pending")</f>
        <v>Delayed</v>
      </c>
    </row>
    <row r="325" spans="1:25" ht="15" thickBot="1" x14ac:dyDescent="0.4">
      <c r="A325" s="30" t="s">
        <v>452</v>
      </c>
      <c r="B325" s="30" t="s">
        <v>134</v>
      </c>
      <c r="C325" s="30" t="s">
        <v>125</v>
      </c>
      <c r="D325" s="31">
        <v>46132</v>
      </c>
      <c r="E325" s="31">
        <v>46133</v>
      </c>
      <c r="F325" s="30" t="s">
        <v>135</v>
      </c>
      <c r="G325" s="30" t="s">
        <v>26</v>
      </c>
      <c r="H325" s="31">
        <v>32565</v>
      </c>
      <c r="I325" s="30" t="s">
        <v>74</v>
      </c>
      <c r="J325" s="30" t="s">
        <v>75</v>
      </c>
      <c r="K325" s="30" t="s">
        <v>83</v>
      </c>
      <c r="L325" s="30" t="s">
        <v>127</v>
      </c>
      <c r="M325" s="30">
        <v>5</v>
      </c>
      <c r="N325" s="30">
        <v>20</v>
      </c>
      <c r="O325" s="30">
        <v>5</v>
      </c>
      <c r="P325" s="30">
        <v>95</v>
      </c>
      <c r="Q325" s="30">
        <v>4</v>
      </c>
      <c r="R325" s="30" t="s">
        <v>31</v>
      </c>
      <c r="S325" s="30" t="s">
        <v>96</v>
      </c>
      <c r="T325" s="30" t="s">
        <v>136</v>
      </c>
      <c r="U325" s="30">
        <v>9241987748</v>
      </c>
      <c r="V325" s="36" t="s">
        <v>34</v>
      </c>
      <c r="W325" s="49">
        <f t="shared" ca="1" si="10"/>
        <v>37</v>
      </c>
      <c r="X325" s="50">
        <f t="shared" si="11"/>
        <v>1</v>
      </c>
      <c r="Y325" s="46" t="str" cm="1">
        <f t="array" ref="Y325">_xlfn.IFS(X325&lt;=5,"On Time",X325&gt;5,"Delayed",X325=" ","Pending")</f>
        <v>On Time</v>
      </c>
    </row>
    <row r="326" spans="1:25" ht="15" thickBot="1" x14ac:dyDescent="0.4">
      <c r="A326" s="27" t="s">
        <v>453</v>
      </c>
      <c r="B326" s="27" t="s">
        <v>134</v>
      </c>
      <c r="C326" s="27" t="s">
        <v>24</v>
      </c>
      <c r="D326" s="28">
        <v>46001</v>
      </c>
      <c r="E326" s="28">
        <v>46012</v>
      </c>
      <c r="F326" s="27" t="s">
        <v>135</v>
      </c>
      <c r="G326" s="27" t="s">
        <v>26</v>
      </c>
      <c r="H326" s="28">
        <v>31277</v>
      </c>
      <c r="I326" s="27" t="s">
        <v>91</v>
      </c>
      <c r="J326" s="27" t="s">
        <v>75</v>
      </c>
      <c r="K326" s="27" t="s">
        <v>29</v>
      </c>
      <c r="L326" s="27" t="s">
        <v>30</v>
      </c>
      <c r="M326" s="27">
        <v>8</v>
      </c>
      <c r="N326" s="27">
        <v>2200</v>
      </c>
      <c r="O326" s="27">
        <v>10</v>
      </c>
      <c r="P326" s="27">
        <v>15840</v>
      </c>
      <c r="Q326" s="27">
        <v>4</v>
      </c>
      <c r="R326" s="27" t="s">
        <v>65</v>
      </c>
      <c r="S326" s="27" t="s">
        <v>50</v>
      </c>
      <c r="T326" s="27" t="s">
        <v>136</v>
      </c>
      <c r="U326" s="27">
        <v>9571990711</v>
      </c>
      <c r="V326" s="37" t="s">
        <v>53</v>
      </c>
      <c r="W326" s="49">
        <f t="shared" ca="1" si="10"/>
        <v>41</v>
      </c>
      <c r="X326" s="50">
        <f t="shared" si="11"/>
        <v>11</v>
      </c>
      <c r="Y326" s="46" t="str" cm="1">
        <f t="array" ref="Y326">_xlfn.IFS(X326&lt;=5,"On Time",X326&gt;5,"Delayed",X326=" ","Pending")</f>
        <v>Delayed</v>
      </c>
    </row>
    <row r="327" spans="1:25" ht="15" thickBot="1" x14ac:dyDescent="0.4">
      <c r="A327" s="30" t="s">
        <v>454</v>
      </c>
      <c r="B327" s="30" t="s">
        <v>134</v>
      </c>
      <c r="C327" s="30" t="s">
        <v>112</v>
      </c>
      <c r="D327" s="31">
        <v>46089</v>
      </c>
      <c r="E327" s="31">
        <v>46093</v>
      </c>
      <c r="F327" s="30" t="s">
        <v>135</v>
      </c>
      <c r="G327" s="30" t="s">
        <v>26</v>
      </c>
      <c r="H327" s="31">
        <v>29223</v>
      </c>
      <c r="I327" s="30" t="s">
        <v>74</v>
      </c>
      <c r="J327" s="30" t="s">
        <v>75</v>
      </c>
      <c r="K327" s="30" t="s">
        <v>39</v>
      </c>
      <c r="L327" s="30" t="s">
        <v>114</v>
      </c>
      <c r="M327" s="30">
        <v>10</v>
      </c>
      <c r="N327" s="30">
        <v>700</v>
      </c>
      <c r="O327" s="30">
        <v>20</v>
      </c>
      <c r="P327" s="30">
        <v>5600</v>
      </c>
      <c r="Q327" s="30">
        <v>1</v>
      </c>
      <c r="R327" s="30" t="s">
        <v>65</v>
      </c>
      <c r="S327" s="30" t="s">
        <v>80</v>
      </c>
      <c r="T327" s="30" t="s">
        <v>136</v>
      </c>
      <c r="U327" s="30">
        <v>9219231183</v>
      </c>
      <c r="V327" s="36" t="s">
        <v>34</v>
      </c>
      <c r="W327" s="49">
        <f t="shared" ca="1" si="10"/>
        <v>46</v>
      </c>
      <c r="X327" s="50">
        <f t="shared" si="11"/>
        <v>4</v>
      </c>
      <c r="Y327" s="46" t="str" cm="1">
        <f t="array" ref="Y327">_xlfn.IFS(X327&lt;=5,"On Time",X327&gt;5,"Delayed",X327=" ","Pending")</f>
        <v>On Time</v>
      </c>
    </row>
    <row r="328" spans="1:25" ht="15" thickBot="1" x14ac:dyDescent="0.4">
      <c r="A328" s="27" t="s">
        <v>455</v>
      </c>
      <c r="B328" s="27" t="s">
        <v>63</v>
      </c>
      <c r="C328" s="27" t="s">
        <v>112</v>
      </c>
      <c r="D328" s="28">
        <v>45986</v>
      </c>
      <c r="E328" s="28">
        <v>45989</v>
      </c>
      <c r="F328" s="27" t="s">
        <v>110</v>
      </c>
      <c r="G328" s="27" t="s">
        <v>58</v>
      </c>
      <c r="H328" s="28">
        <v>28498</v>
      </c>
      <c r="I328" s="27" t="s">
        <v>48</v>
      </c>
      <c r="J328" s="27" t="s">
        <v>28</v>
      </c>
      <c r="K328" s="27" t="s">
        <v>39</v>
      </c>
      <c r="L328" s="27" t="s">
        <v>114</v>
      </c>
      <c r="M328" s="27">
        <v>2</v>
      </c>
      <c r="N328" s="27">
        <v>700</v>
      </c>
      <c r="O328" s="27">
        <v>20</v>
      </c>
      <c r="P328" s="27">
        <v>1120</v>
      </c>
      <c r="Q328" s="27">
        <v>2</v>
      </c>
      <c r="R328" s="27" t="s">
        <v>31</v>
      </c>
      <c r="S328" s="27" t="s">
        <v>80</v>
      </c>
      <c r="T328" s="27" t="s">
        <v>66</v>
      </c>
      <c r="U328" s="27">
        <v>9847386174</v>
      </c>
      <c r="V328" s="37" t="s">
        <v>52</v>
      </c>
      <c r="W328" s="49">
        <f t="shared" ca="1" si="10"/>
        <v>48</v>
      </c>
      <c r="X328" s="50">
        <f t="shared" si="11"/>
        <v>3</v>
      </c>
      <c r="Y328" s="46" t="str" cm="1">
        <f t="array" ref="Y328">_xlfn.IFS(X328&lt;=5,"On Time",X328&gt;5,"Delayed",X328=" ","Pending")</f>
        <v>On Time</v>
      </c>
    </row>
    <row r="329" spans="1:25" ht="15" thickBot="1" x14ac:dyDescent="0.4">
      <c r="A329" s="30" t="s">
        <v>456</v>
      </c>
      <c r="B329" s="30" t="s">
        <v>124</v>
      </c>
      <c r="C329" s="30" t="s">
        <v>68</v>
      </c>
      <c r="D329" s="31">
        <v>45827</v>
      </c>
      <c r="E329" s="31">
        <v>45836</v>
      </c>
      <c r="F329" s="30" t="s">
        <v>126</v>
      </c>
      <c r="G329" s="30" t="s">
        <v>58</v>
      </c>
      <c r="H329" s="31">
        <v>33821</v>
      </c>
      <c r="I329" s="30" t="s">
        <v>79</v>
      </c>
      <c r="J329" s="30" t="s">
        <v>75</v>
      </c>
      <c r="K329" s="30" t="s">
        <v>29</v>
      </c>
      <c r="L329" s="30" t="s">
        <v>70</v>
      </c>
      <c r="M329" s="30">
        <v>16</v>
      </c>
      <c r="N329" s="30">
        <v>3500</v>
      </c>
      <c r="O329" s="30">
        <v>20</v>
      </c>
      <c r="P329" s="30">
        <v>44800</v>
      </c>
      <c r="Q329" s="30">
        <v>2</v>
      </c>
      <c r="R329" s="30" t="s">
        <v>65</v>
      </c>
      <c r="S329" s="30" t="s">
        <v>32</v>
      </c>
      <c r="T329" s="30" t="s">
        <v>128</v>
      </c>
      <c r="U329" s="30">
        <v>9941274924</v>
      </c>
      <c r="V329" s="38" t="s">
        <v>52</v>
      </c>
      <c r="W329" s="49">
        <f t="shared" ca="1" si="10"/>
        <v>34</v>
      </c>
      <c r="X329" s="50">
        <f t="shared" si="11"/>
        <v>9</v>
      </c>
      <c r="Y329" s="46" t="str" cm="1">
        <f t="array" ref="Y329">_xlfn.IFS(X329&lt;=5,"On Time",X329&gt;5,"Delayed",X329=" ","Pending")</f>
        <v>Delayed</v>
      </c>
    </row>
    <row r="330" spans="1:25" ht="15" thickBot="1" x14ac:dyDescent="0.4">
      <c r="A330" s="27" t="s">
        <v>457</v>
      </c>
      <c r="B330" s="27" t="s">
        <v>104</v>
      </c>
      <c r="C330" s="27" t="s">
        <v>68</v>
      </c>
      <c r="D330" s="28">
        <v>45860</v>
      </c>
      <c r="E330" s="28">
        <v>45870</v>
      </c>
      <c r="F330" s="27" t="s">
        <v>166</v>
      </c>
      <c r="G330" s="27" t="s">
        <v>26</v>
      </c>
      <c r="H330" s="28">
        <v>38349</v>
      </c>
      <c r="I330" s="27" t="s">
        <v>37</v>
      </c>
      <c r="J330" s="27" t="s">
        <v>38</v>
      </c>
      <c r="K330" s="27" t="s">
        <v>29</v>
      </c>
      <c r="L330" s="27" t="s">
        <v>70</v>
      </c>
      <c r="M330" s="27">
        <v>9</v>
      </c>
      <c r="N330" s="27">
        <v>3500</v>
      </c>
      <c r="O330" s="27">
        <v>20</v>
      </c>
      <c r="P330" s="27">
        <v>25200</v>
      </c>
      <c r="Q330" s="27">
        <v>1</v>
      </c>
      <c r="R330" s="27" t="s">
        <v>60</v>
      </c>
      <c r="S330" s="27" t="s">
        <v>42</v>
      </c>
      <c r="T330" s="27" t="s">
        <v>108</v>
      </c>
      <c r="U330" s="27">
        <v>9950650508</v>
      </c>
      <c r="V330" s="37" t="s">
        <v>53</v>
      </c>
      <c r="W330" s="49">
        <f t="shared" ca="1" si="10"/>
        <v>21</v>
      </c>
      <c r="X330" s="50">
        <f t="shared" si="11"/>
        <v>10</v>
      </c>
      <c r="Y330" s="46" t="str" cm="1">
        <f t="array" ref="Y330">_xlfn.IFS(X330&lt;=5,"On Time",X330&gt;5,"Delayed",X330=" ","Pending")</f>
        <v>Delayed</v>
      </c>
    </row>
    <row r="331" spans="1:25" ht="15" thickBot="1" x14ac:dyDescent="0.4">
      <c r="A331" s="30" t="s">
        <v>458</v>
      </c>
      <c r="B331" s="30" t="s">
        <v>87</v>
      </c>
      <c r="C331" s="30" t="s">
        <v>112</v>
      </c>
      <c r="D331" s="31">
        <v>45959</v>
      </c>
      <c r="E331" s="31">
        <v>45960</v>
      </c>
      <c r="F331" s="30" t="s">
        <v>88</v>
      </c>
      <c r="G331" s="30" t="s">
        <v>58</v>
      </c>
      <c r="H331" s="31">
        <v>37628</v>
      </c>
      <c r="I331" s="30" t="s">
        <v>27</v>
      </c>
      <c r="J331" s="30" t="s">
        <v>28</v>
      </c>
      <c r="K331" s="30" t="s">
        <v>39</v>
      </c>
      <c r="L331" s="30" t="s">
        <v>114</v>
      </c>
      <c r="M331" s="30">
        <v>15</v>
      </c>
      <c r="N331" s="30">
        <v>700</v>
      </c>
      <c r="O331" s="30">
        <v>5</v>
      </c>
      <c r="P331" s="30">
        <v>9975</v>
      </c>
      <c r="Q331" s="30">
        <v>1</v>
      </c>
      <c r="R331" s="30" t="s">
        <v>31</v>
      </c>
      <c r="S331" s="30" t="s">
        <v>42</v>
      </c>
      <c r="T331" s="30" t="s">
        <v>89</v>
      </c>
      <c r="U331" s="30">
        <v>9464035549</v>
      </c>
      <c r="V331" s="38" t="s">
        <v>53</v>
      </c>
      <c r="W331" s="49">
        <f t="shared" ca="1" si="10"/>
        <v>23</v>
      </c>
      <c r="X331" s="50">
        <f t="shared" si="11"/>
        <v>1</v>
      </c>
      <c r="Y331" s="46" t="str" cm="1">
        <f t="array" ref="Y331">_xlfn.IFS(X331&lt;=5,"On Time",X331&gt;5,"Delayed",X331=" ","Pending")</f>
        <v>On Time</v>
      </c>
    </row>
    <row r="332" spans="1:25" ht="15" thickBot="1" x14ac:dyDescent="0.4">
      <c r="A332" s="27" t="s">
        <v>459</v>
      </c>
      <c r="B332" s="27" t="s">
        <v>45</v>
      </c>
      <c r="C332" s="27" t="s">
        <v>56</v>
      </c>
      <c r="D332" s="28">
        <v>46086</v>
      </c>
      <c r="E332" s="28">
        <v>46091</v>
      </c>
      <c r="F332" s="27" t="s">
        <v>101</v>
      </c>
      <c r="G332" s="27" t="s">
        <v>26</v>
      </c>
      <c r="H332" s="28">
        <v>34037</v>
      </c>
      <c r="I332" s="27" t="s">
        <v>91</v>
      </c>
      <c r="J332" s="27" t="s">
        <v>75</v>
      </c>
      <c r="K332" s="27" t="s">
        <v>39</v>
      </c>
      <c r="L332" s="27" t="s">
        <v>59</v>
      </c>
      <c r="M332" s="27">
        <v>13</v>
      </c>
      <c r="N332" s="27">
        <v>1200</v>
      </c>
      <c r="O332" s="27">
        <v>0</v>
      </c>
      <c r="P332" s="27">
        <v>15600</v>
      </c>
      <c r="Q332" s="27">
        <v>3</v>
      </c>
      <c r="R332" s="27" t="s">
        <v>41</v>
      </c>
      <c r="S332" s="27" t="s">
        <v>80</v>
      </c>
      <c r="T332" s="27" t="s">
        <v>51</v>
      </c>
      <c r="U332" s="27">
        <v>9142334315</v>
      </c>
      <c r="V332" s="37" t="s">
        <v>53</v>
      </c>
      <c r="W332" s="49">
        <f t="shared" ca="1" si="10"/>
        <v>33</v>
      </c>
      <c r="X332" s="50">
        <f t="shared" si="11"/>
        <v>5</v>
      </c>
      <c r="Y332" s="46" t="str" cm="1">
        <f t="array" ref="Y332">_xlfn.IFS(X332&lt;=5,"On Time",X332&gt;5,"Delayed",X332=" ","Pending")</f>
        <v>On Time</v>
      </c>
    </row>
    <row r="333" spans="1:25" ht="15" thickBot="1" x14ac:dyDescent="0.4">
      <c r="A333" s="30" t="s">
        <v>460</v>
      </c>
      <c r="B333" s="30" t="s">
        <v>156</v>
      </c>
      <c r="C333" s="30" t="s">
        <v>36</v>
      </c>
      <c r="D333" s="31">
        <v>45895</v>
      </c>
      <c r="E333" s="31">
        <v>45907</v>
      </c>
      <c r="F333" s="30" t="s">
        <v>106</v>
      </c>
      <c r="G333" s="30" t="s">
        <v>58</v>
      </c>
      <c r="H333" s="31">
        <v>34123</v>
      </c>
      <c r="I333" s="30" t="s">
        <v>37</v>
      </c>
      <c r="J333" s="30" t="s">
        <v>38</v>
      </c>
      <c r="K333" s="30" t="s">
        <v>39</v>
      </c>
      <c r="L333" s="30" t="s">
        <v>40</v>
      </c>
      <c r="M333" s="30">
        <v>5</v>
      </c>
      <c r="N333" s="30">
        <v>12000</v>
      </c>
      <c r="O333" s="30">
        <v>10</v>
      </c>
      <c r="P333" s="30">
        <v>54000</v>
      </c>
      <c r="Q333" s="30">
        <v>3</v>
      </c>
      <c r="R333" s="30" t="s">
        <v>65</v>
      </c>
      <c r="S333" s="30" t="s">
        <v>42</v>
      </c>
      <c r="T333" s="30" t="s">
        <v>158</v>
      </c>
      <c r="U333" s="30">
        <v>9123961962</v>
      </c>
      <c r="V333" s="36" t="s">
        <v>34</v>
      </c>
      <c r="W333" s="49">
        <f t="shared" ca="1" si="10"/>
        <v>33</v>
      </c>
      <c r="X333" s="50">
        <f t="shared" si="11"/>
        <v>12</v>
      </c>
      <c r="Y333" s="46" t="str" cm="1">
        <f t="array" ref="Y333">_xlfn.IFS(X333&lt;=5,"On Time",X333&gt;5,"Delayed",X333=" ","Pending")</f>
        <v>Delayed</v>
      </c>
    </row>
    <row r="334" spans="1:25" ht="15" thickBot="1" x14ac:dyDescent="0.4">
      <c r="A334" s="27" t="s">
        <v>461</v>
      </c>
      <c r="B334" s="27" t="s">
        <v>45</v>
      </c>
      <c r="C334" s="27" t="s">
        <v>138</v>
      </c>
      <c r="D334" s="28">
        <v>45752</v>
      </c>
      <c r="E334" s="28">
        <v>45755</v>
      </c>
      <c r="F334" s="27" t="s">
        <v>101</v>
      </c>
      <c r="G334" s="27" t="s">
        <v>26</v>
      </c>
      <c r="H334" s="28">
        <v>36504</v>
      </c>
      <c r="I334" s="27" t="s">
        <v>48</v>
      </c>
      <c r="J334" s="27" t="s">
        <v>28</v>
      </c>
      <c r="K334" s="27" t="s">
        <v>83</v>
      </c>
      <c r="L334" s="27" t="s">
        <v>139</v>
      </c>
      <c r="M334" s="27">
        <v>12</v>
      </c>
      <c r="N334" s="27">
        <v>45</v>
      </c>
      <c r="O334" s="27">
        <v>20</v>
      </c>
      <c r="P334" s="27">
        <v>432</v>
      </c>
      <c r="Q334" s="27">
        <v>3</v>
      </c>
      <c r="R334" s="27" t="s">
        <v>41</v>
      </c>
      <c r="S334" s="27" t="s">
        <v>50</v>
      </c>
      <c r="T334" s="27" t="s">
        <v>51</v>
      </c>
      <c r="U334" s="27">
        <v>9741953402</v>
      </c>
      <c r="V334" s="35" t="s">
        <v>34</v>
      </c>
      <c r="W334" s="49">
        <f t="shared" ca="1" si="10"/>
        <v>26</v>
      </c>
      <c r="X334" s="50">
        <f t="shared" si="11"/>
        <v>3</v>
      </c>
      <c r="Y334" s="46" t="str" cm="1">
        <f t="array" ref="Y334">_xlfn.IFS(X334&lt;=5,"On Time",X334&gt;5,"Delayed",X334=" ","Pending")</f>
        <v>On Time</v>
      </c>
    </row>
    <row r="335" spans="1:25" ht="15" thickBot="1" x14ac:dyDescent="0.4">
      <c r="A335" s="30" t="s">
        <v>462</v>
      </c>
      <c r="B335" s="30" t="s">
        <v>23</v>
      </c>
      <c r="C335" s="30" t="s">
        <v>68</v>
      </c>
      <c r="D335" s="31">
        <v>45756</v>
      </c>
      <c r="E335" s="31">
        <v>45761</v>
      </c>
      <c r="F335" s="30" t="s">
        <v>25</v>
      </c>
      <c r="G335" s="30" t="s">
        <v>26</v>
      </c>
      <c r="H335" s="31">
        <v>27917</v>
      </c>
      <c r="I335" s="30" t="s">
        <v>48</v>
      </c>
      <c r="J335" s="30" t="s">
        <v>28</v>
      </c>
      <c r="K335" s="30" t="s">
        <v>29</v>
      </c>
      <c r="L335" s="30" t="s">
        <v>70</v>
      </c>
      <c r="M335" s="30">
        <v>2</v>
      </c>
      <c r="N335" s="30">
        <v>3500</v>
      </c>
      <c r="O335" s="30">
        <v>0</v>
      </c>
      <c r="P335" s="30">
        <v>7000</v>
      </c>
      <c r="Q335" s="30">
        <v>1</v>
      </c>
      <c r="R335" s="30" t="s">
        <v>41</v>
      </c>
      <c r="S335" s="30" t="s">
        <v>80</v>
      </c>
      <c r="T335" s="30" t="s">
        <v>43</v>
      </c>
      <c r="U335" s="30">
        <v>9404733633</v>
      </c>
      <c r="V335" s="38" t="s">
        <v>52</v>
      </c>
      <c r="W335" s="49">
        <f t="shared" ca="1" si="10"/>
        <v>50</v>
      </c>
      <c r="X335" s="50">
        <f t="shared" si="11"/>
        <v>5</v>
      </c>
      <c r="Y335" s="46" t="str" cm="1">
        <f t="array" ref="Y335">_xlfn.IFS(X335&lt;=5,"On Time",X335&gt;5,"Delayed",X335=" ","Pending")</f>
        <v>On Time</v>
      </c>
    </row>
    <row r="336" spans="1:25" ht="15" thickBot="1" x14ac:dyDescent="0.4">
      <c r="A336" s="27" t="s">
        <v>463</v>
      </c>
      <c r="B336" s="27" t="s">
        <v>23</v>
      </c>
      <c r="C336" s="27" t="s">
        <v>24</v>
      </c>
      <c r="D336" s="28">
        <v>46155</v>
      </c>
      <c r="E336" s="28">
        <v>46158</v>
      </c>
      <c r="F336" s="27" t="s">
        <v>25</v>
      </c>
      <c r="G336" s="27" t="s">
        <v>26</v>
      </c>
      <c r="H336" s="28">
        <v>30982</v>
      </c>
      <c r="I336" s="27" t="s">
        <v>79</v>
      </c>
      <c r="J336" s="27" t="s">
        <v>75</v>
      </c>
      <c r="K336" s="27" t="s">
        <v>29</v>
      </c>
      <c r="L336" s="27" t="s">
        <v>30</v>
      </c>
      <c r="M336" s="27">
        <v>15</v>
      </c>
      <c r="N336" s="27">
        <v>2200</v>
      </c>
      <c r="O336" s="27">
        <v>15</v>
      </c>
      <c r="P336" s="27">
        <v>28050</v>
      </c>
      <c r="Q336" s="27">
        <v>2</v>
      </c>
      <c r="R336" s="27" t="s">
        <v>41</v>
      </c>
      <c r="S336" s="27" t="s">
        <v>42</v>
      </c>
      <c r="T336" s="27" t="s">
        <v>43</v>
      </c>
      <c r="U336" s="27">
        <v>9297492337</v>
      </c>
      <c r="V336" s="37" t="s">
        <v>52</v>
      </c>
      <c r="W336" s="49">
        <f t="shared" ca="1" si="10"/>
        <v>42</v>
      </c>
      <c r="X336" s="50">
        <f t="shared" si="11"/>
        <v>3</v>
      </c>
      <c r="Y336" s="46" t="str" cm="1">
        <f t="array" ref="Y336">_xlfn.IFS(X336&lt;=5,"On Time",X336&gt;5,"Delayed",X336=" ","Pending")</f>
        <v>On Time</v>
      </c>
    </row>
    <row r="337" spans="1:25" ht="15" thickBot="1" x14ac:dyDescent="0.4">
      <c r="A337" s="30" t="s">
        <v>464</v>
      </c>
      <c r="B337" s="30" t="s">
        <v>72</v>
      </c>
      <c r="C337" s="30" t="s">
        <v>125</v>
      </c>
      <c r="D337" s="31">
        <v>45995</v>
      </c>
      <c r="E337" s="31">
        <v>46003</v>
      </c>
      <c r="F337" s="30" t="s">
        <v>73</v>
      </c>
      <c r="G337" s="30" t="s">
        <v>26</v>
      </c>
      <c r="H337" s="31">
        <v>27453</v>
      </c>
      <c r="I337" s="30" t="s">
        <v>91</v>
      </c>
      <c r="J337" s="30" t="s">
        <v>75</v>
      </c>
      <c r="K337" s="30" t="s">
        <v>83</v>
      </c>
      <c r="L337" s="30" t="s">
        <v>127</v>
      </c>
      <c r="M337" s="30">
        <v>8</v>
      </c>
      <c r="N337" s="30">
        <v>20</v>
      </c>
      <c r="O337" s="30">
        <v>20</v>
      </c>
      <c r="P337" s="30">
        <v>128</v>
      </c>
      <c r="Q337" s="30">
        <v>5</v>
      </c>
      <c r="R337" s="30" t="s">
        <v>65</v>
      </c>
      <c r="S337" s="30" t="s">
        <v>42</v>
      </c>
      <c r="T337" s="30" t="s">
        <v>93</v>
      </c>
      <c r="U337" s="30">
        <v>9350338928</v>
      </c>
      <c r="V337" s="36" t="s">
        <v>34</v>
      </c>
      <c r="W337" s="49">
        <f t="shared" ca="1" si="10"/>
        <v>51</v>
      </c>
      <c r="X337" s="50">
        <f t="shared" si="11"/>
        <v>8</v>
      </c>
      <c r="Y337" s="46" t="str" cm="1">
        <f t="array" ref="Y337">_xlfn.IFS(X337&lt;=5,"On Time",X337&gt;5,"Delayed",X337=" ","Pending")</f>
        <v>Delayed</v>
      </c>
    </row>
    <row r="338" spans="1:25" ht="15" thickBot="1" x14ac:dyDescent="0.4">
      <c r="A338" s="27" t="s">
        <v>465</v>
      </c>
      <c r="B338" s="27" t="s">
        <v>87</v>
      </c>
      <c r="C338" s="27" t="s">
        <v>125</v>
      </c>
      <c r="D338" s="28">
        <v>46089</v>
      </c>
      <c r="E338" s="28">
        <v>46091</v>
      </c>
      <c r="F338" s="27" t="s">
        <v>88</v>
      </c>
      <c r="G338" s="27" t="s">
        <v>58</v>
      </c>
      <c r="H338" s="28">
        <v>34261</v>
      </c>
      <c r="I338" s="27" t="s">
        <v>27</v>
      </c>
      <c r="J338" s="27" t="s">
        <v>28</v>
      </c>
      <c r="K338" s="27" t="s">
        <v>83</v>
      </c>
      <c r="L338" s="27" t="s">
        <v>127</v>
      </c>
      <c r="M338" s="27">
        <v>1</v>
      </c>
      <c r="N338" s="27">
        <v>20</v>
      </c>
      <c r="O338" s="27">
        <v>0</v>
      </c>
      <c r="P338" s="27">
        <v>20</v>
      </c>
      <c r="Q338" s="27">
        <v>3</v>
      </c>
      <c r="R338" s="27" t="s">
        <v>65</v>
      </c>
      <c r="S338" s="27" t="s">
        <v>32</v>
      </c>
      <c r="T338" s="27" t="s">
        <v>89</v>
      </c>
      <c r="U338" s="27">
        <v>9933894798</v>
      </c>
      <c r="V338" s="35" t="s">
        <v>34</v>
      </c>
      <c r="W338" s="49">
        <f t="shared" ca="1" si="10"/>
        <v>33</v>
      </c>
      <c r="X338" s="50">
        <f t="shared" si="11"/>
        <v>2</v>
      </c>
      <c r="Y338" s="46" t="str" cm="1">
        <f t="array" ref="Y338">_xlfn.IFS(X338&lt;=5,"On Time",X338&gt;5,"Delayed",X338=" ","Pending")</f>
        <v>On Time</v>
      </c>
    </row>
    <row r="339" spans="1:25" ht="15" thickBot="1" x14ac:dyDescent="0.4">
      <c r="A339" s="30" t="s">
        <v>466</v>
      </c>
      <c r="B339" s="30" t="s">
        <v>23</v>
      </c>
      <c r="C339" s="30" t="s">
        <v>112</v>
      </c>
      <c r="D339" s="31">
        <v>46027</v>
      </c>
      <c r="E339" s="31">
        <v>46038</v>
      </c>
      <c r="F339" s="30" t="s">
        <v>25</v>
      </c>
      <c r="G339" s="30" t="s">
        <v>26</v>
      </c>
      <c r="H339" s="31">
        <v>30614</v>
      </c>
      <c r="I339" s="30" t="s">
        <v>121</v>
      </c>
      <c r="J339" s="30" t="s">
        <v>38</v>
      </c>
      <c r="K339" s="30" t="s">
        <v>39</v>
      </c>
      <c r="L339" s="30" t="s">
        <v>114</v>
      </c>
      <c r="M339" s="30">
        <v>15</v>
      </c>
      <c r="N339" s="30">
        <v>700</v>
      </c>
      <c r="O339" s="30">
        <v>0</v>
      </c>
      <c r="P339" s="30">
        <v>10500</v>
      </c>
      <c r="Q339" s="30">
        <v>2</v>
      </c>
      <c r="R339" s="30" t="s">
        <v>65</v>
      </c>
      <c r="S339" s="30" t="s">
        <v>42</v>
      </c>
      <c r="T339" s="30" t="s">
        <v>43</v>
      </c>
      <c r="U339" s="30">
        <v>9705218824</v>
      </c>
      <c r="V339" s="36" t="s">
        <v>34</v>
      </c>
      <c r="W339" s="49">
        <f t="shared" ca="1" si="10"/>
        <v>43</v>
      </c>
      <c r="X339" s="50">
        <f t="shared" si="11"/>
        <v>11</v>
      </c>
      <c r="Y339" s="46" t="str" cm="1">
        <f t="array" ref="Y339">_xlfn.IFS(X339&lt;=5,"On Time",X339&gt;5,"Delayed",X339=" ","Pending")</f>
        <v>Delayed</v>
      </c>
    </row>
    <row r="340" spans="1:25" ht="15" thickBot="1" x14ac:dyDescent="0.4">
      <c r="A340" s="27" t="s">
        <v>467</v>
      </c>
      <c r="B340" s="27" t="s">
        <v>156</v>
      </c>
      <c r="C340" s="27" t="s">
        <v>68</v>
      </c>
      <c r="D340" s="28">
        <v>45695</v>
      </c>
      <c r="E340" s="28">
        <v>45698</v>
      </c>
      <c r="F340" s="27" t="s">
        <v>106</v>
      </c>
      <c r="G340" s="27" t="s">
        <v>58</v>
      </c>
      <c r="H340" s="28">
        <v>30324</v>
      </c>
      <c r="I340" s="27" t="s">
        <v>27</v>
      </c>
      <c r="J340" s="27" t="s">
        <v>28</v>
      </c>
      <c r="K340" s="27" t="s">
        <v>29</v>
      </c>
      <c r="L340" s="27" t="s">
        <v>70</v>
      </c>
      <c r="M340" s="27">
        <v>15</v>
      </c>
      <c r="N340" s="27">
        <v>3500</v>
      </c>
      <c r="O340" s="27">
        <v>10</v>
      </c>
      <c r="P340" s="27">
        <v>47250</v>
      </c>
      <c r="Q340" s="27">
        <v>3</v>
      </c>
      <c r="R340" s="27" t="s">
        <v>31</v>
      </c>
      <c r="S340" s="27" t="s">
        <v>96</v>
      </c>
      <c r="T340" s="27" t="s">
        <v>158</v>
      </c>
      <c r="U340" s="27">
        <v>9229164453</v>
      </c>
      <c r="V340" s="37" t="s">
        <v>52</v>
      </c>
      <c r="W340" s="49">
        <f t="shared" ca="1" si="10"/>
        <v>43</v>
      </c>
      <c r="X340" s="50">
        <f t="shared" si="11"/>
        <v>3</v>
      </c>
      <c r="Y340" s="46" t="str" cm="1">
        <f t="array" ref="Y340">_xlfn.IFS(X340&lt;=5,"On Time",X340&gt;5,"Delayed",X340=" ","Pending")</f>
        <v>On Time</v>
      </c>
    </row>
    <row r="341" spans="1:25" ht="15" thickBot="1" x14ac:dyDescent="0.4">
      <c r="A341" s="30" t="s">
        <v>468</v>
      </c>
      <c r="B341" s="30" t="s">
        <v>23</v>
      </c>
      <c r="C341" s="30" t="s">
        <v>82</v>
      </c>
      <c r="D341" s="31">
        <v>45866</v>
      </c>
      <c r="E341" s="31">
        <v>45876</v>
      </c>
      <c r="F341" s="30" t="s">
        <v>25</v>
      </c>
      <c r="G341" s="30" t="s">
        <v>26</v>
      </c>
      <c r="H341" s="31">
        <v>30664</v>
      </c>
      <c r="I341" s="30" t="s">
        <v>147</v>
      </c>
      <c r="J341" s="30" t="s">
        <v>148</v>
      </c>
      <c r="K341" s="30" t="s">
        <v>83</v>
      </c>
      <c r="L341" s="30" t="s">
        <v>84</v>
      </c>
      <c r="M341" s="30">
        <v>16</v>
      </c>
      <c r="N341" s="30">
        <v>60</v>
      </c>
      <c r="O341" s="30">
        <v>10</v>
      </c>
      <c r="P341" s="30">
        <v>864</v>
      </c>
      <c r="Q341" s="30">
        <v>4</v>
      </c>
      <c r="R341" s="30" t="s">
        <v>60</v>
      </c>
      <c r="S341" s="30" t="s">
        <v>50</v>
      </c>
      <c r="T341" s="30" t="s">
        <v>43</v>
      </c>
      <c r="U341" s="30">
        <v>9219806176</v>
      </c>
      <c r="V341" s="36" t="s">
        <v>34</v>
      </c>
      <c r="W341" s="49">
        <f t="shared" ca="1" si="10"/>
        <v>42</v>
      </c>
      <c r="X341" s="50">
        <f t="shared" si="11"/>
        <v>10</v>
      </c>
      <c r="Y341" s="46" t="str" cm="1">
        <f t="array" ref="Y341">_xlfn.IFS(X341&lt;=5,"On Time",X341&gt;5,"Delayed",X341=" ","Pending")</f>
        <v>Delayed</v>
      </c>
    </row>
    <row r="342" spans="1:25" ht="15" thickBot="1" x14ac:dyDescent="0.4">
      <c r="A342" s="27" t="s">
        <v>469</v>
      </c>
      <c r="B342" s="27" t="s">
        <v>87</v>
      </c>
      <c r="C342" s="27" t="s">
        <v>138</v>
      </c>
      <c r="D342" s="28">
        <v>45945</v>
      </c>
      <c r="E342" s="28">
        <v>45951</v>
      </c>
      <c r="F342" s="27" t="s">
        <v>88</v>
      </c>
      <c r="G342" s="27" t="s">
        <v>58</v>
      </c>
      <c r="H342" s="28">
        <v>30585</v>
      </c>
      <c r="I342" s="27" t="s">
        <v>37</v>
      </c>
      <c r="J342" s="27" t="s">
        <v>38</v>
      </c>
      <c r="K342" s="27" t="s">
        <v>83</v>
      </c>
      <c r="L342" s="27" t="s">
        <v>139</v>
      </c>
      <c r="M342" s="27">
        <v>2</v>
      </c>
      <c r="N342" s="27">
        <v>45</v>
      </c>
      <c r="O342" s="27">
        <v>15</v>
      </c>
      <c r="P342" s="27">
        <v>76.5</v>
      </c>
      <c r="Q342" s="27">
        <v>1</v>
      </c>
      <c r="R342" s="27" t="s">
        <v>65</v>
      </c>
      <c r="S342" s="27" t="s">
        <v>96</v>
      </c>
      <c r="T342" s="27" t="s">
        <v>89</v>
      </c>
      <c r="U342" s="27">
        <v>9630210250</v>
      </c>
      <c r="V342" s="37" t="s">
        <v>53</v>
      </c>
      <c r="W342" s="49">
        <f t="shared" ca="1" si="10"/>
        <v>43</v>
      </c>
      <c r="X342" s="50">
        <f t="shared" si="11"/>
        <v>6</v>
      </c>
      <c r="Y342" s="46" t="str" cm="1">
        <f t="array" ref="Y342">_xlfn.IFS(X342&lt;=5,"On Time",X342&gt;5,"Delayed",X342=" ","Pending")</f>
        <v>Delayed</v>
      </c>
    </row>
    <row r="343" spans="1:25" ht="15" thickBot="1" x14ac:dyDescent="0.4">
      <c r="A343" s="30" t="s">
        <v>470</v>
      </c>
      <c r="B343" s="30" t="s">
        <v>104</v>
      </c>
      <c r="C343" s="30" t="s">
        <v>82</v>
      </c>
      <c r="D343" s="31">
        <v>45997</v>
      </c>
      <c r="E343" s="31">
        <v>46006</v>
      </c>
      <c r="F343" s="30" t="s">
        <v>166</v>
      </c>
      <c r="G343" s="30" t="s">
        <v>26</v>
      </c>
      <c r="H343" s="31">
        <v>27537</v>
      </c>
      <c r="I343" s="30" t="s">
        <v>37</v>
      </c>
      <c r="J343" s="30" t="s">
        <v>38</v>
      </c>
      <c r="K343" s="30" t="s">
        <v>83</v>
      </c>
      <c r="L343" s="30" t="s">
        <v>84</v>
      </c>
      <c r="M343" s="30">
        <v>13</v>
      </c>
      <c r="N343" s="30">
        <v>60</v>
      </c>
      <c r="O343" s="30">
        <v>15</v>
      </c>
      <c r="P343" s="30">
        <v>663</v>
      </c>
      <c r="Q343" s="30">
        <v>2</v>
      </c>
      <c r="R343" s="30" t="s">
        <v>41</v>
      </c>
      <c r="S343" s="30" t="s">
        <v>50</v>
      </c>
      <c r="T343" s="30" t="s">
        <v>108</v>
      </c>
      <c r="U343" s="30">
        <v>9583354052</v>
      </c>
      <c r="V343" s="38" t="s">
        <v>53</v>
      </c>
      <c r="W343" s="49">
        <f t="shared" ca="1" si="10"/>
        <v>51</v>
      </c>
      <c r="X343" s="50">
        <f t="shared" si="11"/>
        <v>9</v>
      </c>
      <c r="Y343" s="46" t="str" cm="1">
        <f t="array" ref="Y343">_xlfn.IFS(X343&lt;=5,"On Time",X343&gt;5,"Delayed",X343=" ","Pending")</f>
        <v>Delayed</v>
      </c>
    </row>
    <row r="344" spans="1:25" ht="15" thickBot="1" x14ac:dyDescent="0.4">
      <c r="A344" s="27" t="s">
        <v>471</v>
      </c>
      <c r="B344" s="27" t="s">
        <v>63</v>
      </c>
      <c r="C344" s="27" t="s">
        <v>36</v>
      </c>
      <c r="D344" s="28">
        <v>45797</v>
      </c>
      <c r="E344" s="28">
        <v>45799</v>
      </c>
      <c r="F344" s="27" t="s">
        <v>110</v>
      </c>
      <c r="G344" s="27" t="s">
        <v>58</v>
      </c>
      <c r="H344" s="28">
        <v>34647</v>
      </c>
      <c r="I344" s="27" t="s">
        <v>37</v>
      </c>
      <c r="J344" s="27" t="s">
        <v>38</v>
      </c>
      <c r="K344" s="27" t="s">
        <v>39</v>
      </c>
      <c r="L344" s="27" t="s">
        <v>40</v>
      </c>
      <c r="M344" s="27">
        <v>15</v>
      </c>
      <c r="N344" s="27">
        <v>12000</v>
      </c>
      <c r="O344" s="27">
        <v>20</v>
      </c>
      <c r="P344" s="27">
        <v>144000</v>
      </c>
      <c r="Q344" s="27">
        <v>3</v>
      </c>
      <c r="R344" s="27" t="s">
        <v>60</v>
      </c>
      <c r="S344" s="27" t="s">
        <v>32</v>
      </c>
      <c r="T344" s="27" t="s">
        <v>66</v>
      </c>
      <c r="U344" s="27">
        <v>9242534507</v>
      </c>
      <c r="V344" s="37" t="s">
        <v>53</v>
      </c>
      <c r="W344" s="49">
        <f t="shared" ca="1" si="10"/>
        <v>31</v>
      </c>
      <c r="X344" s="50">
        <f t="shared" si="11"/>
        <v>2</v>
      </c>
      <c r="Y344" s="46" t="str" cm="1">
        <f t="array" ref="Y344">_xlfn.IFS(X344&lt;=5,"On Time",X344&gt;5,"Delayed",X344=" ","Pending")</f>
        <v>On Time</v>
      </c>
    </row>
    <row r="345" spans="1:25" ht="15" thickBot="1" x14ac:dyDescent="0.4">
      <c r="A345" s="30" t="s">
        <v>472</v>
      </c>
      <c r="B345" s="30" t="s">
        <v>156</v>
      </c>
      <c r="C345" s="30" t="s">
        <v>125</v>
      </c>
      <c r="D345" s="31">
        <v>45863</v>
      </c>
      <c r="E345" s="31">
        <v>45871</v>
      </c>
      <c r="F345" s="30" t="s">
        <v>106</v>
      </c>
      <c r="G345" s="30" t="s">
        <v>58</v>
      </c>
      <c r="H345" s="31">
        <v>32128</v>
      </c>
      <c r="I345" s="30" t="s">
        <v>37</v>
      </c>
      <c r="J345" s="30" t="s">
        <v>38</v>
      </c>
      <c r="K345" s="30" t="s">
        <v>83</v>
      </c>
      <c r="L345" s="30" t="s">
        <v>127</v>
      </c>
      <c r="M345" s="30">
        <v>2</v>
      </c>
      <c r="N345" s="30">
        <v>20</v>
      </c>
      <c r="O345" s="30">
        <v>20</v>
      </c>
      <c r="P345" s="30">
        <v>32</v>
      </c>
      <c r="Q345" s="30">
        <v>4</v>
      </c>
      <c r="R345" s="30" t="s">
        <v>31</v>
      </c>
      <c r="S345" s="30" t="s">
        <v>32</v>
      </c>
      <c r="T345" s="30" t="s">
        <v>158</v>
      </c>
      <c r="U345" s="30">
        <v>9291239150</v>
      </c>
      <c r="V345" s="38" t="s">
        <v>52</v>
      </c>
      <c r="W345" s="49">
        <f t="shared" ca="1" si="10"/>
        <v>38</v>
      </c>
      <c r="X345" s="50">
        <f t="shared" si="11"/>
        <v>8</v>
      </c>
      <c r="Y345" s="46" t="str" cm="1">
        <f t="array" ref="Y345">_xlfn.IFS(X345&lt;=5,"On Time",X345&gt;5,"Delayed",X345=" ","Pending")</f>
        <v>Delayed</v>
      </c>
    </row>
    <row r="346" spans="1:25" ht="15" thickBot="1" x14ac:dyDescent="0.4">
      <c r="A346" s="27" t="s">
        <v>473</v>
      </c>
      <c r="B346" s="27" t="s">
        <v>87</v>
      </c>
      <c r="C346" s="27" t="s">
        <v>68</v>
      </c>
      <c r="D346" s="28">
        <v>45874</v>
      </c>
      <c r="E346" s="28">
        <v>45886</v>
      </c>
      <c r="F346" s="27" t="s">
        <v>88</v>
      </c>
      <c r="G346" s="27" t="s">
        <v>58</v>
      </c>
      <c r="H346" s="28">
        <v>27564</v>
      </c>
      <c r="I346" s="27" t="s">
        <v>48</v>
      </c>
      <c r="J346" s="27" t="s">
        <v>28</v>
      </c>
      <c r="K346" s="27" t="s">
        <v>29</v>
      </c>
      <c r="L346" s="27" t="s">
        <v>70</v>
      </c>
      <c r="M346" s="27">
        <v>16</v>
      </c>
      <c r="N346" s="27">
        <v>3500</v>
      </c>
      <c r="O346" s="27">
        <v>0</v>
      </c>
      <c r="P346" s="27">
        <v>56000</v>
      </c>
      <c r="Q346" s="27">
        <v>4</v>
      </c>
      <c r="R346" s="27" t="s">
        <v>31</v>
      </c>
      <c r="S346" s="27" t="s">
        <v>80</v>
      </c>
      <c r="T346" s="27" t="s">
        <v>89</v>
      </c>
      <c r="U346" s="27">
        <v>9550820904</v>
      </c>
      <c r="V346" s="35" t="s">
        <v>34</v>
      </c>
      <c r="W346" s="49">
        <f t="shared" ca="1" si="10"/>
        <v>51</v>
      </c>
      <c r="X346" s="50">
        <f t="shared" si="11"/>
        <v>12</v>
      </c>
      <c r="Y346" s="46" t="str" cm="1">
        <f t="array" ref="Y346">_xlfn.IFS(X346&lt;=5,"On Time",X346&gt;5,"Delayed",X346=" ","Pending")</f>
        <v>Delayed</v>
      </c>
    </row>
    <row r="347" spans="1:25" ht="15" thickBot="1" x14ac:dyDescent="0.4">
      <c r="A347" s="30" t="s">
        <v>474</v>
      </c>
      <c r="B347" s="30" t="s">
        <v>45</v>
      </c>
      <c r="C347" s="30" t="s">
        <v>68</v>
      </c>
      <c r="D347" s="31">
        <v>46071</v>
      </c>
      <c r="E347" s="31">
        <v>46078</v>
      </c>
      <c r="F347" s="30" t="s">
        <v>101</v>
      </c>
      <c r="G347" s="30" t="s">
        <v>26</v>
      </c>
      <c r="H347" s="31">
        <v>28134</v>
      </c>
      <c r="I347" s="30" t="s">
        <v>91</v>
      </c>
      <c r="J347" s="30" t="s">
        <v>75</v>
      </c>
      <c r="K347" s="30" t="s">
        <v>29</v>
      </c>
      <c r="L347" s="30" t="s">
        <v>70</v>
      </c>
      <c r="M347" s="30">
        <v>18</v>
      </c>
      <c r="N347" s="30">
        <v>3500</v>
      </c>
      <c r="O347" s="30">
        <v>15</v>
      </c>
      <c r="P347" s="30">
        <v>53550</v>
      </c>
      <c r="Q347" s="30">
        <v>5</v>
      </c>
      <c r="R347" s="30" t="s">
        <v>31</v>
      </c>
      <c r="S347" s="30" t="s">
        <v>96</v>
      </c>
      <c r="T347" s="30" t="s">
        <v>51</v>
      </c>
      <c r="U347" s="30">
        <v>9294486423</v>
      </c>
      <c r="V347" s="38" t="s">
        <v>53</v>
      </c>
      <c r="W347" s="49">
        <f t="shared" ca="1" si="10"/>
        <v>49</v>
      </c>
      <c r="X347" s="50">
        <f t="shared" si="11"/>
        <v>7</v>
      </c>
      <c r="Y347" s="46" t="str" cm="1">
        <f t="array" ref="Y347">_xlfn.IFS(X347&lt;=5,"On Time",X347&gt;5,"Delayed",X347=" ","Pending")</f>
        <v>Delayed</v>
      </c>
    </row>
    <row r="348" spans="1:25" ht="15" thickBot="1" x14ac:dyDescent="0.4">
      <c r="A348" s="27" t="s">
        <v>475</v>
      </c>
      <c r="B348" s="27" t="s">
        <v>23</v>
      </c>
      <c r="C348" s="27" t="s">
        <v>138</v>
      </c>
      <c r="D348" s="28">
        <v>46102</v>
      </c>
      <c r="E348" s="28">
        <v>46107</v>
      </c>
      <c r="F348" s="27" t="s">
        <v>25</v>
      </c>
      <c r="G348" s="27" t="s">
        <v>26</v>
      </c>
      <c r="H348" s="28">
        <v>34232</v>
      </c>
      <c r="I348" s="27" t="s">
        <v>91</v>
      </c>
      <c r="J348" s="27" t="s">
        <v>75</v>
      </c>
      <c r="K348" s="27" t="s">
        <v>83</v>
      </c>
      <c r="L348" s="27" t="s">
        <v>139</v>
      </c>
      <c r="M348" s="27">
        <v>20</v>
      </c>
      <c r="N348" s="27">
        <v>45</v>
      </c>
      <c r="O348" s="27">
        <v>15</v>
      </c>
      <c r="P348" s="27">
        <v>765</v>
      </c>
      <c r="Q348" s="27">
        <v>4</v>
      </c>
      <c r="R348" s="27" t="s">
        <v>31</v>
      </c>
      <c r="S348" s="27" t="s">
        <v>96</v>
      </c>
      <c r="T348" s="27" t="s">
        <v>43</v>
      </c>
      <c r="U348" s="27">
        <v>9260258621</v>
      </c>
      <c r="V348" s="37" t="s">
        <v>53</v>
      </c>
      <c r="W348" s="49">
        <f t="shared" ca="1" si="10"/>
        <v>33</v>
      </c>
      <c r="X348" s="50">
        <f t="shared" si="11"/>
        <v>5</v>
      </c>
      <c r="Y348" s="46" t="str" cm="1">
        <f t="array" ref="Y348">_xlfn.IFS(X348&lt;=5,"On Time",X348&gt;5,"Delayed",X348=" ","Pending")</f>
        <v>On Time</v>
      </c>
    </row>
    <row r="349" spans="1:25" ht="15" thickBot="1" x14ac:dyDescent="0.4">
      <c r="A349" s="30" t="s">
        <v>476</v>
      </c>
      <c r="B349" s="30" t="s">
        <v>134</v>
      </c>
      <c r="C349" s="30" t="s">
        <v>24</v>
      </c>
      <c r="D349" s="31">
        <v>46128</v>
      </c>
      <c r="E349" s="31">
        <v>46131</v>
      </c>
      <c r="F349" s="30" t="s">
        <v>135</v>
      </c>
      <c r="G349" s="30" t="s">
        <v>26</v>
      </c>
      <c r="H349" s="31">
        <v>35494</v>
      </c>
      <c r="I349" s="30" t="s">
        <v>37</v>
      </c>
      <c r="J349" s="30" t="s">
        <v>38</v>
      </c>
      <c r="K349" s="30" t="s">
        <v>29</v>
      </c>
      <c r="L349" s="30" t="s">
        <v>30</v>
      </c>
      <c r="M349" s="30">
        <v>13</v>
      </c>
      <c r="N349" s="30">
        <v>2200</v>
      </c>
      <c r="O349" s="30">
        <v>15</v>
      </c>
      <c r="P349" s="30">
        <v>24310</v>
      </c>
      <c r="Q349" s="30">
        <v>2</v>
      </c>
      <c r="R349" s="30" t="s">
        <v>41</v>
      </c>
      <c r="S349" s="30" t="s">
        <v>80</v>
      </c>
      <c r="T349" s="30" t="s">
        <v>136</v>
      </c>
      <c r="U349" s="30">
        <v>9697433584</v>
      </c>
      <c r="V349" s="38" t="s">
        <v>52</v>
      </c>
      <c r="W349" s="49">
        <f t="shared" ca="1" si="10"/>
        <v>29</v>
      </c>
      <c r="X349" s="50">
        <f t="shared" si="11"/>
        <v>3</v>
      </c>
      <c r="Y349" s="46" t="str" cm="1">
        <f t="array" ref="Y349">_xlfn.IFS(X349&lt;=5,"On Time",X349&gt;5,"Delayed",X349=" ","Pending")</f>
        <v>On Time</v>
      </c>
    </row>
    <row r="350" spans="1:25" ht="15" thickBot="1" x14ac:dyDescent="0.4">
      <c r="A350" s="27" t="s">
        <v>477</v>
      </c>
      <c r="B350" s="27" t="s">
        <v>45</v>
      </c>
      <c r="C350" s="27" t="s">
        <v>478</v>
      </c>
      <c r="D350" s="28">
        <v>45943</v>
      </c>
      <c r="E350" s="28">
        <v>45944</v>
      </c>
      <c r="F350" s="27" t="s">
        <v>101</v>
      </c>
      <c r="G350" s="27" t="s">
        <v>26</v>
      </c>
      <c r="H350" s="28">
        <v>37447</v>
      </c>
      <c r="I350" s="27" t="s">
        <v>147</v>
      </c>
      <c r="J350" s="27" t="s">
        <v>148</v>
      </c>
      <c r="K350" s="27" t="s">
        <v>29</v>
      </c>
      <c r="L350" s="27" t="s">
        <v>107</v>
      </c>
      <c r="M350" s="27">
        <v>11</v>
      </c>
      <c r="N350" s="27">
        <v>8500</v>
      </c>
      <c r="O350" s="27">
        <v>5</v>
      </c>
      <c r="P350" s="27">
        <v>88825</v>
      </c>
      <c r="Q350" s="27">
        <v>1</v>
      </c>
      <c r="R350" s="27" t="s">
        <v>65</v>
      </c>
      <c r="S350" s="27" t="s">
        <v>80</v>
      </c>
      <c r="T350" s="27" t="s">
        <v>51</v>
      </c>
      <c r="U350" s="27">
        <v>9837969758</v>
      </c>
      <c r="V350" s="37" t="s">
        <v>53</v>
      </c>
      <c r="W350" s="49">
        <f t="shared" ca="1" si="10"/>
        <v>24</v>
      </c>
      <c r="X350" s="50">
        <f t="shared" si="11"/>
        <v>1</v>
      </c>
      <c r="Y350" s="46" t="str" cm="1">
        <f t="array" ref="Y350">_xlfn.IFS(X350&lt;=5,"On Time",X350&gt;5,"Delayed",X350=" ","Pending")</f>
        <v>On Time</v>
      </c>
    </row>
    <row r="351" spans="1:25" ht="15" thickBot="1" x14ac:dyDescent="0.4">
      <c r="A351" s="30" t="s">
        <v>479</v>
      </c>
      <c r="B351" s="30" t="s">
        <v>45</v>
      </c>
      <c r="C351" s="30" t="s">
        <v>24</v>
      </c>
      <c r="D351" s="31">
        <v>45996</v>
      </c>
      <c r="E351" s="31">
        <v>46001</v>
      </c>
      <c r="F351" s="30" t="s">
        <v>101</v>
      </c>
      <c r="G351" s="30" t="s">
        <v>26</v>
      </c>
      <c r="H351" s="31">
        <v>30790</v>
      </c>
      <c r="I351" s="30" t="s">
        <v>121</v>
      </c>
      <c r="J351" s="30" t="s">
        <v>38</v>
      </c>
      <c r="K351" s="30" t="s">
        <v>29</v>
      </c>
      <c r="L351" s="30" t="s">
        <v>30</v>
      </c>
      <c r="M351" s="30">
        <v>2</v>
      </c>
      <c r="N351" s="30">
        <v>2200</v>
      </c>
      <c r="O351" s="30">
        <v>0</v>
      </c>
      <c r="P351" s="30">
        <v>4400</v>
      </c>
      <c r="Q351" s="30">
        <v>4</v>
      </c>
      <c r="R351" s="30" t="s">
        <v>65</v>
      </c>
      <c r="S351" s="30" t="s">
        <v>96</v>
      </c>
      <c r="T351" s="30" t="s">
        <v>51</v>
      </c>
      <c r="U351" s="30">
        <v>9209736419</v>
      </c>
      <c r="V351" s="38" t="s">
        <v>52</v>
      </c>
      <c r="W351" s="49">
        <f t="shared" ca="1" si="10"/>
        <v>42</v>
      </c>
      <c r="X351" s="50">
        <f t="shared" si="11"/>
        <v>5</v>
      </c>
      <c r="Y351" s="46" t="str" cm="1">
        <f t="array" ref="Y351">_xlfn.IFS(X351&lt;=5,"On Time",X351&gt;5,"Delayed",X351=" ","Pending")</f>
        <v>On Time</v>
      </c>
    </row>
    <row r="352" spans="1:25" ht="15" thickBot="1" x14ac:dyDescent="0.4">
      <c r="A352" s="27" t="s">
        <v>480</v>
      </c>
      <c r="B352" s="27" t="s">
        <v>63</v>
      </c>
      <c r="C352" s="27" t="s">
        <v>112</v>
      </c>
      <c r="D352" s="28">
        <v>45868</v>
      </c>
      <c r="E352" s="28">
        <v>45873</v>
      </c>
      <c r="F352" s="27" t="s">
        <v>110</v>
      </c>
      <c r="G352" s="27" t="s">
        <v>58</v>
      </c>
      <c r="H352" s="28">
        <v>37803</v>
      </c>
      <c r="I352" s="27" t="s">
        <v>74</v>
      </c>
      <c r="J352" s="27" t="s">
        <v>75</v>
      </c>
      <c r="K352" s="27" t="s">
        <v>39</v>
      </c>
      <c r="L352" s="27" t="s">
        <v>114</v>
      </c>
      <c r="M352" s="27">
        <v>15</v>
      </c>
      <c r="N352" s="27">
        <v>700</v>
      </c>
      <c r="O352" s="27">
        <v>15</v>
      </c>
      <c r="P352" s="27">
        <v>8925</v>
      </c>
      <c r="Q352" s="27">
        <v>3</v>
      </c>
      <c r="R352" s="27" t="s">
        <v>41</v>
      </c>
      <c r="S352" s="27" t="s">
        <v>80</v>
      </c>
      <c r="T352" s="27" t="s">
        <v>66</v>
      </c>
      <c r="U352" s="27">
        <v>9645907237</v>
      </c>
      <c r="V352" s="35" t="s">
        <v>34</v>
      </c>
      <c r="W352" s="49">
        <f t="shared" ca="1" si="10"/>
        <v>23</v>
      </c>
      <c r="X352" s="50">
        <f t="shared" si="11"/>
        <v>5</v>
      </c>
      <c r="Y352" s="46" t="str" cm="1">
        <f t="array" ref="Y352">_xlfn.IFS(X352&lt;=5,"On Time",X352&gt;5,"Delayed",X352=" ","Pending")</f>
        <v>On Time</v>
      </c>
    </row>
    <row r="353" spans="1:25" ht="15" thickBot="1" x14ac:dyDescent="0.4">
      <c r="A353" s="30" t="s">
        <v>481</v>
      </c>
      <c r="B353" s="30" t="s">
        <v>87</v>
      </c>
      <c r="C353" s="30" t="s">
        <v>24</v>
      </c>
      <c r="D353" s="31">
        <v>45856</v>
      </c>
      <c r="E353" s="31">
        <v>45862</v>
      </c>
      <c r="F353" s="30" t="s">
        <v>88</v>
      </c>
      <c r="G353" s="30" t="s">
        <v>58</v>
      </c>
      <c r="H353" s="31">
        <v>33902</v>
      </c>
      <c r="I353" s="30" t="s">
        <v>91</v>
      </c>
      <c r="J353" s="30" t="s">
        <v>75</v>
      </c>
      <c r="K353" s="30" t="s">
        <v>29</v>
      </c>
      <c r="L353" s="30" t="s">
        <v>30</v>
      </c>
      <c r="M353" s="30">
        <v>5</v>
      </c>
      <c r="N353" s="30">
        <v>2200</v>
      </c>
      <c r="O353" s="30">
        <v>15</v>
      </c>
      <c r="P353" s="30">
        <v>9350</v>
      </c>
      <c r="Q353" s="30">
        <v>1</v>
      </c>
      <c r="R353" s="30" t="s">
        <v>41</v>
      </c>
      <c r="S353" s="30" t="s">
        <v>80</v>
      </c>
      <c r="T353" s="30" t="s">
        <v>89</v>
      </c>
      <c r="U353" s="30">
        <v>9566149945</v>
      </c>
      <c r="V353" s="38" t="s">
        <v>52</v>
      </c>
      <c r="W353" s="49">
        <f t="shared" ca="1" si="10"/>
        <v>34</v>
      </c>
      <c r="X353" s="50">
        <f t="shared" si="11"/>
        <v>6</v>
      </c>
      <c r="Y353" s="46" t="str" cm="1">
        <f t="array" ref="Y353">_xlfn.IFS(X353&lt;=5,"On Time",X353&gt;5,"Delayed",X353=" ","Pending")</f>
        <v>Delayed</v>
      </c>
    </row>
    <row r="354" spans="1:25" ht="15" thickBot="1" x14ac:dyDescent="0.4">
      <c r="A354" s="27" t="s">
        <v>482</v>
      </c>
      <c r="B354" s="27" t="s">
        <v>63</v>
      </c>
      <c r="C354" s="27" t="s">
        <v>56</v>
      </c>
      <c r="D354" s="28">
        <v>46092</v>
      </c>
      <c r="E354" s="28">
        <v>46093</v>
      </c>
      <c r="F354" s="27" t="s">
        <v>110</v>
      </c>
      <c r="G354" s="27" t="s">
        <v>58</v>
      </c>
      <c r="H354" s="28">
        <v>32360</v>
      </c>
      <c r="I354" s="27" t="s">
        <v>91</v>
      </c>
      <c r="J354" s="27" t="s">
        <v>75</v>
      </c>
      <c r="K354" s="27" t="s">
        <v>39</v>
      </c>
      <c r="L354" s="27" t="s">
        <v>59</v>
      </c>
      <c r="M354" s="27">
        <v>15</v>
      </c>
      <c r="N354" s="27">
        <v>1200</v>
      </c>
      <c r="O354" s="27">
        <v>0</v>
      </c>
      <c r="P354" s="27">
        <v>18000</v>
      </c>
      <c r="Q354" s="27">
        <v>3</v>
      </c>
      <c r="R354" s="27" t="s">
        <v>41</v>
      </c>
      <c r="S354" s="27" t="s">
        <v>50</v>
      </c>
      <c r="T354" s="27" t="s">
        <v>66</v>
      </c>
      <c r="U354" s="27">
        <v>9935018068</v>
      </c>
      <c r="V354" s="37" t="s">
        <v>53</v>
      </c>
      <c r="W354" s="49">
        <f t="shared" ca="1" si="10"/>
        <v>38</v>
      </c>
      <c r="X354" s="50">
        <f t="shared" si="11"/>
        <v>1</v>
      </c>
      <c r="Y354" s="46" t="str" cm="1">
        <f t="array" ref="Y354">_xlfn.IFS(X354&lt;=5,"On Time",X354&gt;5,"Delayed",X354=" ","Pending")</f>
        <v>On Time</v>
      </c>
    </row>
    <row r="355" spans="1:25" ht="15" thickBot="1" x14ac:dyDescent="0.4">
      <c r="A355" s="30" t="s">
        <v>483</v>
      </c>
      <c r="B355" s="30" t="s">
        <v>134</v>
      </c>
      <c r="C355" s="30" t="s">
        <v>56</v>
      </c>
      <c r="D355" s="31">
        <v>46120</v>
      </c>
      <c r="E355" s="31">
        <v>46122</v>
      </c>
      <c r="F355" s="30" t="s">
        <v>135</v>
      </c>
      <c r="G355" s="30" t="s">
        <v>26</v>
      </c>
      <c r="H355" s="31">
        <v>31952</v>
      </c>
      <c r="I355" s="30" t="s">
        <v>74</v>
      </c>
      <c r="J355" s="30" t="s">
        <v>75</v>
      </c>
      <c r="K355" s="30" t="s">
        <v>39</v>
      </c>
      <c r="L355" s="30" t="s">
        <v>59</v>
      </c>
      <c r="M355" s="30">
        <v>19</v>
      </c>
      <c r="N355" s="30">
        <v>1200</v>
      </c>
      <c r="O355" s="30">
        <v>0</v>
      </c>
      <c r="P355" s="30">
        <v>22800</v>
      </c>
      <c r="Q355" s="30">
        <v>1</v>
      </c>
      <c r="R355" s="30" t="s">
        <v>31</v>
      </c>
      <c r="S355" s="30" t="s">
        <v>42</v>
      </c>
      <c r="T355" s="30" t="s">
        <v>136</v>
      </c>
      <c r="U355" s="30">
        <v>9171794652</v>
      </c>
      <c r="V355" s="38" t="s">
        <v>53</v>
      </c>
      <c r="W355" s="49">
        <f t="shared" ca="1" si="10"/>
        <v>39</v>
      </c>
      <c r="X355" s="50">
        <f t="shared" si="11"/>
        <v>2</v>
      </c>
      <c r="Y355" s="46" t="str" cm="1">
        <f t="array" ref="Y355">_xlfn.IFS(X355&lt;=5,"On Time",X355&gt;5,"Delayed",X355=" ","Pending")</f>
        <v>On Time</v>
      </c>
    </row>
    <row r="356" spans="1:25" ht="15" thickBot="1" x14ac:dyDescent="0.4">
      <c r="A356" s="27" t="s">
        <v>484</v>
      </c>
      <c r="B356" s="27" t="s">
        <v>104</v>
      </c>
      <c r="C356" s="27" t="s">
        <v>36</v>
      </c>
      <c r="D356" s="28">
        <v>45918</v>
      </c>
      <c r="E356" s="28">
        <v>45925</v>
      </c>
      <c r="F356" s="27" t="s">
        <v>166</v>
      </c>
      <c r="G356" s="27" t="s">
        <v>26</v>
      </c>
      <c r="H356" s="28">
        <v>32800</v>
      </c>
      <c r="I356" s="27" t="s">
        <v>74</v>
      </c>
      <c r="J356" s="27" t="s">
        <v>75</v>
      </c>
      <c r="K356" s="27" t="s">
        <v>39</v>
      </c>
      <c r="L356" s="27" t="s">
        <v>40</v>
      </c>
      <c r="M356" s="27">
        <v>9</v>
      </c>
      <c r="N356" s="27">
        <v>12000</v>
      </c>
      <c r="O356" s="27">
        <v>15</v>
      </c>
      <c r="P356" s="27">
        <v>91800</v>
      </c>
      <c r="Q356" s="27">
        <v>3</v>
      </c>
      <c r="R356" s="27" t="s">
        <v>65</v>
      </c>
      <c r="S356" s="27" t="s">
        <v>42</v>
      </c>
      <c r="T356" s="27" t="s">
        <v>108</v>
      </c>
      <c r="U356" s="27">
        <v>9671497416</v>
      </c>
      <c r="V356" s="37" t="s">
        <v>53</v>
      </c>
      <c r="W356" s="49">
        <f t="shared" ca="1" si="10"/>
        <v>37</v>
      </c>
      <c r="X356" s="50">
        <f t="shared" si="11"/>
        <v>7</v>
      </c>
      <c r="Y356" s="46" t="str" cm="1">
        <f t="array" ref="Y356">_xlfn.IFS(X356&lt;=5,"On Time",X356&gt;5,"Delayed",X356=" ","Pending")</f>
        <v>Delayed</v>
      </c>
    </row>
    <row r="357" spans="1:25" ht="15" thickBot="1" x14ac:dyDescent="0.4">
      <c r="A357" s="30" t="s">
        <v>485</v>
      </c>
      <c r="B357" s="30" t="s">
        <v>23</v>
      </c>
      <c r="C357" s="30" t="s">
        <v>138</v>
      </c>
      <c r="D357" s="31">
        <v>45941</v>
      </c>
      <c r="E357" s="31">
        <v>45951</v>
      </c>
      <c r="F357" s="30" t="s">
        <v>25</v>
      </c>
      <c r="G357" s="30" t="s">
        <v>26</v>
      </c>
      <c r="H357" s="31">
        <v>33746</v>
      </c>
      <c r="I357" s="30" t="s">
        <v>121</v>
      </c>
      <c r="J357" s="30" t="s">
        <v>38</v>
      </c>
      <c r="K357" s="30" t="s">
        <v>83</v>
      </c>
      <c r="L357" s="30" t="s">
        <v>139</v>
      </c>
      <c r="M357" s="30">
        <v>5</v>
      </c>
      <c r="N357" s="30">
        <v>45</v>
      </c>
      <c r="O357" s="30">
        <v>5</v>
      </c>
      <c r="P357" s="30">
        <v>213.75</v>
      </c>
      <c r="Q357" s="30">
        <v>1</v>
      </c>
      <c r="R357" s="30" t="s">
        <v>60</v>
      </c>
      <c r="S357" s="30" t="s">
        <v>80</v>
      </c>
      <c r="T357" s="30" t="s">
        <v>43</v>
      </c>
      <c r="U357" s="30">
        <v>9810433484</v>
      </c>
      <c r="V357" s="36" t="s">
        <v>34</v>
      </c>
      <c r="W357" s="49">
        <f t="shared" ca="1" si="10"/>
        <v>34</v>
      </c>
      <c r="X357" s="50">
        <f t="shared" si="11"/>
        <v>10</v>
      </c>
      <c r="Y357" s="46" t="str" cm="1">
        <f t="array" ref="Y357">_xlfn.IFS(X357&lt;=5,"On Time",X357&gt;5,"Delayed",X357=" ","Pending")</f>
        <v>Delayed</v>
      </c>
    </row>
    <row r="358" spans="1:25" ht="15" thickBot="1" x14ac:dyDescent="0.4">
      <c r="A358" s="27" t="s">
        <v>486</v>
      </c>
      <c r="B358" s="27" t="s">
        <v>134</v>
      </c>
      <c r="C358" s="27" t="s">
        <v>112</v>
      </c>
      <c r="D358" s="27" t="s">
        <v>487</v>
      </c>
      <c r="E358" s="28">
        <v>45699</v>
      </c>
      <c r="F358" s="27" t="s">
        <v>135</v>
      </c>
      <c r="G358" s="27" t="s">
        <v>26</v>
      </c>
      <c r="H358" s="28">
        <v>32822</v>
      </c>
      <c r="I358" s="27" t="s">
        <v>74</v>
      </c>
      <c r="J358" s="27" t="s">
        <v>75</v>
      </c>
      <c r="K358" s="27" t="s">
        <v>39</v>
      </c>
      <c r="L358" s="27" t="s">
        <v>114</v>
      </c>
      <c r="M358" s="27">
        <v>3</v>
      </c>
      <c r="N358" s="27">
        <v>700</v>
      </c>
      <c r="O358" s="27">
        <v>15</v>
      </c>
      <c r="P358" s="27">
        <v>1785</v>
      </c>
      <c r="Q358" s="27">
        <v>4</v>
      </c>
      <c r="R358" s="27" t="s">
        <v>31</v>
      </c>
      <c r="S358" s="27" t="s">
        <v>96</v>
      </c>
      <c r="T358" s="27" t="s">
        <v>136</v>
      </c>
      <c r="U358" s="27">
        <v>9990243436</v>
      </c>
      <c r="V358" s="35" t="s">
        <v>34</v>
      </c>
      <c r="W358" s="49">
        <f t="shared" ca="1" si="10"/>
        <v>36</v>
      </c>
      <c r="X358" s="50" t="str">
        <f t="shared" si="11"/>
        <v/>
      </c>
      <c r="Y358" s="46" t="str" cm="1">
        <f t="array" ref="Y358">_xlfn.IFS(X358&lt;=5,"On Time",X358&gt;5,"Delayed",X358=" ","Pending")</f>
        <v>Delayed</v>
      </c>
    </row>
    <row r="359" spans="1:25" ht="15" thickBot="1" x14ac:dyDescent="0.4">
      <c r="A359" s="30" t="s">
        <v>488</v>
      </c>
      <c r="B359" s="30" t="s">
        <v>55</v>
      </c>
      <c r="C359" s="30" t="s">
        <v>105</v>
      </c>
      <c r="D359" s="31">
        <v>46005</v>
      </c>
      <c r="E359" s="31">
        <v>46017</v>
      </c>
      <c r="F359" s="30" t="s">
        <v>57</v>
      </c>
      <c r="G359" s="30" t="s">
        <v>58</v>
      </c>
      <c r="H359" s="31">
        <v>29467</v>
      </c>
      <c r="I359" s="30" t="s">
        <v>121</v>
      </c>
      <c r="J359" s="30" t="s">
        <v>38</v>
      </c>
      <c r="K359" s="30" t="s">
        <v>29</v>
      </c>
      <c r="L359" s="30" t="s">
        <v>107</v>
      </c>
      <c r="M359" s="30">
        <v>12</v>
      </c>
      <c r="N359" s="30">
        <v>8500</v>
      </c>
      <c r="O359" s="30">
        <v>5</v>
      </c>
      <c r="P359" s="30">
        <v>96900</v>
      </c>
      <c r="Q359" s="30">
        <v>3</v>
      </c>
      <c r="R359" s="30" t="s">
        <v>60</v>
      </c>
      <c r="S359" s="30" t="s">
        <v>50</v>
      </c>
      <c r="T359" s="30" t="s">
        <v>61</v>
      </c>
      <c r="U359" s="30">
        <v>9396678031</v>
      </c>
      <c r="V359" s="38" t="s">
        <v>52</v>
      </c>
      <c r="W359" s="49">
        <f t="shared" ca="1" si="10"/>
        <v>46</v>
      </c>
      <c r="X359" s="50">
        <f t="shared" si="11"/>
        <v>12</v>
      </c>
      <c r="Y359" s="46" t="str" cm="1">
        <f t="array" ref="Y359">_xlfn.IFS(X359&lt;=5,"On Time",X359&gt;5,"Delayed",X359=" ","Pending")</f>
        <v>Delayed</v>
      </c>
    </row>
    <row r="360" spans="1:25" ht="15" thickBot="1" x14ac:dyDescent="0.4">
      <c r="A360" s="27" t="s">
        <v>489</v>
      </c>
      <c r="B360" s="27" t="s">
        <v>134</v>
      </c>
      <c r="C360" s="27" t="s">
        <v>105</v>
      </c>
      <c r="D360" s="28">
        <v>46123</v>
      </c>
      <c r="E360" s="28">
        <v>46131</v>
      </c>
      <c r="F360" s="27" t="s">
        <v>135</v>
      </c>
      <c r="G360" s="27" t="s">
        <v>26</v>
      </c>
      <c r="H360" s="28">
        <v>28920</v>
      </c>
      <c r="I360" s="27" t="s">
        <v>79</v>
      </c>
      <c r="J360" s="27" t="s">
        <v>75</v>
      </c>
      <c r="K360" s="27" t="s">
        <v>29</v>
      </c>
      <c r="L360" s="27" t="s">
        <v>107</v>
      </c>
      <c r="M360" s="27">
        <v>4</v>
      </c>
      <c r="N360" s="27">
        <v>8500</v>
      </c>
      <c r="O360" s="27">
        <v>15</v>
      </c>
      <c r="P360" s="27">
        <v>28900</v>
      </c>
      <c r="Q360" s="27">
        <v>4</v>
      </c>
      <c r="R360" s="27" t="s">
        <v>41</v>
      </c>
      <c r="S360" s="27" t="s">
        <v>50</v>
      </c>
      <c r="T360" s="27" t="s">
        <v>136</v>
      </c>
      <c r="U360" s="27">
        <v>9818591245</v>
      </c>
      <c r="V360" s="37" t="s">
        <v>52</v>
      </c>
      <c r="W360" s="49">
        <f t="shared" ca="1" si="10"/>
        <v>47</v>
      </c>
      <c r="X360" s="50">
        <f t="shared" si="11"/>
        <v>8</v>
      </c>
      <c r="Y360" s="46" t="str" cm="1">
        <f t="array" ref="Y360">_xlfn.IFS(X360&lt;=5,"On Time",X360&gt;5,"Delayed",X360=" ","Pending")</f>
        <v>Delayed</v>
      </c>
    </row>
    <row r="361" spans="1:25" ht="15" thickBot="1" x14ac:dyDescent="0.4">
      <c r="A361" s="30" t="s">
        <v>490</v>
      </c>
      <c r="B361" s="30" t="s">
        <v>87</v>
      </c>
      <c r="C361" s="30" t="s">
        <v>125</v>
      </c>
      <c r="D361" s="31">
        <v>45766</v>
      </c>
      <c r="E361" s="31">
        <v>45769</v>
      </c>
      <c r="F361" s="30" t="s">
        <v>88</v>
      </c>
      <c r="G361" s="30" t="s">
        <v>58</v>
      </c>
      <c r="H361" s="31">
        <v>35312</v>
      </c>
      <c r="I361" s="30" t="s">
        <v>121</v>
      </c>
      <c r="J361" s="30" t="s">
        <v>38</v>
      </c>
      <c r="K361" s="30" t="s">
        <v>83</v>
      </c>
      <c r="L361" s="30" t="s">
        <v>127</v>
      </c>
      <c r="M361" s="30">
        <v>16</v>
      </c>
      <c r="N361" s="30">
        <v>20</v>
      </c>
      <c r="O361" s="30">
        <v>10</v>
      </c>
      <c r="P361" s="30">
        <v>288</v>
      </c>
      <c r="Q361" s="30">
        <v>4</v>
      </c>
      <c r="R361" s="30" t="s">
        <v>31</v>
      </c>
      <c r="S361" s="30" t="s">
        <v>80</v>
      </c>
      <c r="T361" s="30" t="s">
        <v>89</v>
      </c>
      <c r="U361" s="30">
        <v>9505550047</v>
      </c>
      <c r="V361" s="38" t="s">
        <v>53</v>
      </c>
      <c r="W361" s="49">
        <f t="shared" ca="1" si="10"/>
        <v>30</v>
      </c>
      <c r="X361" s="50">
        <f t="shared" si="11"/>
        <v>3</v>
      </c>
      <c r="Y361" s="46" t="str" cm="1">
        <f t="array" ref="Y361">_xlfn.IFS(X361&lt;=5,"On Time",X361&gt;5,"Delayed",X361=" ","Pending")</f>
        <v>On Time</v>
      </c>
    </row>
    <row r="362" spans="1:25" ht="15" thickBot="1" x14ac:dyDescent="0.4">
      <c r="A362" s="27" t="s">
        <v>491</v>
      </c>
      <c r="B362" s="27" t="s">
        <v>87</v>
      </c>
      <c r="C362" s="27" t="s">
        <v>82</v>
      </c>
      <c r="D362" s="28">
        <v>46152</v>
      </c>
      <c r="E362" s="28">
        <v>46160</v>
      </c>
      <c r="F362" s="27" t="s">
        <v>88</v>
      </c>
      <c r="G362" s="27" t="s">
        <v>58</v>
      </c>
      <c r="H362" s="28">
        <v>36233</v>
      </c>
      <c r="I362" s="27" t="s">
        <v>74</v>
      </c>
      <c r="J362" s="27" t="s">
        <v>75</v>
      </c>
      <c r="K362" s="27" t="s">
        <v>83</v>
      </c>
      <c r="L362" s="27" t="s">
        <v>84</v>
      </c>
      <c r="M362" s="27">
        <v>3</v>
      </c>
      <c r="N362" s="27">
        <v>60</v>
      </c>
      <c r="O362" s="27">
        <v>20</v>
      </c>
      <c r="P362" s="27">
        <v>144</v>
      </c>
      <c r="Q362" s="27">
        <v>4</v>
      </c>
      <c r="R362" s="27" t="s">
        <v>65</v>
      </c>
      <c r="S362" s="27" t="s">
        <v>96</v>
      </c>
      <c r="T362" s="27" t="s">
        <v>89</v>
      </c>
      <c r="U362" s="27">
        <v>9469828772</v>
      </c>
      <c r="V362" s="37" t="s">
        <v>52</v>
      </c>
      <c r="W362" s="49">
        <f t="shared" ca="1" si="10"/>
        <v>27</v>
      </c>
      <c r="X362" s="50">
        <f t="shared" si="11"/>
        <v>8</v>
      </c>
      <c r="Y362" s="46" t="str" cm="1">
        <f t="array" ref="Y362">_xlfn.IFS(X362&lt;=5,"On Time",X362&gt;5,"Delayed",X362=" ","Pending")</f>
        <v>Delayed</v>
      </c>
    </row>
    <row r="363" spans="1:25" ht="15" thickBot="1" x14ac:dyDescent="0.4">
      <c r="A363" s="30" t="s">
        <v>492</v>
      </c>
      <c r="B363" s="30" t="s">
        <v>55</v>
      </c>
      <c r="C363" s="30" t="s">
        <v>24</v>
      </c>
      <c r="D363" s="31">
        <v>45858</v>
      </c>
      <c r="E363" s="31">
        <v>45864</v>
      </c>
      <c r="F363" s="30" t="s">
        <v>57</v>
      </c>
      <c r="G363" s="30" t="s">
        <v>58</v>
      </c>
      <c r="H363" s="31">
        <v>30958</v>
      </c>
      <c r="I363" s="30" t="s">
        <v>74</v>
      </c>
      <c r="J363" s="30" t="s">
        <v>75</v>
      </c>
      <c r="K363" s="30" t="s">
        <v>29</v>
      </c>
      <c r="L363" s="30" t="s">
        <v>30</v>
      </c>
      <c r="M363" s="30">
        <v>19</v>
      </c>
      <c r="N363" s="30">
        <v>2200</v>
      </c>
      <c r="O363" s="30">
        <v>10</v>
      </c>
      <c r="P363" s="30">
        <v>37620</v>
      </c>
      <c r="Q363" s="30">
        <v>2</v>
      </c>
      <c r="R363" s="30" t="s">
        <v>31</v>
      </c>
      <c r="S363" s="30" t="s">
        <v>96</v>
      </c>
      <c r="T363" s="30" t="s">
        <v>61</v>
      </c>
      <c r="U363" s="30">
        <v>9885092680</v>
      </c>
      <c r="V363" s="38" t="s">
        <v>52</v>
      </c>
      <c r="W363" s="49">
        <f t="shared" ca="1" si="10"/>
        <v>42</v>
      </c>
      <c r="X363" s="50">
        <f t="shared" si="11"/>
        <v>6</v>
      </c>
      <c r="Y363" s="46" t="str" cm="1">
        <f t="array" ref="Y363">_xlfn.IFS(X363&lt;=5,"On Time",X363&gt;5,"Delayed",X363=" ","Pending")</f>
        <v>Delayed</v>
      </c>
    </row>
    <row r="364" spans="1:25" ht="15" thickBot="1" x14ac:dyDescent="0.4">
      <c r="A364" s="27" t="s">
        <v>493</v>
      </c>
      <c r="B364" s="27" t="s">
        <v>55</v>
      </c>
      <c r="C364" s="27" t="s">
        <v>56</v>
      </c>
      <c r="D364" s="28">
        <v>46045</v>
      </c>
      <c r="E364" s="28">
        <v>46049</v>
      </c>
      <c r="F364" s="27" t="s">
        <v>57</v>
      </c>
      <c r="G364" s="27" t="s">
        <v>58</v>
      </c>
      <c r="H364" s="28">
        <v>30872</v>
      </c>
      <c r="I364" s="27" t="s">
        <v>27</v>
      </c>
      <c r="J364" s="27" t="s">
        <v>28</v>
      </c>
      <c r="K364" s="27" t="s">
        <v>39</v>
      </c>
      <c r="L364" s="27" t="s">
        <v>59</v>
      </c>
      <c r="M364" s="27">
        <v>7</v>
      </c>
      <c r="N364" s="27">
        <v>1200</v>
      </c>
      <c r="O364" s="27">
        <v>20</v>
      </c>
      <c r="P364" s="27">
        <v>6720</v>
      </c>
      <c r="Q364" s="27">
        <v>3</v>
      </c>
      <c r="R364" s="27" t="s">
        <v>60</v>
      </c>
      <c r="S364" s="27" t="s">
        <v>80</v>
      </c>
      <c r="T364" s="27" t="s">
        <v>61</v>
      </c>
      <c r="U364" s="27">
        <v>9362319457</v>
      </c>
      <c r="V364" s="37" t="s">
        <v>53</v>
      </c>
      <c r="W364" s="49">
        <f t="shared" ca="1" si="10"/>
        <v>42</v>
      </c>
      <c r="X364" s="50">
        <f t="shared" si="11"/>
        <v>4</v>
      </c>
      <c r="Y364" s="46" t="str" cm="1">
        <f t="array" ref="Y364">_xlfn.IFS(X364&lt;=5,"On Time",X364&gt;5,"Delayed",X364=" ","Pending")</f>
        <v>On Time</v>
      </c>
    </row>
    <row r="365" spans="1:25" ht="15" thickBot="1" x14ac:dyDescent="0.4">
      <c r="A365" s="30" t="s">
        <v>494</v>
      </c>
      <c r="B365" s="30" t="s">
        <v>45</v>
      </c>
      <c r="C365" s="30" t="s">
        <v>125</v>
      </c>
      <c r="D365" s="31">
        <v>46097</v>
      </c>
      <c r="E365" s="31">
        <v>46102</v>
      </c>
      <c r="F365" s="30" t="s">
        <v>101</v>
      </c>
      <c r="G365" s="30" t="s">
        <v>26</v>
      </c>
      <c r="H365" s="31">
        <v>32577</v>
      </c>
      <c r="I365" s="30" t="s">
        <v>48</v>
      </c>
      <c r="J365" s="30" t="s">
        <v>28</v>
      </c>
      <c r="K365" s="30" t="s">
        <v>83</v>
      </c>
      <c r="L365" s="30" t="s">
        <v>127</v>
      </c>
      <c r="M365" s="30">
        <v>20</v>
      </c>
      <c r="N365" s="30">
        <v>20</v>
      </c>
      <c r="O365" s="30">
        <v>20</v>
      </c>
      <c r="P365" s="30">
        <v>320</v>
      </c>
      <c r="Q365" s="30">
        <v>5</v>
      </c>
      <c r="R365" s="30" t="s">
        <v>60</v>
      </c>
      <c r="S365" s="30" t="s">
        <v>80</v>
      </c>
      <c r="T365" s="30" t="s">
        <v>51</v>
      </c>
      <c r="U365" s="30">
        <v>9223945130</v>
      </c>
      <c r="V365" s="38" t="s">
        <v>52</v>
      </c>
      <c r="W365" s="49">
        <f t="shared" ca="1" si="10"/>
        <v>37</v>
      </c>
      <c r="X365" s="50">
        <f t="shared" si="11"/>
        <v>5</v>
      </c>
      <c r="Y365" s="46" t="str" cm="1">
        <f t="array" ref="Y365">_xlfn.IFS(X365&lt;=5,"On Time",X365&gt;5,"Delayed",X365=" ","Pending")</f>
        <v>On Time</v>
      </c>
    </row>
    <row r="366" spans="1:25" ht="15" thickBot="1" x14ac:dyDescent="0.4">
      <c r="A366" s="27" t="s">
        <v>495</v>
      </c>
      <c r="B366" s="27" t="s">
        <v>72</v>
      </c>
      <c r="C366" s="27" t="s">
        <v>56</v>
      </c>
      <c r="D366" s="28">
        <v>45777</v>
      </c>
      <c r="E366" s="28">
        <v>45784</v>
      </c>
      <c r="F366" s="27" t="s">
        <v>73</v>
      </c>
      <c r="G366" s="27" t="s">
        <v>26</v>
      </c>
      <c r="H366" s="28">
        <v>31156</v>
      </c>
      <c r="I366" s="27" t="s">
        <v>27</v>
      </c>
      <c r="J366" s="27" t="s">
        <v>28</v>
      </c>
      <c r="K366" s="27" t="s">
        <v>39</v>
      </c>
      <c r="L366" s="27" t="s">
        <v>59</v>
      </c>
      <c r="M366" s="27">
        <v>19</v>
      </c>
      <c r="N366" s="27">
        <v>1200</v>
      </c>
      <c r="O366" s="27">
        <v>5</v>
      </c>
      <c r="P366" s="27">
        <v>21660</v>
      </c>
      <c r="Q366" s="27">
        <v>3</v>
      </c>
      <c r="R366" s="27" t="s">
        <v>60</v>
      </c>
      <c r="S366" s="27" t="s">
        <v>32</v>
      </c>
      <c r="T366" s="27" t="s">
        <v>93</v>
      </c>
      <c r="U366" s="27">
        <v>9910804926</v>
      </c>
      <c r="V366" s="37" t="s">
        <v>52</v>
      </c>
      <c r="W366" s="49">
        <f t="shared" ca="1" si="10"/>
        <v>41</v>
      </c>
      <c r="X366" s="50">
        <f t="shared" si="11"/>
        <v>7</v>
      </c>
      <c r="Y366" s="46" t="str" cm="1">
        <f t="array" ref="Y366">_xlfn.IFS(X366&lt;=5,"On Time",X366&gt;5,"Delayed",X366=" ","Pending")</f>
        <v>Delayed</v>
      </c>
    </row>
    <row r="367" spans="1:25" ht="15" thickBot="1" x14ac:dyDescent="0.4">
      <c r="A367" s="30" t="s">
        <v>496</v>
      </c>
      <c r="B367" s="30" t="s">
        <v>45</v>
      </c>
      <c r="C367" s="30" t="s">
        <v>125</v>
      </c>
      <c r="D367" s="31">
        <v>45691</v>
      </c>
      <c r="E367" s="31">
        <v>45701</v>
      </c>
      <c r="F367" s="30" t="s">
        <v>101</v>
      </c>
      <c r="G367" s="30" t="s">
        <v>26</v>
      </c>
      <c r="H367" s="31">
        <v>37846</v>
      </c>
      <c r="I367" s="30" t="s">
        <v>27</v>
      </c>
      <c r="J367" s="30" t="s">
        <v>28</v>
      </c>
      <c r="K367" s="30" t="s">
        <v>83</v>
      </c>
      <c r="L367" s="30" t="s">
        <v>127</v>
      </c>
      <c r="M367" s="30">
        <v>5</v>
      </c>
      <c r="N367" s="30">
        <v>20</v>
      </c>
      <c r="O367" s="30">
        <v>0</v>
      </c>
      <c r="P367" s="30">
        <v>100</v>
      </c>
      <c r="Q367" s="30">
        <v>2</v>
      </c>
      <c r="R367" s="30" t="s">
        <v>65</v>
      </c>
      <c r="S367" s="30" t="s">
        <v>42</v>
      </c>
      <c r="T367" s="30" t="s">
        <v>51</v>
      </c>
      <c r="U367" s="30">
        <v>9274269744</v>
      </c>
      <c r="V367" s="38" t="s">
        <v>52</v>
      </c>
      <c r="W367" s="49">
        <f t="shared" ca="1" si="10"/>
        <v>23</v>
      </c>
      <c r="X367" s="50">
        <f t="shared" si="11"/>
        <v>10</v>
      </c>
      <c r="Y367" s="46" t="str" cm="1">
        <f t="array" ref="Y367">_xlfn.IFS(X367&lt;=5,"On Time",X367&gt;5,"Delayed",X367=" ","Pending")</f>
        <v>Delayed</v>
      </c>
    </row>
    <row r="368" spans="1:25" ht="15" thickBot="1" x14ac:dyDescent="0.4">
      <c r="A368" s="27" t="s">
        <v>497</v>
      </c>
      <c r="B368" s="27" t="s">
        <v>72</v>
      </c>
      <c r="C368" s="27" t="s">
        <v>138</v>
      </c>
      <c r="D368" s="28">
        <v>46088</v>
      </c>
      <c r="E368" s="28">
        <v>46097</v>
      </c>
      <c r="F368" s="27" t="s">
        <v>73</v>
      </c>
      <c r="G368" s="27" t="s">
        <v>26</v>
      </c>
      <c r="H368" s="28">
        <v>30570</v>
      </c>
      <c r="I368" s="27" t="s">
        <v>121</v>
      </c>
      <c r="J368" s="27" t="s">
        <v>38</v>
      </c>
      <c r="K368" s="27" t="s">
        <v>83</v>
      </c>
      <c r="L368" s="27" t="s">
        <v>139</v>
      </c>
      <c r="M368" s="27">
        <v>16</v>
      </c>
      <c r="N368" s="27">
        <v>45</v>
      </c>
      <c r="O368" s="27">
        <v>15</v>
      </c>
      <c r="P368" s="27">
        <v>612</v>
      </c>
      <c r="Q368" s="27">
        <v>5</v>
      </c>
      <c r="R368" s="27" t="s">
        <v>31</v>
      </c>
      <c r="S368" s="27" t="s">
        <v>50</v>
      </c>
      <c r="T368" s="27" t="s">
        <v>93</v>
      </c>
      <c r="U368" s="27">
        <v>9223196101</v>
      </c>
      <c r="V368" s="37" t="s">
        <v>53</v>
      </c>
      <c r="W368" s="49">
        <f t="shared" ca="1" si="10"/>
        <v>43</v>
      </c>
      <c r="X368" s="50">
        <f t="shared" si="11"/>
        <v>9</v>
      </c>
      <c r="Y368" s="46" t="str" cm="1">
        <f t="array" ref="Y368">_xlfn.IFS(X368&lt;=5,"On Time",X368&gt;5,"Delayed",X368=" ","Pending")</f>
        <v>Delayed</v>
      </c>
    </row>
    <row r="369" spans="1:25" ht="15" thickBot="1" x14ac:dyDescent="0.4">
      <c r="A369" s="30" t="s">
        <v>498</v>
      </c>
      <c r="B369" s="30" t="s">
        <v>23</v>
      </c>
      <c r="C369" s="30" t="s">
        <v>24</v>
      </c>
      <c r="D369" s="31">
        <v>45780</v>
      </c>
      <c r="E369" s="31">
        <v>45792</v>
      </c>
      <c r="F369" s="30" t="s">
        <v>25</v>
      </c>
      <c r="G369" s="30" t="s">
        <v>26</v>
      </c>
      <c r="H369" s="31">
        <v>27922</v>
      </c>
      <c r="I369" s="30" t="s">
        <v>121</v>
      </c>
      <c r="J369" s="30" t="s">
        <v>38</v>
      </c>
      <c r="K369" s="30" t="s">
        <v>29</v>
      </c>
      <c r="L369" s="30" t="s">
        <v>30</v>
      </c>
      <c r="M369" s="30">
        <v>1</v>
      </c>
      <c r="N369" s="30">
        <v>2200</v>
      </c>
      <c r="O369" s="30">
        <v>10</v>
      </c>
      <c r="P369" s="30">
        <v>1980</v>
      </c>
      <c r="Q369" s="30">
        <v>5</v>
      </c>
      <c r="R369" s="30" t="s">
        <v>60</v>
      </c>
      <c r="S369" s="30" t="s">
        <v>42</v>
      </c>
      <c r="T369" s="30" t="s">
        <v>43</v>
      </c>
      <c r="U369" s="30">
        <v>9888477457</v>
      </c>
      <c r="V369" s="36" t="s">
        <v>34</v>
      </c>
      <c r="W369" s="49">
        <f t="shared" ca="1" si="10"/>
        <v>50</v>
      </c>
      <c r="X369" s="50">
        <f t="shared" si="11"/>
        <v>12</v>
      </c>
      <c r="Y369" s="46" t="str" cm="1">
        <f t="array" ref="Y369">_xlfn.IFS(X369&lt;=5,"On Time",X369&gt;5,"Delayed",X369=" ","Pending")</f>
        <v>Delayed</v>
      </c>
    </row>
    <row r="370" spans="1:25" ht="15" thickBot="1" x14ac:dyDescent="0.4">
      <c r="A370" s="27" t="s">
        <v>499</v>
      </c>
      <c r="B370" s="27" t="s">
        <v>45</v>
      </c>
      <c r="C370" s="27" t="s">
        <v>82</v>
      </c>
      <c r="D370" s="28">
        <v>46113</v>
      </c>
      <c r="E370" s="28">
        <v>46117</v>
      </c>
      <c r="F370" s="27" t="s">
        <v>101</v>
      </c>
      <c r="G370" s="27" t="s">
        <v>26</v>
      </c>
      <c r="H370" s="28">
        <v>31781</v>
      </c>
      <c r="I370" s="27" t="s">
        <v>27</v>
      </c>
      <c r="J370" s="27" t="s">
        <v>28</v>
      </c>
      <c r="K370" s="27" t="s">
        <v>83</v>
      </c>
      <c r="L370" s="27" t="s">
        <v>84</v>
      </c>
      <c r="M370" s="27">
        <v>19</v>
      </c>
      <c r="N370" s="27">
        <v>60</v>
      </c>
      <c r="O370" s="27">
        <v>15</v>
      </c>
      <c r="P370" s="27">
        <v>969</v>
      </c>
      <c r="Q370" s="27">
        <v>4</v>
      </c>
      <c r="R370" s="27" t="s">
        <v>41</v>
      </c>
      <c r="S370" s="27" t="s">
        <v>80</v>
      </c>
      <c r="T370" s="27" t="s">
        <v>51</v>
      </c>
      <c r="U370" s="27">
        <v>9435947486</v>
      </c>
      <c r="V370" s="37" t="s">
        <v>53</v>
      </c>
      <c r="W370" s="49">
        <f t="shared" ca="1" si="10"/>
        <v>39</v>
      </c>
      <c r="X370" s="50">
        <f t="shared" si="11"/>
        <v>4</v>
      </c>
      <c r="Y370" s="46" t="str" cm="1">
        <f t="array" ref="Y370">_xlfn.IFS(X370&lt;=5,"On Time",X370&gt;5,"Delayed",X370=" ","Pending")</f>
        <v>On Time</v>
      </c>
    </row>
    <row r="371" spans="1:25" ht="15" thickBot="1" x14ac:dyDescent="0.4">
      <c r="A371" s="30" t="s">
        <v>500</v>
      </c>
      <c r="B371" s="30" t="s">
        <v>156</v>
      </c>
      <c r="C371" s="30" t="s">
        <v>46</v>
      </c>
      <c r="D371" s="30"/>
      <c r="E371" s="31">
        <v>45690</v>
      </c>
      <c r="F371" s="30" t="s">
        <v>106</v>
      </c>
      <c r="G371" s="30" t="s">
        <v>58</v>
      </c>
      <c r="H371" s="31">
        <v>33738</v>
      </c>
      <c r="I371" s="30" t="s">
        <v>37</v>
      </c>
      <c r="J371" s="30" t="s">
        <v>38</v>
      </c>
      <c r="K371" s="30" t="s">
        <v>39</v>
      </c>
      <c r="L371" s="30" t="s">
        <v>49</v>
      </c>
      <c r="M371" s="30">
        <v>15</v>
      </c>
      <c r="N371" s="30">
        <v>55000</v>
      </c>
      <c r="O371" s="30">
        <v>0</v>
      </c>
      <c r="P371" s="30">
        <v>825000</v>
      </c>
      <c r="Q371" s="30">
        <v>5</v>
      </c>
      <c r="R371" s="30" t="s">
        <v>60</v>
      </c>
      <c r="S371" s="30" t="s">
        <v>80</v>
      </c>
      <c r="T371" s="30" t="s">
        <v>158</v>
      </c>
      <c r="U371" s="30">
        <v>9411668831</v>
      </c>
      <c r="V371" s="38" t="s">
        <v>53</v>
      </c>
      <c r="W371" s="49">
        <f t="shared" ca="1" si="10"/>
        <v>34</v>
      </c>
      <c r="X371" s="50">
        <f t="shared" si="11"/>
        <v>45690</v>
      </c>
      <c r="Y371" s="46" t="str" cm="1">
        <f t="array" ref="Y371">_xlfn.IFS(X371&lt;=5,"On Time",X371&gt;5,"Delayed",X371=" ","Pending")</f>
        <v>Delayed</v>
      </c>
    </row>
    <row r="372" spans="1:25" ht="15" thickBot="1" x14ac:dyDescent="0.4">
      <c r="A372" s="27" t="s">
        <v>501</v>
      </c>
      <c r="B372" s="27" t="s">
        <v>55</v>
      </c>
      <c r="C372" s="27" t="s">
        <v>138</v>
      </c>
      <c r="D372" s="28">
        <v>45936</v>
      </c>
      <c r="E372" s="28">
        <v>45938</v>
      </c>
      <c r="F372" s="27" t="s">
        <v>57</v>
      </c>
      <c r="G372" s="27" t="s">
        <v>58</v>
      </c>
      <c r="H372" s="28">
        <v>32631</v>
      </c>
      <c r="I372" s="27" t="s">
        <v>48</v>
      </c>
      <c r="J372" s="27" t="s">
        <v>28</v>
      </c>
      <c r="K372" s="27" t="s">
        <v>83</v>
      </c>
      <c r="L372" s="27" t="s">
        <v>139</v>
      </c>
      <c r="M372" s="27">
        <v>11</v>
      </c>
      <c r="N372" s="27">
        <v>45</v>
      </c>
      <c r="O372" s="27">
        <v>5</v>
      </c>
      <c r="P372" s="27">
        <v>470.25</v>
      </c>
      <c r="Q372" s="27">
        <v>5</v>
      </c>
      <c r="R372" s="27" t="s">
        <v>41</v>
      </c>
      <c r="S372" s="27" t="s">
        <v>96</v>
      </c>
      <c r="T372" s="27" t="s">
        <v>61</v>
      </c>
      <c r="U372" s="27">
        <v>9523682403</v>
      </c>
      <c r="V372" s="35" t="s">
        <v>34</v>
      </c>
      <c r="W372" s="49">
        <f t="shared" ca="1" si="10"/>
        <v>37</v>
      </c>
      <c r="X372" s="50">
        <f t="shared" si="11"/>
        <v>2</v>
      </c>
      <c r="Y372" s="46" t="str" cm="1">
        <f t="array" ref="Y372">_xlfn.IFS(X372&lt;=5,"On Time",X372&gt;5,"Delayed",X372=" ","Pending")</f>
        <v>On Time</v>
      </c>
    </row>
    <row r="373" spans="1:25" ht="15" thickBot="1" x14ac:dyDescent="0.4">
      <c r="A373" s="30" t="s">
        <v>502</v>
      </c>
      <c r="B373" s="30" t="s">
        <v>134</v>
      </c>
      <c r="C373" s="30" t="s">
        <v>125</v>
      </c>
      <c r="D373" s="31">
        <v>45820</v>
      </c>
      <c r="E373" s="31">
        <v>45825</v>
      </c>
      <c r="F373" s="30" t="s">
        <v>135</v>
      </c>
      <c r="G373" s="30" t="s">
        <v>26</v>
      </c>
      <c r="H373" s="31">
        <v>33226</v>
      </c>
      <c r="I373" s="30" t="s">
        <v>121</v>
      </c>
      <c r="J373" s="30" t="s">
        <v>38</v>
      </c>
      <c r="K373" s="30" t="s">
        <v>83</v>
      </c>
      <c r="L373" s="30" t="s">
        <v>127</v>
      </c>
      <c r="M373" s="30">
        <v>9</v>
      </c>
      <c r="N373" s="30">
        <v>20</v>
      </c>
      <c r="O373" s="30">
        <v>10</v>
      </c>
      <c r="P373" s="30">
        <v>162</v>
      </c>
      <c r="Q373" s="30">
        <v>1</v>
      </c>
      <c r="R373" s="30" t="s">
        <v>60</v>
      </c>
      <c r="S373" s="30" t="s">
        <v>42</v>
      </c>
      <c r="T373" s="30" t="s">
        <v>136</v>
      </c>
      <c r="U373" s="30">
        <v>9652936744</v>
      </c>
      <c r="V373" s="38" t="s">
        <v>53</v>
      </c>
      <c r="W373" s="49">
        <f t="shared" ca="1" si="10"/>
        <v>35</v>
      </c>
      <c r="X373" s="50">
        <f t="shared" si="11"/>
        <v>5</v>
      </c>
      <c r="Y373" s="46" t="str" cm="1">
        <f t="array" ref="Y373">_xlfn.IFS(X373&lt;=5,"On Time",X373&gt;5,"Delayed",X373=" ","Pending")</f>
        <v>On Time</v>
      </c>
    </row>
    <row r="374" spans="1:25" ht="15" thickBot="1" x14ac:dyDescent="0.4">
      <c r="A374" s="27" t="s">
        <v>503</v>
      </c>
      <c r="B374" s="27" t="s">
        <v>104</v>
      </c>
      <c r="C374" s="27" t="s">
        <v>138</v>
      </c>
      <c r="D374" s="28">
        <v>45979</v>
      </c>
      <c r="E374" s="28">
        <v>45981</v>
      </c>
      <c r="F374" s="27" t="s">
        <v>166</v>
      </c>
      <c r="G374" s="27" t="s">
        <v>26</v>
      </c>
      <c r="H374" s="28">
        <v>34889</v>
      </c>
      <c r="I374" s="27" t="s">
        <v>48</v>
      </c>
      <c r="J374" s="27" t="s">
        <v>28</v>
      </c>
      <c r="K374" s="27" t="s">
        <v>83</v>
      </c>
      <c r="L374" s="27" t="s">
        <v>139</v>
      </c>
      <c r="M374" s="27">
        <v>5</v>
      </c>
      <c r="N374" s="27">
        <v>45</v>
      </c>
      <c r="O374" s="27">
        <v>5</v>
      </c>
      <c r="P374" s="27">
        <v>213.75</v>
      </c>
      <c r="Q374" s="27">
        <v>3</v>
      </c>
      <c r="R374" s="27" t="s">
        <v>60</v>
      </c>
      <c r="S374" s="27" t="s">
        <v>80</v>
      </c>
      <c r="T374" s="27" t="s">
        <v>108</v>
      </c>
      <c r="U374" s="27">
        <v>9726464733</v>
      </c>
      <c r="V374" s="37" t="s">
        <v>52</v>
      </c>
      <c r="W374" s="49">
        <f t="shared" ca="1" si="10"/>
        <v>31</v>
      </c>
      <c r="X374" s="50">
        <f t="shared" si="11"/>
        <v>2</v>
      </c>
      <c r="Y374" s="46" t="str" cm="1">
        <f t="array" ref="Y374">_xlfn.IFS(X374&lt;=5,"On Time",X374&gt;5,"Delayed",X374=" ","Pending")</f>
        <v>On Time</v>
      </c>
    </row>
    <row r="375" spans="1:25" ht="15" thickBot="1" x14ac:dyDescent="0.4">
      <c r="A375" s="30" t="s">
        <v>504</v>
      </c>
      <c r="B375" s="30" t="s">
        <v>63</v>
      </c>
      <c r="C375" s="30" t="s">
        <v>112</v>
      </c>
      <c r="D375" s="31">
        <v>45962</v>
      </c>
      <c r="E375" s="31">
        <v>45963</v>
      </c>
      <c r="F375" s="30" t="s">
        <v>110</v>
      </c>
      <c r="G375" s="30" t="s">
        <v>58</v>
      </c>
      <c r="H375" s="31">
        <v>36152</v>
      </c>
      <c r="I375" s="30" t="s">
        <v>27</v>
      </c>
      <c r="J375" s="30" t="s">
        <v>28</v>
      </c>
      <c r="K375" s="30" t="s">
        <v>39</v>
      </c>
      <c r="L375" s="30" t="s">
        <v>114</v>
      </c>
      <c r="M375" s="30">
        <v>5</v>
      </c>
      <c r="N375" s="30">
        <v>700</v>
      </c>
      <c r="O375" s="30">
        <v>10</v>
      </c>
      <c r="P375" s="30">
        <v>3150</v>
      </c>
      <c r="Q375" s="30">
        <v>2</v>
      </c>
      <c r="R375" s="30" t="s">
        <v>65</v>
      </c>
      <c r="S375" s="30" t="s">
        <v>42</v>
      </c>
      <c r="T375" s="30" t="s">
        <v>66</v>
      </c>
      <c r="U375" s="30">
        <v>9273520544</v>
      </c>
      <c r="V375" s="36" t="s">
        <v>34</v>
      </c>
      <c r="W375" s="49">
        <f t="shared" ca="1" si="10"/>
        <v>27</v>
      </c>
      <c r="X375" s="50">
        <f t="shared" si="11"/>
        <v>1</v>
      </c>
      <c r="Y375" s="46" t="str" cm="1">
        <f t="array" ref="Y375">_xlfn.IFS(X375&lt;=5,"On Time",X375&gt;5,"Delayed",X375=" ","Pending")</f>
        <v>On Time</v>
      </c>
    </row>
    <row r="376" spans="1:25" ht="15" thickBot="1" x14ac:dyDescent="0.4">
      <c r="A376" s="27" t="s">
        <v>505</v>
      </c>
      <c r="B376" s="27" t="s">
        <v>124</v>
      </c>
      <c r="C376" s="27" t="s">
        <v>112</v>
      </c>
      <c r="D376" s="28">
        <v>45681</v>
      </c>
      <c r="E376" s="28">
        <v>45688</v>
      </c>
      <c r="F376" s="27" t="s">
        <v>126</v>
      </c>
      <c r="G376" s="27" t="s">
        <v>58</v>
      </c>
      <c r="H376" s="28">
        <v>29212</v>
      </c>
      <c r="I376" s="27" t="s">
        <v>147</v>
      </c>
      <c r="J376" s="27" t="s">
        <v>148</v>
      </c>
      <c r="K376" s="27" t="s">
        <v>39</v>
      </c>
      <c r="L376" s="27" t="s">
        <v>114</v>
      </c>
      <c r="M376" s="27">
        <v>1</v>
      </c>
      <c r="N376" s="27">
        <v>700</v>
      </c>
      <c r="O376" s="27">
        <v>0</v>
      </c>
      <c r="P376" s="27">
        <v>700</v>
      </c>
      <c r="Q376" s="27">
        <v>1</v>
      </c>
      <c r="R376" s="27" t="s">
        <v>65</v>
      </c>
      <c r="S376" s="27" t="s">
        <v>96</v>
      </c>
      <c r="T376" s="27" t="s">
        <v>128</v>
      </c>
      <c r="U376" s="27">
        <v>9374259988</v>
      </c>
      <c r="V376" s="35" t="s">
        <v>34</v>
      </c>
      <c r="W376" s="49">
        <f t="shared" ca="1" si="10"/>
        <v>46</v>
      </c>
      <c r="X376" s="50">
        <f t="shared" si="11"/>
        <v>7</v>
      </c>
      <c r="Y376" s="46" t="str" cm="1">
        <f t="array" ref="Y376">_xlfn.IFS(X376&lt;=5,"On Time",X376&gt;5,"Delayed",X376=" ","Pending")</f>
        <v>Delayed</v>
      </c>
    </row>
    <row r="377" spans="1:25" ht="15" thickBot="1" x14ac:dyDescent="0.4">
      <c r="A377" s="30" t="s">
        <v>506</v>
      </c>
      <c r="B377" s="30" t="s">
        <v>23</v>
      </c>
      <c r="C377" s="30" t="s">
        <v>112</v>
      </c>
      <c r="D377" s="31">
        <v>46066</v>
      </c>
      <c r="E377" s="31">
        <v>46074</v>
      </c>
      <c r="F377" s="30" t="s">
        <v>25</v>
      </c>
      <c r="G377" s="30" t="s">
        <v>26</v>
      </c>
      <c r="H377" s="31">
        <v>27743</v>
      </c>
      <c r="I377" s="30" t="s">
        <v>74</v>
      </c>
      <c r="J377" s="30" t="s">
        <v>75</v>
      </c>
      <c r="K377" s="30" t="s">
        <v>39</v>
      </c>
      <c r="L377" s="30" t="s">
        <v>114</v>
      </c>
      <c r="M377" s="30">
        <v>13</v>
      </c>
      <c r="N377" s="30">
        <v>700</v>
      </c>
      <c r="O377" s="30">
        <v>20</v>
      </c>
      <c r="P377" s="30">
        <v>7280</v>
      </c>
      <c r="Q377" s="30">
        <v>2</v>
      </c>
      <c r="R377" s="30" t="s">
        <v>60</v>
      </c>
      <c r="S377" s="30" t="s">
        <v>32</v>
      </c>
      <c r="T377" s="30" t="s">
        <v>43</v>
      </c>
      <c r="U377" s="30">
        <v>9538129419</v>
      </c>
      <c r="V377" s="36" t="s">
        <v>34</v>
      </c>
      <c r="W377" s="49">
        <f t="shared" ca="1" si="10"/>
        <v>50</v>
      </c>
      <c r="X377" s="50">
        <f t="shared" si="11"/>
        <v>8</v>
      </c>
      <c r="Y377" s="46" t="str" cm="1">
        <f t="array" ref="Y377">_xlfn.IFS(X377&lt;=5,"On Time",X377&gt;5,"Delayed",X377=" ","Pending")</f>
        <v>Delayed</v>
      </c>
    </row>
    <row r="378" spans="1:25" ht="15" thickBot="1" x14ac:dyDescent="0.4">
      <c r="A378" s="27" t="s">
        <v>507</v>
      </c>
      <c r="B378" s="27" t="s">
        <v>55</v>
      </c>
      <c r="C378" s="27" t="s">
        <v>36</v>
      </c>
      <c r="D378" s="28">
        <v>45696</v>
      </c>
      <c r="E378" s="28">
        <v>45707</v>
      </c>
      <c r="F378" s="27" t="s">
        <v>57</v>
      </c>
      <c r="G378" s="27" t="s">
        <v>58</v>
      </c>
      <c r="H378" s="28">
        <v>34106</v>
      </c>
      <c r="I378" s="27" t="s">
        <v>79</v>
      </c>
      <c r="J378" s="27" t="s">
        <v>75</v>
      </c>
      <c r="K378" s="27" t="s">
        <v>39</v>
      </c>
      <c r="L378" s="27" t="s">
        <v>40</v>
      </c>
      <c r="M378" s="27">
        <v>20</v>
      </c>
      <c r="N378" s="27">
        <v>12000</v>
      </c>
      <c r="O378" s="27">
        <v>0</v>
      </c>
      <c r="P378" s="27">
        <v>240000</v>
      </c>
      <c r="Q378" s="27">
        <v>2</v>
      </c>
      <c r="R378" s="27" t="s">
        <v>60</v>
      </c>
      <c r="S378" s="27" t="s">
        <v>80</v>
      </c>
      <c r="T378" s="27" t="s">
        <v>61</v>
      </c>
      <c r="U378" s="27">
        <v>9382815686</v>
      </c>
      <c r="V378" s="35" t="s">
        <v>34</v>
      </c>
      <c r="W378" s="49">
        <f t="shared" ca="1" si="10"/>
        <v>33</v>
      </c>
      <c r="X378" s="50">
        <f t="shared" si="11"/>
        <v>11</v>
      </c>
      <c r="Y378" s="46" t="str" cm="1">
        <f t="array" ref="Y378">_xlfn.IFS(X378&lt;=5,"On Time",X378&gt;5,"Delayed",X378=" ","Pending")</f>
        <v>Delayed</v>
      </c>
    </row>
    <row r="379" spans="1:25" ht="15" thickBot="1" x14ac:dyDescent="0.4">
      <c r="A379" s="30" t="s">
        <v>508</v>
      </c>
      <c r="B379" s="30" t="s">
        <v>63</v>
      </c>
      <c r="C379" s="30" t="s">
        <v>56</v>
      </c>
      <c r="D379" s="31">
        <v>46019</v>
      </c>
      <c r="E379" s="31">
        <v>46028</v>
      </c>
      <c r="F379" s="30" t="s">
        <v>110</v>
      </c>
      <c r="G379" s="30" t="s">
        <v>58</v>
      </c>
      <c r="H379" s="31">
        <v>28020</v>
      </c>
      <c r="I379" s="30" t="s">
        <v>147</v>
      </c>
      <c r="J379" s="30" t="s">
        <v>148</v>
      </c>
      <c r="K379" s="30" t="s">
        <v>39</v>
      </c>
      <c r="L379" s="30" t="s">
        <v>59</v>
      </c>
      <c r="M379" s="30">
        <v>9</v>
      </c>
      <c r="N379" s="30">
        <v>1200</v>
      </c>
      <c r="O379" s="30">
        <v>15</v>
      </c>
      <c r="P379" s="30">
        <v>9180</v>
      </c>
      <c r="Q379" s="30">
        <v>1</v>
      </c>
      <c r="R379" s="30" t="s">
        <v>65</v>
      </c>
      <c r="S379" s="30" t="s">
        <v>32</v>
      </c>
      <c r="T379" s="30" t="s">
        <v>66</v>
      </c>
      <c r="U379" s="30">
        <v>9450746157</v>
      </c>
      <c r="V379" s="38" t="s">
        <v>52</v>
      </c>
      <c r="W379" s="49">
        <f t="shared" ca="1" si="10"/>
        <v>50</v>
      </c>
      <c r="X379" s="50">
        <f t="shared" si="11"/>
        <v>9</v>
      </c>
      <c r="Y379" s="46" t="str" cm="1">
        <f t="array" ref="Y379">_xlfn.IFS(X379&lt;=5,"On Time",X379&gt;5,"Delayed",X379=" ","Pending")</f>
        <v>Delayed</v>
      </c>
    </row>
    <row r="380" spans="1:25" ht="15" thickBot="1" x14ac:dyDescent="0.4">
      <c r="A380" s="27" t="s">
        <v>509</v>
      </c>
      <c r="B380" s="27" t="s">
        <v>63</v>
      </c>
      <c r="C380" s="27" t="s">
        <v>125</v>
      </c>
      <c r="D380" s="28">
        <v>45931</v>
      </c>
      <c r="E380" s="28">
        <v>45933</v>
      </c>
      <c r="F380" s="27" t="s">
        <v>110</v>
      </c>
      <c r="G380" s="27" t="s">
        <v>58</v>
      </c>
      <c r="H380" s="28">
        <v>35421</v>
      </c>
      <c r="I380" s="27" t="s">
        <v>121</v>
      </c>
      <c r="J380" s="27" t="s">
        <v>38</v>
      </c>
      <c r="K380" s="27" t="s">
        <v>83</v>
      </c>
      <c r="L380" s="27" t="s">
        <v>127</v>
      </c>
      <c r="M380" s="27">
        <v>3</v>
      </c>
      <c r="N380" s="27">
        <v>20</v>
      </c>
      <c r="O380" s="27">
        <v>15</v>
      </c>
      <c r="P380" s="27">
        <v>51</v>
      </c>
      <c r="Q380" s="27">
        <v>3</v>
      </c>
      <c r="R380" s="27" t="s">
        <v>31</v>
      </c>
      <c r="S380" s="27" t="s">
        <v>80</v>
      </c>
      <c r="T380" s="27" t="s">
        <v>66</v>
      </c>
      <c r="U380" s="27">
        <v>9349012570</v>
      </c>
      <c r="V380" s="37" t="s">
        <v>52</v>
      </c>
      <c r="W380" s="49">
        <f t="shared" ca="1" si="10"/>
        <v>29</v>
      </c>
      <c r="X380" s="50">
        <f t="shared" si="11"/>
        <v>2</v>
      </c>
      <c r="Y380" s="46" t="str" cm="1">
        <f t="array" ref="Y380">_xlfn.IFS(X380&lt;=5,"On Time",X380&gt;5,"Delayed",X380=" ","Pending")</f>
        <v>On Time</v>
      </c>
    </row>
    <row r="381" spans="1:25" ht="15" thickBot="1" x14ac:dyDescent="0.4">
      <c r="A381" s="30" t="s">
        <v>510</v>
      </c>
      <c r="B381" s="30" t="s">
        <v>134</v>
      </c>
      <c r="C381" s="30" t="s">
        <v>46</v>
      </c>
      <c r="D381" s="31">
        <v>46009</v>
      </c>
      <c r="E381" s="31">
        <v>46010</v>
      </c>
      <c r="F381" s="30" t="s">
        <v>135</v>
      </c>
      <c r="G381" s="30" t="s">
        <v>26</v>
      </c>
      <c r="H381" s="31">
        <v>35058</v>
      </c>
      <c r="I381" s="30" t="s">
        <v>37</v>
      </c>
      <c r="J381" s="30" t="s">
        <v>38</v>
      </c>
      <c r="K381" s="30" t="s">
        <v>39</v>
      </c>
      <c r="L381" s="30" t="s">
        <v>49</v>
      </c>
      <c r="M381" s="30">
        <v>8</v>
      </c>
      <c r="N381" s="30">
        <v>55000</v>
      </c>
      <c r="O381" s="30">
        <v>20</v>
      </c>
      <c r="P381" s="30">
        <v>352000</v>
      </c>
      <c r="Q381" s="30">
        <v>5</v>
      </c>
      <c r="R381" s="30" t="s">
        <v>60</v>
      </c>
      <c r="S381" s="30" t="s">
        <v>96</v>
      </c>
      <c r="T381" s="30" t="s">
        <v>136</v>
      </c>
      <c r="U381" s="30">
        <v>9442163790</v>
      </c>
      <c r="V381" s="38" t="s">
        <v>52</v>
      </c>
      <c r="W381" s="49">
        <f t="shared" ca="1" si="10"/>
        <v>30</v>
      </c>
      <c r="X381" s="50">
        <f t="shared" si="11"/>
        <v>1</v>
      </c>
      <c r="Y381" s="46" t="str" cm="1">
        <f t="array" ref="Y381">_xlfn.IFS(X381&lt;=5,"On Time",X381&gt;5,"Delayed",X381=" ","Pending")</f>
        <v>On Time</v>
      </c>
    </row>
    <row r="382" spans="1:25" ht="15" thickBot="1" x14ac:dyDescent="0.4">
      <c r="A382" s="27" t="s">
        <v>511</v>
      </c>
      <c r="B382" s="27" t="s">
        <v>134</v>
      </c>
      <c r="C382" s="27" t="s">
        <v>82</v>
      </c>
      <c r="D382" s="28">
        <v>45929</v>
      </c>
      <c r="E382" s="28">
        <v>45937</v>
      </c>
      <c r="F382" s="27" t="s">
        <v>135</v>
      </c>
      <c r="G382" s="27" t="s">
        <v>26</v>
      </c>
      <c r="H382" s="28">
        <v>31221</v>
      </c>
      <c r="I382" s="27" t="s">
        <v>37</v>
      </c>
      <c r="J382" s="27" t="s">
        <v>38</v>
      </c>
      <c r="K382" s="27" t="s">
        <v>83</v>
      </c>
      <c r="L382" s="27" t="s">
        <v>84</v>
      </c>
      <c r="M382" s="27">
        <v>17</v>
      </c>
      <c r="N382" s="27">
        <v>60</v>
      </c>
      <c r="O382" s="27">
        <v>20</v>
      </c>
      <c r="P382" s="27">
        <v>816</v>
      </c>
      <c r="Q382" s="27">
        <v>1</v>
      </c>
      <c r="R382" s="27" t="s">
        <v>65</v>
      </c>
      <c r="S382" s="27" t="s">
        <v>32</v>
      </c>
      <c r="T382" s="27" t="s">
        <v>136</v>
      </c>
      <c r="U382" s="27">
        <v>9953329223</v>
      </c>
      <c r="V382" s="37" t="s">
        <v>52</v>
      </c>
      <c r="W382" s="49">
        <f t="shared" ca="1" si="10"/>
        <v>41</v>
      </c>
      <c r="X382" s="50">
        <f t="shared" si="11"/>
        <v>8</v>
      </c>
      <c r="Y382" s="46" t="str" cm="1">
        <f t="array" ref="Y382">_xlfn.IFS(X382&lt;=5,"On Time",X382&gt;5,"Delayed",X382=" ","Pending")</f>
        <v>Delayed</v>
      </c>
    </row>
    <row r="383" spans="1:25" ht="15" thickBot="1" x14ac:dyDescent="0.4">
      <c r="A383" s="30" t="s">
        <v>512</v>
      </c>
      <c r="B383" s="30" t="s">
        <v>87</v>
      </c>
      <c r="C383" s="30" t="s">
        <v>125</v>
      </c>
      <c r="D383" s="31">
        <v>45791</v>
      </c>
      <c r="E383" s="31">
        <v>45799</v>
      </c>
      <c r="F383" s="30" t="s">
        <v>88</v>
      </c>
      <c r="G383" s="30" t="s">
        <v>58</v>
      </c>
      <c r="H383" s="31">
        <v>30722</v>
      </c>
      <c r="I383" s="30" t="s">
        <v>48</v>
      </c>
      <c r="J383" s="30" t="s">
        <v>28</v>
      </c>
      <c r="K383" s="30" t="s">
        <v>83</v>
      </c>
      <c r="L383" s="30" t="s">
        <v>127</v>
      </c>
      <c r="M383" s="30">
        <v>4</v>
      </c>
      <c r="N383" s="30">
        <v>20</v>
      </c>
      <c r="O383" s="30">
        <v>15</v>
      </c>
      <c r="P383" s="30">
        <v>68</v>
      </c>
      <c r="Q383" s="30">
        <v>3</v>
      </c>
      <c r="R383" s="30" t="s">
        <v>41</v>
      </c>
      <c r="S383" s="30" t="s">
        <v>50</v>
      </c>
      <c r="T383" s="30" t="s">
        <v>89</v>
      </c>
      <c r="U383" s="30">
        <v>9202321359</v>
      </c>
      <c r="V383" s="38" t="s">
        <v>52</v>
      </c>
      <c r="W383" s="49">
        <f t="shared" ca="1" si="10"/>
        <v>42</v>
      </c>
      <c r="X383" s="50">
        <f t="shared" si="11"/>
        <v>8</v>
      </c>
      <c r="Y383" s="46" t="str" cm="1">
        <f t="array" ref="Y383">_xlfn.IFS(X383&lt;=5,"On Time",X383&gt;5,"Delayed",X383=" ","Pending")</f>
        <v>Delayed</v>
      </c>
    </row>
    <row r="384" spans="1:25" ht="15" thickBot="1" x14ac:dyDescent="0.4">
      <c r="A384" s="27" t="s">
        <v>513</v>
      </c>
      <c r="B384" s="27" t="s">
        <v>87</v>
      </c>
      <c r="C384" s="27" t="s">
        <v>24</v>
      </c>
      <c r="D384" s="28">
        <v>45748</v>
      </c>
      <c r="E384" s="28">
        <v>45758</v>
      </c>
      <c r="F384" s="27" t="s">
        <v>88</v>
      </c>
      <c r="G384" s="27" t="s">
        <v>58</v>
      </c>
      <c r="H384" s="28">
        <v>37348</v>
      </c>
      <c r="I384" s="27" t="s">
        <v>147</v>
      </c>
      <c r="J384" s="27" t="s">
        <v>148</v>
      </c>
      <c r="K384" s="27" t="s">
        <v>29</v>
      </c>
      <c r="L384" s="27" t="s">
        <v>30</v>
      </c>
      <c r="M384" s="27">
        <v>2</v>
      </c>
      <c r="N384" s="27">
        <v>2200</v>
      </c>
      <c r="O384" s="27">
        <v>10</v>
      </c>
      <c r="P384" s="27">
        <v>3960</v>
      </c>
      <c r="Q384" s="27">
        <v>2</v>
      </c>
      <c r="R384" s="27" t="s">
        <v>65</v>
      </c>
      <c r="S384" s="27" t="s">
        <v>42</v>
      </c>
      <c r="T384" s="27" t="s">
        <v>89</v>
      </c>
      <c r="U384" s="27">
        <v>9812564160</v>
      </c>
      <c r="V384" s="37" t="s">
        <v>52</v>
      </c>
      <c r="W384" s="49">
        <f t="shared" ca="1" si="10"/>
        <v>24</v>
      </c>
      <c r="X384" s="50">
        <f t="shared" si="11"/>
        <v>10</v>
      </c>
      <c r="Y384" s="46" t="str" cm="1">
        <f t="array" ref="Y384">_xlfn.IFS(X384&lt;=5,"On Time",X384&gt;5,"Delayed",X384=" ","Pending")</f>
        <v>Delayed</v>
      </c>
    </row>
    <row r="385" spans="1:25" ht="15" thickBot="1" x14ac:dyDescent="0.4">
      <c r="A385" s="30" t="s">
        <v>514</v>
      </c>
      <c r="B385" s="30" t="s">
        <v>124</v>
      </c>
      <c r="C385" s="30" t="s">
        <v>82</v>
      </c>
      <c r="D385" s="31">
        <v>45754</v>
      </c>
      <c r="E385" s="31">
        <v>45765</v>
      </c>
      <c r="F385" s="30" t="s">
        <v>126</v>
      </c>
      <c r="G385" s="30" t="s">
        <v>58</v>
      </c>
      <c r="H385" s="31">
        <v>37819</v>
      </c>
      <c r="I385" s="30" t="s">
        <v>48</v>
      </c>
      <c r="J385" s="30" t="s">
        <v>28</v>
      </c>
      <c r="K385" s="30" t="s">
        <v>83</v>
      </c>
      <c r="L385" s="30" t="s">
        <v>84</v>
      </c>
      <c r="M385" s="30">
        <v>5</v>
      </c>
      <c r="N385" s="30">
        <v>60</v>
      </c>
      <c r="O385" s="30">
        <v>5</v>
      </c>
      <c r="P385" s="30">
        <v>285</v>
      </c>
      <c r="Q385" s="30">
        <v>1</v>
      </c>
      <c r="R385" s="30" t="s">
        <v>65</v>
      </c>
      <c r="S385" s="30" t="s">
        <v>32</v>
      </c>
      <c r="T385" s="30" t="s">
        <v>128</v>
      </c>
      <c r="U385" s="30">
        <v>9688458222</v>
      </c>
      <c r="V385" s="38" t="s">
        <v>53</v>
      </c>
      <c r="W385" s="49">
        <f t="shared" ca="1" si="10"/>
        <v>23</v>
      </c>
      <c r="X385" s="50">
        <f t="shared" si="11"/>
        <v>11</v>
      </c>
      <c r="Y385" s="46" t="str" cm="1">
        <f t="array" ref="Y385">_xlfn.IFS(X385&lt;=5,"On Time",X385&gt;5,"Delayed",X385=" ","Pending")</f>
        <v>Delayed</v>
      </c>
    </row>
    <row r="386" spans="1:25" ht="15" thickBot="1" x14ac:dyDescent="0.4">
      <c r="A386" s="27" t="s">
        <v>515</v>
      </c>
      <c r="B386" s="27" t="s">
        <v>87</v>
      </c>
      <c r="C386" s="27" t="s">
        <v>24</v>
      </c>
      <c r="D386" s="28">
        <v>46072</v>
      </c>
      <c r="E386" s="28">
        <v>46076</v>
      </c>
      <c r="F386" s="27" t="s">
        <v>88</v>
      </c>
      <c r="G386" s="27" t="s">
        <v>58</v>
      </c>
      <c r="H386" s="28">
        <v>33517</v>
      </c>
      <c r="I386" s="27" t="s">
        <v>37</v>
      </c>
      <c r="J386" s="27" t="s">
        <v>38</v>
      </c>
      <c r="K386" s="27" t="s">
        <v>29</v>
      </c>
      <c r="L386" s="27" t="s">
        <v>30</v>
      </c>
      <c r="M386" s="27">
        <v>17</v>
      </c>
      <c r="N386" s="27">
        <v>2200</v>
      </c>
      <c r="O386" s="27">
        <v>0</v>
      </c>
      <c r="P386" s="27">
        <v>37400</v>
      </c>
      <c r="Q386" s="27">
        <v>2</v>
      </c>
      <c r="R386" s="27" t="s">
        <v>65</v>
      </c>
      <c r="S386" s="27" t="s">
        <v>96</v>
      </c>
      <c r="T386" s="27" t="s">
        <v>89</v>
      </c>
      <c r="U386" s="27">
        <v>9634473337</v>
      </c>
      <c r="V386" s="37" t="s">
        <v>53</v>
      </c>
      <c r="W386" s="49">
        <f t="shared" ca="1" si="10"/>
        <v>35</v>
      </c>
      <c r="X386" s="50">
        <f t="shared" si="11"/>
        <v>4</v>
      </c>
      <c r="Y386" s="46" t="str" cm="1">
        <f t="array" ref="Y386">_xlfn.IFS(X386&lt;=5,"On Time",X386&gt;5,"Delayed",X386=" ","Pending")</f>
        <v>On Time</v>
      </c>
    </row>
    <row r="387" spans="1:25" ht="15" thickBot="1" x14ac:dyDescent="0.4">
      <c r="A387" s="30" t="s">
        <v>516</v>
      </c>
      <c r="B387" s="30" t="s">
        <v>104</v>
      </c>
      <c r="C387" s="30" t="s">
        <v>82</v>
      </c>
      <c r="D387" s="31">
        <v>45995</v>
      </c>
      <c r="E387" s="31">
        <v>46002</v>
      </c>
      <c r="F387" s="30" t="s">
        <v>166</v>
      </c>
      <c r="G387" s="30" t="s">
        <v>26</v>
      </c>
      <c r="H387" s="31">
        <v>30686</v>
      </c>
      <c r="I387" s="30" t="s">
        <v>91</v>
      </c>
      <c r="J387" s="30" t="s">
        <v>75</v>
      </c>
      <c r="K387" s="30" t="s">
        <v>83</v>
      </c>
      <c r="L387" s="30" t="s">
        <v>84</v>
      </c>
      <c r="M387" s="30">
        <v>7</v>
      </c>
      <c r="N387" s="30">
        <v>60</v>
      </c>
      <c r="O387" s="30">
        <v>0</v>
      </c>
      <c r="P387" s="30">
        <v>420</v>
      </c>
      <c r="Q387" s="30">
        <v>2</v>
      </c>
      <c r="R387" s="30" t="s">
        <v>65</v>
      </c>
      <c r="S387" s="30" t="s">
        <v>50</v>
      </c>
      <c r="T387" s="30" t="s">
        <v>108</v>
      </c>
      <c r="U387" s="30">
        <v>9608737026</v>
      </c>
      <c r="V387" s="38" t="s">
        <v>52</v>
      </c>
      <c r="W387" s="49">
        <f t="shared" ref="W387:W450" ca="1" si="12">INT(YEARFRAC(H387, TODAY()))</f>
        <v>42</v>
      </c>
      <c r="X387" s="50">
        <f t="shared" ref="X387:X450" si="13">IF(OR(E387="", E387&lt;D387), "", E387 - D387)</f>
        <v>7</v>
      </c>
      <c r="Y387" s="46" t="str" cm="1">
        <f t="array" ref="Y387">_xlfn.IFS(X387&lt;=5,"On Time",X387&gt;5,"Delayed",X387=" ","Pending")</f>
        <v>Delayed</v>
      </c>
    </row>
    <row r="388" spans="1:25" ht="15" thickBot="1" x14ac:dyDescent="0.4">
      <c r="A388" s="27" t="s">
        <v>517</v>
      </c>
      <c r="B388" s="27" t="s">
        <v>124</v>
      </c>
      <c r="C388" s="27" t="s">
        <v>46</v>
      </c>
      <c r="D388" s="28">
        <v>45950</v>
      </c>
      <c r="E388" s="28">
        <v>45954</v>
      </c>
      <c r="F388" s="27" t="s">
        <v>126</v>
      </c>
      <c r="G388" s="27" t="s">
        <v>58</v>
      </c>
      <c r="H388" s="28">
        <v>27465</v>
      </c>
      <c r="I388" s="27" t="s">
        <v>27</v>
      </c>
      <c r="J388" s="27" t="s">
        <v>28</v>
      </c>
      <c r="K388" s="27" t="s">
        <v>39</v>
      </c>
      <c r="L388" s="27" t="s">
        <v>49</v>
      </c>
      <c r="M388" s="27">
        <v>6</v>
      </c>
      <c r="N388" s="27">
        <v>55000</v>
      </c>
      <c r="O388" s="27">
        <v>5</v>
      </c>
      <c r="P388" s="27">
        <v>313500</v>
      </c>
      <c r="Q388" s="27">
        <v>4</v>
      </c>
      <c r="R388" s="27" t="s">
        <v>60</v>
      </c>
      <c r="S388" s="27" t="s">
        <v>50</v>
      </c>
      <c r="T388" s="27" t="s">
        <v>128</v>
      </c>
      <c r="U388" s="27">
        <v>9804498139</v>
      </c>
      <c r="V388" s="35" t="s">
        <v>34</v>
      </c>
      <c r="W388" s="49">
        <f t="shared" ca="1" si="12"/>
        <v>51</v>
      </c>
      <c r="X388" s="50">
        <f t="shared" si="13"/>
        <v>4</v>
      </c>
      <c r="Y388" s="46" t="str" cm="1">
        <f t="array" ref="Y388">_xlfn.IFS(X388&lt;=5,"On Time",X388&gt;5,"Delayed",X388=" ","Pending")</f>
        <v>On Time</v>
      </c>
    </row>
    <row r="389" spans="1:25" ht="15" thickBot="1" x14ac:dyDescent="0.4">
      <c r="A389" s="30" t="s">
        <v>518</v>
      </c>
      <c r="B389" s="30" t="s">
        <v>55</v>
      </c>
      <c r="C389" s="30" t="s">
        <v>125</v>
      </c>
      <c r="D389" s="31">
        <v>46043</v>
      </c>
      <c r="E389" s="31">
        <v>46047</v>
      </c>
      <c r="F389" s="30" t="s">
        <v>57</v>
      </c>
      <c r="G389" s="30" t="s">
        <v>58</v>
      </c>
      <c r="H389" s="31">
        <v>30390</v>
      </c>
      <c r="I389" s="30" t="s">
        <v>27</v>
      </c>
      <c r="J389" s="30" t="s">
        <v>28</v>
      </c>
      <c r="K389" s="30" t="s">
        <v>83</v>
      </c>
      <c r="L389" s="30" t="s">
        <v>127</v>
      </c>
      <c r="M389" s="30">
        <v>16</v>
      </c>
      <c r="N389" s="30">
        <v>20</v>
      </c>
      <c r="O389" s="30">
        <v>5</v>
      </c>
      <c r="P389" s="30">
        <v>304</v>
      </c>
      <c r="Q389" s="30">
        <v>1</v>
      </c>
      <c r="R389" s="30" t="s">
        <v>60</v>
      </c>
      <c r="S389" s="30" t="s">
        <v>42</v>
      </c>
      <c r="T389" s="30" t="s">
        <v>61</v>
      </c>
      <c r="U389" s="30">
        <v>9798643580</v>
      </c>
      <c r="V389" s="36" t="s">
        <v>34</v>
      </c>
      <c r="W389" s="49">
        <f t="shared" ca="1" si="12"/>
        <v>43</v>
      </c>
      <c r="X389" s="50">
        <f t="shared" si="13"/>
        <v>4</v>
      </c>
      <c r="Y389" s="46" t="str" cm="1">
        <f t="array" ref="Y389">_xlfn.IFS(X389&lt;=5,"On Time",X389&gt;5,"Delayed",X389=" ","Pending")</f>
        <v>On Time</v>
      </c>
    </row>
    <row r="390" spans="1:25" ht="15" thickBot="1" x14ac:dyDescent="0.4">
      <c r="A390" s="27" t="s">
        <v>519</v>
      </c>
      <c r="B390" s="27" t="s">
        <v>23</v>
      </c>
      <c r="C390" s="27" t="s">
        <v>24</v>
      </c>
      <c r="D390" s="28">
        <v>45682</v>
      </c>
      <c r="E390" s="28">
        <v>45685</v>
      </c>
      <c r="F390" s="27" t="s">
        <v>25</v>
      </c>
      <c r="G390" s="27" t="s">
        <v>26</v>
      </c>
      <c r="H390" s="28">
        <v>27870</v>
      </c>
      <c r="I390" s="27" t="s">
        <v>147</v>
      </c>
      <c r="J390" s="27" t="s">
        <v>148</v>
      </c>
      <c r="K390" s="27" t="s">
        <v>29</v>
      </c>
      <c r="L390" s="27" t="s">
        <v>30</v>
      </c>
      <c r="M390" s="27">
        <v>11</v>
      </c>
      <c r="N390" s="27">
        <v>2200</v>
      </c>
      <c r="O390" s="27">
        <v>15</v>
      </c>
      <c r="P390" s="27">
        <v>20570</v>
      </c>
      <c r="Q390" s="27">
        <v>1</v>
      </c>
      <c r="R390" s="27" t="s">
        <v>41</v>
      </c>
      <c r="S390" s="27" t="s">
        <v>80</v>
      </c>
      <c r="T390" s="27" t="s">
        <v>43</v>
      </c>
      <c r="U390" s="27">
        <v>9809823278</v>
      </c>
      <c r="V390" s="37" t="s">
        <v>53</v>
      </c>
      <c r="W390" s="49">
        <f t="shared" ca="1" si="12"/>
        <v>50</v>
      </c>
      <c r="X390" s="50">
        <f t="shared" si="13"/>
        <v>3</v>
      </c>
      <c r="Y390" s="46" t="str" cm="1">
        <f t="array" ref="Y390">_xlfn.IFS(X390&lt;=5,"On Time",X390&gt;5,"Delayed",X390=" ","Pending")</f>
        <v>On Time</v>
      </c>
    </row>
    <row r="391" spans="1:25" ht="15" thickBot="1" x14ac:dyDescent="0.4">
      <c r="A391" s="30" t="s">
        <v>520</v>
      </c>
      <c r="B391" s="30" t="s">
        <v>72</v>
      </c>
      <c r="C391" s="30" t="s">
        <v>125</v>
      </c>
      <c r="D391" s="31">
        <v>45716</v>
      </c>
      <c r="E391" s="31">
        <v>45718</v>
      </c>
      <c r="F391" s="30" t="s">
        <v>73</v>
      </c>
      <c r="G391" s="30" t="s">
        <v>26</v>
      </c>
      <c r="H391" s="31">
        <v>31454</v>
      </c>
      <c r="I391" s="30" t="s">
        <v>79</v>
      </c>
      <c r="J391" s="30" t="s">
        <v>75</v>
      </c>
      <c r="K391" s="30" t="s">
        <v>83</v>
      </c>
      <c r="L391" s="30" t="s">
        <v>127</v>
      </c>
      <c r="M391" s="30">
        <v>19</v>
      </c>
      <c r="N391" s="30">
        <v>20</v>
      </c>
      <c r="O391" s="30">
        <v>5</v>
      </c>
      <c r="P391" s="30">
        <v>361</v>
      </c>
      <c r="Q391" s="30">
        <v>4</v>
      </c>
      <c r="R391" s="30" t="s">
        <v>65</v>
      </c>
      <c r="S391" s="30" t="s">
        <v>32</v>
      </c>
      <c r="T391" s="30" t="s">
        <v>93</v>
      </c>
      <c r="U391" s="30">
        <v>9177767854</v>
      </c>
      <c r="V391" s="38" t="s">
        <v>52</v>
      </c>
      <c r="W391" s="49">
        <f t="shared" ca="1" si="12"/>
        <v>40</v>
      </c>
      <c r="X391" s="50">
        <f t="shared" si="13"/>
        <v>2</v>
      </c>
      <c r="Y391" s="46" t="str" cm="1">
        <f t="array" ref="Y391">_xlfn.IFS(X391&lt;=5,"On Time",X391&gt;5,"Delayed",X391=" ","Pending")</f>
        <v>On Time</v>
      </c>
    </row>
    <row r="392" spans="1:25" ht="15" thickBot="1" x14ac:dyDescent="0.4">
      <c r="A392" s="27" t="s">
        <v>521</v>
      </c>
      <c r="B392" s="27" t="s">
        <v>72</v>
      </c>
      <c r="C392" s="27" t="s">
        <v>56</v>
      </c>
      <c r="D392" s="28">
        <v>45828</v>
      </c>
      <c r="E392" s="28">
        <v>45829</v>
      </c>
      <c r="F392" s="27" t="s">
        <v>73</v>
      </c>
      <c r="G392" s="27" t="s">
        <v>26</v>
      </c>
      <c r="H392" s="28">
        <v>28570</v>
      </c>
      <c r="I392" s="27" t="s">
        <v>79</v>
      </c>
      <c r="J392" s="27" t="s">
        <v>75</v>
      </c>
      <c r="K392" s="27" t="s">
        <v>39</v>
      </c>
      <c r="L392" s="27" t="s">
        <v>59</v>
      </c>
      <c r="M392" s="27">
        <v>20</v>
      </c>
      <c r="N392" s="27">
        <v>1200</v>
      </c>
      <c r="O392" s="27">
        <v>15</v>
      </c>
      <c r="P392" s="27">
        <v>20400</v>
      </c>
      <c r="Q392" s="27">
        <v>4</v>
      </c>
      <c r="R392" s="27" t="s">
        <v>60</v>
      </c>
      <c r="S392" s="27" t="s">
        <v>32</v>
      </c>
      <c r="T392" s="27" t="s">
        <v>93</v>
      </c>
      <c r="U392" s="27">
        <v>9643440006</v>
      </c>
      <c r="V392" s="37" t="s">
        <v>52</v>
      </c>
      <c r="W392" s="49">
        <f t="shared" ca="1" si="12"/>
        <v>48</v>
      </c>
      <c r="X392" s="50">
        <f t="shared" si="13"/>
        <v>1</v>
      </c>
      <c r="Y392" s="46" t="str" cm="1">
        <f t="array" ref="Y392">_xlfn.IFS(X392&lt;=5,"On Time",X392&gt;5,"Delayed",X392=" ","Pending")</f>
        <v>On Time</v>
      </c>
    </row>
    <row r="393" spans="1:25" ht="15" thickBot="1" x14ac:dyDescent="0.4">
      <c r="A393" s="30" t="s">
        <v>522</v>
      </c>
      <c r="B393" s="30" t="s">
        <v>45</v>
      </c>
      <c r="C393" s="30" t="s">
        <v>125</v>
      </c>
      <c r="D393" s="31">
        <v>45805</v>
      </c>
      <c r="E393" s="31">
        <v>45814</v>
      </c>
      <c r="F393" s="30" t="s">
        <v>101</v>
      </c>
      <c r="G393" s="30" t="s">
        <v>26</v>
      </c>
      <c r="H393" s="31">
        <v>35258</v>
      </c>
      <c r="I393" s="30" t="s">
        <v>27</v>
      </c>
      <c r="J393" s="30" t="s">
        <v>28</v>
      </c>
      <c r="K393" s="30" t="s">
        <v>83</v>
      </c>
      <c r="L393" s="30" t="s">
        <v>127</v>
      </c>
      <c r="M393" s="30">
        <v>13</v>
      </c>
      <c r="N393" s="30">
        <v>20</v>
      </c>
      <c r="O393" s="30">
        <v>15</v>
      </c>
      <c r="P393" s="30">
        <v>221</v>
      </c>
      <c r="Q393" s="30">
        <v>4</v>
      </c>
      <c r="R393" s="30" t="s">
        <v>31</v>
      </c>
      <c r="S393" s="30" t="s">
        <v>32</v>
      </c>
      <c r="T393" s="30" t="s">
        <v>51</v>
      </c>
      <c r="U393" s="30">
        <v>9673698825</v>
      </c>
      <c r="V393" s="38" t="s">
        <v>52</v>
      </c>
      <c r="W393" s="49">
        <f t="shared" ca="1" si="12"/>
        <v>30</v>
      </c>
      <c r="X393" s="50">
        <f t="shared" si="13"/>
        <v>9</v>
      </c>
      <c r="Y393" s="46" t="str" cm="1">
        <f t="array" ref="Y393">_xlfn.IFS(X393&lt;=5,"On Time",X393&gt;5,"Delayed",X393=" ","Pending")</f>
        <v>Delayed</v>
      </c>
    </row>
    <row r="394" spans="1:25" ht="15" thickBot="1" x14ac:dyDescent="0.4">
      <c r="A394" s="27" t="s">
        <v>523</v>
      </c>
      <c r="B394" s="27" t="s">
        <v>134</v>
      </c>
      <c r="C394" s="27" t="s">
        <v>56</v>
      </c>
      <c r="D394" s="28">
        <v>45660</v>
      </c>
      <c r="E394" s="28">
        <v>45665</v>
      </c>
      <c r="F394" s="27" t="s">
        <v>135</v>
      </c>
      <c r="G394" s="27" t="s">
        <v>26</v>
      </c>
      <c r="H394" s="28">
        <v>33940</v>
      </c>
      <c r="I394" s="27" t="s">
        <v>37</v>
      </c>
      <c r="J394" s="27" t="s">
        <v>38</v>
      </c>
      <c r="K394" s="27" t="s">
        <v>39</v>
      </c>
      <c r="L394" s="27" t="s">
        <v>59</v>
      </c>
      <c r="M394" s="27">
        <v>12</v>
      </c>
      <c r="N394" s="27">
        <v>1200</v>
      </c>
      <c r="O394" s="27">
        <v>10</v>
      </c>
      <c r="P394" s="27">
        <v>12960</v>
      </c>
      <c r="Q394" s="27">
        <v>3</v>
      </c>
      <c r="R394" s="27" t="s">
        <v>41</v>
      </c>
      <c r="S394" s="27" t="s">
        <v>32</v>
      </c>
      <c r="T394" s="27" t="s">
        <v>136</v>
      </c>
      <c r="U394" s="27">
        <v>9706238784</v>
      </c>
      <c r="V394" s="37" t="s">
        <v>52</v>
      </c>
      <c r="W394" s="49">
        <f t="shared" ca="1" si="12"/>
        <v>33</v>
      </c>
      <c r="X394" s="50">
        <f t="shared" si="13"/>
        <v>5</v>
      </c>
      <c r="Y394" s="46" t="str" cm="1">
        <f t="array" ref="Y394">_xlfn.IFS(X394&lt;=5,"On Time",X394&gt;5,"Delayed",X394=" ","Pending")</f>
        <v>On Time</v>
      </c>
    </row>
    <row r="395" spans="1:25" ht="15" thickBot="1" x14ac:dyDescent="0.4">
      <c r="A395" s="30" t="s">
        <v>524</v>
      </c>
      <c r="B395" s="30" t="s">
        <v>72</v>
      </c>
      <c r="C395" s="30" t="s">
        <v>105</v>
      </c>
      <c r="D395" s="31">
        <v>45685</v>
      </c>
      <c r="E395" s="31">
        <v>45686</v>
      </c>
      <c r="F395" s="30" t="s">
        <v>73</v>
      </c>
      <c r="G395" s="30" t="s">
        <v>26</v>
      </c>
      <c r="H395" s="31">
        <v>35147</v>
      </c>
      <c r="I395" s="30" t="s">
        <v>147</v>
      </c>
      <c r="J395" s="30" t="s">
        <v>148</v>
      </c>
      <c r="K395" s="30" t="s">
        <v>29</v>
      </c>
      <c r="L395" s="30" t="s">
        <v>107</v>
      </c>
      <c r="M395" s="30">
        <v>6</v>
      </c>
      <c r="N395" s="30">
        <v>8500</v>
      </c>
      <c r="O395" s="30">
        <v>5</v>
      </c>
      <c r="P395" s="30">
        <v>48450</v>
      </c>
      <c r="Q395" s="30">
        <v>5</v>
      </c>
      <c r="R395" s="30" t="s">
        <v>31</v>
      </c>
      <c r="S395" s="30" t="s">
        <v>80</v>
      </c>
      <c r="T395" s="30" t="s">
        <v>93</v>
      </c>
      <c r="U395" s="30">
        <v>9132959877</v>
      </c>
      <c r="V395" s="38" t="s">
        <v>53</v>
      </c>
      <c r="W395" s="49">
        <f t="shared" ca="1" si="12"/>
        <v>30</v>
      </c>
      <c r="X395" s="50">
        <f t="shared" si="13"/>
        <v>1</v>
      </c>
      <c r="Y395" s="46" t="str" cm="1">
        <f t="array" ref="Y395">_xlfn.IFS(X395&lt;=5,"On Time",X395&gt;5,"Delayed",X395=" ","Pending")</f>
        <v>On Time</v>
      </c>
    </row>
    <row r="396" spans="1:25" ht="15" thickBot="1" x14ac:dyDescent="0.4">
      <c r="A396" s="27" t="s">
        <v>525</v>
      </c>
      <c r="B396" s="27" t="s">
        <v>23</v>
      </c>
      <c r="C396" s="27" t="s">
        <v>105</v>
      </c>
      <c r="D396" s="28">
        <v>46071</v>
      </c>
      <c r="E396" s="28">
        <v>46079</v>
      </c>
      <c r="F396" s="27" t="s">
        <v>25</v>
      </c>
      <c r="G396" s="27" t="s">
        <v>26</v>
      </c>
      <c r="H396" s="28">
        <v>34508</v>
      </c>
      <c r="I396" s="27" t="s">
        <v>91</v>
      </c>
      <c r="J396" s="27" t="s">
        <v>75</v>
      </c>
      <c r="K396" s="27" t="s">
        <v>29</v>
      </c>
      <c r="L396" s="27" t="s">
        <v>107</v>
      </c>
      <c r="M396" s="27">
        <v>15</v>
      </c>
      <c r="N396" s="27">
        <v>8500</v>
      </c>
      <c r="O396" s="27">
        <v>10</v>
      </c>
      <c r="P396" s="27">
        <v>114750</v>
      </c>
      <c r="Q396" s="27">
        <v>1</v>
      </c>
      <c r="R396" s="27" t="s">
        <v>31</v>
      </c>
      <c r="S396" s="27" t="s">
        <v>80</v>
      </c>
      <c r="T396" s="27" t="s">
        <v>43</v>
      </c>
      <c r="U396" s="27">
        <v>9295011645</v>
      </c>
      <c r="V396" s="35" t="s">
        <v>34</v>
      </c>
      <c r="W396" s="49">
        <f t="shared" ca="1" si="12"/>
        <v>32</v>
      </c>
      <c r="X396" s="50">
        <f t="shared" si="13"/>
        <v>8</v>
      </c>
      <c r="Y396" s="46" t="str" cm="1">
        <f t="array" ref="Y396">_xlfn.IFS(X396&lt;=5,"On Time",X396&gt;5,"Delayed",X396=" ","Pending")</f>
        <v>Delayed</v>
      </c>
    </row>
    <row r="397" spans="1:25" ht="15" thickBot="1" x14ac:dyDescent="0.4">
      <c r="A397" s="30" t="s">
        <v>526</v>
      </c>
      <c r="B397" s="30" t="s">
        <v>87</v>
      </c>
      <c r="C397" s="30" t="s">
        <v>36</v>
      </c>
      <c r="D397" s="31">
        <v>45872</v>
      </c>
      <c r="E397" s="31">
        <v>45884</v>
      </c>
      <c r="F397" s="30" t="s">
        <v>88</v>
      </c>
      <c r="G397" s="30" t="s">
        <v>58</v>
      </c>
      <c r="H397" s="31">
        <v>29253</v>
      </c>
      <c r="I397" s="30" t="s">
        <v>27</v>
      </c>
      <c r="J397" s="30" t="s">
        <v>28</v>
      </c>
      <c r="K397" s="30" t="s">
        <v>39</v>
      </c>
      <c r="L397" s="30" t="s">
        <v>40</v>
      </c>
      <c r="M397" s="30">
        <v>19</v>
      </c>
      <c r="N397" s="30">
        <v>12000</v>
      </c>
      <c r="O397" s="30">
        <v>20</v>
      </c>
      <c r="P397" s="30">
        <v>182400</v>
      </c>
      <c r="Q397" s="30">
        <v>5</v>
      </c>
      <c r="R397" s="30" t="s">
        <v>31</v>
      </c>
      <c r="S397" s="30" t="s">
        <v>80</v>
      </c>
      <c r="T397" s="30" t="s">
        <v>89</v>
      </c>
      <c r="U397" s="30">
        <v>9677606427</v>
      </c>
      <c r="V397" s="36" t="s">
        <v>34</v>
      </c>
      <c r="W397" s="49">
        <f t="shared" ca="1" si="12"/>
        <v>46</v>
      </c>
      <c r="X397" s="50">
        <f t="shared" si="13"/>
        <v>12</v>
      </c>
      <c r="Y397" s="46" t="str" cm="1">
        <f t="array" ref="Y397">_xlfn.IFS(X397&lt;=5,"On Time",X397&gt;5,"Delayed",X397=" ","Pending")</f>
        <v>Delayed</v>
      </c>
    </row>
    <row r="398" spans="1:25" ht="15" thickBot="1" x14ac:dyDescent="0.4">
      <c r="A398" s="27" t="s">
        <v>527</v>
      </c>
      <c r="B398" s="27" t="s">
        <v>63</v>
      </c>
      <c r="C398" s="27" t="s">
        <v>112</v>
      </c>
      <c r="D398" s="28">
        <v>45672</v>
      </c>
      <c r="E398" s="28">
        <v>45675</v>
      </c>
      <c r="F398" s="27" t="s">
        <v>110</v>
      </c>
      <c r="G398" s="27" t="s">
        <v>58</v>
      </c>
      <c r="H398" s="28">
        <v>33109</v>
      </c>
      <c r="I398" s="27" t="s">
        <v>37</v>
      </c>
      <c r="J398" s="27" t="s">
        <v>38</v>
      </c>
      <c r="K398" s="27" t="s">
        <v>39</v>
      </c>
      <c r="L398" s="27" t="s">
        <v>114</v>
      </c>
      <c r="M398" s="27">
        <v>5</v>
      </c>
      <c r="N398" s="27">
        <v>700</v>
      </c>
      <c r="O398" s="27">
        <v>0</v>
      </c>
      <c r="P398" s="27">
        <v>3500</v>
      </c>
      <c r="Q398" s="27">
        <v>2</v>
      </c>
      <c r="R398" s="27" t="s">
        <v>60</v>
      </c>
      <c r="S398" s="27" t="s">
        <v>50</v>
      </c>
      <c r="T398" s="27" t="s">
        <v>66</v>
      </c>
      <c r="U398" s="27">
        <v>9161631566</v>
      </c>
      <c r="V398" s="37" t="s">
        <v>53</v>
      </c>
      <c r="W398" s="49">
        <f t="shared" ca="1" si="12"/>
        <v>36</v>
      </c>
      <c r="X398" s="50">
        <f t="shared" si="13"/>
        <v>3</v>
      </c>
      <c r="Y398" s="46" t="str" cm="1">
        <f t="array" ref="Y398">_xlfn.IFS(X398&lt;=5,"On Time",X398&gt;5,"Delayed",X398=" ","Pending")</f>
        <v>On Time</v>
      </c>
    </row>
    <row r="399" spans="1:25" ht="15" thickBot="1" x14ac:dyDescent="0.4">
      <c r="A399" s="30" t="s">
        <v>528</v>
      </c>
      <c r="B399" s="30" t="s">
        <v>63</v>
      </c>
      <c r="C399" s="30" t="s">
        <v>36</v>
      </c>
      <c r="D399" s="31">
        <v>45688</v>
      </c>
      <c r="E399" s="31">
        <v>45692</v>
      </c>
      <c r="F399" s="30" t="s">
        <v>110</v>
      </c>
      <c r="G399" s="30" t="s">
        <v>58</v>
      </c>
      <c r="H399" s="31">
        <v>28834</v>
      </c>
      <c r="I399" s="30" t="s">
        <v>147</v>
      </c>
      <c r="J399" s="30" t="s">
        <v>148</v>
      </c>
      <c r="K399" s="30" t="s">
        <v>39</v>
      </c>
      <c r="L399" s="30" t="s">
        <v>40</v>
      </c>
      <c r="M399" s="30">
        <v>19</v>
      </c>
      <c r="N399" s="30">
        <v>12000</v>
      </c>
      <c r="O399" s="30">
        <v>0</v>
      </c>
      <c r="P399" s="30">
        <v>228000</v>
      </c>
      <c r="Q399" s="30">
        <v>4</v>
      </c>
      <c r="R399" s="30" t="s">
        <v>65</v>
      </c>
      <c r="S399" s="30" t="s">
        <v>50</v>
      </c>
      <c r="T399" s="30" t="s">
        <v>66</v>
      </c>
      <c r="U399" s="30">
        <v>9136906750</v>
      </c>
      <c r="V399" s="38" t="s">
        <v>52</v>
      </c>
      <c r="W399" s="49">
        <f t="shared" ca="1" si="12"/>
        <v>47</v>
      </c>
      <c r="X399" s="50">
        <f t="shared" si="13"/>
        <v>4</v>
      </c>
      <c r="Y399" s="46" t="str" cm="1">
        <f t="array" ref="Y399">_xlfn.IFS(X399&lt;=5,"On Time",X399&gt;5,"Delayed",X399=" ","Pending")</f>
        <v>On Time</v>
      </c>
    </row>
    <row r="400" spans="1:25" ht="15" thickBot="1" x14ac:dyDescent="0.4">
      <c r="A400" s="27" t="s">
        <v>529</v>
      </c>
      <c r="B400" s="27" t="s">
        <v>156</v>
      </c>
      <c r="C400" s="27" t="s">
        <v>112</v>
      </c>
      <c r="D400" s="27"/>
      <c r="E400" s="28">
        <v>45964</v>
      </c>
      <c r="F400" s="27" t="s">
        <v>106</v>
      </c>
      <c r="G400" s="27" t="s">
        <v>58</v>
      </c>
      <c r="H400" s="28">
        <v>29099</v>
      </c>
      <c r="I400" s="27" t="s">
        <v>48</v>
      </c>
      <c r="J400" s="27" t="s">
        <v>28</v>
      </c>
      <c r="K400" s="27" t="s">
        <v>39</v>
      </c>
      <c r="L400" s="27" t="s">
        <v>114</v>
      </c>
      <c r="M400" s="27">
        <v>12</v>
      </c>
      <c r="N400" s="27">
        <v>700</v>
      </c>
      <c r="O400" s="27">
        <v>15</v>
      </c>
      <c r="P400" s="27">
        <v>7140</v>
      </c>
      <c r="Q400" s="27">
        <v>3</v>
      </c>
      <c r="R400" s="27" t="s">
        <v>60</v>
      </c>
      <c r="S400" s="27" t="s">
        <v>32</v>
      </c>
      <c r="T400" s="27" t="s">
        <v>158</v>
      </c>
      <c r="U400" s="27">
        <v>9485286324</v>
      </c>
      <c r="V400" s="35" t="s">
        <v>34</v>
      </c>
      <c r="W400" s="49">
        <f t="shared" ca="1" si="12"/>
        <v>47</v>
      </c>
      <c r="X400" s="50">
        <f t="shared" si="13"/>
        <v>45964</v>
      </c>
      <c r="Y400" s="46" t="str" cm="1">
        <f t="array" ref="Y400">_xlfn.IFS(X400&lt;=5,"On Time",X400&gt;5,"Delayed",X400=" ","Pending")</f>
        <v>Delayed</v>
      </c>
    </row>
    <row r="401" spans="1:25" ht="15" thickBot="1" x14ac:dyDescent="0.4">
      <c r="A401" s="30" t="s">
        <v>530</v>
      </c>
      <c r="B401" s="30" t="s">
        <v>23</v>
      </c>
      <c r="C401" s="30" t="s">
        <v>56</v>
      </c>
      <c r="D401" s="31">
        <v>45790</v>
      </c>
      <c r="E401" s="31">
        <v>45798</v>
      </c>
      <c r="F401" s="30" t="s">
        <v>25</v>
      </c>
      <c r="G401" s="30" t="s">
        <v>26</v>
      </c>
      <c r="H401" s="31">
        <v>36989</v>
      </c>
      <c r="I401" s="30" t="s">
        <v>37</v>
      </c>
      <c r="J401" s="30" t="s">
        <v>38</v>
      </c>
      <c r="K401" s="30" t="s">
        <v>39</v>
      </c>
      <c r="L401" s="30" t="s">
        <v>59</v>
      </c>
      <c r="M401" s="30">
        <v>16</v>
      </c>
      <c r="N401" s="30">
        <v>1200</v>
      </c>
      <c r="O401" s="30">
        <v>20</v>
      </c>
      <c r="P401" s="30">
        <v>15360</v>
      </c>
      <c r="Q401" s="30">
        <v>1</v>
      </c>
      <c r="R401" s="30" t="s">
        <v>31</v>
      </c>
      <c r="S401" s="30" t="s">
        <v>42</v>
      </c>
      <c r="T401" s="30" t="s">
        <v>43</v>
      </c>
      <c r="U401" s="30">
        <v>9414633966</v>
      </c>
      <c r="V401" s="38" t="s">
        <v>52</v>
      </c>
      <c r="W401" s="49">
        <f t="shared" ca="1" si="12"/>
        <v>25</v>
      </c>
      <c r="X401" s="50">
        <f t="shared" si="13"/>
        <v>8</v>
      </c>
      <c r="Y401" s="46" t="str" cm="1">
        <f t="array" ref="Y401">_xlfn.IFS(X401&lt;=5,"On Time",X401&gt;5,"Delayed",X401=" ","Pending")</f>
        <v>Delayed</v>
      </c>
    </row>
    <row r="402" spans="1:25" ht="15" thickBot="1" x14ac:dyDescent="0.4">
      <c r="A402" s="27" t="s">
        <v>531</v>
      </c>
      <c r="B402" s="27" t="s">
        <v>55</v>
      </c>
      <c r="C402" s="27" t="s">
        <v>105</v>
      </c>
      <c r="D402" s="28">
        <v>46018</v>
      </c>
      <c r="E402" s="28">
        <v>46026</v>
      </c>
      <c r="F402" s="27" t="s">
        <v>57</v>
      </c>
      <c r="G402" s="27" t="s">
        <v>58</v>
      </c>
      <c r="H402" s="28">
        <v>30317</v>
      </c>
      <c r="I402" s="27" t="s">
        <v>27</v>
      </c>
      <c r="J402" s="27" t="s">
        <v>28</v>
      </c>
      <c r="K402" s="27" t="s">
        <v>29</v>
      </c>
      <c r="L402" s="27" t="s">
        <v>107</v>
      </c>
      <c r="M402" s="27">
        <v>10</v>
      </c>
      <c r="N402" s="27">
        <v>8500</v>
      </c>
      <c r="O402" s="27">
        <v>5</v>
      </c>
      <c r="P402" s="27">
        <v>80750</v>
      </c>
      <c r="Q402" s="27">
        <v>5</v>
      </c>
      <c r="R402" s="27" t="s">
        <v>41</v>
      </c>
      <c r="S402" s="27" t="s">
        <v>32</v>
      </c>
      <c r="T402" s="27" t="s">
        <v>61</v>
      </c>
      <c r="U402" s="27">
        <v>9833735234</v>
      </c>
      <c r="V402" s="35" t="s">
        <v>34</v>
      </c>
      <c r="W402" s="49">
        <f t="shared" ca="1" si="12"/>
        <v>43</v>
      </c>
      <c r="X402" s="50">
        <f t="shared" si="13"/>
        <v>8</v>
      </c>
      <c r="Y402" s="46" t="str" cm="1">
        <f t="array" ref="Y402">_xlfn.IFS(X402&lt;=5,"On Time",X402&gt;5,"Delayed",X402=" ","Pending")</f>
        <v>Delayed</v>
      </c>
    </row>
    <row r="403" spans="1:25" ht="15" thickBot="1" x14ac:dyDescent="0.4">
      <c r="A403" s="30" t="s">
        <v>532</v>
      </c>
      <c r="B403" s="30" t="s">
        <v>23</v>
      </c>
      <c r="C403" s="30" t="s">
        <v>125</v>
      </c>
      <c r="D403" s="31">
        <v>45699</v>
      </c>
      <c r="E403" s="31">
        <v>45709</v>
      </c>
      <c r="F403" s="30" t="s">
        <v>25</v>
      </c>
      <c r="G403" s="30" t="s">
        <v>26</v>
      </c>
      <c r="H403" s="31">
        <v>32729</v>
      </c>
      <c r="I403" s="30" t="s">
        <v>91</v>
      </c>
      <c r="J403" s="30" t="s">
        <v>75</v>
      </c>
      <c r="K403" s="30" t="s">
        <v>83</v>
      </c>
      <c r="L403" s="30" t="s">
        <v>127</v>
      </c>
      <c r="M403" s="30">
        <v>18</v>
      </c>
      <c r="N403" s="30">
        <v>20</v>
      </c>
      <c r="O403" s="30">
        <v>20</v>
      </c>
      <c r="P403" s="30">
        <v>288</v>
      </c>
      <c r="Q403" s="30">
        <v>1</v>
      </c>
      <c r="R403" s="30" t="s">
        <v>65</v>
      </c>
      <c r="S403" s="30" t="s">
        <v>32</v>
      </c>
      <c r="T403" s="30" t="s">
        <v>43</v>
      </c>
      <c r="U403" s="30">
        <v>9523689108</v>
      </c>
      <c r="V403" s="38" t="s">
        <v>52</v>
      </c>
      <c r="W403" s="49">
        <f t="shared" ca="1" si="12"/>
        <v>37</v>
      </c>
      <c r="X403" s="50">
        <f t="shared" si="13"/>
        <v>10</v>
      </c>
      <c r="Y403" s="46" t="str" cm="1">
        <f t="array" ref="Y403">_xlfn.IFS(X403&lt;=5,"On Time",X403&gt;5,"Delayed",X403=" ","Pending")</f>
        <v>Delayed</v>
      </c>
    </row>
    <row r="404" spans="1:25" ht="15" thickBot="1" x14ac:dyDescent="0.4">
      <c r="A404" s="27" t="s">
        <v>533</v>
      </c>
      <c r="B404" s="27" t="s">
        <v>55</v>
      </c>
      <c r="C404" s="27" t="s">
        <v>105</v>
      </c>
      <c r="D404" s="28">
        <v>46094</v>
      </c>
      <c r="E404" s="28">
        <v>46100</v>
      </c>
      <c r="F404" s="27" t="s">
        <v>57</v>
      </c>
      <c r="G404" s="27" t="s">
        <v>58</v>
      </c>
      <c r="H404" s="28">
        <v>34264</v>
      </c>
      <c r="I404" s="27" t="s">
        <v>74</v>
      </c>
      <c r="J404" s="27" t="s">
        <v>75</v>
      </c>
      <c r="K404" s="27" t="s">
        <v>29</v>
      </c>
      <c r="L404" s="27" t="s">
        <v>107</v>
      </c>
      <c r="M404" s="27">
        <v>9</v>
      </c>
      <c r="N404" s="27">
        <v>8500</v>
      </c>
      <c r="O404" s="27">
        <v>0</v>
      </c>
      <c r="P404" s="27">
        <v>76500</v>
      </c>
      <c r="Q404" s="27">
        <v>2</v>
      </c>
      <c r="R404" s="27" t="s">
        <v>60</v>
      </c>
      <c r="S404" s="27" t="s">
        <v>32</v>
      </c>
      <c r="T404" s="27" t="s">
        <v>61</v>
      </c>
      <c r="U404" s="27">
        <v>9812909831</v>
      </c>
      <c r="V404" s="37" t="s">
        <v>52</v>
      </c>
      <c r="W404" s="49">
        <f t="shared" ca="1" si="12"/>
        <v>33</v>
      </c>
      <c r="X404" s="50">
        <f t="shared" si="13"/>
        <v>6</v>
      </c>
      <c r="Y404" s="46" t="str" cm="1">
        <f t="array" ref="Y404">_xlfn.IFS(X404&lt;=5,"On Time",X404&gt;5,"Delayed",X404=" ","Pending")</f>
        <v>Delayed</v>
      </c>
    </row>
    <row r="405" spans="1:25" ht="15" thickBot="1" x14ac:dyDescent="0.4">
      <c r="A405" s="30" t="s">
        <v>534</v>
      </c>
      <c r="B405" s="30" t="s">
        <v>23</v>
      </c>
      <c r="C405" s="30" t="s">
        <v>105</v>
      </c>
      <c r="D405" s="31">
        <v>45931</v>
      </c>
      <c r="E405" s="31">
        <v>45942</v>
      </c>
      <c r="F405" s="30" t="s">
        <v>25</v>
      </c>
      <c r="G405" s="30" t="s">
        <v>26</v>
      </c>
      <c r="H405" s="31">
        <v>36651</v>
      </c>
      <c r="I405" s="30" t="s">
        <v>74</v>
      </c>
      <c r="J405" s="30" t="s">
        <v>75</v>
      </c>
      <c r="K405" s="30" t="s">
        <v>29</v>
      </c>
      <c r="L405" s="30" t="s">
        <v>107</v>
      </c>
      <c r="M405" s="30">
        <v>8</v>
      </c>
      <c r="N405" s="30">
        <v>8500</v>
      </c>
      <c r="O405" s="30">
        <v>10</v>
      </c>
      <c r="P405" s="30">
        <v>61200</v>
      </c>
      <c r="Q405" s="30">
        <v>4</v>
      </c>
      <c r="R405" s="30" t="s">
        <v>31</v>
      </c>
      <c r="S405" s="30" t="s">
        <v>80</v>
      </c>
      <c r="T405" s="30" t="s">
        <v>43</v>
      </c>
      <c r="U405" s="30">
        <v>9106290987</v>
      </c>
      <c r="V405" s="38" t="s">
        <v>53</v>
      </c>
      <c r="W405" s="49">
        <f t="shared" ca="1" si="12"/>
        <v>26</v>
      </c>
      <c r="X405" s="50">
        <f t="shared" si="13"/>
        <v>11</v>
      </c>
      <c r="Y405" s="46" t="str" cm="1">
        <f t="array" ref="Y405">_xlfn.IFS(X405&lt;=5,"On Time",X405&gt;5,"Delayed",X405=" ","Pending")</f>
        <v>Delayed</v>
      </c>
    </row>
    <row r="406" spans="1:25" ht="15" thickBot="1" x14ac:dyDescent="0.4">
      <c r="A406" s="27" t="s">
        <v>535</v>
      </c>
      <c r="B406" s="27" t="s">
        <v>45</v>
      </c>
      <c r="C406" s="27" t="s">
        <v>125</v>
      </c>
      <c r="D406" s="28">
        <v>46048</v>
      </c>
      <c r="E406" s="28">
        <v>46054</v>
      </c>
      <c r="F406" s="27" t="s">
        <v>101</v>
      </c>
      <c r="G406" s="27" t="s">
        <v>26</v>
      </c>
      <c r="H406" s="28">
        <v>30730</v>
      </c>
      <c r="I406" s="27" t="s">
        <v>79</v>
      </c>
      <c r="J406" s="27" t="s">
        <v>75</v>
      </c>
      <c r="K406" s="27" t="s">
        <v>83</v>
      </c>
      <c r="L406" s="27" t="s">
        <v>127</v>
      </c>
      <c r="M406" s="27">
        <v>3</v>
      </c>
      <c r="N406" s="27">
        <v>20</v>
      </c>
      <c r="O406" s="27">
        <v>10</v>
      </c>
      <c r="P406" s="27">
        <v>54</v>
      </c>
      <c r="Q406" s="27">
        <v>3</v>
      </c>
      <c r="R406" s="27" t="s">
        <v>60</v>
      </c>
      <c r="S406" s="27" t="s">
        <v>96</v>
      </c>
      <c r="T406" s="27" t="s">
        <v>51</v>
      </c>
      <c r="U406" s="27">
        <v>9767727724</v>
      </c>
      <c r="V406" s="37" t="s">
        <v>52</v>
      </c>
      <c r="W406" s="49">
        <f t="shared" ca="1" si="12"/>
        <v>42</v>
      </c>
      <c r="X406" s="50">
        <f t="shared" si="13"/>
        <v>6</v>
      </c>
      <c r="Y406" s="46" t="str" cm="1">
        <f t="array" ref="Y406">_xlfn.IFS(X406&lt;=5,"On Time",X406&gt;5,"Delayed",X406=" ","Pending")</f>
        <v>Delayed</v>
      </c>
    </row>
    <row r="407" spans="1:25" ht="15" thickBot="1" x14ac:dyDescent="0.4">
      <c r="A407" s="30" t="s">
        <v>536</v>
      </c>
      <c r="B407" s="30" t="s">
        <v>104</v>
      </c>
      <c r="C407" s="30" t="s">
        <v>105</v>
      </c>
      <c r="D407" s="31">
        <v>45840</v>
      </c>
      <c r="E407" s="31">
        <v>45850</v>
      </c>
      <c r="F407" s="30" t="s">
        <v>166</v>
      </c>
      <c r="G407" s="30" t="s">
        <v>26</v>
      </c>
      <c r="H407" s="31">
        <v>33402</v>
      </c>
      <c r="I407" s="30" t="s">
        <v>147</v>
      </c>
      <c r="J407" s="30" t="s">
        <v>148</v>
      </c>
      <c r="K407" s="30" t="s">
        <v>29</v>
      </c>
      <c r="L407" s="30" t="s">
        <v>107</v>
      </c>
      <c r="M407" s="30">
        <v>18</v>
      </c>
      <c r="N407" s="30">
        <v>8500</v>
      </c>
      <c r="O407" s="30">
        <v>10</v>
      </c>
      <c r="P407" s="30">
        <v>137700</v>
      </c>
      <c r="Q407" s="30">
        <v>4</v>
      </c>
      <c r="R407" s="30" t="s">
        <v>31</v>
      </c>
      <c r="S407" s="30" t="s">
        <v>42</v>
      </c>
      <c r="T407" s="30" t="s">
        <v>108</v>
      </c>
      <c r="U407" s="30">
        <v>9865401727</v>
      </c>
      <c r="V407" s="38" t="s">
        <v>53</v>
      </c>
      <c r="W407" s="49">
        <f t="shared" ca="1" si="12"/>
        <v>35</v>
      </c>
      <c r="X407" s="50">
        <f t="shared" si="13"/>
        <v>10</v>
      </c>
      <c r="Y407" s="46" t="str" cm="1">
        <f t="array" ref="Y407">_xlfn.IFS(X407&lt;=5,"On Time",X407&gt;5,"Delayed",X407=" ","Pending")</f>
        <v>Delayed</v>
      </c>
    </row>
    <row r="408" spans="1:25" ht="15" thickBot="1" x14ac:dyDescent="0.4">
      <c r="A408" s="27" t="s">
        <v>537</v>
      </c>
      <c r="B408" s="27" t="s">
        <v>45</v>
      </c>
      <c r="C408" s="27" t="s">
        <v>138</v>
      </c>
      <c r="D408" s="28">
        <v>45935</v>
      </c>
      <c r="E408" s="28">
        <v>45939</v>
      </c>
      <c r="F408" s="27" t="s">
        <v>101</v>
      </c>
      <c r="G408" s="27" t="s">
        <v>26</v>
      </c>
      <c r="H408" s="28">
        <v>35204</v>
      </c>
      <c r="I408" s="27" t="s">
        <v>79</v>
      </c>
      <c r="J408" s="27" t="s">
        <v>75</v>
      </c>
      <c r="K408" s="27" t="s">
        <v>83</v>
      </c>
      <c r="L408" s="27" t="s">
        <v>139</v>
      </c>
      <c r="M408" s="27">
        <v>5</v>
      </c>
      <c r="N408" s="27">
        <v>45</v>
      </c>
      <c r="O408" s="27">
        <v>10</v>
      </c>
      <c r="P408" s="27">
        <v>202.5</v>
      </c>
      <c r="Q408" s="27">
        <v>3</v>
      </c>
      <c r="R408" s="27" t="s">
        <v>31</v>
      </c>
      <c r="S408" s="27" t="s">
        <v>80</v>
      </c>
      <c r="T408" s="27" t="s">
        <v>51</v>
      </c>
      <c r="U408" s="27">
        <v>9603848571</v>
      </c>
      <c r="V408" s="37" t="s">
        <v>52</v>
      </c>
      <c r="W408" s="49">
        <f t="shared" ca="1" si="12"/>
        <v>30</v>
      </c>
      <c r="X408" s="50">
        <f t="shared" si="13"/>
        <v>4</v>
      </c>
      <c r="Y408" s="46" t="str" cm="1">
        <f t="array" ref="Y408">_xlfn.IFS(X408&lt;=5,"On Time",X408&gt;5,"Delayed",X408=" ","Pending")</f>
        <v>On Time</v>
      </c>
    </row>
    <row r="409" spans="1:25" ht="15" thickBot="1" x14ac:dyDescent="0.4">
      <c r="A409" s="30" t="s">
        <v>538</v>
      </c>
      <c r="B409" s="30" t="s">
        <v>55</v>
      </c>
      <c r="C409" s="30" t="s">
        <v>138</v>
      </c>
      <c r="D409" s="31">
        <v>45807</v>
      </c>
      <c r="E409" s="31">
        <v>45810</v>
      </c>
      <c r="F409" s="30" t="s">
        <v>57</v>
      </c>
      <c r="G409" s="30" t="s">
        <v>58</v>
      </c>
      <c r="H409" s="31">
        <v>33747</v>
      </c>
      <c r="I409" s="30" t="s">
        <v>74</v>
      </c>
      <c r="J409" s="30" t="s">
        <v>75</v>
      </c>
      <c r="K409" s="30" t="s">
        <v>83</v>
      </c>
      <c r="L409" s="30" t="s">
        <v>139</v>
      </c>
      <c r="M409" s="30">
        <v>2</v>
      </c>
      <c r="N409" s="30">
        <v>45</v>
      </c>
      <c r="O409" s="30">
        <v>20</v>
      </c>
      <c r="P409" s="30">
        <v>72</v>
      </c>
      <c r="Q409" s="30">
        <v>5</v>
      </c>
      <c r="R409" s="30" t="s">
        <v>65</v>
      </c>
      <c r="S409" s="30" t="s">
        <v>50</v>
      </c>
      <c r="T409" s="30" t="s">
        <v>61</v>
      </c>
      <c r="U409" s="30">
        <v>9101231789</v>
      </c>
      <c r="V409" s="38" t="s">
        <v>53</v>
      </c>
      <c r="W409" s="49">
        <f t="shared" ca="1" si="12"/>
        <v>34</v>
      </c>
      <c r="X409" s="50">
        <f t="shared" si="13"/>
        <v>3</v>
      </c>
      <c r="Y409" s="46" t="str" cm="1">
        <f t="array" ref="Y409">_xlfn.IFS(X409&lt;=5,"On Time",X409&gt;5,"Delayed",X409=" ","Pending")</f>
        <v>On Time</v>
      </c>
    </row>
    <row r="410" spans="1:25" ht="15" thickBot="1" x14ac:dyDescent="0.4">
      <c r="A410" s="27" t="s">
        <v>539</v>
      </c>
      <c r="B410" s="27" t="s">
        <v>72</v>
      </c>
      <c r="C410" s="27" t="s">
        <v>138</v>
      </c>
      <c r="D410" s="28">
        <v>45684</v>
      </c>
      <c r="E410" s="28">
        <v>45694</v>
      </c>
      <c r="F410" s="27" t="s">
        <v>73</v>
      </c>
      <c r="G410" s="27" t="s">
        <v>26</v>
      </c>
      <c r="H410" s="28">
        <v>32309</v>
      </c>
      <c r="I410" s="27" t="s">
        <v>27</v>
      </c>
      <c r="J410" s="27" t="s">
        <v>28</v>
      </c>
      <c r="K410" s="27" t="s">
        <v>83</v>
      </c>
      <c r="L410" s="27" t="s">
        <v>139</v>
      </c>
      <c r="M410" s="27">
        <v>18</v>
      </c>
      <c r="N410" s="27">
        <v>45</v>
      </c>
      <c r="O410" s="27">
        <v>10</v>
      </c>
      <c r="P410" s="27">
        <v>729</v>
      </c>
      <c r="Q410" s="27">
        <v>2</v>
      </c>
      <c r="R410" s="27" t="s">
        <v>41</v>
      </c>
      <c r="S410" s="27" t="s">
        <v>80</v>
      </c>
      <c r="T410" s="27" t="s">
        <v>93</v>
      </c>
      <c r="U410" s="27">
        <v>9485017802</v>
      </c>
      <c r="V410" s="37" t="s">
        <v>52</v>
      </c>
      <c r="W410" s="49">
        <f t="shared" ca="1" si="12"/>
        <v>38</v>
      </c>
      <c r="X410" s="50">
        <f t="shared" si="13"/>
        <v>10</v>
      </c>
      <c r="Y410" s="46" t="str" cm="1">
        <f t="array" ref="Y410">_xlfn.IFS(X410&lt;=5,"On Time",X410&gt;5,"Delayed",X410=" ","Pending")</f>
        <v>Delayed</v>
      </c>
    </row>
    <row r="411" spans="1:25" ht="15" thickBot="1" x14ac:dyDescent="0.4">
      <c r="A411" s="30" t="s">
        <v>540</v>
      </c>
      <c r="B411" s="30" t="s">
        <v>87</v>
      </c>
      <c r="C411" s="30" t="s">
        <v>56</v>
      </c>
      <c r="D411" s="31">
        <v>46015</v>
      </c>
      <c r="E411" s="31">
        <v>46023</v>
      </c>
      <c r="F411" s="30" t="s">
        <v>88</v>
      </c>
      <c r="G411" s="30" t="s">
        <v>58</v>
      </c>
      <c r="H411" s="31">
        <v>34172</v>
      </c>
      <c r="I411" s="30" t="s">
        <v>147</v>
      </c>
      <c r="J411" s="30" t="s">
        <v>148</v>
      </c>
      <c r="K411" s="30" t="s">
        <v>39</v>
      </c>
      <c r="L411" s="30" t="s">
        <v>59</v>
      </c>
      <c r="M411" s="30">
        <v>13</v>
      </c>
      <c r="N411" s="30">
        <v>1200</v>
      </c>
      <c r="O411" s="30">
        <v>5</v>
      </c>
      <c r="P411" s="30">
        <v>14820</v>
      </c>
      <c r="Q411" s="30">
        <v>4</v>
      </c>
      <c r="R411" s="30" t="s">
        <v>60</v>
      </c>
      <c r="S411" s="30" t="s">
        <v>80</v>
      </c>
      <c r="T411" s="30" t="s">
        <v>89</v>
      </c>
      <c r="U411" s="30">
        <v>9815464650</v>
      </c>
      <c r="V411" s="36" t="s">
        <v>34</v>
      </c>
      <c r="W411" s="49">
        <f t="shared" ca="1" si="12"/>
        <v>33</v>
      </c>
      <c r="X411" s="50">
        <f t="shared" si="13"/>
        <v>8</v>
      </c>
      <c r="Y411" s="46" t="str" cm="1">
        <f t="array" ref="Y411">_xlfn.IFS(X411&lt;=5,"On Time",X411&gt;5,"Delayed",X411=" ","Pending")</f>
        <v>Delayed</v>
      </c>
    </row>
    <row r="412" spans="1:25" ht="15" thickBot="1" x14ac:dyDescent="0.4">
      <c r="A412" s="27" t="s">
        <v>541</v>
      </c>
      <c r="B412" s="27" t="s">
        <v>23</v>
      </c>
      <c r="C412" s="27" t="s">
        <v>125</v>
      </c>
      <c r="D412" s="28">
        <v>46153</v>
      </c>
      <c r="E412" s="28">
        <v>46159</v>
      </c>
      <c r="F412" s="27" t="s">
        <v>25</v>
      </c>
      <c r="G412" s="27" t="s">
        <v>26</v>
      </c>
      <c r="H412" s="28">
        <v>38020</v>
      </c>
      <c r="I412" s="27" t="s">
        <v>27</v>
      </c>
      <c r="J412" s="27" t="s">
        <v>28</v>
      </c>
      <c r="K412" s="27" t="s">
        <v>83</v>
      </c>
      <c r="L412" s="27" t="s">
        <v>127</v>
      </c>
      <c r="M412" s="27">
        <v>14</v>
      </c>
      <c r="N412" s="27">
        <v>20</v>
      </c>
      <c r="O412" s="27">
        <v>20</v>
      </c>
      <c r="P412" s="27">
        <v>224</v>
      </c>
      <c r="Q412" s="27">
        <v>5</v>
      </c>
      <c r="R412" s="27" t="s">
        <v>65</v>
      </c>
      <c r="S412" s="27" t="s">
        <v>42</v>
      </c>
      <c r="T412" s="27" t="s">
        <v>43</v>
      </c>
      <c r="U412" s="27">
        <v>9860715839</v>
      </c>
      <c r="V412" s="37" t="s">
        <v>52</v>
      </c>
      <c r="W412" s="49">
        <f t="shared" ca="1" si="12"/>
        <v>22</v>
      </c>
      <c r="X412" s="50">
        <f t="shared" si="13"/>
        <v>6</v>
      </c>
      <c r="Y412" s="46" t="str" cm="1">
        <f t="array" ref="Y412">_xlfn.IFS(X412&lt;=5,"On Time",X412&gt;5,"Delayed",X412=" ","Pending")</f>
        <v>Delayed</v>
      </c>
    </row>
    <row r="413" spans="1:25" ht="15" thickBot="1" x14ac:dyDescent="0.4">
      <c r="A413" s="30" t="s">
        <v>542</v>
      </c>
      <c r="B413" s="30" t="s">
        <v>72</v>
      </c>
      <c r="C413" s="30" t="s">
        <v>68</v>
      </c>
      <c r="D413" s="31">
        <v>46064</v>
      </c>
      <c r="E413" s="31">
        <v>46076</v>
      </c>
      <c r="F413" s="30" t="s">
        <v>73</v>
      </c>
      <c r="G413" s="30" t="s">
        <v>26</v>
      </c>
      <c r="H413" s="31">
        <v>28847</v>
      </c>
      <c r="I413" s="30" t="s">
        <v>27</v>
      </c>
      <c r="J413" s="30" t="s">
        <v>28</v>
      </c>
      <c r="K413" s="30" t="s">
        <v>29</v>
      </c>
      <c r="L413" s="30" t="s">
        <v>70</v>
      </c>
      <c r="M413" s="30">
        <v>16</v>
      </c>
      <c r="N413" s="30">
        <v>3500</v>
      </c>
      <c r="O413" s="30">
        <v>15</v>
      </c>
      <c r="P413" s="30">
        <v>47600</v>
      </c>
      <c r="Q413" s="30">
        <v>3</v>
      </c>
      <c r="R413" s="30" t="s">
        <v>65</v>
      </c>
      <c r="S413" s="30" t="s">
        <v>50</v>
      </c>
      <c r="T413" s="30" t="s">
        <v>93</v>
      </c>
      <c r="U413" s="30">
        <v>9207561051</v>
      </c>
      <c r="V413" s="38" t="s">
        <v>53</v>
      </c>
      <c r="W413" s="49">
        <f t="shared" ca="1" si="12"/>
        <v>47</v>
      </c>
      <c r="X413" s="50">
        <f t="shared" si="13"/>
        <v>12</v>
      </c>
      <c r="Y413" s="46" t="str" cm="1">
        <f t="array" ref="Y413">_xlfn.IFS(X413&lt;=5,"On Time",X413&gt;5,"Delayed",X413=" ","Pending")</f>
        <v>Delayed</v>
      </c>
    </row>
    <row r="414" spans="1:25" ht="15" thickBot="1" x14ac:dyDescent="0.4">
      <c r="A414" s="27" t="s">
        <v>543</v>
      </c>
      <c r="B414" s="27" t="s">
        <v>134</v>
      </c>
      <c r="C414" s="27" t="s">
        <v>125</v>
      </c>
      <c r="D414" s="28">
        <v>45704</v>
      </c>
      <c r="E414" s="28">
        <v>45712</v>
      </c>
      <c r="F414" s="27" t="s">
        <v>135</v>
      </c>
      <c r="G414" s="27" t="s">
        <v>26</v>
      </c>
      <c r="H414" s="28">
        <v>34257</v>
      </c>
      <c r="I414" s="27" t="s">
        <v>48</v>
      </c>
      <c r="J414" s="27" t="s">
        <v>28</v>
      </c>
      <c r="K414" s="27" t="s">
        <v>83</v>
      </c>
      <c r="L414" s="27" t="s">
        <v>127</v>
      </c>
      <c r="M414" s="27">
        <v>20</v>
      </c>
      <c r="N414" s="27">
        <v>20</v>
      </c>
      <c r="O414" s="27">
        <v>15</v>
      </c>
      <c r="P414" s="27">
        <v>340</v>
      </c>
      <c r="Q414" s="27">
        <v>1</v>
      </c>
      <c r="R414" s="27" t="s">
        <v>41</v>
      </c>
      <c r="S414" s="27" t="s">
        <v>50</v>
      </c>
      <c r="T414" s="27" t="s">
        <v>136</v>
      </c>
      <c r="U414" s="27">
        <v>9159894508</v>
      </c>
      <c r="V414" s="37" t="s">
        <v>53</v>
      </c>
      <c r="W414" s="49">
        <f t="shared" ca="1" si="12"/>
        <v>33</v>
      </c>
      <c r="X414" s="50">
        <f t="shared" si="13"/>
        <v>8</v>
      </c>
      <c r="Y414" s="46" t="str" cm="1">
        <f t="array" ref="Y414">_xlfn.IFS(X414&lt;=5,"On Time",X414&gt;5,"Delayed",X414=" ","Pending")</f>
        <v>Delayed</v>
      </c>
    </row>
    <row r="415" spans="1:25" ht="15" thickBot="1" x14ac:dyDescent="0.4">
      <c r="A415" s="30" t="s">
        <v>544</v>
      </c>
      <c r="B415" s="30" t="s">
        <v>104</v>
      </c>
      <c r="C415" s="30" t="s">
        <v>46</v>
      </c>
      <c r="D415" s="31">
        <v>45756</v>
      </c>
      <c r="E415" s="31">
        <v>45761</v>
      </c>
      <c r="F415" s="30" t="s">
        <v>166</v>
      </c>
      <c r="G415" s="30" t="s">
        <v>26</v>
      </c>
      <c r="H415" s="31">
        <v>29201</v>
      </c>
      <c r="I415" s="30" t="s">
        <v>91</v>
      </c>
      <c r="J415" s="30" t="s">
        <v>75</v>
      </c>
      <c r="K415" s="30" t="s">
        <v>39</v>
      </c>
      <c r="L415" s="30" t="s">
        <v>49</v>
      </c>
      <c r="M415" s="30">
        <v>1</v>
      </c>
      <c r="N415" s="30">
        <v>55000</v>
      </c>
      <c r="O415" s="30">
        <v>15</v>
      </c>
      <c r="P415" s="30">
        <v>46750</v>
      </c>
      <c r="Q415" s="30">
        <v>2</v>
      </c>
      <c r="R415" s="30" t="s">
        <v>65</v>
      </c>
      <c r="S415" s="30" t="s">
        <v>80</v>
      </c>
      <c r="T415" s="30" t="s">
        <v>108</v>
      </c>
      <c r="U415" s="30">
        <v>9531465024</v>
      </c>
      <c r="V415" s="38" t="s">
        <v>53</v>
      </c>
      <c r="W415" s="49">
        <f t="shared" ca="1" si="12"/>
        <v>46</v>
      </c>
      <c r="X415" s="50">
        <f t="shared" si="13"/>
        <v>5</v>
      </c>
      <c r="Y415" s="46" t="str" cm="1">
        <f t="array" ref="Y415">_xlfn.IFS(X415&lt;=5,"On Time",X415&gt;5,"Delayed",X415=" ","Pending")</f>
        <v>On Time</v>
      </c>
    </row>
    <row r="416" spans="1:25" ht="15" thickBot="1" x14ac:dyDescent="0.4">
      <c r="A416" s="27" t="s">
        <v>545</v>
      </c>
      <c r="B416" s="27" t="s">
        <v>72</v>
      </c>
      <c r="C416" s="27" t="s">
        <v>82</v>
      </c>
      <c r="D416" s="28">
        <v>45672</v>
      </c>
      <c r="E416" s="28">
        <v>45677</v>
      </c>
      <c r="F416" s="27" t="s">
        <v>73</v>
      </c>
      <c r="G416" s="27" t="s">
        <v>26</v>
      </c>
      <c r="H416" s="28">
        <v>37400</v>
      </c>
      <c r="I416" s="27" t="s">
        <v>91</v>
      </c>
      <c r="J416" s="27" t="s">
        <v>75</v>
      </c>
      <c r="K416" s="27" t="s">
        <v>83</v>
      </c>
      <c r="L416" s="27" t="s">
        <v>84</v>
      </c>
      <c r="M416" s="27">
        <v>15</v>
      </c>
      <c r="N416" s="27">
        <v>60</v>
      </c>
      <c r="O416" s="27">
        <v>5</v>
      </c>
      <c r="P416" s="27">
        <v>855</v>
      </c>
      <c r="Q416" s="27">
        <v>4</v>
      </c>
      <c r="R416" s="27" t="s">
        <v>41</v>
      </c>
      <c r="S416" s="27" t="s">
        <v>50</v>
      </c>
      <c r="T416" s="27" t="s">
        <v>93</v>
      </c>
      <c r="U416" s="27">
        <v>9158813608</v>
      </c>
      <c r="V416" s="35" t="s">
        <v>34</v>
      </c>
      <c r="W416" s="49">
        <f t="shared" ca="1" si="12"/>
        <v>24</v>
      </c>
      <c r="X416" s="50">
        <f t="shared" si="13"/>
        <v>5</v>
      </c>
      <c r="Y416" s="46" t="str" cm="1">
        <f t="array" ref="Y416">_xlfn.IFS(X416&lt;=5,"On Time",X416&gt;5,"Delayed",X416=" ","Pending")</f>
        <v>On Time</v>
      </c>
    </row>
    <row r="417" spans="1:25" ht="15" thickBot="1" x14ac:dyDescent="0.4">
      <c r="A417" s="30" t="s">
        <v>546</v>
      </c>
      <c r="B417" s="30" t="s">
        <v>63</v>
      </c>
      <c r="C417" s="30" t="s">
        <v>112</v>
      </c>
      <c r="D417" s="31">
        <v>46108</v>
      </c>
      <c r="E417" s="31">
        <v>46114</v>
      </c>
      <c r="F417" s="30" t="s">
        <v>110</v>
      </c>
      <c r="G417" s="30" t="s">
        <v>58</v>
      </c>
      <c r="H417" s="31">
        <v>27828</v>
      </c>
      <c r="I417" s="30" t="s">
        <v>74</v>
      </c>
      <c r="J417" s="30" t="s">
        <v>75</v>
      </c>
      <c r="K417" s="30" t="s">
        <v>39</v>
      </c>
      <c r="L417" s="30" t="s">
        <v>114</v>
      </c>
      <c r="M417" s="30">
        <v>15</v>
      </c>
      <c r="N417" s="30">
        <v>700</v>
      </c>
      <c r="O417" s="30">
        <v>0</v>
      </c>
      <c r="P417" s="30">
        <v>10500</v>
      </c>
      <c r="Q417" s="30">
        <v>5</v>
      </c>
      <c r="R417" s="30" t="s">
        <v>41</v>
      </c>
      <c r="S417" s="30" t="s">
        <v>80</v>
      </c>
      <c r="T417" s="30" t="s">
        <v>66</v>
      </c>
      <c r="U417" s="30">
        <v>9308461700</v>
      </c>
      <c r="V417" s="36" t="s">
        <v>34</v>
      </c>
      <c r="W417" s="49">
        <f t="shared" ca="1" si="12"/>
        <v>50</v>
      </c>
      <c r="X417" s="50">
        <f t="shared" si="13"/>
        <v>6</v>
      </c>
      <c r="Y417" s="46" t="str" cm="1">
        <f t="array" ref="Y417">_xlfn.IFS(X417&lt;=5,"On Time",X417&gt;5,"Delayed",X417=" ","Pending")</f>
        <v>Delayed</v>
      </c>
    </row>
    <row r="418" spans="1:25" ht="15" thickBot="1" x14ac:dyDescent="0.4">
      <c r="A418" s="27" t="s">
        <v>547</v>
      </c>
      <c r="B418" s="27" t="s">
        <v>124</v>
      </c>
      <c r="C418" s="27" t="s">
        <v>36</v>
      </c>
      <c r="D418" s="28">
        <v>46027</v>
      </c>
      <c r="E418" s="28">
        <v>46031</v>
      </c>
      <c r="F418" s="27" t="s">
        <v>126</v>
      </c>
      <c r="G418" s="27" t="s">
        <v>58</v>
      </c>
      <c r="H418" s="28">
        <v>29484</v>
      </c>
      <c r="I418" s="27" t="s">
        <v>147</v>
      </c>
      <c r="J418" s="27" t="s">
        <v>148</v>
      </c>
      <c r="K418" s="27" t="s">
        <v>39</v>
      </c>
      <c r="L418" s="27" t="s">
        <v>40</v>
      </c>
      <c r="M418" s="27">
        <v>13</v>
      </c>
      <c r="N418" s="27">
        <v>12000</v>
      </c>
      <c r="O418" s="27">
        <v>10</v>
      </c>
      <c r="P418" s="27">
        <v>140400</v>
      </c>
      <c r="Q418" s="27">
        <v>1</v>
      </c>
      <c r="R418" s="27" t="s">
        <v>31</v>
      </c>
      <c r="S418" s="27" t="s">
        <v>96</v>
      </c>
      <c r="T418" s="27" t="s">
        <v>128</v>
      </c>
      <c r="U418" s="27">
        <v>9882279049</v>
      </c>
      <c r="V418" s="37" t="s">
        <v>53</v>
      </c>
      <c r="W418" s="49">
        <f t="shared" ca="1" si="12"/>
        <v>46</v>
      </c>
      <c r="X418" s="50">
        <f t="shared" si="13"/>
        <v>4</v>
      </c>
      <c r="Y418" s="46" t="str" cm="1">
        <f t="array" ref="Y418">_xlfn.IFS(X418&lt;=5,"On Time",X418&gt;5,"Delayed",X418=" ","Pending")</f>
        <v>On Time</v>
      </c>
    </row>
    <row r="419" spans="1:25" ht="15" thickBot="1" x14ac:dyDescent="0.4">
      <c r="A419" s="30" t="s">
        <v>548</v>
      </c>
      <c r="B419" s="30" t="s">
        <v>63</v>
      </c>
      <c r="C419" s="30" t="s">
        <v>36</v>
      </c>
      <c r="D419" s="31">
        <v>46129</v>
      </c>
      <c r="E419" s="31">
        <v>46141</v>
      </c>
      <c r="F419" s="30" t="s">
        <v>110</v>
      </c>
      <c r="G419" s="30" t="s">
        <v>58</v>
      </c>
      <c r="H419" s="31">
        <v>32318</v>
      </c>
      <c r="I419" s="30" t="s">
        <v>27</v>
      </c>
      <c r="J419" s="30" t="s">
        <v>28</v>
      </c>
      <c r="K419" s="30" t="s">
        <v>39</v>
      </c>
      <c r="L419" s="30" t="s">
        <v>40</v>
      </c>
      <c r="M419" s="30">
        <v>12</v>
      </c>
      <c r="N419" s="30">
        <v>12000</v>
      </c>
      <c r="O419" s="30">
        <v>20</v>
      </c>
      <c r="P419" s="30">
        <v>115200</v>
      </c>
      <c r="Q419" s="30">
        <v>2</v>
      </c>
      <c r="R419" s="30" t="s">
        <v>31</v>
      </c>
      <c r="S419" s="30" t="s">
        <v>32</v>
      </c>
      <c r="T419" s="30" t="s">
        <v>66</v>
      </c>
      <c r="U419" s="30">
        <v>9961801338</v>
      </c>
      <c r="V419" s="36" t="s">
        <v>34</v>
      </c>
      <c r="W419" s="49">
        <f t="shared" ca="1" si="12"/>
        <v>38</v>
      </c>
      <c r="X419" s="50">
        <f t="shared" si="13"/>
        <v>12</v>
      </c>
      <c r="Y419" s="46" t="str" cm="1">
        <f t="array" ref="Y419">_xlfn.IFS(X419&lt;=5,"On Time",X419&gt;5,"Delayed",X419=" ","Pending")</f>
        <v>Delayed</v>
      </c>
    </row>
    <row r="420" spans="1:25" ht="15" thickBot="1" x14ac:dyDescent="0.4">
      <c r="A420" s="27" t="s">
        <v>549</v>
      </c>
      <c r="B420" s="27" t="s">
        <v>63</v>
      </c>
      <c r="C420" s="27" t="s">
        <v>138</v>
      </c>
      <c r="D420" s="28">
        <v>45741</v>
      </c>
      <c r="E420" s="28">
        <v>45745</v>
      </c>
      <c r="F420" s="27" t="s">
        <v>110</v>
      </c>
      <c r="G420" s="27" t="s">
        <v>58</v>
      </c>
      <c r="H420" s="28">
        <v>37783</v>
      </c>
      <c r="I420" s="27" t="s">
        <v>74</v>
      </c>
      <c r="J420" s="27" t="s">
        <v>75</v>
      </c>
      <c r="K420" s="27" t="s">
        <v>83</v>
      </c>
      <c r="L420" s="27" t="s">
        <v>139</v>
      </c>
      <c r="M420" s="27">
        <v>10</v>
      </c>
      <c r="N420" s="27">
        <v>45</v>
      </c>
      <c r="O420" s="27">
        <v>0</v>
      </c>
      <c r="P420" s="27">
        <v>450</v>
      </c>
      <c r="Q420" s="27">
        <v>5</v>
      </c>
      <c r="R420" s="27" t="s">
        <v>60</v>
      </c>
      <c r="S420" s="27" t="s">
        <v>80</v>
      </c>
      <c r="T420" s="27" t="s">
        <v>66</v>
      </c>
      <c r="U420" s="27">
        <v>9853525026</v>
      </c>
      <c r="V420" s="37" t="s">
        <v>53</v>
      </c>
      <c r="W420" s="49">
        <f t="shared" ca="1" si="12"/>
        <v>23</v>
      </c>
      <c r="X420" s="50">
        <f t="shared" si="13"/>
        <v>4</v>
      </c>
      <c r="Y420" s="46" t="str" cm="1">
        <f t="array" ref="Y420">_xlfn.IFS(X420&lt;=5,"On Time",X420&gt;5,"Delayed",X420=" ","Pending")</f>
        <v>On Time</v>
      </c>
    </row>
    <row r="421" spans="1:25" ht="15" thickBot="1" x14ac:dyDescent="0.4">
      <c r="A421" s="30" t="s">
        <v>550</v>
      </c>
      <c r="B421" s="30" t="s">
        <v>87</v>
      </c>
      <c r="C421" s="30" t="s">
        <v>56</v>
      </c>
      <c r="D421" s="31">
        <v>45774</v>
      </c>
      <c r="E421" s="31">
        <v>45786</v>
      </c>
      <c r="F421" s="30" t="s">
        <v>88</v>
      </c>
      <c r="G421" s="30" t="s">
        <v>58</v>
      </c>
      <c r="H421" s="31">
        <v>29930</v>
      </c>
      <c r="I421" s="30" t="s">
        <v>74</v>
      </c>
      <c r="J421" s="30" t="s">
        <v>75</v>
      </c>
      <c r="K421" s="30" t="s">
        <v>39</v>
      </c>
      <c r="L421" s="30" t="s">
        <v>59</v>
      </c>
      <c r="M421" s="30">
        <v>20</v>
      </c>
      <c r="N421" s="30">
        <v>1200</v>
      </c>
      <c r="O421" s="30">
        <v>20</v>
      </c>
      <c r="P421" s="30">
        <v>19200</v>
      </c>
      <c r="Q421" s="30">
        <v>5</v>
      </c>
      <c r="R421" s="30" t="s">
        <v>41</v>
      </c>
      <c r="S421" s="30" t="s">
        <v>50</v>
      </c>
      <c r="T421" s="30" t="s">
        <v>89</v>
      </c>
      <c r="U421" s="30">
        <v>9209649485</v>
      </c>
      <c r="V421" s="38" t="s">
        <v>53</v>
      </c>
      <c r="W421" s="49">
        <f t="shared" ca="1" si="12"/>
        <v>44</v>
      </c>
      <c r="X421" s="50">
        <f t="shared" si="13"/>
        <v>12</v>
      </c>
      <c r="Y421" s="46" t="str" cm="1">
        <f t="array" ref="Y421">_xlfn.IFS(X421&lt;=5,"On Time",X421&gt;5,"Delayed",X421=" ","Pending")</f>
        <v>Delayed</v>
      </c>
    </row>
    <row r="422" spans="1:25" ht="15" thickBot="1" x14ac:dyDescent="0.4">
      <c r="A422" s="27" t="s">
        <v>551</v>
      </c>
      <c r="B422" s="27" t="s">
        <v>55</v>
      </c>
      <c r="C422" s="27" t="s">
        <v>56</v>
      </c>
      <c r="D422" s="28">
        <v>45919</v>
      </c>
      <c r="E422" s="28">
        <v>45926</v>
      </c>
      <c r="F422" s="27" t="s">
        <v>57</v>
      </c>
      <c r="G422" s="27" t="s">
        <v>58</v>
      </c>
      <c r="H422" s="28">
        <v>27449</v>
      </c>
      <c r="I422" s="27" t="s">
        <v>79</v>
      </c>
      <c r="J422" s="27" t="s">
        <v>75</v>
      </c>
      <c r="K422" s="27" t="s">
        <v>39</v>
      </c>
      <c r="L422" s="27" t="s">
        <v>59</v>
      </c>
      <c r="M422" s="27">
        <v>8</v>
      </c>
      <c r="N422" s="27">
        <v>1200</v>
      </c>
      <c r="O422" s="27">
        <v>10</v>
      </c>
      <c r="P422" s="27">
        <v>8640</v>
      </c>
      <c r="Q422" s="27">
        <v>4</v>
      </c>
      <c r="R422" s="27" t="s">
        <v>41</v>
      </c>
      <c r="S422" s="27" t="s">
        <v>50</v>
      </c>
      <c r="T422" s="27" t="s">
        <v>61</v>
      </c>
      <c r="U422" s="27">
        <v>9712905525</v>
      </c>
      <c r="V422" s="35" t="s">
        <v>34</v>
      </c>
      <c r="W422" s="49">
        <f t="shared" ca="1" si="12"/>
        <v>51</v>
      </c>
      <c r="X422" s="50">
        <f t="shared" si="13"/>
        <v>7</v>
      </c>
      <c r="Y422" s="46" t="str" cm="1">
        <f t="array" ref="Y422">_xlfn.IFS(X422&lt;=5,"On Time",X422&gt;5,"Delayed",X422=" ","Pending")</f>
        <v>Delayed</v>
      </c>
    </row>
    <row r="423" spans="1:25" ht="15" thickBot="1" x14ac:dyDescent="0.4">
      <c r="A423" s="30" t="s">
        <v>552</v>
      </c>
      <c r="B423" s="30" t="s">
        <v>87</v>
      </c>
      <c r="C423" s="30" t="s">
        <v>56</v>
      </c>
      <c r="D423" s="31">
        <v>45795</v>
      </c>
      <c r="E423" s="31">
        <v>45797</v>
      </c>
      <c r="F423" s="30" t="s">
        <v>88</v>
      </c>
      <c r="G423" s="30" t="s">
        <v>58</v>
      </c>
      <c r="H423" s="31">
        <v>28395</v>
      </c>
      <c r="I423" s="30" t="s">
        <v>121</v>
      </c>
      <c r="J423" s="30" t="s">
        <v>38</v>
      </c>
      <c r="K423" s="30" t="s">
        <v>39</v>
      </c>
      <c r="L423" s="30" t="s">
        <v>59</v>
      </c>
      <c r="M423" s="30">
        <v>8</v>
      </c>
      <c r="N423" s="30">
        <v>1200</v>
      </c>
      <c r="O423" s="30">
        <v>10</v>
      </c>
      <c r="P423" s="30">
        <v>8640</v>
      </c>
      <c r="Q423" s="30">
        <v>5</v>
      </c>
      <c r="R423" s="30" t="s">
        <v>60</v>
      </c>
      <c r="S423" s="30" t="s">
        <v>42</v>
      </c>
      <c r="T423" s="30" t="s">
        <v>89</v>
      </c>
      <c r="U423" s="30">
        <v>9812472447</v>
      </c>
      <c r="V423" s="38" t="s">
        <v>53</v>
      </c>
      <c r="W423" s="49">
        <f t="shared" ca="1" si="12"/>
        <v>49</v>
      </c>
      <c r="X423" s="50">
        <f t="shared" si="13"/>
        <v>2</v>
      </c>
      <c r="Y423" s="46" t="str" cm="1">
        <f t="array" ref="Y423">_xlfn.IFS(X423&lt;=5,"On Time",X423&gt;5,"Delayed",X423=" ","Pending")</f>
        <v>On Time</v>
      </c>
    </row>
    <row r="424" spans="1:25" ht="15" thickBot="1" x14ac:dyDescent="0.4">
      <c r="A424" s="27" t="s">
        <v>553</v>
      </c>
      <c r="B424" s="27" t="s">
        <v>156</v>
      </c>
      <c r="C424" s="27" t="s">
        <v>24</v>
      </c>
      <c r="D424" s="28">
        <v>46020</v>
      </c>
      <c r="E424" s="28">
        <v>46021</v>
      </c>
      <c r="F424" s="27" t="s">
        <v>106</v>
      </c>
      <c r="G424" s="27" t="s">
        <v>58</v>
      </c>
      <c r="H424" s="28">
        <v>32136</v>
      </c>
      <c r="I424" s="27" t="s">
        <v>121</v>
      </c>
      <c r="J424" s="27" t="s">
        <v>38</v>
      </c>
      <c r="K424" s="27" t="s">
        <v>29</v>
      </c>
      <c r="L424" s="27" t="s">
        <v>30</v>
      </c>
      <c r="M424" s="27">
        <v>9</v>
      </c>
      <c r="N424" s="27">
        <v>2200</v>
      </c>
      <c r="O424" s="27">
        <v>20</v>
      </c>
      <c r="P424" s="27">
        <v>15840</v>
      </c>
      <c r="Q424" s="27">
        <v>1</v>
      </c>
      <c r="R424" s="27" t="s">
        <v>41</v>
      </c>
      <c r="S424" s="27" t="s">
        <v>80</v>
      </c>
      <c r="T424" s="27" t="s">
        <v>158</v>
      </c>
      <c r="U424" s="27">
        <v>9281127052</v>
      </c>
      <c r="V424" s="35" t="s">
        <v>34</v>
      </c>
      <c r="W424" s="49">
        <f t="shared" ca="1" si="12"/>
        <v>38</v>
      </c>
      <c r="X424" s="50">
        <f t="shared" si="13"/>
        <v>1</v>
      </c>
      <c r="Y424" s="46" t="str" cm="1">
        <f t="array" ref="Y424">_xlfn.IFS(X424&lt;=5,"On Time",X424&gt;5,"Delayed",X424=" ","Pending")</f>
        <v>On Time</v>
      </c>
    </row>
    <row r="425" spans="1:25" ht="15" thickBot="1" x14ac:dyDescent="0.4">
      <c r="A425" s="30" t="s">
        <v>554</v>
      </c>
      <c r="B425" s="30" t="s">
        <v>87</v>
      </c>
      <c r="C425" s="30" t="s">
        <v>125</v>
      </c>
      <c r="D425" s="31">
        <v>45669</v>
      </c>
      <c r="E425" s="31">
        <v>45673</v>
      </c>
      <c r="F425" s="30" t="s">
        <v>88</v>
      </c>
      <c r="G425" s="30" t="s">
        <v>58</v>
      </c>
      <c r="H425" s="31">
        <v>36973</v>
      </c>
      <c r="I425" s="30" t="s">
        <v>147</v>
      </c>
      <c r="J425" s="30" t="s">
        <v>148</v>
      </c>
      <c r="K425" s="30" t="s">
        <v>83</v>
      </c>
      <c r="L425" s="30" t="s">
        <v>127</v>
      </c>
      <c r="M425" s="30">
        <v>8</v>
      </c>
      <c r="N425" s="30">
        <v>20</v>
      </c>
      <c r="O425" s="30">
        <v>20</v>
      </c>
      <c r="P425" s="30">
        <v>128</v>
      </c>
      <c r="Q425" s="30">
        <v>4</v>
      </c>
      <c r="R425" s="30" t="s">
        <v>31</v>
      </c>
      <c r="S425" s="30" t="s">
        <v>32</v>
      </c>
      <c r="T425" s="30" t="s">
        <v>89</v>
      </c>
      <c r="U425" s="30">
        <v>9346312555</v>
      </c>
      <c r="V425" s="38" t="s">
        <v>53</v>
      </c>
      <c r="W425" s="49">
        <f t="shared" ca="1" si="12"/>
        <v>25</v>
      </c>
      <c r="X425" s="50">
        <f t="shared" si="13"/>
        <v>4</v>
      </c>
      <c r="Y425" s="46" t="str" cm="1">
        <f t="array" ref="Y425">_xlfn.IFS(X425&lt;=5,"On Time",X425&gt;5,"Delayed",X425=" ","Pending")</f>
        <v>On Time</v>
      </c>
    </row>
    <row r="426" spans="1:25" ht="15" thickBot="1" x14ac:dyDescent="0.4">
      <c r="A426" s="27" t="s">
        <v>555</v>
      </c>
      <c r="B426" s="27" t="s">
        <v>124</v>
      </c>
      <c r="C426" s="27" t="s">
        <v>46</v>
      </c>
      <c r="D426" s="28">
        <v>46035</v>
      </c>
      <c r="E426" s="28">
        <v>46044</v>
      </c>
      <c r="F426" s="27" t="s">
        <v>126</v>
      </c>
      <c r="G426" s="27" t="s">
        <v>58</v>
      </c>
      <c r="H426" s="28">
        <v>30216</v>
      </c>
      <c r="I426" s="27" t="s">
        <v>79</v>
      </c>
      <c r="J426" s="27" t="s">
        <v>75</v>
      </c>
      <c r="K426" s="27" t="s">
        <v>39</v>
      </c>
      <c r="L426" s="27" t="s">
        <v>49</v>
      </c>
      <c r="M426" s="27">
        <v>5</v>
      </c>
      <c r="N426" s="27">
        <v>55000</v>
      </c>
      <c r="O426" s="27">
        <v>0</v>
      </c>
      <c r="P426" s="27">
        <v>275000</v>
      </c>
      <c r="Q426" s="27">
        <v>1</v>
      </c>
      <c r="R426" s="27" t="s">
        <v>60</v>
      </c>
      <c r="S426" s="27" t="s">
        <v>80</v>
      </c>
      <c r="T426" s="27" t="s">
        <v>128</v>
      </c>
      <c r="U426" s="27">
        <v>9443786067</v>
      </c>
      <c r="V426" s="35" t="s">
        <v>34</v>
      </c>
      <c r="W426" s="49">
        <f t="shared" ca="1" si="12"/>
        <v>44</v>
      </c>
      <c r="X426" s="50">
        <f t="shared" si="13"/>
        <v>9</v>
      </c>
      <c r="Y426" s="46" t="str" cm="1">
        <f t="array" ref="Y426">_xlfn.IFS(X426&lt;=5,"On Time",X426&gt;5,"Delayed",X426=" ","Pending")</f>
        <v>Delayed</v>
      </c>
    </row>
    <row r="427" spans="1:25" ht="15" thickBot="1" x14ac:dyDescent="0.4">
      <c r="A427" s="30" t="s">
        <v>556</v>
      </c>
      <c r="B427" s="30" t="s">
        <v>72</v>
      </c>
      <c r="C427" s="30" t="s">
        <v>56</v>
      </c>
      <c r="D427" s="31">
        <v>46096</v>
      </c>
      <c r="E427" s="31">
        <v>46099</v>
      </c>
      <c r="F427" s="30" t="s">
        <v>73</v>
      </c>
      <c r="G427" s="30" t="s">
        <v>26</v>
      </c>
      <c r="H427" s="31">
        <v>31670</v>
      </c>
      <c r="I427" s="30" t="s">
        <v>74</v>
      </c>
      <c r="J427" s="30" t="s">
        <v>75</v>
      </c>
      <c r="K427" s="30" t="s">
        <v>39</v>
      </c>
      <c r="L427" s="30" t="s">
        <v>59</v>
      </c>
      <c r="M427" s="30">
        <v>13</v>
      </c>
      <c r="N427" s="30">
        <v>1200</v>
      </c>
      <c r="O427" s="30">
        <v>5</v>
      </c>
      <c r="P427" s="30">
        <v>14820</v>
      </c>
      <c r="Q427" s="30">
        <v>2</v>
      </c>
      <c r="R427" s="30" t="s">
        <v>60</v>
      </c>
      <c r="S427" s="30" t="s">
        <v>32</v>
      </c>
      <c r="T427" s="30" t="s">
        <v>93</v>
      </c>
      <c r="U427" s="30">
        <v>9452540528</v>
      </c>
      <c r="V427" s="38" t="s">
        <v>53</v>
      </c>
      <c r="W427" s="49">
        <f t="shared" ca="1" si="12"/>
        <v>40</v>
      </c>
      <c r="X427" s="50">
        <f t="shared" si="13"/>
        <v>3</v>
      </c>
      <c r="Y427" s="46" t="str" cm="1">
        <f t="array" ref="Y427">_xlfn.IFS(X427&lt;=5,"On Time",X427&gt;5,"Delayed",X427=" ","Pending")</f>
        <v>On Time</v>
      </c>
    </row>
    <row r="428" spans="1:25" ht="15" thickBot="1" x14ac:dyDescent="0.4">
      <c r="A428" s="27" t="s">
        <v>557</v>
      </c>
      <c r="B428" s="27" t="s">
        <v>63</v>
      </c>
      <c r="C428" s="27" t="s">
        <v>105</v>
      </c>
      <c r="D428" s="28">
        <v>45986</v>
      </c>
      <c r="E428" s="28">
        <v>45991</v>
      </c>
      <c r="F428" s="27" t="s">
        <v>110</v>
      </c>
      <c r="G428" s="27" t="s">
        <v>58</v>
      </c>
      <c r="H428" s="28">
        <v>37602</v>
      </c>
      <c r="I428" s="27" t="s">
        <v>121</v>
      </c>
      <c r="J428" s="27" t="s">
        <v>38</v>
      </c>
      <c r="K428" s="27" t="s">
        <v>29</v>
      </c>
      <c r="L428" s="27" t="s">
        <v>107</v>
      </c>
      <c r="M428" s="27">
        <v>13</v>
      </c>
      <c r="N428" s="27">
        <v>8500</v>
      </c>
      <c r="O428" s="27">
        <v>20</v>
      </c>
      <c r="P428" s="27">
        <v>88400</v>
      </c>
      <c r="Q428" s="27">
        <v>5</v>
      </c>
      <c r="R428" s="27" t="s">
        <v>31</v>
      </c>
      <c r="S428" s="27" t="s">
        <v>42</v>
      </c>
      <c r="T428" s="27" t="s">
        <v>66</v>
      </c>
      <c r="U428" s="27">
        <v>9750918728</v>
      </c>
      <c r="V428" s="37" t="s">
        <v>52</v>
      </c>
      <c r="W428" s="49">
        <f t="shared" ca="1" si="12"/>
        <v>23</v>
      </c>
      <c r="X428" s="50">
        <f t="shared" si="13"/>
        <v>5</v>
      </c>
      <c r="Y428" s="46" t="str" cm="1">
        <f t="array" ref="Y428">_xlfn.IFS(X428&lt;=5,"On Time",X428&gt;5,"Delayed",X428=" ","Pending")</f>
        <v>On Time</v>
      </c>
    </row>
    <row r="429" spans="1:25" ht="15" thickBot="1" x14ac:dyDescent="0.4">
      <c r="A429" s="30" t="s">
        <v>558</v>
      </c>
      <c r="B429" s="30" t="s">
        <v>55</v>
      </c>
      <c r="C429" s="30" t="s">
        <v>82</v>
      </c>
      <c r="D429" s="31">
        <v>45692</v>
      </c>
      <c r="E429" s="31">
        <v>45703</v>
      </c>
      <c r="F429" s="30" t="s">
        <v>57</v>
      </c>
      <c r="G429" s="30" t="s">
        <v>58</v>
      </c>
      <c r="H429" s="31">
        <v>36053</v>
      </c>
      <c r="I429" s="30" t="s">
        <v>79</v>
      </c>
      <c r="J429" s="30" t="s">
        <v>75</v>
      </c>
      <c r="K429" s="30" t="s">
        <v>83</v>
      </c>
      <c r="L429" s="30" t="s">
        <v>84</v>
      </c>
      <c r="M429" s="30">
        <v>14</v>
      </c>
      <c r="N429" s="30">
        <v>60</v>
      </c>
      <c r="O429" s="30">
        <v>10</v>
      </c>
      <c r="P429" s="30">
        <v>756</v>
      </c>
      <c r="Q429" s="30">
        <v>1</v>
      </c>
      <c r="R429" s="30" t="s">
        <v>31</v>
      </c>
      <c r="S429" s="30" t="s">
        <v>50</v>
      </c>
      <c r="T429" s="30" t="s">
        <v>61</v>
      </c>
      <c r="U429" s="30">
        <v>9375975834</v>
      </c>
      <c r="V429" s="38" t="s">
        <v>53</v>
      </c>
      <c r="W429" s="49">
        <f t="shared" ca="1" si="12"/>
        <v>28</v>
      </c>
      <c r="X429" s="50">
        <f t="shared" si="13"/>
        <v>11</v>
      </c>
      <c r="Y429" s="46" t="str" cm="1">
        <f t="array" ref="Y429">_xlfn.IFS(X429&lt;=5,"On Time",X429&gt;5,"Delayed",X429=" ","Pending")</f>
        <v>Delayed</v>
      </c>
    </row>
    <row r="430" spans="1:25" ht="15" thickBot="1" x14ac:dyDescent="0.4">
      <c r="A430" s="27" t="s">
        <v>559</v>
      </c>
      <c r="B430" s="27" t="s">
        <v>134</v>
      </c>
      <c r="C430" s="27" t="s">
        <v>24</v>
      </c>
      <c r="D430" s="28">
        <v>45775</v>
      </c>
      <c r="E430" s="28">
        <v>45776</v>
      </c>
      <c r="F430" s="27" t="s">
        <v>135</v>
      </c>
      <c r="G430" s="27" t="s">
        <v>26</v>
      </c>
      <c r="H430" s="28">
        <v>31337</v>
      </c>
      <c r="I430" s="27" t="s">
        <v>48</v>
      </c>
      <c r="J430" s="27" t="s">
        <v>28</v>
      </c>
      <c r="K430" s="27" t="s">
        <v>29</v>
      </c>
      <c r="L430" s="27" t="s">
        <v>30</v>
      </c>
      <c r="M430" s="27">
        <v>15</v>
      </c>
      <c r="N430" s="27">
        <v>2200</v>
      </c>
      <c r="O430" s="27">
        <v>0</v>
      </c>
      <c r="P430" s="27">
        <v>33000</v>
      </c>
      <c r="Q430" s="27">
        <v>1</v>
      </c>
      <c r="R430" s="27" t="s">
        <v>31</v>
      </c>
      <c r="S430" s="27" t="s">
        <v>50</v>
      </c>
      <c r="T430" s="27" t="s">
        <v>136</v>
      </c>
      <c r="U430" s="27">
        <v>9497321112</v>
      </c>
      <c r="V430" s="35" t="s">
        <v>34</v>
      </c>
      <c r="W430" s="49">
        <f t="shared" ca="1" si="12"/>
        <v>41</v>
      </c>
      <c r="X430" s="50">
        <f t="shared" si="13"/>
        <v>1</v>
      </c>
      <c r="Y430" s="46" t="str" cm="1">
        <f t="array" ref="Y430">_xlfn.IFS(X430&lt;=5,"On Time",X430&gt;5,"Delayed",X430=" ","Pending")</f>
        <v>On Time</v>
      </c>
    </row>
    <row r="431" spans="1:25" ht="15" thickBot="1" x14ac:dyDescent="0.4">
      <c r="A431" s="30" t="s">
        <v>560</v>
      </c>
      <c r="B431" s="30" t="s">
        <v>63</v>
      </c>
      <c r="C431" s="30" t="s">
        <v>82</v>
      </c>
      <c r="D431" s="31">
        <v>45896</v>
      </c>
      <c r="E431" s="31">
        <v>45898</v>
      </c>
      <c r="F431" s="30" t="s">
        <v>110</v>
      </c>
      <c r="G431" s="30" t="s">
        <v>58</v>
      </c>
      <c r="H431" s="31">
        <v>34926</v>
      </c>
      <c r="I431" s="30" t="s">
        <v>121</v>
      </c>
      <c r="J431" s="30" t="s">
        <v>38</v>
      </c>
      <c r="K431" s="30" t="s">
        <v>83</v>
      </c>
      <c r="L431" s="30" t="s">
        <v>84</v>
      </c>
      <c r="M431" s="30">
        <v>19</v>
      </c>
      <c r="N431" s="30">
        <v>60</v>
      </c>
      <c r="O431" s="30">
        <v>20</v>
      </c>
      <c r="P431" s="30">
        <v>912</v>
      </c>
      <c r="Q431" s="30">
        <v>3</v>
      </c>
      <c r="R431" s="30" t="s">
        <v>31</v>
      </c>
      <c r="S431" s="30" t="s">
        <v>96</v>
      </c>
      <c r="T431" s="30" t="s">
        <v>66</v>
      </c>
      <c r="U431" s="30">
        <v>9828749888</v>
      </c>
      <c r="V431" s="38" t="s">
        <v>52</v>
      </c>
      <c r="W431" s="49">
        <f t="shared" ca="1" si="12"/>
        <v>31</v>
      </c>
      <c r="X431" s="50">
        <f t="shared" si="13"/>
        <v>2</v>
      </c>
      <c r="Y431" s="46" t="str" cm="1">
        <f t="array" ref="Y431">_xlfn.IFS(X431&lt;=5,"On Time",X431&gt;5,"Delayed",X431=" ","Pending")</f>
        <v>On Time</v>
      </c>
    </row>
    <row r="432" spans="1:25" ht="15" thickBot="1" x14ac:dyDescent="0.4">
      <c r="A432" s="27" t="s">
        <v>561</v>
      </c>
      <c r="B432" s="27" t="s">
        <v>45</v>
      </c>
      <c r="C432" s="27" t="s">
        <v>138</v>
      </c>
      <c r="D432" s="28">
        <v>45942</v>
      </c>
      <c r="E432" s="28">
        <v>45953</v>
      </c>
      <c r="F432" s="27" t="s">
        <v>101</v>
      </c>
      <c r="G432" s="27" t="s">
        <v>26</v>
      </c>
      <c r="H432" s="28">
        <v>31286</v>
      </c>
      <c r="I432" s="27" t="s">
        <v>121</v>
      </c>
      <c r="J432" s="27" t="s">
        <v>38</v>
      </c>
      <c r="K432" s="27" t="s">
        <v>83</v>
      </c>
      <c r="L432" s="27" t="s">
        <v>139</v>
      </c>
      <c r="M432" s="27">
        <v>13</v>
      </c>
      <c r="N432" s="27">
        <v>45</v>
      </c>
      <c r="O432" s="27">
        <v>15</v>
      </c>
      <c r="P432" s="27">
        <v>497.25</v>
      </c>
      <c r="Q432" s="27">
        <v>2</v>
      </c>
      <c r="R432" s="27" t="s">
        <v>31</v>
      </c>
      <c r="S432" s="27" t="s">
        <v>42</v>
      </c>
      <c r="T432" s="27" t="s">
        <v>51</v>
      </c>
      <c r="U432" s="27">
        <v>9814267382</v>
      </c>
      <c r="V432" s="35" t="s">
        <v>34</v>
      </c>
      <c r="W432" s="49">
        <f t="shared" ca="1" si="12"/>
        <v>41</v>
      </c>
      <c r="X432" s="50">
        <f t="shared" si="13"/>
        <v>11</v>
      </c>
      <c r="Y432" s="46" t="str" cm="1">
        <f t="array" ref="Y432">_xlfn.IFS(X432&lt;=5,"On Time",X432&gt;5,"Delayed",X432=" ","Pending")</f>
        <v>Delayed</v>
      </c>
    </row>
    <row r="433" spans="1:25" ht="15" thickBot="1" x14ac:dyDescent="0.4">
      <c r="A433" s="30" t="s">
        <v>562</v>
      </c>
      <c r="B433" s="30" t="s">
        <v>134</v>
      </c>
      <c r="C433" s="30" t="s">
        <v>36</v>
      </c>
      <c r="D433" s="31">
        <v>46036</v>
      </c>
      <c r="E433" s="31">
        <v>46046</v>
      </c>
      <c r="F433" s="30" t="s">
        <v>135</v>
      </c>
      <c r="G433" s="30" t="s">
        <v>26</v>
      </c>
      <c r="H433" s="31">
        <v>27550</v>
      </c>
      <c r="I433" s="30" t="s">
        <v>74</v>
      </c>
      <c r="J433" s="30" t="s">
        <v>75</v>
      </c>
      <c r="K433" s="30" t="s">
        <v>39</v>
      </c>
      <c r="L433" s="30" t="s">
        <v>40</v>
      </c>
      <c r="M433" s="30">
        <v>7</v>
      </c>
      <c r="N433" s="30">
        <v>12000</v>
      </c>
      <c r="O433" s="30">
        <v>5</v>
      </c>
      <c r="P433" s="30">
        <v>79800</v>
      </c>
      <c r="Q433" s="30">
        <v>4</v>
      </c>
      <c r="R433" s="30" t="s">
        <v>60</v>
      </c>
      <c r="S433" s="30" t="s">
        <v>96</v>
      </c>
      <c r="T433" s="30" t="s">
        <v>136</v>
      </c>
      <c r="U433" s="30">
        <v>9937007439</v>
      </c>
      <c r="V433" s="38" t="s">
        <v>53</v>
      </c>
      <c r="W433" s="49">
        <f t="shared" ca="1" si="12"/>
        <v>51</v>
      </c>
      <c r="X433" s="50">
        <f t="shared" si="13"/>
        <v>10</v>
      </c>
      <c r="Y433" s="46" t="str" cm="1">
        <f t="array" ref="Y433">_xlfn.IFS(X433&lt;=5,"On Time",X433&gt;5,"Delayed",X433=" ","Pending")</f>
        <v>Delayed</v>
      </c>
    </row>
    <row r="434" spans="1:25" ht="15" thickBot="1" x14ac:dyDescent="0.4">
      <c r="A434" s="27" t="s">
        <v>563</v>
      </c>
      <c r="B434" s="27" t="s">
        <v>156</v>
      </c>
      <c r="C434" s="27" t="s">
        <v>125</v>
      </c>
      <c r="D434" s="23">
        <v>46152</v>
      </c>
      <c r="E434" s="27"/>
      <c r="F434" s="27" t="s">
        <v>106</v>
      </c>
      <c r="G434" s="27" t="s">
        <v>58</v>
      </c>
      <c r="H434" s="28">
        <v>35514</v>
      </c>
      <c r="I434" s="27" t="s">
        <v>147</v>
      </c>
      <c r="J434" s="27" t="s">
        <v>148</v>
      </c>
      <c r="K434" s="27" t="s">
        <v>83</v>
      </c>
      <c r="L434" s="27" t="s">
        <v>127</v>
      </c>
      <c r="M434" s="27">
        <v>8</v>
      </c>
      <c r="N434" s="27">
        <v>20</v>
      </c>
      <c r="O434" s="27">
        <v>0</v>
      </c>
      <c r="P434" s="27">
        <v>160</v>
      </c>
      <c r="Q434" s="27">
        <v>4</v>
      </c>
      <c r="R434" s="27" t="s">
        <v>60</v>
      </c>
      <c r="S434" s="27" t="s">
        <v>50</v>
      </c>
      <c r="T434" s="27" t="s">
        <v>158</v>
      </c>
      <c r="U434" s="27">
        <v>9657513435</v>
      </c>
      <c r="V434" s="37" t="s">
        <v>52</v>
      </c>
      <c r="W434" s="49">
        <f t="shared" ca="1" si="12"/>
        <v>29</v>
      </c>
      <c r="X434" s="50" t="str">
        <f t="shared" si="13"/>
        <v/>
      </c>
      <c r="Y434" s="46" t="str" cm="1">
        <f t="array" ref="Y434">_xlfn.IFS(X434&lt;=5,"On Time",X434&gt;5,"Delayed",X434=" ","Pending")</f>
        <v>Delayed</v>
      </c>
    </row>
    <row r="435" spans="1:25" ht="15" thickBot="1" x14ac:dyDescent="0.4">
      <c r="A435" s="30" t="s">
        <v>564</v>
      </c>
      <c r="B435" s="30" t="s">
        <v>23</v>
      </c>
      <c r="C435" s="30" t="s">
        <v>68</v>
      </c>
      <c r="D435" s="31">
        <v>45689</v>
      </c>
      <c r="E435" s="31">
        <v>45694</v>
      </c>
      <c r="F435" s="30" t="s">
        <v>25</v>
      </c>
      <c r="G435" s="30" t="s">
        <v>26</v>
      </c>
      <c r="H435" s="31">
        <v>35538</v>
      </c>
      <c r="I435" s="30" t="s">
        <v>147</v>
      </c>
      <c r="J435" s="30" t="s">
        <v>148</v>
      </c>
      <c r="K435" s="30" t="s">
        <v>29</v>
      </c>
      <c r="L435" s="30" t="s">
        <v>70</v>
      </c>
      <c r="M435" s="30">
        <v>16</v>
      </c>
      <c r="N435" s="30">
        <v>3500</v>
      </c>
      <c r="O435" s="30">
        <v>5</v>
      </c>
      <c r="P435" s="30">
        <v>53200</v>
      </c>
      <c r="Q435" s="30">
        <v>1</v>
      </c>
      <c r="R435" s="30" t="s">
        <v>60</v>
      </c>
      <c r="S435" s="30" t="s">
        <v>50</v>
      </c>
      <c r="T435" s="30" t="s">
        <v>43</v>
      </c>
      <c r="U435" s="30">
        <v>9999406260</v>
      </c>
      <c r="V435" s="38" t="s">
        <v>53</v>
      </c>
      <c r="W435" s="49">
        <f t="shared" ca="1" si="12"/>
        <v>29</v>
      </c>
      <c r="X435" s="50">
        <f t="shared" si="13"/>
        <v>5</v>
      </c>
      <c r="Y435" s="46" t="str" cm="1">
        <f t="array" ref="Y435">_xlfn.IFS(X435&lt;=5,"On Time",X435&gt;5,"Delayed",X435=" ","Pending")</f>
        <v>On Time</v>
      </c>
    </row>
    <row r="436" spans="1:25" ht="15" thickBot="1" x14ac:dyDescent="0.4">
      <c r="A436" s="27" t="s">
        <v>565</v>
      </c>
      <c r="B436" s="27" t="s">
        <v>156</v>
      </c>
      <c r="C436" s="27" t="s">
        <v>105</v>
      </c>
      <c r="D436" s="28">
        <v>45710</v>
      </c>
      <c r="E436" s="28">
        <v>45720</v>
      </c>
      <c r="F436" s="27" t="s">
        <v>106</v>
      </c>
      <c r="G436" s="27" t="s">
        <v>58</v>
      </c>
      <c r="H436" s="28">
        <v>36308</v>
      </c>
      <c r="I436" s="27" t="s">
        <v>74</v>
      </c>
      <c r="J436" s="27" t="s">
        <v>75</v>
      </c>
      <c r="K436" s="27" t="s">
        <v>29</v>
      </c>
      <c r="L436" s="27" t="s">
        <v>107</v>
      </c>
      <c r="M436" s="27">
        <v>12</v>
      </c>
      <c r="N436" s="27">
        <v>8500</v>
      </c>
      <c r="O436" s="27">
        <v>10</v>
      </c>
      <c r="P436" s="27">
        <v>91800</v>
      </c>
      <c r="Q436" s="27">
        <v>3</v>
      </c>
      <c r="R436" s="27" t="s">
        <v>60</v>
      </c>
      <c r="S436" s="27" t="s">
        <v>32</v>
      </c>
      <c r="T436" s="27" t="s">
        <v>158</v>
      </c>
      <c r="U436" s="27">
        <v>9233727886</v>
      </c>
      <c r="V436" s="35" t="s">
        <v>34</v>
      </c>
      <c r="W436" s="49">
        <f t="shared" ca="1" si="12"/>
        <v>27</v>
      </c>
      <c r="X436" s="50">
        <f t="shared" si="13"/>
        <v>10</v>
      </c>
      <c r="Y436" s="46" t="str" cm="1">
        <f t="array" ref="Y436">_xlfn.IFS(X436&lt;=5,"On Time",X436&gt;5,"Delayed",X436=" ","Pending")</f>
        <v>Delayed</v>
      </c>
    </row>
    <row r="437" spans="1:25" ht="15" thickBot="1" x14ac:dyDescent="0.4">
      <c r="A437" s="30" t="s">
        <v>566</v>
      </c>
      <c r="B437" s="30" t="s">
        <v>23</v>
      </c>
      <c r="C437" s="30" t="s">
        <v>82</v>
      </c>
      <c r="D437" s="31">
        <v>45765</v>
      </c>
      <c r="E437" s="31">
        <v>45767</v>
      </c>
      <c r="F437" s="30" t="s">
        <v>25</v>
      </c>
      <c r="G437" s="30" t="s">
        <v>26</v>
      </c>
      <c r="H437" s="31">
        <v>30492</v>
      </c>
      <c r="I437" s="30" t="s">
        <v>91</v>
      </c>
      <c r="J437" s="30" t="s">
        <v>75</v>
      </c>
      <c r="K437" s="30" t="s">
        <v>83</v>
      </c>
      <c r="L437" s="30" t="s">
        <v>84</v>
      </c>
      <c r="M437" s="30">
        <v>1</v>
      </c>
      <c r="N437" s="30">
        <v>60</v>
      </c>
      <c r="O437" s="30">
        <v>20</v>
      </c>
      <c r="P437" s="30">
        <v>48</v>
      </c>
      <c r="Q437" s="30">
        <v>2</v>
      </c>
      <c r="R437" s="30" t="s">
        <v>60</v>
      </c>
      <c r="S437" s="30" t="s">
        <v>96</v>
      </c>
      <c r="T437" s="30" t="s">
        <v>43</v>
      </c>
      <c r="U437" s="30">
        <v>9831688801</v>
      </c>
      <c r="V437" s="36" t="s">
        <v>34</v>
      </c>
      <c r="W437" s="49">
        <f t="shared" ca="1" si="12"/>
        <v>43</v>
      </c>
      <c r="X437" s="50">
        <f t="shared" si="13"/>
        <v>2</v>
      </c>
      <c r="Y437" s="46" t="str" cm="1">
        <f t="array" ref="Y437">_xlfn.IFS(X437&lt;=5,"On Time",X437&gt;5,"Delayed",X437=" ","Pending")</f>
        <v>On Time</v>
      </c>
    </row>
    <row r="438" spans="1:25" ht="15" thickBot="1" x14ac:dyDescent="0.4">
      <c r="A438" s="27" t="s">
        <v>567</v>
      </c>
      <c r="B438" s="27" t="s">
        <v>87</v>
      </c>
      <c r="C438" s="27" t="s">
        <v>82</v>
      </c>
      <c r="D438" s="28">
        <v>45967</v>
      </c>
      <c r="E438" s="28">
        <v>45972</v>
      </c>
      <c r="F438" s="27" t="s">
        <v>88</v>
      </c>
      <c r="G438" s="27" t="s">
        <v>58</v>
      </c>
      <c r="H438" s="28">
        <v>33995</v>
      </c>
      <c r="I438" s="27" t="s">
        <v>27</v>
      </c>
      <c r="J438" s="27" t="s">
        <v>28</v>
      </c>
      <c r="K438" s="27" t="s">
        <v>83</v>
      </c>
      <c r="L438" s="27" t="s">
        <v>84</v>
      </c>
      <c r="M438" s="27">
        <v>3</v>
      </c>
      <c r="N438" s="27">
        <v>60</v>
      </c>
      <c r="O438" s="27">
        <v>15</v>
      </c>
      <c r="P438" s="27">
        <v>153</v>
      </c>
      <c r="Q438" s="27">
        <v>4</v>
      </c>
      <c r="R438" s="27" t="s">
        <v>60</v>
      </c>
      <c r="S438" s="27" t="s">
        <v>32</v>
      </c>
      <c r="T438" s="27" t="s">
        <v>89</v>
      </c>
      <c r="U438" s="27">
        <v>9982849508</v>
      </c>
      <c r="V438" s="35" t="s">
        <v>34</v>
      </c>
      <c r="W438" s="49">
        <f t="shared" ca="1" si="12"/>
        <v>33</v>
      </c>
      <c r="X438" s="50">
        <f t="shared" si="13"/>
        <v>5</v>
      </c>
      <c r="Y438" s="46" t="str" cm="1">
        <f t="array" ref="Y438">_xlfn.IFS(X438&lt;=5,"On Time",X438&gt;5,"Delayed",X438=" ","Pending")</f>
        <v>On Time</v>
      </c>
    </row>
    <row r="439" spans="1:25" ht="15" thickBot="1" x14ac:dyDescent="0.4">
      <c r="A439" s="30" t="s">
        <v>568</v>
      </c>
      <c r="B439" s="30" t="s">
        <v>72</v>
      </c>
      <c r="C439" s="30" t="s">
        <v>112</v>
      </c>
      <c r="D439" s="31">
        <v>45736</v>
      </c>
      <c r="E439" s="31">
        <v>45741</v>
      </c>
      <c r="F439" s="30" t="s">
        <v>73</v>
      </c>
      <c r="G439" s="30" t="s">
        <v>26</v>
      </c>
      <c r="H439" s="31">
        <v>28917</v>
      </c>
      <c r="I439" s="30" t="s">
        <v>147</v>
      </c>
      <c r="J439" s="30" t="s">
        <v>148</v>
      </c>
      <c r="K439" s="30" t="s">
        <v>39</v>
      </c>
      <c r="L439" s="30" t="s">
        <v>114</v>
      </c>
      <c r="M439" s="30">
        <v>10</v>
      </c>
      <c r="N439" s="30">
        <v>700</v>
      </c>
      <c r="O439" s="30">
        <v>15</v>
      </c>
      <c r="P439" s="30">
        <v>5950</v>
      </c>
      <c r="Q439" s="30">
        <v>3</v>
      </c>
      <c r="R439" s="30" t="s">
        <v>41</v>
      </c>
      <c r="S439" s="30" t="s">
        <v>32</v>
      </c>
      <c r="T439" s="30" t="s">
        <v>93</v>
      </c>
      <c r="U439" s="30">
        <v>9288309246</v>
      </c>
      <c r="V439" s="38" t="s">
        <v>52</v>
      </c>
      <c r="W439" s="49">
        <f t="shared" ca="1" si="12"/>
        <v>47</v>
      </c>
      <c r="X439" s="50">
        <f t="shared" si="13"/>
        <v>5</v>
      </c>
      <c r="Y439" s="46" t="str" cm="1">
        <f t="array" ref="Y439">_xlfn.IFS(X439&lt;=5,"On Time",X439&gt;5,"Delayed",X439=" ","Pending")</f>
        <v>On Time</v>
      </c>
    </row>
    <row r="440" spans="1:25" ht="15" thickBot="1" x14ac:dyDescent="0.4">
      <c r="A440" s="27" t="s">
        <v>569</v>
      </c>
      <c r="B440" s="27" t="s">
        <v>63</v>
      </c>
      <c r="C440" s="27" t="s">
        <v>125</v>
      </c>
      <c r="D440" s="28">
        <v>45952</v>
      </c>
      <c r="E440" s="28">
        <v>45955</v>
      </c>
      <c r="F440" s="27" t="s">
        <v>110</v>
      </c>
      <c r="G440" s="27" t="s">
        <v>58</v>
      </c>
      <c r="H440" s="28">
        <v>28016</v>
      </c>
      <c r="I440" s="27" t="s">
        <v>91</v>
      </c>
      <c r="J440" s="27" t="s">
        <v>75</v>
      </c>
      <c r="K440" s="27" t="s">
        <v>83</v>
      </c>
      <c r="L440" s="27" t="s">
        <v>127</v>
      </c>
      <c r="M440" s="27">
        <v>2</v>
      </c>
      <c r="N440" s="27">
        <v>20</v>
      </c>
      <c r="O440" s="27">
        <v>10</v>
      </c>
      <c r="P440" s="27">
        <v>36</v>
      </c>
      <c r="Q440" s="27">
        <v>2</v>
      </c>
      <c r="R440" s="27" t="s">
        <v>65</v>
      </c>
      <c r="S440" s="27" t="s">
        <v>50</v>
      </c>
      <c r="T440" s="27" t="s">
        <v>66</v>
      </c>
      <c r="U440" s="27">
        <v>9808476235</v>
      </c>
      <c r="V440" s="35" t="s">
        <v>34</v>
      </c>
      <c r="W440" s="49">
        <f t="shared" ca="1" si="12"/>
        <v>50</v>
      </c>
      <c r="X440" s="50">
        <f t="shared" si="13"/>
        <v>3</v>
      </c>
      <c r="Y440" s="46" t="str" cm="1">
        <f t="array" ref="Y440">_xlfn.IFS(X440&lt;=5,"On Time",X440&gt;5,"Delayed",X440=" ","Pending")</f>
        <v>On Time</v>
      </c>
    </row>
    <row r="441" spans="1:25" ht="15" thickBot="1" x14ac:dyDescent="0.4">
      <c r="A441" s="30" t="s">
        <v>570</v>
      </c>
      <c r="B441" s="30" t="s">
        <v>63</v>
      </c>
      <c r="C441" s="30" t="s">
        <v>125</v>
      </c>
      <c r="D441" s="31">
        <v>46022</v>
      </c>
      <c r="E441" s="31">
        <v>46027</v>
      </c>
      <c r="F441" s="30" t="s">
        <v>110</v>
      </c>
      <c r="G441" s="30" t="s">
        <v>58</v>
      </c>
      <c r="H441" s="31">
        <v>33446</v>
      </c>
      <c r="I441" s="30" t="s">
        <v>37</v>
      </c>
      <c r="J441" s="30" t="s">
        <v>38</v>
      </c>
      <c r="K441" s="30" t="s">
        <v>83</v>
      </c>
      <c r="L441" s="30" t="s">
        <v>127</v>
      </c>
      <c r="M441" s="30">
        <v>14</v>
      </c>
      <c r="N441" s="30">
        <v>20</v>
      </c>
      <c r="O441" s="30">
        <v>20</v>
      </c>
      <c r="P441" s="30">
        <v>224</v>
      </c>
      <c r="Q441" s="30">
        <v>5</v>
      </c>
      <c r="R441" s="30" t="s">
        <v>31</v>
      </c>
      <c r="S441" s="30" t="s">
        <v>96</v>
      </c>
      <c r="T441" s="30" t="s">
        <v>66</v>
      </c>
      <c r="U441" s="30">
        <v>9869056117</v>
      </c>
      <c r="V441" s="38" t="s">
        <v>52</v>
      </c>
      <c r="W441" s="49">
        <f t="shared" ca="1" si="12"/>
        <v>35</v>
      </c>
      <c r="X441" s="50">
        <f t="shared" si="13"/>
        <v>5</v>
      </c>
      <c r="Y441" s="46" t="str" cm="1">
        <f t="array" ref="Y441">_xlfn.IFS(X441&lt;=5,"On Time",X441&gt;5,"Delayed",X441=" ","Pending")</f>
        <v>On Time</v>
      </c>
    </row>
    <row r="442" spans="1:25" ht="15" thickBot="1" x14ac:dyDescent="0.4">
      <c r="A442" s="27" t="s">
        <v>571</v>
      </c>
      <c r="B442" s="27" t="s">
        <v>156</v>
      </c>
      <c r="C442" s="27" t="s">
        <v>68</v>
      </c>
      <c r="D442" s="28">
        <v>45829</v>
      </c>
      <c r="E442" s="28">
        <v>45833</v>
      </c>
      <c r="F442" s="27" t="s">
        <v>106</v>
      </c>
      <c r="G442" s="27" t="s">
        <v>58</v>
      </c>
      <c r="H442" s="28">
        <v>32075</v>
      </c>
      <c r="I442" s="27" t="s">
        <v>91</v>
      </c>
      <c r="J442" s="27" t="s">
        <v>75</v>
      </c>
      <c r="K442" s="27" t="s">
        <v>29</v>
      </c>
      <c r="L442" s="27" t="s">
        <v>70</v>
      </c>
      <c r="M442" s="27">
        <v>4</v>
      </c>
      <c r="N442" s="27">
        <v>3500</v>
      </c>
      <c r="O442" s="27">
        <v>0</v>
      </c>
      <c r="P442" s="27">
        <v>14000</v>
      </c>
      <c r="Q442" s="27">
        <v>2</v>
      </c>
      <c r="R442" s="27" t="s">
        <v>65</v>
      </c>
      <c r="S442" s="27" t="s">
        <v>32</v>
      </c>
      <c r="T442" s="27" t="s">
        <v>158</v>
      </c>
      <c r="U442" s="27">
        <v>9734229772</v>
      </c>
      <c r="V442" s="37" t="s">
        <v>53</v>
      </c>
      <c r="W442" s="49">
        <f t="shared" ca="1" si="12"/>
        <v>39</v>
      </c>
      <c r="X442" s="50">
        <f t="shared" si="13"/>
        <v>4</v>
      </c>
      <c r="Y442" s="46" t="str" cm="1">
        <f t="array" ref="Y442">_xlfn.IFS(X442&lt;=5,"On Time",X442&gt;5,"Delayed",X442=" ","Pending")</f>
        <v>On Time</v>
      </c>
    </row>
    <row r="443" spans="1:25" ht="15" thickBot="1" x14ac:dyDescent="0.4">
      <c r="A443" s="30" t="s">
        <v>572</v>
      </c>
      <c r="B443" s="30" t="s">
        <v>63</v>
      </c>
      <c r="C443" s="30" t="s">
        <v>68</v>
      </c>
      <c r="D443" s="31">
        <v>45812</v>
      </c>
      <c r="E443" s="31">
        <v>45813</v>
      </c>
      <c r="F443" s="30" t="s">
        <v>110</v>
      </c>
      <c r="G443" s="30" t="s">
        <v>58</v>
      </c>
      <c r="H443" s="31">
        <v>30629</v>
      </c>
      <c r="I443" s="30" t="s">
        <v>121</v>
      </c>
      <c r="J443" s="30" t="s">
        <v>38</v>
      </c>
      <c r="K443" s="30" t="s">
        <v>29</v>
      </c>
      <c r="L443" s="30" t="s">
        <v>70</v>
      </c>
      <c r="M443" s="30">
        <v>9</v>
      </c>
      <c r="N443" s="30">
        <v>3500</v>
      </c>
      <c r="O443" s="30">
        <v>5</v>
      </c>
      <c r="P443" s="30">
        <v>29925</v>
      </c>
      <c r="Q443" s="30">
        <v>3</v>
      </c>
      <c r="R443" s="30" t="s">
        <v>60</v>
      </c>
      <c r="S443" s="30" t="s">
        <v>50</v>
      </c>
      <c r="T443" s="30" t="s">
        <v>66</v>
      </c>
      <c r="U443" s="30">
        <v>9791617906</v>
      </c>
      <c r="V443" s="36" t="s">
        <v>34</v>
      </c>
      <c r="W443" s="49">
        <f t="shared" ca="1" si="12"/>
        <v>42</v>
      </c>
      <c r="X443" s="50">
        <f t="shared" si="13"/>
        <v>1</v>
      </c>
      <c r="Y443" s="46" t="str" cm="1">
        <f t="array" ref="Y443">_xlfn.IFS(X443&lt;=5,"On Time",X443&gt;5,"Delayed",X443=" ","Pending")</f>
        <v>On Time</v>
      </c>
    </row>
    <row r="444" spans="1:25" ht="15" thickBot="1" x14ac:dyDescent="0.4">
      <c r="A444" s="27" t="s">
        <v>573</v>
      </c>
      <c r="B444" s="27" t="s">
        <v>87</v>
      </c>
      <c r="C444" s="27" t="s">
        <v>82</v>
      </c>
      <c r="D444" s="28">
        <v>45807</v>
      </c>
      <c r="E444" s="28">
        <v>45811</v>
      </c>
      <c r="F444" s="27" t="s">
        <v>88</v>
      </c>
      <c r="G444" s="27" t="s">
        <v>58</v>
      </c>
      <c r="H444" s="28">
        <v>30678</v>
      </c>
      <c r="I444" s="27" t="s">
        <v>74</v>
      </c>
      <c r="J444" s="27" t="s">
        <v>75</v>
      </c>
      <c r="K444" s="27" t="s">
        <v>83</v>
      </c>
      <c r="L444" s="27" t="s">
        <v>84</v>
      </c>
      <c r="M444" s="27">
        <v>9</v>
      </c>
      <c r="N444" s="27">
        <v>60</v>
      </c>
      <c r="O444" s="27">
        <v>0</v>
      </c>
      <c r="P444" s="27">
        <v>540</v>
      </c>
      <c r="Q444" s="27">
        <v>3</v>
      </c>
      <c r="R444" s="27" t="s">
        <v>65</v>
      </c>
      <c r="S444" s="27" t="s">
        <v>32</v>
      </c>
      <c r="T444" s="27" t="s">
        <v>89</v>
      </c>
      <c r="U444" s="27">
        <v>9286316823</v>
      </c>
      <c r="V444" s="37" t="s">
        <v>52</v>
      </c>
      <c r="W444" s="49">
        <f t="shared" ca="1" si="12"/>
        <v>42</v>
      </c>
      <c r="X444" s="50">
        <f t="shared" si="13"/>
        <v>4</v>
      </c>
      <c r="Y444" s="46" t="str" cm="1">
        <f t="array" ref="Y444">_xlfn.IFS(X444&lt;=5,"On Time",X444&gt;5,"Delayed",X444=" ","Pending")</f>
        <v>On Time</v>
      </c>
    </row>
    <row r="445" spans="1:25" ht="15" thickBot="1" x14ac:dyDescent="0.4">
      <c r="A445" s="30" t="s">
        <v>574</v>
      </c>
      <c r="B445" s="30" t="s">
        <v>104</v>
      </c>
      <c r="C445" s="30" t="s">
        <v>56</v>
      </c>
      <c r="D445" s="31">
        <v>45779</v>
      </c>
      <c r="E445" s="31">
        <v>45780</v>
      </c>
      <c r="F445" s="30" t="s">
        <v>166</v>
      </c>
      <c r="G445" s="30" t="s">
        <v>26</v>
      </c>
      <c r="H445" s="31">
        <v>33862</v>
      </c>
      <c r="I445" s="30" t="s">
        <v>91</v>
      </c>
      <c r="J445" s="30" t="s">
        <v>75</v>
      </c>
      <c r="K445" s="30" t="s">
        <v>39</v>
      </c>
      <c r="L445" s="30" t="s">
        <v>59</v>
      </c>
      <c r="M445" s="30">
        <v>4</v>
      </c>
      <c r="N445" s="30">
        <v>1200</v>
      </c>
      <c r="O445" s="30">
        <v>0</v>
      </c>
      <c r="P445" s="30">
        <v>4800</v>
      </c>
      <c r="Q445" s="30">
        <v>1</v>
      </c>
      <c r="R445" s="30" t="s">
        <v>41</v>
      </c>
      <c r="S445" s="30" t="s">
        <v>50</v>
      </c>
      <c r="T445" s="30" t="s">
        <v>108</v>
      </c>
      <c r="U445" s="30">
        <v>9810569252</v>
      </c>
      <c r="V445" s="36" t="s">
        <v>34</v>
      </c>
      <c r="W445" s="49">
        <f t="shared" ca="1" si="12"/>
        <v>34</v>
      </c>
      <c r="X445" s="50">
        <f t="shared" si="13"/>
        <v>1</v>
      </c>
      <c r="Y445" s="46" t="str" cm="1">
        <f t="array" ref="Y445">_xlfn.IFS(X445&lt;=5,"On Time",X445&gt;5,"Delayed",X445=" ","Pending")</f>
        <v>On Time</v>
      </c>
    </row>
    <row r="446" spans="1:25" ht="15" thickBot="1" x14ac:dyDescent="0.4">
      <c r="A446" s="27" t="s">
        <v>575</v>
      </c>
      <c r="B446" s="27" t="s">
        <v>45</v>
      </c>
      <c r="C446" s="27" t="s">
        <v>46</v>
      </c>
      <c r="D446" s="28">
        <v>45691</v>
      </c>
      <c r="E446" s="28">
        <v>45701</v>
      </c>
      <c r="F446" s="27" t="s">
        <v>101</v>
      </c>
      <c r="G446" s="27" t="s">
        <v>26</v>
      </c>
      <c r="H446" s="28">
        <v>36381</v>
      </c>
      <c r="I446" s="27" t="s">
        <v>27</v>
      </c>
      <c r="J446" s="27" t="s">
        <v>28</v>
      </c>
      <c r="K446" s="27" t="s">
        <v>39</v>
      </c>
      <c r="L446" s="27" t="s">
        <v>49</v>
      </c>
      <c r="M446" s="27">
        <v>10</v>
      </c>
      <c r="N446" s="27">
        <v>55000</v>
      </c>
      <c r="O446" s="27">
        <v>5</v>
      </c>
      <c r="P446" s="27">
        <v>522500</v>
      </c>
      <c r="Q446" s="27">
        <v>5</v>
      </c>
      <c r="R446" s="27" t="s">
        <v>65</v>
      </c>
      <c r="S446" s="27" t="s">
        <v>80</v>
      </c>
      <c r="T446" s="27" t="s">
        <v>51</v>
      </c>
      <c r="U446" s="27">
        <v>9771745925</v>
      </c>
      <c r="V446" s="35" t="s">
        <v>34</v>
      </c>
      <c r="W446" s="49">
        <f t="shared" ca="1" si="12"/>
        <v>27</v>
      </c>
      <c r="X446" s="50">
        <f t="shared" si="13"/>
        <v>10</v>
      </c>
      <c r="Y446" s="46" t="str" cm="1">
        <f t="array" ref="Y446">_xlfn.IFS(X446&lt;=5,"On Time",X446&gt;5,"Delayed",X446=" ","Pending")</f>
        <v>Delayed</v>
      </c>
    </row>
    <row r="447" spans="1:25" ht="15" thickBot="1" x14ac:dyDescent="0.4">
      <c r="A447" s="30" t="s">
        <v>576</v>
      </c>
      <c r="B447" s="30" t="s">
        <v>124</v>
      </c>
      <c r="C447" s="30" t="s">
        <v>138</v>
      </c>
      <c r="D447" s="31">
        <v>45837</v>
      </c>
      <c r="E447" s="31">
        <v>45844</v>
      </c>
      <c r="F447" s="30" t="s">
        <v>126</v>
      </c>
      <c r="G447" s="30" t="s">
        <v>58</v>
      </c>
      <c r="H447" s="31">
        <v>32931</v>
      </c>
      <c r="I447" s="30" t="s">
        <v>27</v>
      </c>
      <c r="J447" s="30" t="s">
        <v>28</v>
      </c>
      <c r="K447" s="30" t="s">
        <v>83</v>
      </c>
      <c r="L447" s="30" t="s">
        <v>139</v>
      </c>
      <c r="M447" s="30">
        <v>20</v>
      </c>
      <c r="N447" s="30">
        <v>45</v>
      </c>
      <c r="O447" s="30">
        <v>15</v>
      </c>
      <c r="P447" s="30">
        <v>765</v>
      </c>
      <c r="Q447" s="30">
        <v>2</v>
      </c>
      <c r="R447" s="30" t="s">
        <v>60</v>
      </c>
      <c r="S447" s="30" t="s">
        <v>32</v>
      </c>
      <c r="T447" s="30" t="s">
        <v>128</v>
      </c>
      <c r="U447" s="30">
        <v>9820683063</v>
      </c>
      <c r="V447" s="38" t="s">
        <v>53</v>
      </c>
      <c r="W447" s="49">
        <f t="shared" ca="1" si="12"/>
        <v>36</v>
      </c>
      <c r="X447" s="50">
        <f t="shared" si="13"/>
        <v>7</v>
      </c>
      <c r="Y447" s="46" t="str" cm="1">
        <f t="array" ref="Y447">_xlfn.IFS(X447&lt;=5,"On Time",X447&gt;5,"Delayed",X447=" ","Pending")</f>
        <v>Delayed</v>
      </c>
    </row>
    <row r="448" spans="1:25" ht="15" thickBot="1" x14ac:dyDescent="0.4">
      <c r="A448" s="27" t="s">
        <v>577</v>
      </c>
      <c r="B448" s="27" t="s">
        <v>23</v>
      </c>
      <c r="C448" s="27" t="s">
        <v>125</v>
      </c>
      <c r="D448" s="28">
        <v>46065</v>
      </c>
      <c r="E448" s="28">
        <v>46075</v>
      </c>
      <c r="F448" s="27" t="s">
        <v>25</v>
      </c>
      <c r="G448" s="27" t="s">
        <v>26</v>
      </c>
      <c r="H448" s="28">
        <v>34420</v>
      </c>
      <c r="I448" s="27" t="s">
        <v>74</v>
      </c>
      <c r="J448" s="27" t="s">
        <v>75</v>
      </c>
      <c r="K448" s="27" t="s">
        <v>83</v>
      </c>
      <c r="L448" s="27" t="s">
        <v>127</v>
      </c>
      <c r="M448" s="27">
        <v>9</v>
      </c>
      <c r="N448" s="27">
        <v>20</v>
      </c>
      <c r="O448" s="27">
        <v>20</v>
      </c>
      <c r="P448" s="27">
        <v>144</v>
      </c>
      <c r="Q448" s="27">
        <v>3</v>
      </c>
      <c r="R448" s="27" t="s">
        <v>60</v>
      </c>
      <c r="S448" s="27" t="s">
        <v>50</v>
      </c>
      <c r="T448" s="27" t="s">
        <v>43</v>
      </c>
      <c r="U448" s="27">
        <v>9292891941</v>
      </c>
      <c r="V448" s="35" t="s">
        <v>34</v>
      </c>
      <c r="W448" s="49">
        <f t="shared" ca="1" si="12"/>
        <v>32</v>
      </c>
      <c r="X448" s="50">
        <f t="shared" si="13"/>
        <v>10</v>
      </c>
      <c r="Y448" s="46" t="str" cm="1">
        <f t="array" ref="Y448">_xlfn.IFS(X448&lt;=5,"On Time",X448&gt;5,"Delayed",X448=" ","Pending")</f>
        <v>Delayed</v>
      </c>
    </row>
    <row r="449" spans="1:25" ht="15" thickBot="1" x14ac:dyDescent="0.4">
      <c r="A449" s="30" t="s">
        <v>578</v>
      </c>
      <c r="B449" s="30" t="s">
        <v>23</v>
      </c>
      <c r="C449" s="30" t="s">
        <v>46</v>
      </c>
      <c r="D449" s="31">
        <v>45719</v>
      </c>
      <c r="E449" s="31">
        <v>45730</v>
      </c>
      <c r="F449" s="30" t="s">
        <v>25</v>
      </c>
      <c r="G449" s="30" t="s">
        <v>26</v>
      </c>
      <c r="H449" s="31">
        <v>29383</v>
      </c>
      <c r="I449" s="30" t="s">
        <v>79</v>
      </c>
      <c r="J449" s="30" t="s">
        <v>75</v>
      </c>
      <c r="K449" s="30" t="s">
        <v>39</v>
      </c>
      <c r="L449" s="30" t="s">
        <v>49</v>
      </c>
      <c r="M449" s="30">
        <v>8</v>
      </c>
      <c r="N449" s="30">
        <v>55000</v>
      </c>
      <c r="O449" s="30">
        <v>0</v>
      </c>
      <c r="P449" s="30">
        <v>440000</v>
      </c>
      <c r="Q449" s="30">
        <v>4</v>
      </c>
      <c r="R449" s="30" t="s">
        <v>31</v>
      </c>
      <c r="S449" s="30" t="s">
        <v>80</v>
      </c>
      <c r="T449" s="30" t="s">
        <v>43</v>
      </c>
      <c r="U449" s="30">
        <v>9413789556</v>
      </c>
      <c r="V449" s="36" t="s">
        <v>34</v>
      </c>
      <c r="W449" s="49">
        <f t="shared" ca="1" si="12"/>
        <v>46</v>
      </c>
      <c r="X449" s="50">
        <f t="shared" si="13"/>
        <v>11</v>
      </c>
      <c r="Y449" s="46" t="str" cm="1">
        <f t="array" ref="Y449">_xlfn.IFS(X449&lt;=5,"On Time",X449&gt;5,"Delayed",X449=" ","Pending")</f>
        <v>Delayed</v>
      </c>
    </row>
    <row r="450" spans="1:25" ht="15" thickBot="1" x14ac:dyDescent="0.4">
      <c r="A450" s="27" t="s">
        <v>579</v>
      </c>
      <c r="B450" s="27" t="s">
        <v>156</v>
      </c>
      <c r="C450" s="27" t="s">
        <v>56</v>
      </c>
      <c r="D450" s="28">
        <v>46136</v>
      </c>
      <c r="E450" s="28">
        <v>46140</v>
      </c>
      <c r="F450" s="27" t="s">
        <v>106</v>
      </c>
      <c r="G450" s="27" t="s">
        <v>58</v>
      </c>
      <c r="H450" s="28">
        <v>36687</v>
      </c>
      <c r="I450" s="27" t="s">
        <v>91</v>
      </c>
      <c r="J450" s="27" t="s">
        <v>75</v>
      </c>
      <c r="K450" s="27" t="s">
        <v>39</v>
      </c>
      <c r="L450" s="27" t="s">
        <v>59</v>
      </c>
      <c r="M450" s="27">
        <v>4</v>
      </c>
      <c r="N450" s="27">
        <v>1200</v>
      </c>
      <c r="O450" s="27">
        <v>10</v>
      </c>
      <c r="P450" s="27">
        <v>4320</v>
      </c>
      <c r="Q450" s="27">
        <v>4</v>
      </c>
      <c r="R450" s="27" t="s">
        <v>65</v>
      </c>
      <c r="S450" s="27" t="s">
        <v>32</v>
      </c>
      <c r="T450" s="29" t="s">
        <v>580</v>
      </c>
      <c r="U450" s="27">
        <v>98765</v>
      </c>
      <c r="V450" s="37" t="s">
        <v>53</v>
      </c>
      <c r="W450" s="49">
        <f t="shared" ca="1" si="12"/>
        <v>26</v>
      </c>
      <c r="X450" s="50">
        <f t="shared" si="13"/>
        <v>4</v>
      </c>
      <c r="Y450" s="46" t="str" cm="1">
        <f t="array" ref="Y450">_xlfn.IFS(X450&lt;=5,"On Time",X450&gt;5,"Delayed",X450=" ","Pending")</f>
        <v>On Time</v>
      </c>
    </row>
    <row r="451" spans="1:25" ht="15" thickBot="1" x14ac:dyDescent="0.4">
      <c r="A451" s="30" t="s">
        <v>581</v>
      </c>
      <c r="B451" s="30" t="s">
        <v>156</v>
      </c>
      <c r="C451" s="30" t="s">
        <v>105</v>
      </c>
      <c r="D451" s="31">
        <v>46145</v>
      </c>
      <c r="E451" s="31">
        <v>46155</v>
      </c>
      <c r="F451" s="30" t="s">
        <v>106</v>
      </c>
      <c r="G451" s="30" t="s">
        <v>58</v>
      </c>
      <c r="H451" s="31">
        <v>35906</v>
      </c>
      <c r="I451" s="30" t="s">
        <v>147</v>
      </c>
      <c r="J451" s="30" t="s">
        <v>148</v>
      </c>
      <c r="K451" s="30" t="s">
        <v>29</v>
      </c>
      <c r="L451" s="30" t="s">
        <v>107</v>
      </c>
      <c r="M451" s="30">
        <v>14</v>
      </c>
      <c r="N451" s="30">
        <v>8500</v>
      </c>
      <c r="O451" s="30">
        <v>10</v>
      </c>
      <c r="P451" s="30">
        <v>107100</v>
      </c>
      <c r="Q451" s="30">
        <v>4</v>
      </c>
      <c r="R451" s="30" t="s">
        <v>31</v>
      </c>
      <c r="S451" s="30" t="s">
        <v>32</v>
      </c>
      <c r="T451" s="30" t="s">
        <v>158</v>
      </c>
      <c r="U451" s="30">
        <v>9211936331</v>
      </c>
      <c r="V451" s="36" t="s">
        <v>34</v>
      </c>
      <c r="W451" s="49">
        <f t="shared" ref="W451:W501" ca="1" si="14">INT(YEARFRAC(H451, TODAY()))</f>
        <v>28</v>
      </c>
      <c r="X451" s="50">
        <f t="shared" ref="X451:X501" si="15">IF(OR(E451="", E451&lt;D451), "", E451 - D451)</f>
        <v>10</v>
      </c>
      <c r="Y451" s="46" t="str" cm="1">
        <f t="array" ref="Y451">_xlfn.IFS(X451&lt;=5,"On Time",X451&gt;5,"Delayed",X451=" ","Pending")</f>
        <v>Delayed</v>
      </c>
    </row>
    <row r="452" spans="1:25" ht="15" thickBot="1" x14ac:dyDescent="0.4">
      <c r="A452" s="27" t="s">
        <v>582</v>
      </c>
      <c r="B452" s="27" t="s">
        <v>55</v>
      </c>
      <c r="C452" s="27" t="s">
        <v>138</v>
      </c>
      <c r="D452" s="28">
        <v>45807</v>
      </c>
      <c r="E452" s="28">
        <v>45815</v>
      </c>
      <c r="F452" s="27" t="s">
        <v>57</v>
      </c>
      <c r="G452" s="27" t="s">
        <v>58</v>
      </c>
      <c r="H452" s="28">
        <v>30812</v>
      </c>
      <c r="I452" s="27" t="s">
        <v>27</v>
      </c>
      <c r="J452" s="27" t="s">
        <v>28</v>
      </c>
      <c r="K452" s="27" t="s">
        <v>83</v>
      </c>
      <c r="L452" s="27" t="s">
        <v>139</v>
      </c>
      <c r="M452" s="27">
        <v>1</v>
      </c>
      <c r="N452" s="27">
        <v>45</v>
      </c>
      <c r="O452" s="27">
        <v>0</v>
      </c>
      <c r="P452" s="27">
        <v>45</v>
      </c>
      <c r="Q452" s="27">
        <v>3</v>
      </c>
      <c r="R452" s="27" t="s">
        <v>65</v>
      </c>
      <c r="S452" s="27" t="s">
        <v>96</v>
      </c>
      <c r="T452" s="27" t="s">
        <v>61</v>
      </c>
      <c r="U452" s="27">
        <v>9167291747</v>
      </c>
      <c r="V452" s="37" t="s">
        <v>53</v>
      </c>
      <c r="W452" s="49">
        <f t="shared" ca="1" si="14"/>
        <v>42</v>
      </c>
      <c r="X452" s="50">
        <f t="shared" si="15"/>
        <v>8</v>
      </c>
      <c r="Y452" s="46" t="str" cm="1">
        <f t="array" ref="Y452">_xlfn.IFS(X452&lt;=5,"On Time",X452&gt;5,"Delayed",X452=" ","Pending")</f>
        <v>Delayed</v>
      </c>
    </row>
    <row r="453" spans="1:25" ht="15" thickBot="1" x14ac:dyDescent="0.4">
      <c r="A453" s="30" t="s">
        <v>583</v>
      </c>
      <c r="B453" s="30" t="s">
        <v>55</v>
      </c>
      <c r="C453" s="30" t="s">
        <v>46</v>
      </c>
      <c r="D453" s="31">
        <v>45705</v>
      </c>
      <c r="E453" s="31">
        <v>45716</v>
      </c>
      <c r="F453" s="30" t="s">
        <v>57</v>
      </c>
      <c r="G453" s="30" t="s">
        <v>58</v>
      </c>
      <c r="H453" s="31">
        <v>31692</v>
      </c>
      <c r="I453" s="30" t="s">
        <v>37</v>
      </c>
      <c r="J453" s="30" t="s">
        <v>38</v>
      </c>
      <c r="K453" s="30" t="s">
        <v>39</v>
      </c>
      <c r="L453" s="30" t="s">
        <v>49</v>
      </c>
      <c r="M453" s="30">
        <v>16</v>
      </c>
      <c r="N453" s="30">
        <v>55000</v>
      </c>
      <c r="O453" s="30">
        <v>15</v>
      </c>
      <c r="P453" s="30">
        <v>748000</v>
      </c>
      <c r="Q453" s="30">
        <v>1</v>
      </c>
      <c r="R453" s="30" t="s">
        <v>60</v>
      </c>
      <c r="S453" s="30" t="s">
        <v>96</v>
      </c>
      <c r="T453" s="30" t="s">
        <v>61</v>
      </c>
      <c r="U453" s="30">
        <v>9637283597</v>
      </c>
      <c r="V453" s="38" t="s">
        <v>53</v>
      </c>
      <c r="W453" s="49">
        <f t="shared" ca="1" si="14"/>
        <v>40</v>
      </c>
      <c r="X453" s="50">
        <f t="shared" si="15"/>
        <v>11</v>
      </c>
      <c r="Y453" s="46" t="str" cm="1">
        <f t="array" ref="Y453">_xlfn.IFS(X453&lt;=5,"On Time",X453&gt;5,"Delayed",X453=" ","Pending")</f>
        <v>Delayed</v>
      </c>
    </row>
    <row r="454" spans="1:25" ht="15" thickBot="1" x14ac:dyDescent="0.4">
      <c r="A454" s="27" t="s">
        <v>584</v>
      </c>
      <c r="B454" s="27" t="s">
        <v>45</v>
      </c>
      <c r="C454" s="27" t="s">
        <v>112</v>
      </c>
      <c r="D454" s="28">
        <v>46103</v>
      </c>
      <c r="E454" s="28">
        <v>46110</v>
      </c>
      <c r="F454" s="27" t="s">
        <v>101</v>
      </c>
      <c r="G454" s="27" t="s">
        <v>26</v>
      </c>
      <c r="H454" s="28">
        <v>37926</v>
      </c>
      <c r="I454" s="27" t="s">
        <v>91</v>
      </c>
      <c r="J454" s="27" t="s">
        <v>75</v>
      </c>
      <c r="K454" s="27" t="s">
        <v>39</v>
      </c>
      <c r="L454" s="27" t="s">
        <v>114</v>
      </c>
      <c r="M454" s="27">
        <v>8</v>
      </c>
      <c r="N454" s="27">
        <v>700</v>
      </c>
      <c r="O454" s="27">
        <v>0</v>
      </c>
      <c r="P454" s="27">
        <v>5600</v>
      </c>
      <c r="Q454" s="27">
        <v>3</v>
      </c>
      <c r="R454" s="27" t="s">
        <v>31</v>
      </c>
      <c r="S454" s="27" t="s">
        <v>42</v>
      </c>
      <c r="T454" s="27" t="s">
        <v>51</v>
      </c>
      <c r="U454" s="27">
        <v>9514269002</v>
      </c>
      <c r="V454" s="35" t="s">
        <v>34</v>
      </c>
      <c r="W454" s="49">
        <f t="shared" ca="1" si="14"/>
        <v>22</v>
      </c>
      <c r="X454" s="50">
        <f t="shared" si="15"/>
        <v>7</v>
      </c>
      <c r="Y454" s="46" t="str" cm="1">
        <f t="array" ref="Y454">_xlfn.IFS(X454&lt;=5,"On Time",X454&gt;5,"Delayed",X454=" ","Pending")</f>
        <v>Delayed</v>
      </c>
    </row>
    <row r="455" spans="1:25" ht="15" thickBot="1" x14ac:dyDescent="0.4">
      <c r="A455" s="30" t="s">
        <v>585</v>
      </c>
      <c r="B455" s="30" t="s">
        <v>134</v>
      </c>
      <c r="C455" s="30" t="s">
        <v>56</v>
      </c>
      <c r="D455" s="31">
        <v>46114</v>
      </c>
      <c r="E455" s="31">
        <v>46125</v>
      </c>
      <c r="F455" s="30" t="s">
        <v>135</v>
      </c>
      <c r="G455" s="30" t="s">
        <v>26</v>
      </c>
      <c r="H455" s="31">
        <v>37782</v>
      </c>
      <c r="I455" s="30" t="s">
        <v>91</v>
      </c>
      <c r="J455" s="30" t="s">
        <v>75</v>
      </c>
      <c r="K455" s="30" t="s">
        <v>39</v>
      </c>
      <c r="L455" s="30" t="s">
        <v>59</v>
      </c>
      <c r="M455" s="30">
        <v>3</v>
      </c>
      <c r="N455" s="30">
        <v>1200</v>
      </c>
      <c r="O455" s="30">
        <v>0</v>
      </c>
      <c r="P455" s="30">
        <v>3600</v>
      </c>
      <c r="Q455" s="30">
        <v>1</v>
      </c>
      <c r="R455" s="30" t="s">
        <v>60</v>
      </c>
      <c r="S455" s="30" t="s">
        <v>42</v>
      </c>
      <c r="T455" s="30" t="s">
        <v>136</v>
      </c>
      <c r="U455" s="30">
        <v>9778908233</v>
      </c>
      <c r="V455" s="38" t="s">
        <v>53</v>
      </c>
      <c r="W455" s="49">
        <f t="shared" ca="1" si="14"/>
        <v>23</v>
      </c>
      <c r="X455" s="50">
        <f t="shared" si="15"/>
        <v>11</v>
      </c>
      <c r="Y455" s="46" t="str" cm="1">
        <f t="array" ref="Y455">_xlfn.IFS(X455&lt;=5,"On Time",X455&gt;5,"Delayed",X455=" ","Pending")</f>
        <v>Delayed</v>
      </c>
    </row>
    <row r="456" spans="1:25" ht="15" thickBot="1" x14ac:dyDescent="0.4">
      <c r="A456" s="27" t="s">
        <v>586</v>
      </c>
      <c r="B456" s="27" t="s">
        <v>55</v>
      </c>
      <c r="C456" s="27" t="s">
        <v>68</v>
      </c>
      <c r="D456" s="28">
        <v>45706</v>
      </c>
      <c r="E456" s="28">
        <v>45714</v>
      </c>
      <c r="F456" s="27" t="s">
        <v>57</v>
      </c>
      <c r="G456" s="27" t="s">
        <v>58</v>
      </c>
      <c r="H456" s="28">
        <v>32959</v>
      </c>
      <c r="I456" s="27" t="s">
        <v>147</v>
      </c>
      <c r="J456" s="27" t="s">
        <v>148</v>
      </c>
      <c r="K456" s="27" t="s">
        <v>29</v>
      </c>
      <c r="L456" s="27" t="s">
        <v>70</v>
      </c>
      <c r="M456" s="27">
        <v>7</v>
      </c>
      <c r="N456" s="27">
        <v>3500</v>
      </c>
      <c r="O456" s="27">
        <v>15</v>
      </c>
      <c r="P456" s="27">
        <v>20825</v>
      </c>
      <c r="Q456" s="27">
        <v>4</v>
      </c>
      <c r="R456" s="27" t="s">
        <v>60</v>
      </c>
      <c r="S456" s="27" t="s">
        <v>50</v>
      </c>
      <c r="T456" s="27" t="s">
        <v>61</v>
      </c>
      <c r="U456" s="27">
        <v>9981118755</v>
      </c>
      <c r="V456" s="37" t="s">
        <v>52</v>
      </c>
      <c r="W456" s="49">
        <f t="shared" ca="1" si="14"/>
        <v>36</v>
      </c>
      <c r="X456" s="50">
        <f t="shared" si="15"/>
        <v>8</v>
      </c>
      <c r="Y456" s="46" t="str" cm="1">
        <f t="array" ref="Y456">_xlfn.IFS(X456&lt;=5,"On Time",X456&gt;5,"Delayed",X456=" ","Pending")</f>
        <v>Delayed</v>
      </c>
    </row>
    <row r="457" spans="1:25" ht="15" thickBot="1" x14ac:dyDescent="0.4">
      <c r="A457" s="30" t="s">
        <v>587</v>
      </c>
      <c r="B457" s="30" t="s">
        <v>45</v>
      </c>
      <c r="C457" s="30" t="s">
        <v>46</v>
      </c>
      <c r="D457" s="31">
        <v>46110</v>
      </c>
      <c r="E457" s="31">
        <v>46116</v>
      </c>
      <c r="F457" s="30" t="s">
        <v>101</v>
      </c>
      <c r="G457" s="30" t="s">
        <v>26</v>
      </c>
      <c r="H457" s="31">
        <v>37769</v>
      </c>
      <c r="I457" s="30" t="s">
        <v>79</v>
      </c>
      <c r="J457" s="30" t="s">
        <v>75</v>
      </c>
      <c r="K457" s="30" t="s">
        <v>39</v>
      </c>
      <c r="L457" s="30" t="s">
        <v>49</v>
      </c>
      <c r="M457" s="30">
        <v>9</v>
      </c>
      <c r="N457" s="30">
        <v>55000</v>
      </c>
      <c r="O457" s="30">
        <v>15</v>
      </c>
      <c r="P457" s="30">
        <v>420750</v>
      </c>
      <c r="Q457" s="30">
        <v>3</v>
      </c>
      <c r="R457" s="30" t="s">
        <v>65</v>
      </c>
      <c r="S457" s="30" t="s">
        <v>32</v>
      </c>
      <c r="T457" s="30" t="s">
        <v>51</v>
      </c>
      <c r="U457" s="30">
        <v>9887896743</v>
      </c>
      <c r="V457" s="38" t="s">
        <v>53</v>
      </c>
      <c r="W457" s="49">
        <f t="shared" ca="1" si="14"/>
        <v>23</v>
      </c>
      <c r="X457" s="50">
        <f t="shared" si="15"/>
        <v>6</v>
      </c>
      <c r="Y457" s="46" t="str" cm="1">
        <f t="array" ref="Y457">_xlfn.IFS(X457&lt;=5,"On Time",X457&gt;5,"Delayed",X457=" ","Pending")</f>
        <v>Delayed</v>
      </c>
    </row>
    <row r="458" spans="1:25" ht="15" thickBot="1" x14ac:dyDescent="0.4">
      <c r="A458" s="27" t="s">
        <v>588</v>
      </c>
      <c r="B458" s="27" t="s">
        <v>156</v>
      </c>
      <c r="C458" s="27" t="s">
        <v>36</v>
      </c>
      <c r="D458" s="28">
        <v>45992</v>
      </c>
      <c r="E458" s="28">
        <v>45993</v>
      </c>
      <c r="F458" s="27" t="s">
        <v>106</v>
      </c>
      <c r="G458" s="27" t="s">
        <v>58</v>
      </c>
      <c r="H458" s="28">
        <v>34006</v>
      </c>
      <c r="I458" s="27" t="s">
        <v>48</v>
      </c>
      <c r="J458" s="27" t="s">
        <v>28</v>
      </c>
      <c r="K458" s="27" t="s">
        <v>39</v>
      </c>
      <c r="L458" s="27" t="s">
        <v>40</v>
      </c>
      <c r="M458" s="27">
        <v>12</v>
      </c>
      <c r="N458" s="27">
        <v>12000</v>
      </c>
      <c r="O458" s="27">
        <v>0</v>
      </c>
      <c r="P458" s="27">
        <v>144000</v>
      </c>
      <c r="Q458" s="27">
        <v>3</v>
      </c>
      <c r="R458" s="27" t="s">
        <v>60</v>
      </c>
      <c r="S458" s="27" t="s">
        <v>96</v>
      </c>
      <c r="T458" s="27" t="s">
        <v>158</v>
      </c>
      <c r="U458" s="27">
        <v>9585330043</v>
      </c>
      <c r="V458" s="37" t="s">
        <v>53</v>
      </c>
      <c r="W458" s="49">
        <f t="shared" ca="1" si="14"/>
        <v>33</v>
      </c>
      <c r="X458" s="50">
        <f t="shared" si="15"/>
        <v>1</v>
      </c>
      <c r="Y458" s="46" t="str" cm="1">
        <f t="array" ref="Y458">_xlfn.IFS(X458&lt;=5,"On Time",X458&gt;5,"Delayed",X458=" ","Pending")</f>
        <v>On Time</v>
      </c>
    </row>
    <row r="459" spans="1:25" ht="15" thickBot="1" x14ac:dyDescent="0.4">
      <c r="A459" s="30" t="s">
        <v>589</v>
      </c>
      <c r="B459" s="30" t="s">
        <v>72</v>
      </c>
      <c r="C459" s="30" t="s">
        <v>82</v>
      </c>
      <c r="D459" s="31">
        <v>45781</v>
      </c>
      <c r="E459" s="31">
        <v>45788</v>
      </c>
      <c r="F459" s="30" t="s">
        <v>73</v>
      </c>
      <c r="G459" s="30" t="s">
        <v>26</v>
      </c>
      <c r="H459" s="31">
        <v>27639</v>
      </c>
      <c r="I459" s="30" t="s">
        <v>91</v>
      </c>
      <c r="J459" s="30" t="s">
        <v>75</v>
      </c>
      <c r="K459" s="30" t="s">
        <v>83</v>
      </c>
      <c r="L459" s="30" t="s">
        <v>84</v>
      </c>
      <c r="M459" s="30">
        <v>7</v>
      </c>
      <c r="N459" s="30">
        <v>60</v>
      </c>
      <c r="O459" s="30">
        <v>10</v>
      </c>
      <c r="P459" s="30">
        <v>378</v>
      </c>
      <c r="Q459" s="30">
        <v>4</v>
      </c>
      <c r="R459" s="30" t="s">
        <v>31</v>
      </c>
      <c r="S459" s="30" t="s">
        <v>42</v>
      </c>
      <c r="T459" s="30" t="s">
        <v>93</v>
      </c>
      <c r="U459" s="30">
        <v>9423719975</v>
      </c>
      <c r="V459" s="38" t="s">
        <v>53</v>
      </c>
      <c r="W459" s="49">
        <f t="shared" ca="1" si="14"/>
        <v>51</v>
      </c>
      <c r="X459" s="50">
        <f t="shared" si="15"/>
        <v>7</v>
      </c>
      <c r="Y459" s="46" t="str" cm="1">
        <f t="array" ref="Y459">_xlfn.IFS(X459&lt;=5,"On Time",X459&gt;5,"Delayed",X459=" ","Pending")</f>
        <v>Delayed</v>
      </c>
    </row>
    <row r="460" spans="1:25" ht="15" thickBot="1" x14ac:dyDescent="0.4">
      <c r="A460" s="27" t="s">
        <v>590</v>
      </c>
      <c r="B460" s="27" t="s">
        <v>124</v>
      </c>
      <c r="C460" s="27" t="s">
        <v>24</v>
      </c>
      <c r="D460" s="28">
        <v>45892</v>
      </c>
      <c r="E460" s="28">
        <v>45900</v>
      </c>
      <c r="F460" s="27" t="s">
        <v>126</v>
      </c>
      <c r="G460" s="27" t="s">
        <v>58</v>
      </c>
      <c r="H460" s="28">
        <v>34586</v>
      </c>
      <c r="I460" s="27" t="s">
        <v>74</v>
      </c>
      <c r="J460" s="27" t="s">
        <v>75</v>
      </c>
      <c r="K460" s="27" t="s">
        <v>29</v>
      </c>
      <c r="L460" s="27" t="s">
        <v>30</v>
      </c>
      <c r="M460" s="27">
        <v>17</v>
      </c>
      <c r="N460" s="27">
        <v>2200</v>
      </c>
      <c r="O460" s="27">
        <v>15</v>
      </c>
      <c r="P460" s="27">
        <v>31790</v>
      </c>
      <c r="Q460" s="27">
        <v>3</v>
      </c>
      <c r="R460" s="27" t="s">
        <v>65</v>
      </c>
      <c r="S460" s="27" t="s">
        <v>96</v>
      </c>
      <c r="T460" s="27" t="s">
        <v>128</v>
      </c>
      <c r="U460" s="27">
        <v>9270746961</v>
      </c>
      <c r="V460" s="37" t="s">
        <v>52</v>
      </c>
      <c r="W460" s="49">
        <f t="shared" ca="1" si="14"/>
        <v>32</v>
      </c>
      <c r="X460" s="50">
        <f t="shared" si="15"/>
        <v>8</v>
      </c>
      <c r="Y460" s="46" t="str" cm="1">
        <f t="array" ref="Y460">_xlfn.IFS(X460&lt;=5,"On Time",X460&gt;5,"Delayed",X460=" ","Pending")</f>
        <v>Delayed</v>
      </c>
    </row>
    <row r="461" spans="1:25" ht="15" thickBot="1" x14ac:dyDescent="0.4">
      <c r="A461" s="30" t="s">
        <v>591</v>
      </c>
      <c r="B461" s="30" t="s">
        <v>156</v>
      </c>
      <c r="C461" s="30" t="s">
        <v>112</v>
      </c>
      <c r="D461" s="31">
        <v>45988</v>
      </c>
      <c r="E461" s="31">
        <v>45997</v>
      </c>
      <c r="F461" s="30" t="s">
        <v>106</v>
      </c>
      <c r="G461" s="30" t="s">
        <v>58</v>
      </c>
      <c r="H461" s="31">
        <v>33884</v>
      </c>
      <c r="I461" s="30" t="s">
        <v>48</v>
      </c>
      <c r="J461" s="30" t="s">
        <v>28</v>
      </c>
      <c r="K461" s="30" t="s">
        <v>39</v>
      </c>
      <c r="L461" s="30" t="s">
        <v>114</v>
      </c>
      <c r="M461" s="30">
        <v>17</v>
      </c>
      <c r="N461" s="30">
        <v>700</v>
      </c>
      <c r="O461" s="30">
        <v>10</v>
      </c>
      <c r="P461" s="30">
        <v>10710</v>
      </c>
      <c r="Q461" s="30">
        <v>2</v>
      </c>
      <c r="R461" s="30" t="s">
        <v>31</v>
      </c>
      <c r="S461" s="30" t="s">
        <v>50</v>
      </c>
      <c r="T461" s="30" t="s">
        <v>158</v>
      </c>
      <c r="U461" s="30">
        <v>9333162025</v>
      </c>
      <c r="V461" s="38" t="s">
        <v>52</v>
      </c>
      <c r="W461" s="49">
        <f t="shared" ca="1" si="14"/>
        <v>34</v>
      </c>
      <c r="X461" s="50">
        <f t="shared" si="15"/>
        <v>9</v>
      </c>
      <c r="Y461" s="46" t="str" cm="1">
        <f t="array" ref="Y461">_xlfn.IFS(X461&lt;=5,"On Time",X461&gt;5,"Delayed",X461=" ","Pending")</f>
        <v>Delayed</v>
      </c>
    </row>
    <row r="462" spans="1:25" ht="15" thickBot="1" x14ac:dyDescent="0.4">
      <c r="A462" s="27" t="s">
        <v>592</v>
      </c>
      <c r="B462" s="27" t="s">
        <v>156</v>
      </c>
      <c r="C462" s="27" t="s">
        <v>46</v>
      </c>
      <c r="D462" s="28">
        <v>45806</v>
      </c>
      <c r="E462" s="28">
        <v>45809</v>
      </c>
      <c r="F462" s="27" t="s">
        <v>106</v>
      </c>
      <c r="G462" s="27" t="s">
        <v>58</v>
      </c>
      <c r="H462" s="28">
        <v>37454</v>
      </c>
      <c r="I462" s="27" t="s">
        <v>37</v>
      </c>
      <c r="J462" s="27" t="s">
        <v>38</v>
      </c>
      <c r="K462" s="27" t="s">
        <v>39</v>
      </c>
      <c r="L462" s="27" t="s">
        <v>49</v>
      </c>
      <c r="M462" s="27">
        <v>19</v>
      </c>
      <c r="N462" s="27">
        <v>55000</v>
      </c>
      <c r="O462" s="27">
        <v>20</v>
      </c>
      <c r="P462" s="27">
        <v>836000</v>
      </c>
      <c r="Q462" s="27">
        <v>5</v>
      </c>
      <c r="R462" s="27" t="s">
        <v>41</v>
      </c>
      <c r="S462" s="27" t="s">
        <v>50</v>
      </c>
      <c r="T462" s="27" t="s">
        <v>158</v>
      </c>
      <c r="U462" s="27">
        <v>9247023285</v>
      </c>
      <c r="V462" s="35" t="s">
        <v>34</v>
      </c>
      <c r="W462" s="49">
        <f t="shared" ca="1" si="14"/>
        <v>24</v>
      </c>
      <c r="X462" s="50">
        <f t="shared" si="15"/>
        <v>3</v>
      </c>
      <c r="Y462" s="46" t="str" cm="1">
        <f t="array" ref="Y462">_xlfn.IFS(X462&lt;=5,"On Time",X462&gt;5,"Delayed",X462=" ","Pending")</f>
        <v>On Time</v>
      </c>
    </row>
    <row r="463" spans="1:25" ht="15" thickBot="1" x14ac:dyDescent="0.4">
      <c r="A463" s="30" t="s">
        <v>593</v>
      </c>
      <c r="B463" s="30" t="s">
        <v>87</v>
      </c>
      <c r="C463" s="30" t="s">
        <v>82</v>
      </c>
      <c r="D463" s="31">
        <v>45912</v>
      </c>
      <c r="E463" s="31">
        <v>45919</v>
      </c>
      <c r="F463" s="30" t="s">
        <v>88</v>
      </c>
      <c r="G463" s="30" t="s">
        <v>58</v>
      </c>
      <c r="H463" s="31">
        <v>36925</v>
      </c>
      <c r="I463" s="30" t="s">
        <v>37</v>
      </c>
      <c r="J463" s="30" t="s">
        <v>38</v>
      </c>
      <c r="K463" s="30" t="s">
        <v>83</v>
      </c>
      <c r="L463" s="30" t="s">
        <v>84</v>
      </c>
      <c r="M463" s="30">
        <v>1</v>
      </c>
      <c r="N463" s="30">
        <v>60</v>
      </c>
      <c r="O463" s="30">
        <v>10</v>
      </c>
      <c r="P463" s="30">
        <v>54</v>
      </c>
      <c r="Q463" s="30">
        <v>4</v>
      </c>
      <c r="R463" s="22" t="s">
        <v>41</v>
      </c>
      <c r="S463" s="30"/>
      <c r="T463" s="32" t="s">
        <v>594</v>
      </c>
      <c r="U463" s="30">
        <v>9448658297</v>
      </c>
      <c r="V463" s="38" t="s">
        <v>53</v>
      </c>
      <c r="W463" s="49">
        <f t="shared" ca="1" si="14"/>
        <v>25</v>
      </c>
      <c r="X463" s="50">
        <f t="shared" si="15"/>
        <v>7</v>
      </c>
      <c r="Y463" s="46" t="str" cm="1">
        <f t="array" ref="Y463">_xlfn.IFS(X463&lt;=5,"On Time",X463&gt;5,"Delayed",X463=" ","Pending")</f>
        <v>Delayed</v>
      </c>
    </row>
    <row r="464" spans="1:25" ht="15" thickBot="1" x14ac:dyDescent="0.4">
      <c r="A464" s="27" t="s">
        <v>595</v>
      </c>
      <c r="B464" s="27" t="s">
        <v>55</v>
      </c>
      <c r="C464" s="27" t="s">
        <v>68</v>
      </c>
      <c r="D464" s="28">
        <v>46085</v>
      </c>
      <c r="E464" s="28">
        <v>46092</v>
      </c>
      <c r="F464" s="27" t="s">
        <v>57</v>
      </c>
      <c r="G464" s="27" t="s">
        <v>58</v>
      </c>
      <c r="H464" s="28">
        <v>33047</v>
      </c>
      <c r="I464" s="27" t="s">
        <v>27</v>
      </c>
      <c r="J464" s="27" t="s">
        <v>28</v>
      </c>
      <c r="K464" s="27" t="s">
        <v>29</v>
      </c>
      <c r="L464" s="27" t="s">
        <v>70</v>
      </c>
      <c r="M464" s="27">
        <v>16</v>
      </c>
      <c r="N464" s="27">
        <v>3500</v>
      </c>
      <c r="O464" s="27">
        <v>0</v>
      </c>
      <c r="P464" s="27">
        <v>56000</v>
      </c>
      <c r="Q464" s="27">
        <v>4</v>
      </c>
      <c r="R464" s="27" t="s">
        <v>41</v>
      </c>
      <c r="S464" s="27" t="s">
        <v>32</v>
      </c>
      <c r="T464" s="27" t="s">
        <v>61</v>
      </c>
      <c r="U464" s="27">
        <v>9906748486</v>
      </c>
      <c r="V464" s="37" t="s">
        <v>52</v>
      </c>
      <c r="W464" s="49">
        <f t="shared" ca="1" si="14"/>
        <v>36</v>
      </c>
      <c r="X464" s="50">
        <f t="shared" si="15"/>
        <v>7</v>
      </c>
      <c r="Y464" s="46" t="str" cm="1">
        <f t="array" ref="Y464">_xlfn.IFS(X464&lt;=5,"On Time",X464&gt;5,"Delayed",X464=" ","Pending")</f>
        <v>Delayed</v>
      </c>
    </row>
    <row r="465" spans="1:25" ht="15" thickBot="1" x14ac:dyDescent="0.4">
      <c r="A465" s="30" t="s">
        <v>596</v>
      </c>
      <c r="B465" s="30" t="s">
        <v>87</v>
      </c>
      <c r="C465" s="30" t="s">
        <v>125</v>
      </c>
      <c r="D465" s="31">
        <v>45681</v>
      </c>
      <c r="E465" s="31">
        <v>45693</v>
      </c>
      <c r="F465" s="30" t="s">
        <v>88</v>
      </c>
      <c r="G465" s="30" t="s">
        <v>58</v>
      </c>
      <c r="H465" s="31">
        <v>28623</v>
      </c>
      <c r="I465" s="30" t="s">
        <v>79</v>
      </c>
      <c r="J465" s="30" t="s">
        <v>75</v>
      </c>
      <c r="K465" s="30" t="s">
        <v>83</v>
      </c>
      <c r="L465" s="30" t="s">
        <v>127</v>
      </c>
      <c r="M465" s="30">
        <v>14</v>
      </c>
      <c r="N465" s="30">
        <v>20</v>
      </c>
      <c r="O465" s="30">
        <v>10</v>
      </c>
      <c r="P465" s="30">
        <v>252</v>
      </c>
      <c r="Q465" s="30">
        <v>1</v>
      </c>
      <c r="R465" s="30" t="s">
        <v>41</v>
      </c>
      <c r="S465" s="30" t="s">
        <v>50</v>
      </c>
      <c r="T465" s="30" t="s">
        <v>89</v>
      </c>
      <c r="U465" s="30">
        <v>9365182725</v>
      </c>
      <c r="V465" s="38" t="s">
        <v>52</v>
      </c>
      <c r="W465" s="49">
        <f t="shared" ca="1" si="14"/>
        <v>48</v>
      </c>
      <c r="X465" s="50">
        <f t="shared" si="15"/>
        <v>12</v>
      </c>
      <c r="Y465" s="46" t="str" cm="1">
        <f t="array" ref="Y465">_xlfn.IFS(X465&lt;=5,"On Time",X465&gt;5,"Delayed",X465=" ","Pending")</f>
        <v>Delayed</v>
      </c>
    </row>
    <row r="466" spans="1:25" ht="15" thickBot="1" x14ac:dyDescent="0.4">
      <c r="A466" s="27" t="s">
        <v>597</v>
      </c>
      <c r="B466" s="27" t="s">
        <v>55</v>
      </c>
      <c r="C466" s="27" t="s">
        <v>24</v>
      </c>
      <c r="D466" s="28">
        <v>46004</v>
      </c>
      <c r="E466" s="28">
        <v>46005</v>
      </c>
      <c r="F466" s="27" t="s">
        <v>57</v>
      </c>
      <c r="G466" s="27" t="s">
        <v>58</v>
      </c>
      <c r="H466" s="28">
        <v>36729</v>
      </c>
      <c r="I466" s="27" t="s">
        <v>48</v>
      </c>
      <c r="J466" s="27" t="s">
        <v>28</v>
      </c>
      <c r="K466" s="27" t="s">
        <v>29</v>
      </c>
      <c r="L466" s="27" t="s">
        <v>30</v>
      </c>
      <c r="M466" s="27">
        <v>11</v>
      </c>
      <c r="N466" s="27">
        <v>2200</v>
      </c>
      <c r="O466" s="27">
        <v>15</v>
      </c>
      <c r="P466" s="27">
        <v>20570</v>
      </c>
      <c r="Q466" s="27">
        <v>4</v>
      </c>
      <c r="R466" s="27" t="s">
        <v>41</v>
      </c>
      <c r="S466" s="27" t="s">
        <v>42</v>
      </c>
      <c r="T466" s="27" t="s">
        <v>61</v>
      </c>
      <c r="U466" s="27">
        <v>9937119494</v>
      </c>
      <c r="V466" s="37" t="s">
        <v>53</v>
      </c>
      <c r="W466" s="49">
        <f t="shared" ca="1" si="14"/>
        <v>26</v>
      </c>
      <c r="X466" s="50">
        <f t="shared" si="15"/>
        <v>1</v>
      </c>
      <c r="Y466" s="46" t="str" cm="1">
        <f t="array" ref="Y466">_xlfn.IFS(X466&lt;=5,"On Time",X466&gt;5,"Delayed",X466=" ","Pending")</f>
        <v>On Time</v>
      </c>
    </row>
    <row r="467" spans="1:25" ht="15" thickBot="1" x14ac:dyDescent="0.4">
      <c r="A467" s="30" t="s">
        <v>598</v>
      </c>
      <c r="B467" s="30" t="s">
        <v>63</v>
      </c>
      <c r="C467" s="30" t="s">
        <v>46</v>
      </c>
      <c r="D467" s="31">
        <v>45870</v>
      </c>
      <c r="E467" s="31">
        <v>45878</v>
      </c>
      <c r="F467" s="30" t="s">
        <v>110</v>
      </c>
      <c r="G467" s="30" t="s">
        <v>58</v>
      </c>
      <c r="H467" s="31">
        <v>31126</v>
      </c>
      <c r="I467" s="30" t="s">
        <v>121</v>
      </c>
      <c r="J467" s="30" t="s">
        <v>38</v>
      </c>
      <c r="K467" s="30" t="s">
        <v>39</v>
      </c>
      <c r="L467" s="30" t="s">
        <v>49</v>
      </c>
      <c r="M467" s="30">
        <v>2</v>
      </c>
      <c r="N467" s="30">
        <v>55000</v>
      </c>
      <c r="O467" s="30">
        <v>0</v>
      </c>
      <c r="P467" s="30">
        <v>110000</v>
      </c>
      <c r="Q467" s="30">
        <v>4</v>
      </c>
      <c r="R467" s="30" t="s">
        <v>41</v>
      </c>
      <c r="S467" s="30" t="s">
        <v>42</v>
      </c>
      <c r="T467" s="30" t="s">
        <v>66</v>
      </c>
      <c r="U467" s="30">
        <v>9828015293</v>
      </c>
      <c r="V467" s="38" t="s">
        <v>53</v>
      </c>
      <c r="W467" s="49">
        <f t="shared" ca="1" si="14"/>
        <v>41</v>
      </c>
      <c r="X467" s="50">
        <f t="shared" si="15"/>
        <v>8</v>
      </c>
      <c r="Y467" s="46" t="str" cm="1">
        <f t="array" ref="Y467">_xlfn.IFS(X467&lt;=5,"On Time",X467&gt;5,"Delayed",X467=" ","Pending")</f>
        <v>Delayed</v>
      </c>
    </row>
    <row r="468" spans="1:25" ht="15" thickBot="1" x14ac:dyDescent="0.4">
      <c r="A468" s="27" t="s">
        <v>599</v>
      </c>
      <c r="B468" s="27" t="s">
        <v>45</v>
      </c>
      <c r="C468" s="27" t="s">
        <v>24</v>
      </c>
      <c r="D468" s="28">
        <v>45658</v>
      </c>
      <c r="E468" s="28">
        <v>45664</v>
      </c>
      <c r="F468" s="27" t="s">
        <v>101</v>
      </c>
      <c r="G468" s="27" t="s">
        <v>26</v>
      </c>
      <c r="H468" s="28">
        <v>32181</v>
      </c>
      <c r="I468" s="27" t="s">
        <v>79</v>
      </c>
      <c r="J468" s="27" t="s">
        <v>75</v>
      </c>
      <c r="K468" s="27" t="s">
        <v>29</v>
      </c>
      <c r="L468" s="27" t="s">
        <v>30</v>
      </c>
      <c r="M468" s="27">
        <v>7</v>
      </c>
      <c r="N468" s="27">
        <v>2200</v>
      </c>
      <c r="O468" s="27">
        <v>5</v>
      </c>
      <c r="P468" s="27">
        <v>14630</v>
      </c>
      <c r="Q468" s="27">
        <v>4</v>
      </c>
      <c r="R468" s="27" t="s">
        <v>60</v>
      </c>
      <c r="S468" s="27" t="s">
        <v>80</v>
      </c>
      <c r="T468" s="27" t="s">
        <v>51</v>
      </c>
      <c r="U468" s="27">
        <v>9864206250</v>
      </c>
      <c r="V468" s="37" t="s">
        <v>53</v>
      </c>
      <c r="W468" s="49">
        <f t="shared" ca="1" si="14"/>
        <v>38</v>
      </c>
      <c r="X468" s="50">
        <f t="shared" si="15"/>
        <v>6</v>
      </c>
      <c r="Y468" s="46" t="str" cm="1">
        <f t="array" ref="Y468">_xlfn.IFS(X468&lt;=5,"On Time",X468&gt;5,"Delayed",X468=" ","Pending")</f>
        <v>Delayed</v>
      </c>
    </row>
    <row r="469" spans="1:25" ht="15" thickBot="1" x14ac:dyDescent="0.4">
      <c r="A469" s="30" t="s">
        <v>600</v>
      </c>
      <c r="B469" s="30" t="s">
        <v>23</v>
      </c>
      <c r="C469" s="30" t="s">
        <v>138</v>
      </c>
      <c r="D469" s="31">
        <v>45755</v>
      </c>
      <c r="E469" s="31">
        <v>45759</v>
      </c>
      <c r="F469" s="30" t="s">
        <v>25</v>
      </c>
      <c r="G469" s="30" t="s">
        <v>26</v>
      </c>
      <c r="H469" s="31">
        <v>35546</v>
      </c>
      <c r="I469" s="30" t="s">
        <v>91</v>
      </c>
      <c r="J469" s="30" t="s">
        <v>75</v>
      </c>
      <c r="K469" s="30" t="s">
        <v>83</v>
      </c>
      <c r="L469" s="30" t="s">
        <v>139</v>
      </c>
      <c r="M469" s="30">
        <v>11</v>
      </c>
      <c r="N469" s="30">
        <v>45</v>
      </c>
      <c r="O469" s="30">
        <v>15</v>
      </c>
      <c r="P469" s="30">
        <v>420.75</v>
      </c>
      <c r="Q469" s="30">
        <v>4</v>
      </c>
      <c r="R469" s="30" t="s">
        <v>60</v>
      </c>
      <c r="S469" s="30" t="s">
        <v>50</v>
      </c>
      <c r="T469" s="30" t="s">
        <v>43</v>
      </c>
      <c r="U469" s="30">
        <v>9519293104</v>
      </c>
      <c r="V469" s="38" t="s">
        <v>52</v>
      </c>
      <c r="W469" s="49">
        <f t="shared" ca="1" si="14"/>
        <v>29</v>
      </c>
      <c r="X469" s="50">
        <f t="shared" si="15"/>
        <v>4</v>
      </c>
      <c r="Y469" s="46" t="str" cm="1">
        <f t="array" ref="Y469">_xlfn.IFS(X469&lt;=5,"On Time",X469&gt;5,"Delayed",X469=" ","Pending")</f>
        <v>On Time</v>
      </c>
    </row>
    <row r="470" spans="1:25" ht="15" thickBot="1" x14ac:dyDescent="0.4">
      <c r="A470" s="27" t="s">
        <v>601</v>
      </c>
      <c r="B470" s="27" t="s">
        <v>72</v>
      </c>
      <c r="C470" s="27" t="s">
        <v>82</v>
      </c>
      <c r="D470" s="28">
        <v>45767</v>
      </c>
      <c r="E470" s="28">
        <v>45777</v>
      </c>
      <c r="F470" s="27" t="s">
        <v>73</v>
      </c>
      <c r="G470" s="27" t="s">
        <v>26</v>
      </c>
      <c r="H470" s="28">
        <v>37033</v>
      </c>
      <c r="I470" s="27" t="s">
        <v>74</v>
      </c>
      <c r="J470" s="27" t="s">
        <v>75</v>
      </c>
      <c r="K470" s="27" t="s">
        <v>83</v>
      </c>
      <c r="L470" s="27" t="s">
        <v>84</v>
      </c>
      <c r="M470" s="27">
        <v>16</v>
      </c>
      <c r="N470" s="27">
        <v>60</v>
      </c>
      <c r="O470" s="27">
        <v>5</v>
      </c>
      <c r="P470" s="27">
        <v>912</v>
      </c>
      <c r="Q470" s="27">
        <v>2</v>
      </c>
      <c r="R470" s="27" t="s">
        <v>31</v>
      </c>
      <c r="S470" s="27" t="s">
        <v>80</v>
      </c>
      <c r="T470" s="27" t="s">
        <v>93</v>
      </c>
      <c r="U470" s="27">
        <v>9296075245</v>
      </c>
      <c r="V470" s="37" t="s">
        <v>53</v>
      </c>
      <c r="W470" s="49">
        <f t="shared" ca="1" si="14"/>
        <v>25</v>
      </c>
      <c r="X470" s="50">
        <f t="shared" si="15"/>
        <v>10</v>
      </c>
      <c r="Y470" s="46" t="str" cm="1">
        <f t="array" ref="Y470">_xlfn.IFS(X470&lt;=5,"On Time",X470&gt;5,"Delayed",X470=" ","Pending")</f>
        <v>Delayed</v>
      </c>
    </row>
    <row r="471" spans="1:25" ht="15" thickBot="1" x14ac:dyDescent="0.4">
      <c r="A471" s="30" t="s">
        <v>602</v>
      </c>
      <c r="B471" s="30" t="s">
        <v>156</v>
      </c>
      <c r="C471" s="30" t="s">
        <v>46</v>
      </c>
      <c r="D471" s="31">
        <v>45963</v>
      </c>
      <c r="E471" s="31">
        <v>45965</v>
      </c>
      <c r="F471" s="30" t="s">
        <v>106</v>
      </c>
      <c r="G471" s="30" t="s">
        <v>58</v>
      </c>
      <c r="H471" s="31">
        <v>30121</v>
      </c>
      <c r="I471" s="30" t="s">
        <v>79</v>
      </c>
      <c r="J471" s="30" t="s">
        <v>75</v>
      </c>
      <c r="K471" s="30" t="s">
        <v>39</v>
      </c>
      <c r="L471" s="30" t="s">
        <v>49</v>
      </c>
      <c r="M471" s="30">
        <v>18</v>
      </c>
      <c r="N471" s="30">
        <v>55000</v>
      </c>
      <c r="O471" s="30">
        <v>0</v>
      </c>
      <c r="P471" s="30">
        <v>990000</v>
      </c>
      <c r="Q471" s="30">
        <v>5</v>
      </c>
      <c r="R471" s="30" t="s">
        <v>41</v>
      </c>
      <c r="S471" s="30" t="s">
        <v>42</v>
      </c>
      <c r="T471" s="30" t="s">
        <v>158</v>
      </c>
      <c r="U471" s="30">
        <v>9316770206</v>
      </c>
      <c r="V471" s="38" t="s">
        <v>52</v>
      </c>
      <c r="W471" s="49">
        <f t="shared" ca="1" si="14"/>
        <v>44</v>
      </c>
      <c r="X471" s="50">
        <f t="shared" si="15"/>
        <v>2</v>
      </c>
      <c r="Y471" s="46" t="str" cm="1">
        <f t="array" ref="Y471">_xlfn.IFS(X471&lt;=5,"On Time",X471&gt;5,"Delayed",X471=" ","Pending")</f>
        <v>On Time</v>
      </c>
    </row>
    <row r="472" spans="1:25" ht="15" thickBot="1" x14ac:dyDescent="0.4">
      <c r="A472" s="27" t="s">
        <v>603</v>
      </c>
      <c r="B472" s="27" t="s">
        <v>23</v>
      </c>
      <c r="C472" s="27" t="s">
        <v>56</v>
      </c>
      <c r="D472" s="28">
        <v>45948</v>
      </c>
      <c r="E472" s="28">
        <v>45952</v>
      </c>
      <c r="F472" s="27" t="s">
        <v>25</v>
      </c>
      <c r="G472" s="27" t="s">
        <v>26</v>
      </c>
      <c r="H472" s="28">
        <v>36334</v>
      </c>
      <c r="I472" s="27" t="s">
        <v>48</v>
      </c>
      <c r="J472" s="27" t="s">
        <v>28</v>
      </c>
      <c r="K472" s="27" t="s">
        <v>39</v>
      </c>
      <c r="L472" s="27" t="s">
        <v>59</v>
      </c>
      <c r="M472" s="27">
        <v>17</v>
      </c>
      <c r="N472" s="27">
        <v>1200</v>
      </c>
      <c r="O472" s="27">
        <v>5</v>
      </c>
      <c r="P472" s="27">
        <v>19380</v>
      </c>
      <c r="Q472" s="27">
        <v>1</v>
      </c>
      <c r="R472" s="27" t="s">
        <v>41</v>
      </c>
      <c r="S472" s="27" t="s">
        <v>32</v>
      </c>
      <c r="T472" s="27" t="s">
        <v>43</v>
      </c>
      <c r="U472" s="27">
        <v>9706553861</v>
      </c>
      <c r="V472" s="37" t="s">
        <v>52</v>
      </c>
      <c r="W472" s="49">
        <f t="shared" ca="1" si="14"/>
        <v>27</v>
      </c>
      <c r="X472" s="50">
        <f t="shared" si="15"/>
        <v>4</v>
      </c>
      <c r="Y472" s="46" t="str" cm="1">
        <f t="array" ref="Y472">_xlfn.IFS(X472&lt;=5,"On Time",X472&gt;5,"Delayed",X472=" ","Pending")</f>
        <v>On Time</v>
      </c>
    </row>
    <row r="473" spans="1:25" ht="15" thickBot="1" x14ac:dyDescent="0.4">
      <c r="A473" s="30" t="s">
        <v>604</v>
      </c>
      <c r="B473" s="30" t="s">
        <v>45</v>
      </c>
      <c r="C473" s="30" t="s">
        <v>46</v>
      </c>
      <c r="D473" s="31">
        <v>45774</v>
      </c>
      <c r="E473" s="31">
        <v>45782</v>
      </c>
      <c r="F473" s="30" t="s">
        <v>101</v>
      </c>
      <c r="G473" s="30" t="s">
        <v>26</v>
      </c>
      <c r="H473" s="31">
        <v>36924</v>
      </c>
      <c r="I473" s="30" t="s">
        <v>79</v>
      </c>
      <c r="J473" s="30" t="s">
        <v>75</v>
      </c>
      <c r="K473" s="30" t="s">
        <v>39</v>
      </c>
      <c r="L473" s="30" t="s">
        <v>49</v>
      </c>
      <c r="M473" s="30">
        <v>11</v>
      </c>
      <c r="N473" s="30">
        <v>55000</v>
      </c>
      <c r="O473" s="30">
        <v>0</v>
      </c>
      <c r="P473" s="30">
        <v>605000</v>
      </c>
      <c r="Q473" s="30">
        <v>2</v>
      </c>
      <c r="R473" s="30" t="s">
        <v>31</v>
      </c>
      <c r="S473" s="30" t="s">
        <v>50</v>
      </c>
      <c r="T473" s="30" t="s">
        <v>51</v>
      </c>
      <c r="U473" s="30">
        <v>9524904662</v>
      </c>
      <c r="V473" s="38" t="s">
        <v>52</v>
      </c>
      <c r="W473" s="49">
        <f t="shared" ca="1" si="14"/>
        <v>25</v>
      </c>
      <c r="X473" s="50">
        <f t="shared" si="15"/>
        <v>8</v>
      </c>
      <c r="Y473" s="46" t="str" cm="1">
        <f t="array" ref="Y473">_xlfn.IFS(X473&lt;=5,"On Time",X473&gt;5,"Delayed",X473=" ","Pending")</f>
        <v>Delayed</v>
      </c>
    </row>
    <row r="474" spans="1:25" ht="15" thickBot="1" x14ac:dyDescent="0.4">
      <c r="A474" s="27" t="s">
        <v>605</v>
      </c>
      <c r="B474" s="27" t="s">
        <v>134</v>
      </c>
      <c r="C474" s="27" t="s">
        <v>112</v>
      </c>
      <c r="D474" s="28">
        <v>45799</v>
      </c>
      <c r="E474" s="28">
        <v>45808</v>
      </c>
      <c r="F474" s="27" t="s">
        <v>135</v>
      </c>
      <c r="G474" s="27" t="s">
        <v>26</v>
      </c>
      <c r="H474" s="28">
        <v>36200</v>
      </c>
      <c r="I474" s="27" t="s">
        <v>37</v>
      </c>
      <c r="J474" s="27" t="s">
        <v>38</v>
      </c>
      <c r="K474" s="27" t="s">
        <v>39</v>
      </c>
      <c r="L474" s="27" t="s">
        <v>114</v>
      </c>
      <c r="M474" s="27">
        <v>20</v>
      </c>
      <c r="N474" s="27">
        <v>700</v>
      </c>
      <c r="O474" s="27">
        <v>20</v>
      </c>
      <c r="P474" s="27">
        <v>11200</v>
      </c>
      <c r="Q474" s="27">
        <v>5</v>
      </c>
      <c r="R474" s="27" t="s">
        <v>41</v>
      </c>
      <c r="S474" s="27" t="s">
        <v>50</v>
      </c>
      <c r="T474" s="27" t="s">
        <v>136</v>
      </c>
      <c r="U474" s="27">
        <v>9577624596</v>
      </c>
      <c r="V474" s="35" t="s">
        <v>34</v>
      </c>
      <c r="W474" s="49">
        <f t="shared" ca="1" si="14"/>
        <v>27</v>
      </c>
      <c r="X474" s="50">
        <f t="shared" si="15"/>
        <v>9</v>
      </c>
      <c r="Y474" s="46" t="str" cm="1">
        <f t="array" ref="Y474">_xlfn.IFS(X474&lt;=5,"On Time",X474&gt;5,"Delayed",X474=" ","Pending")</f>
        <v>Delayed</v>
      </c>
    </row>
    <row r="475" spans="1:25" ht="15" thickBot="1" x14ac:dyDescent="0.4">
      <c r="A475" s="30" t="s">
        <v>606</v>
      </c>
      <c r="B475" s="30" t="s">
        <v>55</v>
      </c>
      <c r="C475" s="30" t="s">
        <v>125</v>
      </c>
      <c r="D475" s="31">
        <v>46050</v>
      </c>
      <c r="E475" s="31">
        <v>46061</v>
      </c>
      <c r="F475" s="30" t="s">
        <v>57</v>
      </c>
      <c r="G475" s="30" t="s">
        <v>58</v>
      </c>
      <c r="H475" s="31">
        <v>32269</v>
      </c>
      <c r="I475" s="30" t="s">
        <v>37</v>
      </c>
      <c r="J475" s="30" t="s">
        <v>38</v>
      </c>
      <c r="K475" s="30" t="s">
        <v>83</v>
      </c>
      <c r="L475" s="30" t="s">
        <v>127</v>
      </c>
      <c r="M475" s="30">
        <v>5</v>
      </c>
      <c r="N475" s="30">
        <v>20</v>
      </c>
      <c r="O475" s="30">
        <v>5</v>
      </c>
      <c r="P475" s="30">
        <v>95</v>
      </c>
      <c r="Q475" s="30">
        <v>4</v>
      </c>
      <c r="R475" s="30" t="s">
        <v>31</v>
      </c>
      <c r="S475" s="30" t="s">
        <v>42</v>
      </c>
      <c r="T475" s="30" t="s">
        <v>61</v>
      </c>
      <c r="U475" s="30">
        <v>9898452436</v>
      </c>
      <c r="V475" s="38" t="s">
        <v>53</v>
      </c>
      <c r="W475" s="49">
        <f t="shared" ca="1" si="14"/>
        <v>38</v>
      </c>
      <c r="X475" s="50">
        <f t="shared" si="15"/>
        <v>11</v>
      </c>
      <c r="Y475" s="46" t="str" cm="1">
        <f t="array" ref="Y475">_xlfn.IFS(X475&lt;=5,"On Time",X475&gt;5,"Delayed",X475=" ","Pending")</f>
        <v>Delayed</v>
      </c>
    </row>
    <row r="476" spans="1:25" ht="15" thickBot="1" x14ac:dyDescent="0.4">
      <c r="A476" s="27" t="s">
        <v>607</v>
      </c>
      <c r="B476" s="27" t="s">
        <v>156</v>
      </c>
      <c r="C476" s="27" t="s">
        <v>46</v>
      </c>
      <c r="D476" s="28">
        <v>45692</v>
      </c>
      <c r="E476" s="28">
        <v>45699</v>
      </c>
      <c r="F476" s="27" t="s">
        <v>106</v>
      </c>
      <c r="G476" s="27" t="s">
        <v>58</v>
      </c>
      <c r="H476" s="28">
        <v>27437</v>
      </c>
      <c r="I476" s="27" t="s">
        <v>74</v>
      </c>
      <c r="J476" s="27" t="s">
        <v>75</v>
      </c>
      <c r="K476" s="27" t="s">
        <v>39</v>
      </c>
      <c r="L476" s="27" t="s">
        <v>49</v>
      </c>
      <c r="M476" s="27">
        <v>13</v>
      </c>
      <c r="N476" s="27">
        <v>55000</v>
      </c>
      <c r="O476" s="27">
        <v>5</v>
      </c>
      <c r="P476" s="27">
        <v>679250</v>
      </c>
      <c r="Q476" s="27">
        <v>1</v>
      </c>
      <c r="R476" s="27" t="s">
        <v>41</v>
      </c>
      <c r="S476" s="27" t="s">
        <v>42</v>
      </c>
      <c r="T476" s="27" t="s">
        <v>158</v>
      </c>
      <c r="U476" s="27">
        <v>9960757012</v>
      </c>
      <c r="V476" s="37" t="s">
        <v>52</v>
      </c>
      <c r="W476" s="49">
        <f t="shared" ca="1" si="14"/>
        <v>51</v>
      </c>
      <c r="X476" s="50">
        <f t="shared" si="15"/>
        <v>7</v>
      </c>
      <c r="Y476" s="46" t="str" cm="1">
        <f t="array" ref="Y476">_xlfn.IFS(X476&lt;=5,"On Time",X476&gt;5,"Delayed",X476=" ","Pending")</f>
        <v>Delayed</v>
      </c>
    </row>
    <row r="477" spans="1:25" ht="15" thickBot="1" x14ac:dyDescent="0.4">
      <c r="A477" s="30" t="s">
        <v>608</v>
      </c>
      <c r="B477" s="30" t="s">
        <v>87</v>
      </c>
      <c r="C477" s="30" t="s">
        <v>46</v>
      </c>
      <c r="D477" s="31">
        <v>45766</v>
      </c>
      <c r="E477" s="31">
        <v>45767</v>
      </c>
      <c r="F477" s="30" t="s">
        <v>88</v>
      </c>
      <c r="G477" s="30" t="s">
        <v>58</v>
      </c>
      <c r="H477" s="31">
        <v>37987</v>
      </c>
      <c r="I477" s="30" t="s">
        <v>147</v>
      </c>
      <c r="J477" s="30" t="s">
        <v>148</v>
      </c>
      <c r="K477" s="30" t="s">
        <v>39</v>
      </c>
      <c r="L477" s="30" t="s">
        <v>49</v>
      </c>
      <c r="M477" s="30">
        <v>12</v>
      </c>
      <c r="N477" s="30">
        <v>55000</v>
      </c>
      <c r="O477" s="30">
        <v>5</v>
      </c>
      <c r="P477" s="30">
        <v>627000</v>
      </c>
      <c r="Q477" s="30">
        <v>1</v>
      </c>
      <c r="R477" s="30" t="s">
        <v>41</v>
      </c>
      <c r="S477" s="30" t="s">
        <v>80</v>
      </c>
      <c r="T477" s="30" t="s">
        <v>89</v>
      </c>
      <c r="U477" s="30">
        <v>9331268182</v>
      </c>
      <c r="V477" s="38" t="s">
        <v>53</v>
      </c>
      <c r="W477" s="49">
        <f t="shared" ca="1" si="14"/>
        <v>22</v>
      </c>
      <c r="X477" s="50">
        <f t="shared" si="15"/>
        <v>1</v>
      </c>
      <c r="Y477" s="46" t="str" cm="1">
        <f t="array" ref="Y477">_xlfn.IFS(X477&lt;=5,"On Time",X477&gt;5,"Delayed",X477=" ","Pending")</f>
        <v>On Time</v>
      </c>
    </row>
    <row r="478" spans="1:25" ht="15" thickBot="1" x14ac:dyDescent="0.4">
      <c r="A478" s="27" t="s">
        <v>609</v>
      </c>
      <c r="B478" s="27" t="s">
        <v>45</v>
      </c>
      <c r="C478" s="27" t="s">
        <v>138</v>
      </c>
      <c r="D478" s="28">
        <v>45678</v>
      </c>
      <c r="E478" s="28">
        <v>45685</v>
      </c>
      <c r="F478" s="27" t="s">
        <v>101</v>
      </c>
      <c r="G478" s="27" t="s">
        <v>26</v>
      </c>
      <c r="H478" s="28">
        <v>37126</v>
      </c>
      <c r="I478" s="27" t="s">
        <v>74</v>
      </c>
      <c r="J478" s="27" t="s">
        <v>75</v>
      </c>
      <c r="K478" s="27" t="s">
        <v>83</v>
      </c>
      <c r="L478" s="27" t="s">
        <v>139</v>
      </c>
      <c r="M478" s="27">
        <v>16</v>
      </c>
      <c r="N478" s="27">
        <v>45</v>
      </c>
      <c r="O478" s="27">
        <v>20</v>
      </c>
      <c r="P478" s="27">
        <v>576</v>
      </c>
      <c r="Q478" s="27">
        <v>2</v>
      </c>
      <c r="R478" s="27" t="s">
        <v>31</v>
      </c>
      <c r="S478" s="27" t="s">
        <v>42</v>
      </c>
      <c r="T478" s="27" t="s">
        <v>51</v>
      </c>
      <c r="U478" s="27">
        <v>9135996862</v>
      </c>
      <c r="V478" s="37" t="s">
        <v>52</v>
      </c>
      <c r="W478" s="49">
        <f t="shared" ca="1" si="14"/>
        <v>25</v>
      </c>
      <c r="X478" s="50">
        <f t="shared" si="15"/>
        <v>7</v>
      </c>
      <c r="Y478" s="46" t="str" cm="1">
        <f t="array" ref="Y478">_xlfn.IFS(X478&lt;=5,"On Time",X478&gt;5,"Delayed",X478=" ","Pending")</f>
        <v>Delayed</v>
      </c>
    </row>
    <row r="479" spans="1:25" ht="15" thickBot="1" x14ac:dyDescent="0.4">
      <c r="A479" s="30" t="s">
        <v>610</v>
      </c>
      <c r="B479" s="30" t="s">
        <v>23</v>
      </c>
      <c r="C479" s="30" t="s">
        <v>56</v>
      </c>
      <c r="D479" s="31">
        <v>45918</v>
      </c>
      <c r="E479" s="31">
        <v>45927</v>
      </c>
      <c r="F479" s="30" t="s">
        <v>25</v>
      </c>
      <c r="G479" s="30" t="s">
        <v>26</v>
      </c>
      <c r="H479" s="31">
        <v>35818</v>
      </c>
      <c r="I479" s="30" t="s">
        <v>48</v>
      </c>
      <c r="J479" s="30" t="s">
        <v>28</v>
      </c>
      <c r="K479" s="30" t="s">
        <v>39</v>
      </c>
      <c r="L479" s="30" t="s">
        <v>59</v>
      </c>
      <c r="M479" s="30">
        <v>5</v>
      </c>
      <c r="N479" s="30">
        <v>1200</v>
      </c>
      <c r="O479" s="30">
        <v>10</v>
      </c>
      <c r="P479" s="30">
        <v>5400</v>
      </c>
      <c r="Q479" s="30">
        <v>1</v>
      </c>
      <c r="R479" s="30" t="s">
        <v>31</v>
      </c>
      <c r="S479" s="30"/>
      <c r="T479" s="32" t="s">
        <v>611</v>
      </c>
      <c r="U479" s="30">
        <v>9540813143</v>
      </c>
      <c r="V479" s="36" t="s">
        <v>34</v>
      </c>
      <c r="W479" s="49">
        <f t="shared" ca="1" si="14"/>
        <v>28</v>
      </c>
      <c r="X479" s="50">
        <f t="shared" si="15"/>
        <v>9</v>
      </c>
      <c r="Y479" s="46" t="str" cm="1">
        <f t="array" ref="Y479">_xlfn.IFS(X479&lt;=5,"On Time",X479&gt;5,"Delayed",X479=" ","Pending")</f>
        <v>Delayed</v>
      </c>
    </row>
    <row r="480" spans="1:25" ht="15" thickBot="1" x14ac:dyDescent="0.4">
      <c r="A480" s="27" t="s">
        <v>612</v>
      </c>
      <c r="B480" s="27" t="s">
        <v>104</v>
      </c>
      <c r="C480" s="27" t="s">
        <v>138</v>
      </c>
      <c r="D480" s="28">
        <v>45949</v>
      </c>
      <c r="E480" s="28">
        <v>45950</v>
      </c>
      <c r="F480" s="27" t="s">
        <v>166</v>
      </c>
      <c r="G480" s="27" t="s">
        <v>26</v>
      </c>
      <c r="H480" s="28">
        <v>38135</v>
      </c>
      <c r="I480" s="27" t="s">
        <v>147</v>
      </c>
      <c r="J480" s="27" t="s">
        <v>148</v>
      </c>
      <c r="K480" s="27" t="s">
        <v>83</v>
      </c>
      <c r="L480" s="27" t="s">
        <v>139</v>
      </c>
      <c r="M480" s="27">
        <v>2</v>
      </c>
      <c r="N480" s="27">
        <v>45</v>
      </c>
      <c r="O480" s="27">
        <v>10</v>
      </c>
      <c r="P480" s="27">
        <v>81</v>
      </c>
      <c r="Q480" s="27">
        <v>4</v>
      </c>
      <c r="R480" s="27" t="s">
        <v>65</v>
      </c>
      <c r="S480" s="27" t="s">
        <v>42</v>
      </c>
      <c r="T480" s="27" t="s">
        <v>108</v>
      </c>
      <c r="U480" s="27">
        <v>9910913552</v>
      </c>
      <c r="V480" s="37" t="s">
        <v>52</v>
      </c>
      <c r="W480" s="49">
        <f t="shared" ca="1" si="14"/>
        <v>22</v>
      </c>
      <c r="X480" s="50">
        <f t="shared" si="15"/>
        <v>1</v>
      </c>
      <c r="Y480" s="46" t="str" cm="1">
        <f t="array" ref="Y480">_xlfn.IFS(X480&lt;=5,"On Time",X480&gt;5,"Delayed",X480=" ","Pending")</f>
        <v>On Time</v>
      </c>
    </row>
    <row r="481" spans="1:25" ht="15" thickBot="1" x14ac:dyDescent="0.4">
      <c r="A481" s="30" t="s">
        <v>613</v>
      </c>
      <c r="B481" s="30" t="s">
        <v>87</v>
      </c>
      <c r="C481" s="30" t="s">
        <v>36</v>
      </c>
      <c r="D481" s="31">
        <v>46034</v>
      </c>
      <c r="E481" s="31">
        <v>46040</v>
      </c>
      <c r="F481" s="30" t="s">
        <v>88</v>
      </c>
      <c r="G481" s="30" t="s">
        <v>58</v>
      </c>
      <c r="H481" s="31">
        <v>31112</v>
      </c>
      <c r="I481" s="30" t="s">
        <v>91</v>
      </c>
      <c r="J481" s="30" t="s">
        <v>75</v>
      </c>
      <c r="K481" s="30" t="s">
        <v>39</v>
      </c>
      <c r="L481" s="30" t="s">
        <v>40</v>
      </c>
      <c r="M481" s="30">
        <v>3</v>
      </c>
      <c r="N481" s="30">
        <v>12000</v>
      </c>
      <c r="O481" s="30">
        <v>0</v>
      </c>
      <c r="P481" s="30">
        <v>36000</v>
      </c>
      <c r="Q481" s="30">
        <v>2</v>
      </c>
      <c r="R481" s="30" t="s">
        <v>65</v>
      </c>
      <c r="S481" s="30" t="s">
        <v>96</v>
      </c>
      <c r="T481" s="30" t="s">
        <v>89</v>
      </c>
      <c r="U481" s="30">
        <v>9282751683</v>
      </c>
      <c r="V481" s="38" t="s">
        <v>52</v>
      </c>
      <c r="W481" s="49">
        <f t="shared" ca="1" si="14"/>
        <v>41</v>
      </c>
      <c r="X481" s="50">
        <f t="shared" si="15"/>
        <v>6</v>
      </c>
      <c r="Y481" s="46" t="str" cm="1">
        <f t="array" ref="Y481">_xlfn.IFS(X481&lt;=5,"On Time",X481&gt;5,"Delayed",X481=" ","Pending")</f>
        <v>Delayed</v>
      </c>
    </row>
    <row r="482" spans="1:25" ht="15" thickBot="1" x14ac:dyDescent="0.4">
      <c r="A482" s="27" t="s">
        <v>614</v>
      </c>
      <c r="B482" s="27" t="s">
        <v>23</v>
      </c>
      <c r="C482" s="27" t="s">
        <v>36</v>
      </c>
      <c r="D482" s="28">
        <v>45683</v>
      </c>
      <c r="E482" s="28">
        <v>45689</v>
      </c>
      <c r="F482" s="27" t="s">
        <v>25</v>
      </c>
      <c r="G482" s="27" t="s">
        <v>26</v>
      </c>
      <c r="H482" s="28">
        <v>31661</v>
      </c>
      <c r="I482" s="27" t="s">
        <v>48</v>
      </c>
      <c r="J482" s="27" t="s">
        <v>28</v>
      </c>
      <c r="K482" s="27" t="s">
        <v>39</v>
      </c>
      <c r="L482" s="27" t="s">
        <v>40</v>
      </c>
      <c r="M482" s="27">
        <v>3</v>
      </c>
      <c r="N482" s="27">
        <v>12000</v>
      </c>
      <c r="O482" s="27">
        <v>20</v>
      </c>
      <c r="P482" s="27">
        <v>28800</v>
      </c>
      <c r="Q482" s="27">
        <v>3</v>
      </c>
      <c r="R482" s="27" t="s">
        <v>65</v>
      </c>
      <c r="S482" s="27" t="s">
        <v>80</v>
      </c>
      <c r="T482" s="27" t="s">
        <v>43</v>
      </c>
      <c r="U482" s="27">
        <v>9939332058</v>
      </c>
      <c r="V482" s="35" t="s">
        <v>34</v>
      </c>
      <c r="W482" s="49">
        <f t="shared" ca="1" si="14"/>
        <v>40</v>
      </c>
      <c r="X482" s="50">
        <f t="shared" si="15"/>
        <v>6</v>
      </c>
      <c r="Y482" s="46" t="str" cm="1">
        <f t="array" ref="Y482">_xlfn.IFS(X482&lt;=5,"On Time",X482&gt;5,"Delayed",X482=" ","Pending")</f>
        <v>Delayed</v>
      </c>
    </row>
    <row r="483" spans="1:25" ht="15" thickBot="1" x14ac:dyDescent="0.4">
      <c r="A483" s="30" t="s">
        <v>615</v>
      </c>
      <c r="B483" s="30" t="s">
        <v>87</v>
      </c>
      <c r="C483" s="30" t="s">
        <v>105</v>
      </c>
      <c r="D483" s="31">
        <v>46119</v>
      </c>
      <c r="E483" s="31">
        <v>46120</v>
      </c>
      <c r="F483" s="30" t="s">
        <v>88</v>
      </c>
      <c r="G483" s="30" t="s">
        <v>58</v>
      </c>
      <c r="H483" s="31">
        <v>29819</v>
      </c>
      <c r="I483" s="30" t="s">
        <v>147</v>
      </c>
      <c r="J483" s="30" t="s">
        <v>148</v>
      </c>
      <c r="K483" s="30" t="s">
        <v>29</v>
      </c>
      <c r="L483" s="30" t="s">
        <v>107</v>
      </c>
      <c r="M483" s="30">
        <v>9</v>
      </c>
      <c r="N483" s="30">
        <v>8500</v>
      </c>
      <c r="O483" s="30">
        <v>15</v>
      </c>
      <c r="P483" s="30">
        <v>65025</v>
      </c>
      <c r="Q483" s="30">
        <v>5</v>
      </c>
      <c r="R483" s="30" t="s">
        <v>31</v>
      </c>
      <c r="S483" s="30" t="s">
        <v>42</v>
      </c>
      <c r="T483" s="30" t="s">
        <v>89</v>
      </c>
      <c r="U483" s="30">
        <v>9780626473</v>
      </c>
      <c r="V483" s="38" t="s">
        <v>52</v>
      </c>
      <c r="W483" s="49">
        <f t="shared" ca="1" si="14"/>
        <v>45</v>
      </c>
      <c r="X483" s="50">
        <f t="shared" si="15"/>
        <v>1</v>
      </c>
      <c r="Y483" s="46" t="str" cm="1">
        <f t="array" ref="Y483">_xlfn.IFS(X483&lt;=5,"On Time",X483&gt;5,"Delayed",X483=" ","Pending")</f>
        <v>On Time</v>
      </c>
    </row>
    <row r="484" spans="1:25" ht="15" thickBot="1" x14ac:dyDescent="0.4">
      <c r="A484" s="27" t="s">
        <v>616</v>
      </c>
      <c r="B484" s="27" t="s">
        <v>55</v>
      </c>
      <c r="C484" s="27" t="s">
        <v>112</v>
      </c>
      <c r="D484" s="28">
        <v>45834</v>
      </c>
      <c r="E484" s="28">
        <v>45844</v>
      </c>
      <c r="F484" s="27" t="s">
        <v>617</v>
      </c>
      <c r="G484" s="27" t="s">
        <v>58</v>
      </c>
      <c r="H484" s="28">
        <v>33717</v>
      </c>
      <c r="I484" s="27" t="s">
        <v>147</v>
      </c>
      <c r="J484" s="27" t="s">
        <v>148</v>
      </c>
      <c r="K484" s="27" t="s">
        <v>39</v>
      </c>
      <c r="L484" s="27" t="s">
        <v>114</v>
      </c>
      <c r="M484" s="27">
        <v>17</v>
      </c>
      <c r="N484" s="27">
        <v>700</v>
      </c>
      <c r="O484" s="27">
        <v>0</v>
      </c>
      <c r="P484" s="27">
        <v>11900</v>
      </c>
      <c r="Q484" s="27">
        <v>2</v>
      </c>
      <c r="R484" s="27" t="s">
        <v>31</v>
      </c>
      <c r="S484" s="27" t="s">
        <v>50</v>
      </c>
      <c r="T484" s="27" t="s">
        <v>61</v>
      </c>
      <c r="U484" s="27">
        <v>9347298020</v>
      </c>
      <c r="V484" s="37" t="s">
        <v>53</v>
      </c>
      <c r="W484" s="49">
        <f t="shared" ca="1" si="14"/>
        <v>34</v>
      </c>
      <c r="X484" s="50">
        <f t="shared" si="15"/>
        <v>10</v>
      </c>
      <c r="Y484" s="46" t="str" cm="1">
        <f t="array" ref="Y484">_xlfn.IFS(X484&lt;=5,"On Time",X484&gt;5,"Delayed",X484=" ","Pending")</f>
        <v>Delayed</v>
      </c>
    </row>
    <row r="485" spans="1:25" ht="15" thickBot="1" x14ac:dyDescent="0.4">
      <c r="A485" s="30" t="s">
        <v>618</v>
      </c>
      <c r="B485" s="30" t="s">
        <v>23</v>
      </c>
      <c r="C485" s="30" t="s">
        <v>112</v>
      </c>
      <c r="D485" s="31">
        <v>45846</v>
      </c>
      <c r="E485" s="31">
        <v>45856</v>
      </c>
      <c r="F485" s="30" t="s">
        <v>25</v>
      </c>
      <c r="G485" s="30" t="s">
        <v>26</v>
      </c>
      <c r="H485" s="31">
        <v>33422</v>
      </c>
      <c r="I485" s="30" t="s">
        <v>27</v>
      </c>
      <c r="J485" s="30" t="s">
        <v>28</v>
      </c>
      <c r="K485" s="30" t="s">
        <v>39</v>
      </c>
      <c r="L485" s="30" t="s">
        <v>114</v>
      </c>
      <c r="M485" s="30">
        <v>20</v>
      </c>
      <c r="N485" s="30">
        <v>700</v>
      </c>
      <c r="O485" s="30">
        <v>5</v>
      </c>
      <c r="P485" s="30">
        <v>13300</v>
      </c>
      <c r="Q485" s="30">
        <v>2</v>
      </c>
      <c r="R485" s="30" t="s">
        <v>65</v>
      </c>
      <c r="S485" s="30" t="s">
        <v>32</v>
      </c>
      <c r="T485" s="30" t="s">
        <v>43</v>
      </c>
      <c r="U485" s="30">
        <v>9345328522</v>
      </c>
      <c r="V485" s="36" t="s">
        <v>34</v>
      </c>
      <c r="W485" s="49">
        <f t="shared" ca="1" si="14"/>
        <v>35</v>
      </c>
      <c r="X485" s="50">
        <f t="shared" si="15"/>
        <v>10</v>
      </c>
      <c r="Y485" s="46" t="str" cm="1">
        <f t="array" ref="Y485">_xlfn.IFS(X485&lt;=5,"On Time",X485&gt;5,"Delayed",X485=" ","Pending")</f>
        <v>Delayed</v>
      </c>
    </row>
    <row r="486" spans="1:25" ht="15" thickBot="1" x14ac:dyDescent="0.4">
      <c r="A486" s="27" t="s">
        <v>619</v>
      </c>
      <c r="B486" s="27" t="s">
        <v>156</v>
      </c>
      <c r="C486" s="27" t="s">
        <v>56</v>
      </c>
      <c r="D486" s="28">
        <v>46092</v>
      </c>
      <c r="E486" s="28">
        <v>46102</v>
      </c>
      <c r="F486" s="27" t="s">
        <v>106</v>
      </c>
      <c r="G486" s="27" t="s">
        <v>58</v>
      </c>
      <c r="H486" s="28">
        <v>28526</v>
      </c>
      <c r="I486" s="27" t="s">
        <v>91</v>
      </c>
      <c r="J486" s="27" t="s">
        <v>75</v>
      </c>
      <c r="K486" s="27" t="s">
        <v>39</v>
      </c>
      <c r="L486" s="27" t="s">
        <v>59</v>
      </c>
      <c r="M486" s="27">
        <v>13</v>
      </c>
      <c r="N486" s="27">
        <v>1200</v>
      </c>
      <c r="O486" s="27">
        <v>20</v>
      </c>
      <c r="P486" s="27">
        <v>12480</v>
      </c>
      <c r="Q486" s="27">
        <v>5</v>
      </c>
      <c r="R486" s="27" t="s">
        <v>60</v>
      </c>
      <c r="S486" s="27" t="s">
        <v>80</v>
      </c>
      <c r="T486" s="27" t="s">
        <v>158</v>
      </c>
      <c r="U486" s="27">
        <v>9160310438</v>
      </c>
      <c r="V486" s="35" t="s">
        <v>34</v>
      </c>
      <c r="W486" s="49">
        <f t="shared" ca="1" si="14"/>
        <v>48</v>
      </c>
      <c r="X486" s="50">
        <f t="shared" si="15"/>
        <v>10</v>
      </c>
      <c r="Y486" s="46" t="str" cm="1">
        <f t="array" ref="Y486">_xlfn.IFS(X486&lt;=5,"On Time",X486&gt;5,"Delayed",X486=" ","Pending")</f>
        <v>Delayed</v>
      </c>
    </row>
    <row r="487" spans="1:25" ht="15" thickBot="1" x14ac:dyDescent="0.4">
      <c r="A487" s="30" t="s">
        <v>620</v>
      </c>
      <c r="B487" s="30" t="s">
        <v>72</v>
      </c>
      <c r="C487" s="30" t="s">
        <v>46</v>
      </c>
      <c r="D487" s="31">
        <v>46104</v>
      </c>
      <c r="E487" s="31">
        <v>46110</v>
      </c>
      <c r="F487" s="30" t="s">
        <v>73</v>
      </c>
      <c r="G487" s="30" t="s">
        <v>26</v>
      </c>
      <c r="H487" s="31">
        <v>36359</v>
      </c>
      <c r="I487" s="30" t="s">
        <v>121</v>
      </c>
      <c r="J487" s="30" t="s">
        <v>38</v>
      </c>
      <c r="K487" s="30" t="s">
        <v>39</v>
      </c>
      <c r="L487" s="30" t="s">
        <v>49</v>
      </c>
      <c r="M487" s="30">
        <v>20</v>
      </c>
      <c r="N487" s="30">
        <v>55000</v>
      </c>
      <c r="O487" s="30">
        <v>10</v>
      </c>
      <c r="P487" s="30">
        <v>990000</v>
      </c>
      <c r="Q487" s="30">
        <v>1</v>
      </c>
      <c r="R487" s="30" t="s">
        <v>65</v>
      </c>
      <c r="S487" s="30" t="s">
        <v>32</v>
      </c>
      <c r="T487" s="30" t="s">
        <v>93</v>
      </c>
      <c r="U487" s="30">
        <v>9343776153</v>
      </c>
      <c r="V487" s="38" t="s">
        <v>52</v>
      </c>
      <c r="W487" s="49">
        <f t="shared" ca="1" si="14"/>
        <v>27</v>
      </c>
      <c r="X487" s="50">
        <f t="shared" si="15"/>
        <v>6</v>
      </c>
      <c r="Y487" s="46" t="str" cm="1">
        <f t="array" ref="Y487">_xlfn.IFS(X487&lt;=5,"On Time",X487&gt;5,"Delayed",X487=" ","Pending")</f>
        <v>Delayed</v>
      </c>
    </row>
    <row r="488" spans="1:25" ht="15" thickBot="1" x14ac:dyDescent="0.4">
      <c r="A488" s="27" t="s">
        <v>621</v>
      </c>
      <c r="B488" s="27" t="s">
        <v>134</v>
      </c>
      <c r="C488" s="27" t="s">
        <v>56</v>
      </c>
      <c r="D488" s="28">
        <v>45961</v>
      </c>
      <c r="E488" s="28">
        <v>45966</v>
      </c>
      <c r="F488" s="27" t="s">
        <v>135</v>
      </c>
      <c r="G488" s="27" t="s">
        <v>26</v>
      </c>
      <c r="H488" s="28">
        <v>32236</v>
      </c>
      <c r="I488" s="27" t="s">
        <v>147</v>
      </c>
      <c r="J488" s="27" t="s">
        <v>148</v>
      </c>
      <c r="K488" s="27" t="s">
        <v>39</v>
      </c>
      <c r="L488" s="27" t="s">
        <v>59</v>
      </c>
      <c r="M488" s="27">
        <v>8</v>
      </c>
      <c r="N488" s="27">
        <v>1200</v>
      </c>
      <c r="O488" s="27">
        <v>0</v>
      </c>
      <c r="P488" s="27">
        <v>9600</v>
      </c>
      <c r="Q488" s="27">
        <v>2</v>
      </c>
      <c r="R488" s="27" t="s">
        <v>41</v>
      </c>
      <c r="S488" s="27" t="s">
        <v>96</v>
      </c>
      <c r="T488" s="27" t="s">
        <v>136</v>
      </c>
      <c r="U488" s="27">
        <v>9458599727</v>
      </c>
      <c r="V488" s="35" t="s">
        <v>34</v>
      </c>
      <c r="W488" s="49">
        <f t="shared" ca="1" si="14"/>
        <v>38</v>
      </c>
      <c r="X488" s="50">
        <f t="shared" si="15"/>
        <v>5</v>
      </c>
      <c r="Y488" s="46" t="str" cm="1">
        <f t="array" ref="Y488">_xlfn.IFS(X488&lt;=5,"On Time",X488&gt;5,"Delayed",X488=" ","Pending")</f>
        <v>On Time</v>
      </c>
    </row>
    <row r="489" spans="1:25" ht="15" thickBot="1" x14ac:dyDescent="0.4">
      <c r="A489" s="30" t="s">
        <v>622</v>
      </c>
      <c r="B489" s="30" t="s">
        <v>45</v>
      </c>
      <c r="C489" s="30" t="s">
        <v>125</v>
      </c>
      <c r="D489" s="31">
        <v>46147</v>
      </c>
      <c r="E489" s="31">
        <v>46151</v>
      </c>
      <c r="F489" s="30" t="s">
        <v>101</v>
      </c>
      <c r="G489" s="30" t="s">
        <v>26</v>
      </c>
      <c r="H489" s="31">
        <v>28805</v>
      </c>
      <c r="I489" s="30" t="s">
        <v>147</v>
      </c>
      <c r="J489" s="30" t="s">
        <v>148</v>
      </c>
      <c r="K489" s="30" t="s">
        <v>83</v>
      </c>
      <c r="L489" s="30" t="s">
        <v>127</v>
      </c>
      <c r="M489" s="30">
        <v>18</v>
      </c>
      <c r="N489" s="30">
        <v>20</v>
      </c>
      <c r="O489" s="30">
        <v>10</v>
      </c>
      <c r="P489" s="30">
        <v>324</v>
      </c>
      <c r="Q489" s="30">
        <v>5</v>
      </c>
      <c r="R489" s="30" t="s">
        <v>60</v>
      </c>
      <c r="S489" s="30"/>
      <c r="T489" s="32" t="s">
        <v>623</v>
      </c>
      <c r="U489" s="30">
        <v>9218660140</v>
      </c>
      <c r="V489" s="38" t="s">
        <v>52</v>
      </c>
      <c r="W489" s="49">
        <f t="shared" ca="1" si="14"/>
        <v>47</v>
      </c>
      <c r="X489" s="50">
        <f t="shared" si="15"/>
        <v>4</v>
      </c>
      <c r="Y489" s="46" t="str" cm="1">
        <f t="array" ref="Y489">_xlfn.IFS(X489&lt;=5,"On Time",X489&gt;5,"Delayed",X489=" ","Pending")</f>
        <v>On Time</v>
      </c>
    </row>
    <row r="490" spans="1:25" ht="15" thickBot="1" x14ac:dyDescent="0.4">
      <c r="A490" s="27" t="s">
        <v>624</v>
      </c>
      <c r="B490" s="27" t="s">
        <v>104</v>
      </c>
      <c r="C490" s="27" t="s">
        <v>36</v>
      </c>
      <c r="D490" s="28">
        <v>45711</v>
      </c>
      <c r="E490" s="28">
        <v>45723</v>
      </c>
      <c r="F490" s="27" t="s">
        <v>166</v>
      </c>
      <c r="G490" s="27" t="s">
        <v>26</v>
      </c>
      <c r="H490" s="28">
        <v>34426</v>
      </c>
      <c r="I490" s="27" t="s">
        <v>79</v>
      </c>
      <c r="J490" s="27" t="s">
        <v>75</v>
      </c>
      <c r="K490" s="27" t="s">
        <v>39</v>
      </c>
      <c r="L490" s="27" t="s">
        <v>40</v>
      </c>
      <c r="M490" s="27">
        <v>11</v>
      </c>
      <c r="N490" s="27">
        <v>12000</v>
      </c>
      <c r="O490" s="27">
        <v>10</v>
      </c>
      <c r="P490" s="27">
        <v>118800</v>
      </c>
      <c r="Q490" s="27">
        <v>1</v>
      </c>
      <c r="R490" s="27" t="s">
        <v>60</v>
      </c>
      <c r="S490" s="27" t="s">
        <v>42</v>
      </c>
      <c r="T490" s="27" t="s">
        <v>108</v>
      </c>
      <c r="U490" s="27">
        <v>9341979199</v>
      </c>
      <c r="V490" s="37" t="s">
        <v>53</v>
      </c>
      <c r="W490" s="49">
        <f t="shared" ca="1" si="14"/>
        <v>32</v>
      </c>
      <c r="X490" s="50">
        <f t="shared" si="15"/>
        <v>12</v>
      </c>
      <c r="Y490" s="46" t="str" cm="1">
        <f t="array" ref="Y490">_xlfn.IFS(X490&lt;=5,"On Time",X490&gt;5,"Delayed",X490=" ","Pending")</f>
        <v>Delayed</v>
      </c>
    </row>
    <row r="491" spans="1:25" ht="15" thickBot="1" x14ac:dyDescent="0.4">
      <c r="A491" s="30" t="s">
        <v>625</v>
      </c>
      <c r="B491" s="30" t="s">
        <v>156</v>
      </c>
      <c r="C491" s="30" t="s">
        <v>105</v>
      </c>
      <c r="D491" s="31">
        <v>45672</v>
      </c>
      <c r="E491" s="31">
        <v>45674</v>
      </c>
      <c r="F491" s="30" t="s">
        <v>106</v>
      </c>
      <c r="G491" s="30" t="s">
        <v>58</v>
      </c>
      <c r="H491" s="31">
        <v>34098</v>
      </c>
      <c r="I491" s="30" t="s">
        <v>27</v>
      </c>
      <c r="J491" s="30" t="s">
        <v>28</v>
      </c>
      <c r="K491" s="30" t="s">
        <v>29</v>
      </c>
      <c r="L491" s="30" t="s">
        <v>107</v>
      </c>
      <c r="M491" s="30">
        <v>2</v>
      </c>
      <c r="N491" s="30">
        <v>8500</v>
      </c>
      <c r="O491" s="30">
        <v>5</v>
      </c>
      <c r="P491" s="30">
        <v>16150</v>
      </c>
      <c r="Q491" s="30">
        <v>1</v>
      </c>
      <c r="R491" s="30" t="s">
        <v>60</v>
      </c>
      <c r="S491" s="30" t="s">
        <v>50</v>
      </c>
      <c r="T491" s="30" t="s">
        <v>158</v>
      </c>
      <c r="U491" s="30">
        <v>9823080381</v>
      </c>
      <c r="V491" s="36" t="s">
        <v>34</v>
      </c>
      <c r="W491" s="49">
        <f t="shared" ca="1" si="14"/>
        <v>33</v>
      </c>
      <c r="X491" s="50">
        <f t="shared" si="15"/>
        <v>2</v>
      </c>
      <c r="Y491" s="46" t="str" cm="1">
        <f t="array" ref="Y491">_xlfn.IFS(X491&lt;=5,"On Time",X491&gt;5,"Delayed",X491=" ","Pending")</f>
        <v>On Time</v>
      </c>
    </row>
    <row r="492" spans="1:25" ht="15" thickBot="1" x14ac:dyDescent="0.4">
      <c r="A492" s="27" t="s">
        <v>626</v>
      </c>
      <c r="B492" s="27" t="s">
        <v>72</v>
      </c>
      <c r="C492" s="27" t="s">
        <v>24</v>
      </c>
      <c r="D492" s="28">
        <v>45746</v>
      </c>
      <c r="E492" s="28">
        <v>45755</v>
      </c>
      <c r="F492" s="27" t="s">
        <v>73</v>
      </c>
      <c r="G492" s="27" t="s">
        <v>26</v>
      </c>
      <c r="H492" s="28">
        <v>34526</v>
      </c>
      <c r="I492" s="27" t="s">
        <v>79</v>
      </c>
      <c r="J492" s="27" t="s">
        <v>75</v>
      </c>
      <c r="K492" s="27" t="s">
        <v>29</v>
      </c>
      <c r="L492" s="27" t="s">
        <v>30</v>
      </c>
      <c r="M492" s="27">
        <v>7</v>
      </c>
      <c r="N492" s="27">
        <v>2200</v>
      </c>
      <c r="O492" s="27">
        <v>0</v>
      </c>
      <c r="P492" s="27">
        <v>15400</v>
      </c>
      <c r="Q492" s="27">
        <v>5</v>
      </c>
      <c r="R492" s="27" t="s">
        <v>41</v>
      </c>
      <c r="S492" s="27" t="s">
        <v>32</v>
      </c>
      <c r="T492" s="27" t="s">
        <v>93</v>
      </c>
      <c r="U492" s="27">
        <v>9981183477</v>
      </c>
      <c r="V492" s="37" t="s">
        <v>52</v>
      </c>
      <c r="W492" s="49">
        <f t="shared" ca="1" si="14"/>
        <v>32</v>
      </c>
      <c r="X492" s="50">
        <f t="shared" si="15"/>
        <v>9</v>
      </c>
      <c r="Y492" s="46" t="str" cm="1">
        <f t="array" ref="Y492">_xlfn.IFS(X492&lt;=5,"On Time",X492&gt;5,"Delayed",X492=" ","Pending")</f>
        <v>Delayed</v>
      </c>
    </row>
    <row r="493" spans="1:25" ht="15" thickBot="1" x14ac:dyDescent="0.4">
      <c r="A493" s="30" t="s">
        <v>627</v>
      </c>
      <c r="B493" s="30" t="s">
        <v>63</v>
      </c>
      <c r="C493" s="30" t="s">
        <v>105</v>
      </c>
      <c r="D493" s="31">
        <v>46136</v>
      </c>
      <c r="E493" s="31">
        <v>46144</v>
      </c>
      <c r="F493" s="30" t="s">
        <v>110</v>
      </c>
      <c r="G493" s="30" t="s">
        <v>58</v>
      </c>
      <c r="H493" s="31">
        <v>30304</v>
      </c>
      <c r="I493" s="30" t="s">
        <v>37</v>
      </c>
      <c r="J493" s="30" t="s">
        <v>38</v>
      </c>
      <c r="K493" s="30" t="s">
        <v>29</v>
      </c>
      <c r="L493" s="30" t="s">
        <v>107</v>
      </c>
      <c r="M493" s="30">
        <v>20</v>
      </c>
      <c r="N493" s="30">
        <v>8500</v>
      </c>
      <c r="O493" s="30">
        <v>0</v>
      </c>
      <c r="P493" s="30">
        <v>170000</v>
      </c>
      <c r="Q493" s="30">
        <v>3</v>
      </c>
      <c r="R493" s="30" t="s">
        <v>41</v>
      </c>
      <c r="S493" s="30" t="s">
        <v>42</v>
      </c>
      <c r="T493" s="30" t="s">
        <v>66</v>
      </c>
      <c r="U493" s="30">
        <v>9281596011</v>
      </c>
      <c r="V493" s="36" t="s">
        <v>34</v>
      </c>
      <c r="W493" s="49">
        <f t="shared" ca="1" si="14"/>
        <v>43</v>
      </c>
      <c r="X493" s="50">
        <f t="shared" si="15"/>
        <v>8</v>
      </c>
      <c r="Y493" s="46" t="str" cm="1">
        <f t="array" ref="Y493">_xlfn.IFS(X493&lt;=5,"On Time",X493&gt;5,"Delayed",X493=" ","Pending")</f>
        <v>Delayed</v>
      </c>
    </row>
    <row r="494" spans="1:25" ht="15" thickBot="1" x14ac:dyDescent="0.4">
      <c r="A494" s="27" t="s">
        <v>628</v>
      </c>
      <c r="B494" s="27" t="s">
        <v>87</v>
      </c>
      <c r="C494" s="27" t="s">
        <v>56</v>
      </c>
      <c r="D494" s="28">
        <v>45858</v>
      </c>
      <c r="E494" s="28">
        <v>45867</v>
      </c>
      <c r="F494" s="27" t="s">
        <v>88</v>
      </c>
      <c r="G494" s="27" t="s">
        <v>58</v>
      </c>
      <c r="H494" s="28">
        <v>37197</v>
      </c>
      <c r="I494" s="27" t="s">
        <v>27</v>
      </c>
      <c r="J494" s="27" t="s">
        <v>28</v>
      </c>
      <c r="K494" s="27" t="s">
        <v>39</v>
      </c>
      <c r="L494" s="27" t="s">
        <v>59</v>
      </c>
      <c r="M494" s="27">
        <v>11</v>
      </c>
      <c r="N494" s="27">
        <v>1200</v>
      </c>
      <c r="O494" s="27">
        <v>5</v>
      </c>
      <c r="P494" s="27">
        <v>12540</v>
      </c>
      <c r="Q494" s="27">
        <v>2</v>
      </c>
      <c r="R494" s="27" t="s">
        <v>31</v>
      </c>
      <c r="S494" s="27" t="s">
        <v>32</v>
      </c>
      <c r="T494" s="27" t="s">
        <v>89</v>
      </c>
      <c r="U494" s="27">
        <v>9211734022</v>
      </c>
      <c r="V494" s="37" t="s">
        <v>52</v>
      </c>
      <c r="W494" s="49">
        <f t="shared" ca="1" si="14"/>
        <v>24</v>
      </c>
      <c r="X494" s="50">
        <f t="shared" si="15"/>
        <v>9</v>
      </c>
      <c r="Y494" s="46" t="str" cm="1">
        <f t="array" ref="Y494">_xlfn.IFS(X494&lt;=5,"On Time",X494&gt;5,"Delayed",X494=" ","Pending")</f>
        <v>Delayed</v>
      </c>
    </row>
    <row r="495" spans="1:25" ht="15" thickBot="1" x14ac:dyDescent="0.4">
      <c r="A495" s="30" t="s">
        <v>629</v>
      </c>
      <c r="B495" s="30" t="s">
        <v>63</v>
      </c>
      <c r="C495" s="30" t="s">
        <v>112</v>
      </c>
      <c r="D495" s="31">
        <v>45867</v>
      </c>
      <c r="E495" s="31">
        <v>45870</v>
      </c>
      <c r="F495" s="30" t="s">
        <v>110</v>
      </c>
      <c r="G495" s="30" t="s">
        <v>58</v>
      </c>
      <c r="H495" s="31">
        <v>37182</v>
      </c>
      <c r="I495" s="30" t="s">
        <v>91</v>
      </c>
      <c r="J495" s="30" t="s">
        <v>75</v>
      </c>
      <c r="K495" s="30" t="s">
        <v>39</v>
      </c>
      <c r="L495" s="30" t="s">
        <v>114</v>
      </c>
      <c r="M495" s="30">
        <v>14</v>
      </c>
      <c r="N495" s="30">
        <v>700</v>
      </c>
      <c r="O495" s="30">
        <v>0</v>
      </c>
      <c r="P495" s="30">
        <v>9800</v>
      </c>
      <c r="Q495" s="30">
        <v>2</v>
      </c>
      <c r="R495" s="30" t="s">
        <v>60</v>
      </c>
      <c r="S495" s="30" t="s">
        <v>96</v>
      </c>
      <c r="T495" s="30" t="s">
        <v>66</v>
      </c>
      <c r="U495" s="30">
        <v>9447151666</v>
      </c>
      <c r="V495" s="38" t="s">
        <v>53</v>
      </c>
      <c r="W495" s="49">
        <f t="shared" ca="1" si="14"/>
        <v>25</v>
      </c>
      <c r="X495" s="50">
        <f t="shared" si="15"/>
        <v>3</v>
      </c>
      <c r="Y495" s="46" t="str" cm="1">
        <f t="array" ref="Y495">_xlfn.IFS(X495&lt;=5,"On Time",X495&gt;5,"Delayed",X495=" ","Pending")</f>
        <v>On Time</v>
      </c>
    </row>
    <row r="496" spans="1:25" ht="15" thickBot="1" x14ac:dyDescent="0.4">
      <c r="A496" s="27" t="s">
        <v>630</v>
      </c>
      <c r="B496" s="27" t="s">
        <v>55</v>
      </c>
      <c r="C496" s="27" t="s">
        <v>56</v>
      </c>
      <c r="D496" s="28">
        <v>45951</v>
      </c>
      <c r="E496" s="28">
        <v>45962</v>
      </c>
      <c r="F496" s="27" t="s">
        <v>57</v>
      </c>
      <c r="G496" s="27" t="s">
        <v>58</v>
      </c>
      <c r="H496" s="28">
        <v>36881</v>
      </c>
      <c r="I496" s="27" t="s">
        <v>79</v>
      </c>
      <c r="J496" s="27" t="s">
        <v>75</v>
      </c>
      <c r="K496" s="27" t="s">
        <v>39</v>
      </c>
      <c r="L496" s="27" t="s">
        <v>59</v>
      </c>
      <c r="M496" s="27">
        <v>16</v>
      </c>
      <c r="N496" s="27">
        <v>1200</v>
      </c>
      <c r="O496" s="27">
        <v>15</v>
      </c>
      <c r="P496" s="27">
        <v>16320</v>
      </c>
      <c r="Q496" s="27">
        <v>4</v>
      </c>
      <c r="R496" s="27" t="s">
        <v>31</v>
      </c>
      <c r="S496" s="27" t="s">
        <v>96</v>
      </c>
      <c r="T496" s="27" t="s">
        <v>61</v>
      </c>
      <c r="U496" s="27">
        <v>9345342793</v>
      </c>
      <c r="V496" s="37" t="s">
        <v>52</v>
      </c>
      <c r="W496" s="49">
        <f t="shared" ca="1" si="14"/>
        <v>25</v>
      </c>
      <c r="X496" s="50">
        <f t="shared" si="15"/>
        <v>11</v>
      </c>
      <c r="Y496" s="46" t="str" cm="1">
        <f t="array" ref="Y496">_xlfn.IFS(X496&lt;=5,"On Time",X496&gt;5,"Delayed",X496=" ","Pending")</f>
        <v>Delayed</v>
      </c>
    </row>
    <row r="497" spans="1:25" ht="15" thickBot="1" x14ac:dyDescent="0.4">
      <c r="A497" s="30" t="s">
        <v>631</v>
      </c>
      <c r="B497" s="30" t="s">
        <v>104</v>
      </c>
      <c r="C497" s="30" t="s">
        <v>24</v>
      </c>
      <c r="D497" s="31">
        <v>46098</v>
      </c>
      <c r="E497" s="31">
        <v>46110</v>
      </c>
      <c r="F497" s="30" t="s">
        <v>166</v>
      </c>
      <c r="G497" s="30" t="s">
        <v>26</v>
      </c>
      <c r="H497" s="31">
        <v>30367</v>
      </c>
      <c r="I497" s="30" t="s">
        <v>121</v>
      </c>
      <c r="J497" s="30" t="s">
        <v>38</v>
      </c>
      <c r="K497" s="30" t="s">
        <v>29</v>
      </c>
      <c r="L497" s="30" t="s">
        <v>30</v>
      </c>
      <c r="M497" s="30">
        <v>20</v>
      </c>
      <c r="N497" s="30">
        <v>2200</v>
      </c>
      <c r="O497" s="30">
        <v>0</v>
      </c>
      <c r="P497" s="30">
        <v>44000</v>
      </c>
      <c r="Q497" s="30">
        <v>5</v>
      </c>
      <c r="R497" s="30" t="s">
        <v>31</v>
      </c>
      <c r="S497" s="30" t="s">
        <v>32</v>
      </c>
      <c r="T497" s="30" t="s">
        <v>108</v>
      </c>
      <c r="U497" s="30">
        <v>9329668173</v>
      </c>
      <c r="V497" s="38" t="s">
        <v>53</v>
      </c>
      <c r="W497" s="49">
        <f t="shared" ca="1" si="14"/>
        <v>43</v>
      </c>
      <c r="X497" s="50">
        <f t="shared" si="15"/>
        <v>12</v>
      </c>
      <c r="Y497" s="46" t="str" cm="1">
        <f t="array" ref="Y497">_xlfn.IFS(X497&lt;=5,"On Time",X497&gt;5,"Delayed",X497=" ","Pending")</f>
        <v>Delayed</v>
      </c>
    </row>
    <row r="498" spans="1:25" ht="15" thickBot="1" x14ac:dyDescent="0.4">
      <c r="A498" s="27" t="s">
        <v>632</v>
      </c>
      <c r="B498" s="27" t="s">
        <v>63</v>
      </c>
      <c r="C498" s="27" t="s">
        <v>36</v>
      </c>
      <c r="D498" s="28">
        <v>45711</v>
      </c>
      <c r="E498" s="28">
        <v>45723</v>
      </c>
      <c r="F498" s="27" t="s">
        <v>110</v>
      </c>
      <c r="G498" s="27" t="s">
        <v>58</v>
      </c>
      <c r="H498" s="28">
        <v>32307</v>
      </c>
      <c r="I498" s="27" t="s">
        <v>121</v>
      </c>
      <c r="J498" s="27" t="s">
        <v>38</v>
      </c>
      <c r="K498" s="27" t="s">
        <v>39</v>
      </c>
      <c r="L498" s="27" t="s">
        <v>40</v>
      </c>
      <c r="M498" s="27">
        <v>12</v>
      </c>
      <c r="N498" s="27">
        <v>12000</v>
      </c>
      <c r="O498" s="27">
        <v>15</v>
      </c>
      <c r="P498" s="27">
        <v>122400</v>
      </c>
      <c r="Q498" s="27">
        <v>5</v>
      </c>
      <c r="R498" s="27" t="s">
        <v>31</v>
      </c>
      <c r="S498" s="27" t="s">
        <v>96</v>
      </c>
      <c r="T498" s="27" t="s">
        <v>66</v>
      </c>
      <c r="U498" s="27">
        <v>9294740227</v>
      </c>
      <c r="V498" s="35" t="s">
        <v>34</v>
      </c>
      <c r="W498" s="49">
        <f t="shared" ca="1" si="14"/>
        <v>38</v>
      </c>
      <c r="X498" s="50">
        <f t="shared" si="15"/>
        <v>12</v>
      </c>
      <c r="Y498" s="46" t="str" cm="1">
        <f t="array" ref="Y498">_xlfn.IFS(X498&lt;=5,"On Time",X498&gt;5,"Delayed",X498=" ","Pending")</f>
        <v>Delayed</v>
      </c>
    </row>
    <row r="499" spans="1:25" ht="15" thickBot="1" x14ac:dyDescent="0.4">
      <c r="A499" s="30" t="s">
        <v>633</v>
      </c>
      <c r="B499" s="30" t="s">
        <v>124</v>
      </c>
      <c r="C499" s="30" t="s">
        <v>56</v>
      </c>
      <c r="D499" s="31">
        <v>46002</v>
      </c>
      <c r="E499" s="31">
        <v>46011</v>
      </c>
      <c r="F499" s="30" t="s">
        <v>126</v>
      </c>
      <c r="G499" s="30" t="s">
        <v>58</v>
      </c>
      <c r="H499" s="31">
        <v>33807</v>
      </c>
      <c r="I499" s="30" t="s">
        <v>37</v>
      </c>
      <c r="J499" s="30" t="s">
        <v>38</v>
      </c>
      <c r="K499" s="30" t="s">
        <v>39</v>
      </c>
      <c r="L499" s="30" t="s">
        <v>59</v>
      </c>
      <c r="M499" s="30">
        <v>3</v>
      </c>
      <c r="N499" s="30">
        <v>1200</v>
      </c>
      <c r="O499" s="30">
        <v>20</v>
      </c>
      <c r="P499" s="30">
        <v>2880</v>
      </c>
      <c r="Q499" s="30">
        <v>2</v>
      </c>
      <c r="R499" s="30" t="s">
        <v>41</v>
      </c>
      <c r="S499" s="30" t="s">
        <v>80</v>
      </c>
      <c r="T499" s="30" t="s">
        <v>298</v>
      </c>
      <c r="U499" s="30">
        <v>9549426303</v>
      </c>
      <c r="V499" s="38" t="s">
        <v>52</v>
      </c>
      <c r="W499" s="49">
        <f t="shared" ca="1" si="14"/>
        <v>34</v>
      </c>
      <c r="X499" s="50">
        <f t="shared" si="15"/>
        <v>9</v>
      </c>
      <c r="Y499" s="46" t="str" cm="1">
        <f t="array" ref="Y499">_xlfn.IFS(X499&lt;=5,"On Time",X499&gt;5,"Delayed",X499=" ","Pending")</f>
        <v>Delayed</v>
      </c>
    </row>
    <row r="500" spans="1:25" ht="15" thickBot="1" x14ac:dyDescent="0.4">
      <c r="A500" s="27" t="s">
        <v>634</v>
      </c>
      <c r="B500" s="27" t="s">
        <v>72</v>
      </c>
      <c r="C500" s="27" t="s">
        <v>46</v>
      </c>
      <c r="D500" s="28">
        <v>45842</v>
      </c>
      <c r="E500" s="28">
        <v>45843</v>
      </c>
      <c r="F500" s="27" t="s">
        <v>73</v>
      </c>
      <c r="G500" s="27" t="s">
        <v>26</v>
      </c>
      <c r="H500" s="28">
        <v>29079</v>
      </c>
      <c r="I500" s="27" t="s">
        <v>74</v>
      </c>
      <c r="J500" s="27" t="s">
        <v>75</v>
      </c>
      <c r="K500" s="27" t="s">
        <v>39</v>
      </c>
      <c r="L500" s="27" t="s">
        <v>635</v>
      </c>
      <c r="M500" s="27">
        <v>6</v>
      </c>
      <c r="N500" s="27">
        <v>55000</v>
      </c>
      <c r="O500" s="27">
        <v>20</v>
      </c>
      <c r="P500" s="27">
        <v>264000</v>
      </c>
      <c r="Q500" s="27">
        <v>3</v>
      </c>
      <c r="R500" s="27" t="s">
        <v>31</v>
      </c>
      <c r="S500" s="27" t="s">
        <v>96</v>
      </c>
      <c r="T500" s="27" t="s">
        <v>93</v>
      </c>
      <c r="U500" s="27">
        <v>9374249303</v>
      </c>
      <c r="V500" s="35" t="s">
        <v>34</v>
      </c>
      <c r="W500" s="49">
        <f t="shared" ca="1" si="14"/>
        <v>47</v>
      </c>
      <c r="X500" s="50">
        <f t="shared" si="15"/>
        <v>1</v>
      </c>
      <c r="Y500" s="46" t="str" cm="1">
        <f t="array" ref="Y500">_xlfn.IFS(X500&lt;=5,"On Time",X500&gt;5,"Delayed",X500=" ","Pending")</f>
        <v>On Time</v>
      </c>
    </row>
    <row r="501" spans="1:25" ht="15" thickBot="1" x14ac:dyDescent="0.4">
      <c r="A501" s="33" t="s">
        <v>636</v>
      </c>
      <c r="B501" s="33" t="s">
        <v>72</v>
      </c>
      <c r="C501" s="33" t="s">
        <v>68</v>
      </c>
      <c r="D501" s="34">
        <v>45916</v>
      </c>
      <c r="E501" s="34">
        <v>45923</v>
      </c>
      <c r="F501" s="33" t="s">
        <v>73</v>
      </c>
      <c r="G501" s="33" t="s">
        <v>26</v>
      </c>
      <c r="H501" s="34">
        <v>28088</v>
      </c>
      <c r="I501" s="33" t="s">
        <v>48</v>
      </c>
      <c r="J501" s="33" t="s">
        <v>28</v>
      </c>
      <c r="K501" s="33" t="s">
        <v>29</v>
      </c>
      <c r="L501" s="33" t="s">
        <v>70</v>
      </c>
      <c r="M501" s="33">
        <v>20</v>
      </c>
      <c r="N501" s="33">
        <v>3500</v>
      </c>
      <c r="O501" s="33">
        <v>0</v>
      </c>
      <c r="P501" s="33">
        <v>70000</v>
      </c>
      <c r="Q501" s="33">
        <v>1</v>
      </c>
      <c r="R501" s="33" t="s">
        <v>41</v>
      </c>
      <c r="S501" s="33" t="s">
        <v>96</v>
      </c>
      <c r="T501" s="33" t="s">
        <v>93</v>
      </c>
      <c r="U501" s="33">
        <v>9810334941</v>
      </c>
      <c r="V501" s="39" t="s">
        <v>52</v>
      </c>
      <c r="W501" s="49">
        <f t="shared" ca="1" si="14"/>
        <v>49</v>
      </c>
      <c r="X501" s="50">
        <f t="shared" si="15"/>
        <v>7</v>
      </c>
      <c r="Y501" s="46" t="str" cm="1">
        <f t="array" ref="Y501">_xlfn.IFS(X501&lt;=5,"On Time",X501&gt;5,"Delayed",X501=" ","Pending")</f>
        <v>Delayed</v>
      </c>
    </row>
  </sheetData>
  <hyperlinks>
    <hyperlink ref="T2" r:id="rId1" display="mailto:KAvya.nair@company.com" xr:uid="{A0EE3C24-A7E3-42BB-BE15-889DB13700FC}"/>
    <hyperlink ref="T5" r:id="rId2" display="mailto:kavya.nair@company.com" xr:uid="{B89DBAA6-DF94-4F21-B239-B4F20316AB39}"/>
    <hyperlink ref="T9" r:id="rId3" display="mailto:priYa.patel@company.com" xr:uid="{56749024-BF9A-4FA1-9759-6CBC95BC31C3}"/>
    <hyperlink ref="T11" r:id="rId4" display="mailto:PRiya.patel@company.com" xr:uid="{E33C7DF4-0B9C-44D8-866E-B9437BE2E4F3}"/>
    <hyperlink ref="T15" r:id="rId5" display="mailto:rOhit.singh@company.com" xr:uid="{58B84E57-B6B7-4F69-B3FC-5A8B8801C2BE}"/>
    <hyperlink ref="T16" r:id="rId6" display="mailto:kavya.nair@company.com" xr:uid="{1514D5C4-1873-4861-ACB8-73D3F1141221}"/>
    <hyperlink ref="T20" r:id="rId7" display="mailto:arjun.Rao@company.com" xr:uid="{14314EEB-915D-4EC7-9BD1-9FAB99A16612}"/>
    <hyperlink ref="T61" r:id="rId8" display="mailto:Vikas.mehta@company.com" xr:uid="{031CFCF7-BBAE-4D8F-9A3A-EADB9076E028}"/>
    <hyperlink ref="T72" r:id="rId9" display="mailto:Anita.gupta@company.com" xr:uid="{1CB6AA40-6172-4448-92A3-925BB4BB440E}"/>
    <hyperlink ref="T294" r:id="rId10" display="mailto:Pooja.shah@company.com" xr:uid="{85445980-0FA0-40C5-A85D-C0EF72043EC1}"/>
    <hyperlink ref="T450" r:id="rId11" display="mailto:amit.SHarma@company.com" xr:uid="{5743F194-D758-44DF-8744-5CDD23E84AEE}"/>
    <hyperlink ref="T463" r:id="rId12" display="mailto:rohit.sinGh@company.com" xr:uid="{009DE318-97B2-44FA-84C0-BA5F8985D14D}"/>
    <hyperlink ref="T479" r:id="rId13" display="mailto:kavya.Nair@company.com" xr:uid="{CE8D0306-DD08-40DA-B7C3-0D438874A728}"/>
    <hyperlink ref="T489" r:id="rId14" display="mailto:pOOja.shah@company.com" xr:uid="{B888A259-EF60-4A87-B19B-A15F19E798B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66BE1-A937-4993-86D5-FFE65A534840}">
  <dimension ref="A1:F2"/>
  <sheetViews>
    <sheetView workbookViewId="0">
      <selection activeCell="B2" sqref="B2"/>
    </sheetView>
  </sheetViews>
  <sheetFormatPr defaultRowHeight="14.5" x14ac:dyDescent="0.35"/>
  <cols>
    <col min="1" max="1" width="12.81640625" customWidth="1"/>
    <col min="2" max="2" width="14.08984375" customWidth="1"/>
    <col min="5" max="5" width="14.1796875" customWidth="1"/>
    <col min="6" max="6" width="18.08984375" customWidth="1"/>
  </cols>
  <sheetData>
    <row r="1" spans="1:6" x14ac:dyDescent="0.35">
      <c r="A1" s="60" t="s">
        <v>2</v>
      </c>
      <c r="B1" s="60" t="s">
        <v>11</v>
      </c>
      <c r="C1" s="60" t="s">
        <v>10</v>
      </c>
      <c r="D1" s="60" t="s">
        <v>637</v>
      </c>
      <c r="E1" s="60" t="s">
        <v>638</v>
      </c>
      <c r="F1" s="61" t="s">
        <v>639</v>
      </c>
    </row>
    <row r="2" spans="1:6" x14ac:dyDescent="0.35">
      <c r="A2" s="62" t="s">
        <v>36</v>
      </c>
      <c r="B2" s="63" t="str" cm="1">
        <f t="array" ref="B2:F2">_xlfn.XLOOKUP(A2,Table1[Product_ID],Table1[[Product_Name]:[Warranty_Months]],"Product Not Found")</f>
        <v>Monitor</v>
      </c>
      <c r="C2" s="63" t="str">
        <v>Electronics</v>
      </c>
      <c r="D2" s="63" t="str">
        <v>Global Trade</v>
      </c>
      <c r="E2" s="63">
        <v>9000</v>
      </c>
      <c r="F2" s="63">
        <v>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0096-E63E-4177-80B8-EE301574DC8E}">
  <dimension ref="A2:AC515"/>
  <sheetViews>
    <sheetView topLeftCell="H4" workbookViewId="0">
      <selection activeCell="W18" sqref="W18"/>
    </sheetView>
  </sheetViews>
  <sheetFormatPr defaultRowHeight="14.5" x14ac:dyDescent="0.35"/>
  <cols>
    <col min="1" max="1" width="33.90625" customWidth="1"/>
    <col min="2" max="2" width="30.7265625" customWidth="1"/>
    <col min="3" max="3" width="10" customWidth="1"/>
    <col min="4" max="4" width="14.6328125" bestFit="1" customWidth="1"/>
    <col min="5" max="5" width="18.453125" bestFit="1" customWidth="1"/>
    <col min="7" max="7" width="18.26953125" bestFit="1" customWidth="1"/>
    <col min="8" max="8" width="9.54296875" bestFit="1" customWidth="1"/>
    <col min="9" max="9" width="11.6328125" bestFit="1" customWidth="1"/>
    <col min="10" max="10" width="10" bestFit="1" customWidth="1"/>
    <col min="11" max="11" width="10.1796875" bestFit="1" customWidth="1"/>
    <col min="12" max="12" width="12.36328125" bestFit="1" customWidth="1"/>
    <col min="13" max="13" width="14.81640625" bestFit="1" customWidth="1"/>
    <col min="14" max="14" width="6.90625" bestFit="1" customWidth="1"/>
    <col min="15" max="15" width="10.08984375" bestFit="1" customWidth="1"/>
    <col min="16" max="16" width="10.453125" bestFit="1" customWidth="1"/>
    <col min="17" max="17" width="6.54296875" bestFit="1" customWidth="1"/>
    <col min="18" max="18" width="15" bestFit="1" customWidth="1"/>
    <col min="19" max="19" width="13.1796875" bestFit="1" customWidth="1"/>
    <col min="20" max="20" width="8" bestFit="1" customWidth="1"/>
    <col min="21" max="21" width="9.453125" bestFit="1" customWidth="1"/>
    <col min="22" max="22" width="10.7265625" bestFit="1" customWidth="1"/>
    <col min="23" max="23" width="7.81640625" bestFit="1" customWidth="1"/>
    <col min="24" max="24" width="6.1796875" bestFit="1" customWidth="1"/>
    <col min="25" max="25" width="13.6328125" bestFit="1" customWidth="1"/>
    <col min="26" max="26" width="11.08984375" bestFit="1" customWidth="1"/>
    <col min="27" max="27" width="24.26953125" customWidth="1"/>
    <col min="28" max="28" width="10.81640625" bestFit="1" customWidth="1"/>
    <col min="29" max="29" width="11.6328125" bestFit="1" customWidth="1"/>
  </cols>
  <sheetData>
    <row r="2" spans="1:29" ht="21" x14ac:dyDescent="0.5">
      <c r="B2" s="106" t="s">
        <v>661</v>
      </c>
      <c r="C2" s="107"/>
      <c r="D2" s="107"/>
      <c r="E2" s="107"/>
      <c r="F2" s="108"/>
    </row>
    <row r="5" spans="1:29" x14ac:dyDescent="0.35">
      <c r="A5" s="67" t="s">
        <v>662</v>
      </c>
      <c r="B5" s="67" t="s">
        <v>663</v>
      </c>
      <c r="C5" s="64"/>
      <c r="D5" s="67" t="s">
        <v>664</v>
      </c>
      <c r="E5" s="67" t="s">
        <v>665</v>
      </c>
      <c r="F5" s="64"/>
      <c r="G5" s="67" t="s">
        <v>666</v>
      </c>
    </row>
    <row r="6" spans="1:29" x14ac:dyDescent="0.35">
      <c r="A6" s="68">
        <f>SUMIFS($W$16:$W$515,$R$16:$R$515,"Electronics",$AC$2:$AC$501,"Completed")</f>
        <v>11456144</v>
      </c>
      <c r="B6" s="68">
        <f>SUMIFS($W$16:$W$515,$Z$16:$Z$515,"Neha",$Q$16:$Q$515,"North")</f>
        <v>1550369.25</v>
      </c>
      <c r="C6" s="64"/>
      <c r="D6" s="69">
        <f>COUNTIFS($V$16:$V$515, "&gt;=15", $Y$16:$Y$515, "UPI")</f>
        <v>45</v>
      </c>
      <c r="E6" s="70">
        <f>AVERAGEIFS($W$16:$W$515,$Q$16:$Q$515,"West",$T$16:$T$515,"&gt;5")</f>
        <v>82824.450657894733</v>
      </c>
      <c r="F6" s="64"/>
      <c r="G6" s="71">
        <f>COUNTIFS($X$16:$X$515,"5",$AC$16:$AC$515,"Completed")</f>
        <v>27</v>
      </c>
    </row>
    <row r="11" spans="1:29" x14ac:dyDescent="0.35">
      <c r="B11" s="65"/>
    </row>
    <row r="12" spans="1:29" x14ac:dyDescent="0.35">
      <c r="B12" s="66"/>
    </row>
    <row r="14" spans="1:29" ht="15" thickBot="1" x14ac:dyDescent="0.4"/>
    <row r="15" spans="1:29" ht="15" thickBot="1" x14ac:dyDescent="0.4">
      <c r="H15" s="25" t="s">
        <v>0</v>
      </c>
      <c r="I15" s="25" t="s">
        <v>1</v>
      </c>
      <c r="J15" s="25" t="s">
        <v>2</v>
      </c>
      <c r="K15" s="25" t="s">
        <v>3</v>
      </c>
      <c r="L15" s="25" t="s">
        <v>4</v>
      </c>
      <c r="M15" s="25" t="s">
        <v>5</v>
      </c>
      <c r="N15" s="25" t="s">
        <v>6</v>
      </c>
      <c r="O15" s="25" t="s">
        <v>7</v>
      </c>
      <c r="P15" s="25" t="s">
        <v>8</v>
      </c>
      <c r="Q15" s="25" t="s">
        <v>9</v>
      </c>
      <c r="R15" s="25" t="s">
        <v>10</v>
      </c>
      <c r="S15" s="25" t="s">
        <v>11</v>
      </c>
      <c r="T15" s="25" t="s">
        <v>12</v>
      </c>
      <c r="U15" s="25" t="s">
        <v>13</v>
      </c>
      <c r="V15" s="25" t="s">
        <v>14</v>
      </c>
      <c r="W15" s="25" t="s">
        <v>15</v>
      </c>
      <c r="X15" s="25" t="s">
        <v>16</v>
      </c>
      <c r="Y15" s="25" t="s">
        <v>17</v>
      </c>
      <c r="Z15" s="25" t="s">
        <v>18</v>
      </c>
      <c r="AA15" s="25" t="s">
        <v>19</v>
      </c>
      <c r="AB15" s="25" t="s">
        <v>20</v>
      </c>
      <c r="AC15" s="20" t="s">
        <v>21</v>
      </c>
    </row>
    <row r="16" spans="1:29" ht="15.5" thickTop="1" thickBot="1" x14ac:dyDescent="0.4">
      <c r="H16" s="27" t="s">
        <v>22</v>
      </c>
      <c r="I16" s="27" t="s">
        <v>23</v>
      </c>
      <c r="J16" s="27" t="s">
        <v>24</v>
      </c>
      <c r="K16" s="28">
        <v>45918</v>
      </c>
      <c r="L16" s="28">
        <v>45922</v>
      </c>
      <c r="M16" s="27" t="s">
        <v>25</v>
      </c>
      <c r="N16" s="27" t="s">
        <v>26</v>
      </c>
      <c r="O16" s="28">
        <v>27973</v>
      </c>
      <c r="P16" s="27" t="s">
        <v>27</v>
      </c>
      <c r="Q16" s="27" t="s">
        <v>28</v>
      </c>
      <c r="R16" s="27" t="s">
        <v>29</v>
      </c>
      <c r="S16" s="27" t="s">
        <v>30</v>
      </c>
      <c r="T16" s="27">
        <v>4</v>
      </c>
      <c r="U16" s="27">
        <v>2200</v>
      </c>
      <c r="V16" s="27">
        <v>10</v>
      </c>
      <c r="W16" s="27">
        <v>7920</v>
      </c>
      <c r="X16" s="27">
        <v>4</v>
      </c>
      <c r="Y16" s="27" t="s">
        <v>31</v>
      </c>
      <c r="Z16" s="27" t="s">
        <v>32</v>
      </c>
      <c r="AA16" s="29" t="s">
        <v>33</v>
      </c>
      <c r="AB16" s="27">
        <v>9431429797</v>
      </c>
      <c r="AC16" s="21" t="s">
        <v>34</v>
      </c>
    </row>
    <row r="17" spans="8:29" ht="15" thickBot="1" x14ac:dyDescent="0.4">
      <c r="H17" s="30" t="s">
        <v>35</v>
      </c>
      <c r="I17" s="30" t="s">
        <v>23</v>
      </c>
      <c r="J17" s="30" t="s">
        <v>36</v>
      </c>
      <c r="K17" s="31">
        <v>45774</v>
      </c>
      <c r="L17" s="31">
        <v>45781</v>
      </c>
      <c r="M17" s="30" t="s">
        <v>25</v>
      </c>
      <c r="N17" s="30" t="s">
        <v>26</v>
      </c>
      <c r="O17" s="31">
        <v>36815</v>
      </c>
      <c r="P17" s="30" t="s">
        <v>37</v>
      </c>
      <c r="Q17" s="30" t="s">
        <v>38</v>
      </c>
      <c r="R17" s="30" t="s">
        <v>39</v>
      </c>
      <c r="S17" s="30" t="s">
        <v>40</v>
      </c>
      <c r="T17" s="30">
        <v>17</v>
      </c>
      <c r="U17" s="30">
        <v>12000</v>
      </c>
      <c r="V17" s="30">
        <v>10</v>
      </c>
      <c r="W17" s="30">
        <v>183600</v>
      </c>
      <c r="X17" s="30">
        <v>1</v>
      </c>
      <c r="Y17" s="30" t="s">
        <v>41</v>
      </c>
      <c r="Z17" s="30" t="s">
        <v>42</v>
      </c>
      <c r="AA17" s="30" t="s">
        <v>43</v>
      </c>
      <c r="AB17" s="30">
        <v>9129865339</v>
      </c>
      <c r="AC17" s="22" t="s">
        <v>34</v>
      </c>
    </row>
    <row r="18" spans="8:29" ht="15" thickBot="1" x14ac:dyDescent="0.4">
      <c r="H18" s="27" t="s">
        <v>44</v>
      </c>
      <c r="I18" s="27" t="s">
        <v>45</v>
      </c>
      <c r="J18" s="27" t="s">
        <v>46</v>
      </c>
      <c r="K18" s="28">
        <v>45903</v>
      </c>
      <c r="L18" s="28">
        <v>45914</v>
      </c>
      <c r="M18" s="27" t="s">
        <v>47</v>
      </c>
      <c r="N18" s="27" t="s">
        <v>26</v>
      </c>
      <c r="O18" s="28">
        <v>34593</v>
      </c>
      <c r="P18" s="27" t="s">
        <v>48</v>
      </c>
      <c r="Q18" s="27" t="s">
        <v>28</v>
      </c>
      <c r="R18" s="27" t="s">
        <v>39</v>
      </c>
      <c r="S18" s="27" t="s">
        <v>49</v>
      </c>
      <c r="T18" s="27">
        <v>5</v>
      </c>
      <c r="U18" s="27">
        <v>55000</v>
      </c>
      <c r="V18" s="27">
        <v>5</v>
      </c>
      <c r="W18" s="27">
        <v>261250</v>
      </c>
      <c r="X18" s="27">
        <v>3</v>
      </c>
      <c r="Y18" s="27" t="s">
        <v>41</v>
      </c>
      <c r="Z18" s="27" t="s">
        <v>50</v>
      </c>
      <c r="AA18" s="27" t="s">
        <v>51</v>
      </c>
      <c r="AB18" s="27">
        <v>9380975626</v>
      </c>
      <c r="AC18" s="27" t="s">
        <v>52</v>
      </c>
    </row>
    <row r="19" spans="8:29" ht="15" thickBot="1" x14ac:dyDescent="0.4">
      <c r="H19" s="30" t="s">
        <v>35</v>
      </c>
      <c r="I19" s="30" t="s">
        <v>23</v>
      </c>
      <c r="J19" s="30" t="s">
        <v>24</v>
      </c>
      <c r="K19" s="31">
        <v>46102</v>
      </c>
      <c r="L19" s="31">
        <v>46114</v>
      </c>
      <c r="M19" s="30" t="s">
        <v>25</v>
      </c>
      <c r="N19" s="30" t="s">
        <v>26</v>
      </c>
      <c r="O19" s="31">
        <v>38053</v>
      </c>
      <c r="P19" s="30" t="s">
        <v>48</v>
      </c>
      <c r="Q19" s="30" t="s">
        <v>28</v>
      </c>
      <c r="R19" s="30" t="s">
        <v>29</v>
      </c>
      <c r="S19" s="30" t="s">
        <v>30</v>
      </c>
      <c r="T19" s="30">
        <v>5</v>
      </c>
      <c r="U19" s="30">
        <v>2200</v>
      </c>
      <c r="V19" s="30">
        <v>5</v>
      </c>
      <c r="W19" s="30">
        <v>10450</v>
      </c>
      <c r="X19" s="30">
        <v>5</v>
      </c>
      <c r="Y19" s="30" t="s">
        <v>41</v>
      </c>
      <c r="Z19" s="30" t="s">
        <v>50</v>
      </c>
      <c r="AA19" s="32" t="s">
        <v>43</v>
      </c>
      <c r="AB19" s="30">
        <v>9600261125</v>
      </c>
      <c r="AC19" s="30" t="s">
        <v>53</v>
      </c>
    </row>
    <row r="20" spans="8:29" ht="29.5" thickBot="1" x14ac:dyDescent="0.4">
      <c r="H20" s="27" t="s">
        <v>54</v>
      </c>
      <c r="I20" s="27" t="s">
        <v>55</v>
      </c>
      <c r="J20" s="27" t="s">
        <v>56</v>
      </c>
      <c r="K20" s="28">
        <v>45927</v>
      </c>
      <c r="L20" s="28">
        <v>45937</v>
      </c>
      <c r="M20" s="27" t="s">
        <v>57</v>
      </c>
      <c r="N20" s="27" t="s">
        <v>58</v>
      </c>
      <c r="O20" s="28">
        <v>27863</v>
      </c>
      <c r="P20" s="27" t="s">
        <v>37</v>
      </c>
      <c r="Q20" s="27" t="s">
        <v>38</v>
      </c>
      <c r="R20" s="27" t="s">
        <v>39</v>
      </c>
      <c r="S20" s="27" t="s">
        <v>59</v>
      </c>
      <c r="T20" s="27">
        <v>8</v>
      </c>
      <c r="U20" s="27">
        <v>1200</v>
      </c>
      <c r="V20" s="27">
        <v>5</v>
      </c>
      <c r="W20" s="27">
        <v>9120</v>
      </c>
      <c r="X20" s="27">
        <v>2</v>
      </c>
      <c r="Y20" s="27" t="s">
        <v>60</v>
      </c>
      <c r="Z20" s="27" t="s">
        <v>50</v>
      </c>
      <c r="AA20" s="27" t="s">
        <v>61</v>
      </c>
      <c r="AB20" s="27">
        <v>9724635978</v>
      </c>
      <c r="AC20" s="27" t="s">
        <v>52</v>
      </c>
    </row>
    <row r="21" spans="8:29" ht="15" thickBot="1" x14ac:dyDescent="0.4">
      <c r="H21" s="30" t="s">
        <v>62</v>
      </c>
      <c r="I21" s="30" t="s">
        <v>63</v>
      </c>
      <c r="J21" s="30" t="s">
        <v>24</v>
      </c>
      <c r="K21" s="31">
        <v>46026</v>
      </c>
      <c r="L21" s="31">
        <v>46034</v>
      </c>
      <c r="M21" s="30" t="s">
        <v>64</v>
      </c>
      <c r="N21" s="30" t="s">
        <v>58</v>
      </c>
      <c r="O21" s="31">
        <v>32180</v>
      </c>
      <c r="P21" s="30" t="s">
        <v>27</v>
      </c>
      <c r="Q21" s="30" t="s">
        <v>28</v>
      </c>
      <c r="R21" s="30" t="s">
        <v>29</v>
      </c>
      <c r="S21" s="30" t="s">
        <v>30</v>
      </c>
      <c r="T21" s="30">
        <v>4</v>
      </c>
      <c r="U21" s="30">
        <v>2200</v>
      </c>
      <c r="V21" s="30">
        <v>0</v>
      </c>
      <c r="W21" s="30">
        <v>8800</v>
      </c>
      <c r="X21" s="30">
        <v>1</v>
      </c>
      <c r="Y21" s="30" t="s">
        <v>65</v>
      </c>
      <c r="Z21" s="30" t="s">
        <v>32</v>
      </c>
      <c r="AA21" s="30" t="s">
        <v>66</v>
      </c>
      <c r="AB21" s="30">
        <v>9780584905</v>
      </c>
      <c r="AC21" s="22" t="s">
        <v>34</v>
      </c>
    </row>
    <row r="22" spans="8:29" ht="15" thickBot="1" x14ac:dyDescent="0.4">
      <c r="H22" s="27" t="s">
        <v>67</v>
      </c>
      <c r="I22" s="27" t="s">
        <v>23</v>
      </c>
      <c r="J22" s="27" t="s">
        <v>68</v>
      </c>
      <c r="K22" s="27" t="s">
        <v>69</v>
      </c>
      <c r="L22" s="28">
        <v>46078</v>
      </c>
      <c r="M22" s="27" t="s">
        <v>25</v>
      </c>
      <c r="N22" s="27" t="s">
        <v>26</v>
      </c>
      <c r="O22" s="28">
        <v>37700</v>
      </c>
      <c r="P22" s="27" t="s">
        <v>27</v>
      </c>
      <c r="Q22" s="27" t="s">
        <v>28</v>
      </c>
      <c r="R22" s="27" t="s">
        <v>29</v>
      </c>
      <c r="S22" s="27" t="s">
        <v>70</v>
      </c>
      <c r="T22" s="27">
        <v>2</v>
      </c>
      <c r="U22" s="27">
        <v>3500</v>
      </c>
      <c r="V22" s="27">
        <v>5</v>
      </c>
      <c r="W22" s="27">
        <v>6650</v>
      </c>
      <c r="X22" s="27">
        <v>1</v>
      </c>
      <c r="Y22" s="27" t="s">
        <v>65</v>
      </c>
      <c r="Z22" s="27" t="s">
        <v>32</v>
      </c>
      <c r="AA22" s="27" t="s">
        <v>43</v>
      </c>
      <c r="AB22" s="27">
        <v>9958252176</v>
      </c>
      <c r="AC22" s="21" t="s">
        <v>34</v>
      </c>
    </row>
    <row r="23" spans="8:29" ht="15" thickBot="1" x14ac:dyDescent="0.4">
      <c r="H23" s="30" t="s">
        <v>71</v>
      </c>
      <c r="I23" s="30" t="s">
        <v>72</v>
      </c>
      <c r="J23" s="30" t="s">
        <v>36</v>
      </c>
      <c r="K23" s="31">
        <v>45760</v>
      </c>
      <c r="L23" s="31">
        <v>45766</v>
      </c>
      <c r="M23" s="30" t="s">
        <v>73</v>
      </c>
      <c r="N23" s="30" t="s">
        <v>26</v>
      </c>
      <c r="O23" s="31">
        <v>34765</v>
      </c>
      <c r="P23" s="30" t="s">
        <v>74</v>
      </c>
      <c r="Q23" s="30" t="s">
        <v>75</v>
      </c>
      <c r="R23" s="30" t="s">
        <v>39</v>
      </c>
      <c r="S23" s="30" t="s">
        <v>40</v>
      </c>
      <c r="T23" s="30">
        <v>14</v>
      </c>
      <c r="U23" s="30">
        <v>12000</v>
      </c>
      <c r="V23" s="30">
        <v>15</v>
      </c>
      <c r="W23" s="30">
        <v>142800</v>
      </c>
      <c r="X23" s="30">
        <v>4</v>
      </c>
      <c r="Y23" s="30" t="s">
        <v>41</v>
      </c>
      <c r="Z23" s="30" t="s">
        <v>32</v>
      </c>
      <c r="AA23" s="32" t="s">
        <v>76</v>
      </c>
      <c r="AB23" s="30">
        <v>9705521654</v>
      </c>
      <c r="AC23" s="22" t="s">
        <v>34</v>
      </c>
    </row>
    <row r="24" spans="8:29" ht="15" thickBot="1" x14ac:dyDescent="0.4">
      <c r="H24" s="27" t="s">
        <v>77</v>
      </c>
      <c r="I24" s="27" t="s">
        <v>23</v>
      </c>
      <c r="J24" s="27" t="s">
        <v>36</v>
      </c>
      <c r="K24" s="28">
        <v>46053</v>
      </c>
      <c r="L24" s="28">
        <v>46055</v>
      </c>
      <c r="M24" s="27" t="s">
        <v>78</v>
      </c>
      <c r="N24" s="27" t="s">
        <v>26</v>
      </c>
      <c r="O24" s="28">
        <v>35526</v>
      </c>
      <c r="P24" s="27" t="s">
        <v>79</v>
      </c>
      <c r="Q24" s="27" t="s">
        <v>75</v>
      </c>
      <c r="R24" s="27" t="s">
        <v>39</v>
      </c>
      <c r="S24" s="27" t="s">
        <v>40</v>
      </c>
      <c r="T24" s="27">
        <v>4</v>
      </c>
      <c r="U24" s="27">
        <v>12000</v>
      </c>
      <c r="V24" s="27">
        <v>15</v>
      </c>
      <c r="W24" s="27">
        <v>40800</v>
      </c>
      <c r="X24" s="27">
        <v>4</v>
      </c>
      <c r="Y24" s="27" t="s">
        <v>65</v>
      </c>
      <c r="Z24" s="27" t="s">
        <v>80</v>
      </c>
      <c r="AA24" s="27" t="s">
        <v>43</v>
      </c>
      <c r="AB24" s="27">
        <v>9588041011</v>
      </c>
      <c r="AC24" s="21" t="s">
        <v>34</v>
      </c>
    </row>
    <row r="25" spans="8:29" ht="15" thickBot="1" x14ac:dyDescent="0.4">
      <c r="H25" s="30" t="s">
        <v>81</v>
      </c>
      <c r="I25" s="30" t="s">
        <v>72</v>
      </c>
      <c r="J25" s="30" t="s">
        <v>82</v>
      </c>
      <c r="K25" s="31">
        <v>45741</v>
      </c>
      <c r="L25" s="31">
        <v>45743</v>
      </c>
      <c r="M25" s="30" t="s">
        <v>73</v>
      </c>
      <c r="N25" s="30" t="s">
        <v>26</v>
      </c>
      <c r="O25" s="31">
        <v>32880</v>
      </c>
      <c r="P25" s="30" t="s">
        <v>74</v>
      </c>
      <c r="Q25" s="30" t="s">
        <v>75</v>
      </c>
      <c r="R25" s="30" t="s">
        <v>83</v>
      </c>
      <c r="S25" s="30" t="s">
        <v>84</v>
      </c>
      <c r="T25" s="30">
        <v>6</v>
      </c>
      <c r="U25" s="30">
        <v>60</v>
      </c>
      <c r="V25" s="30">
        <v>0</v>
      </c>
      <c r="W25" s="30">
        <v>360</v>
      </c>
      <c r="X25" s="30">
        <v>4</v>
      </c>
      <c r="Y25" s="30" t="s">
        <v>60</v>
      </c>
      <c r="Z25" s="30" t="s">
        <v>80</v>
      </c>
      <c r="AA25" s="32" t="s">
        <v>85</v>
      </c>
      <c r="AB25" s="30">
        <v>9340540608</v>
      </c>
      <c r="AC25" s="22" t="s">
        <v>34</v>
      </c>
    </row>
    <row r="26" spans="8:29" ht="15" thickBot="1" x14ac:dyDescent="0.4">
      <c r="H26" s="27" t="s">
        <v>86</v>
      </c>
      <c r="I26" s="27" t="s">
        <v>87</v>
      </c>
      <c r="J26" s="27" t="s">
        <v>24</v>
      </c>
      <c r="K26" s="28">
        <v>45919</v>
      </c>
      <c r="L26" s="28">
        <v>45923</v>
      </c>
      <c r="M26" s="27" t="s">
        <v>88</v>
      </c>
      <c r="N26" s="27" t="s">
        <v>58</v>
      </c>
      <c r="O26" s="28">
        <v>30081</v>
      </c>
      <c r="P26" s="27" t="s">
        <v>37</v>
      </c>
      <c r="Q26" s="27" t="s">
        <v>38</v>
      </c>
      <c r="R26" s="27" t="s">
        <v>29</v>
      </c>
      <c r="S26" s="27" t="s">
        <v>30</v>
      </c>
      <c r="T26" s="27">
        <v>-3</v>
      </c>
      <c r="U26" s="27">
        <v>2200</v>
      </c>
      <c r="V26" s="27">
        <v>0</v>
      </c>
      <c r="W26" s="27">
        <v>35200</v>
      </c>
      <c r="X26" s="27">
        <v>2</v>
      </c>
      <c r="Y26" s="27" t="s">
        <v>60</v>
      </c>
      <c r="Z26" s="27" t="s">
        <v>42</v>
      </c>
      <c r="AA26" s="27" t="s">
        <v>89</v>
      </c>
      <c r="AB26" s="27">
        <v>9521710321</v>
      </c>
      <c r="AC26" s="27" t="s">
        <v>52</v>
      </c>
    </row>
    <row r="27" spans="8:29" ht="15" thickBot="1" x14ac:dyDescent="0.4">
      <c r="H27" s="30" t="s">
        <v>90</v>
      </c>
      <c r="I27" s="30" t="s">
        <v>23</v>
      </c>
      <c r="J27" s="30" t="s">
        <v>68</v>
      </c>
      <c r="K27" s="31">
        <v>45724</v>
      </c>
      <c r="L27" s="31">
        <v>45731</v>
      </c>
      <c r="M27" s="30" t="s">
        <v>25</v>
      </c>
      <c r="N27" s="30" t="s">
        <v>26</v>
      </c>
      <c r="O27" s="31">
        <v>29974</v>
      </c>
      <c r="P27" s="30" t="s">
        <v>91</v>
      </c>
      <c r="Q27" s="30" t="s">
        <v>75</v>
      </c>
      <c r="R27" s="30" t="s">
        <v>29</v>
      </c>
      <c r="S27" s="30" t="s">
        <v>70</v>
      </c>
      <c r="T27" s="30">
        <v>10</v>
      </c>
      <c r="U27" s="30">
        <v>3500</v>
      </c>
      <c r="V27" s="30">
        <v>5</v>
      </c>
      <c r="W27" s="30">
        <v>33250</v>
      </c>
      <c r="X27" s="30">
        <v>5</v>
      </c>
      <c r="Y27" s="30" t="s">
        <v>60</v>
      </c>
      <c r="Z27" s="30" t="s">
        <v>50</v>
      </c>
      <c r="AA27" s="30" t="s">
        <v>43</v>
      </c>
      <c r="AB27" s="30">
        <v>9123535241</v>
      </c>
      <c r="AC27" s="30" t="s">
        <v>53</v>
      </c>
    </row>
    <row r="28" spans="8:29" ht="15" thickBot="1" x14ac:dyDescent="0.4">
      <c r="H28" s="27" t="s">
        <v>92</v>
      </c>
      <c r="I28" s="27" t="s">
        <v>72</v>
      </c>
      <c r="J28" s="27" t="s">
        <v>24</v>
      </c>
      <c r="K28" s="28">
        <v>45667</v>
      </c>
      <c r="L28" s="28">
        <v>45672</v>
      </c>
      <c r="M28" s="27" t="s">
        <v>73</v>
      </c>
      <c r="N28" s="27" t="s">
        <v>26</v>
      </c>
      <c r="O28" s="28">
        <v>33791</v>
      </c>
      <c r="P28" s="27" t="s">
        <v>79</v>
      </c>
      <c r="Q28" s="27" t="s">
        <v>75</v>
      </c>
      <c r="R28" s="27" t="s">
        <v>29</v>
      </c>
      <c r="S28" s="27" t="s">
        <v>30</v>
      </c>
      <c r="T28" s="27">
        <v>15</v>
      </c>
      <c r="U28" s="27">
        <v>2200</v>
      </c>
      <c r="V28" s="27">
        <v>10</v>
      </c>
      <c r="W28" s="27">
        <v>29700</v>
      </c>
      <c r="X28" s="27">
        <v>1</v>
      </c>
      <c r="Y28" s="27" t="s">
        <v>65</v>
      </c>
      <c r="Z28" s="27" t="s">
        <v>80</v>
      </c>
      <c r="AA28" s="27" t="s">
        <v>93</v>
      </c>
      <c r="AB28" s="27">
        <v>9367316892</v>
      </c>
      <c r="AC28" s="27" t="s">
        <v>52</v>
      </c>
    </row>
    <row r="29" spans="8:29" ht="15" thickBot="1" x14ac:dyDescent="0.4">
      <c r="H29" s="30" t="s">
        <v>94</v>
      </c>
      <c r="I29" s="30" t="s">
        <v>87</v>
      </c>
      <c r="J29" s="30" t="s">
        <v>24</v>
      </c>
      <c r="K29" s="31">
        <v>45725</v>
      </c>
      <c r="L29" s="31">
        <v>45729</v>
      </c>
      <c r="M29" s="30" t="s">
        <v>95</v>
      </c>
      <c r="N29" s="30" t="s">
        <v>58</v>
      </c>
      <c r="O29" s="31">
        <v>37334</v>
      </c>
      <c r="P29" s="30" t="s">
        <v>74</v>
      </c>
      <c r="Q29" s="30" t="s">
        <v>75</v>
      </c>
      <c r="R29" s="30" t="s">
        <v>29</v>
      </c>
      <c r="S29" s="30" t="s">
        <v>30</v>
      </c>
      <c r="T29" s="30">
        <v>17</v>
      </c>
      <c r="U29" s="30">
        <v>2200</v>
      </c>
      <c r="V29" s="30">
        <v>5</v>
      </c>
      <c r="W29" s="30">
        <v>35530</v>
      </c>
      <c r="X29" s="30">
        <v>1</v>
      </c>
      <c r="Y29" s="30" t="s">
        <v>31</v>
      </c>
      <c r="Z29" s="30" t="s">
        <v>96</v>
      </c>
      <c r="AA29" s="32" t="s">
        <v>97</v>
      </c>
      <c r="AB29" s="30">
        <v>9778489803</v>
      </c>
      <c r="AC29" s="22" t="s">
        <v>34</v>
      </c>
    </row>
    <row r="30" spans="8:29" ht="15" thickBot="1" x14ac:dyDescent="0.4">
      <c r="H30" s="27" t="s">
        <v>98</v>
      </c>
      <c r="I30" s="27" t="s">
        <v>23</v>
      </c>
      <c r="J30" s="27" t="s">
        <v>68</v>
      </c>
      <c r="K30" s="28">
        <v>45864</v>
      </c>
      <c r="L30" s="28">
        <v>45876</v>
      </c>
      <c r="M30" s="27" t="s">
        <v>99</v>
      </c>
      <c r="N30" s="27" t="s">
        <v>26</v>
      </c>
      <c r="O30" s="28">
        <v>36908</v>
      </c>
      <c r="P30" s="27" t="s">
        <v>74</v>
      </c>
      <c r="Q30" s="27" t="s">
        <v>75</v>
      </c>
      <c r="R30" s="27" t="s">
        <v>29</v>
      </c>
      <c r="S30" s="27" t="s">
        <v>70</v>
      </c>
      <c r="T30" s="27">
        <v>15</v>
      </c>
      <c r="U30" s="27">
        <v>3500</v>
      </c>
      <c r="V30" s="27">
        <v>15</v>
      </c>
      <c r="W30" s="27">
        <v>44625</v>
      </c>
      <c r="X30" s="27">
        <v>2</v>
      </c>
      <c r="Y30" s="27" t="s">
        <v>31</v>
      </c>
      <c r="Z30" s="27" t="s">
        <v>80</v>
      </c>
      <c r="AA30" s="29" t="s">
        <v>43</v>
      </c>
      <c r="AB30" s="27">
        <v>9582960180</v>
      </c>
      <c r="AC30" s="27" t="s">
        <v>53</v>
      </c>
    </row>
    <row r="31" spans="8:29" ht="15" thickBot="1" x14ac:dyDescent="0.4">
      <c r="H31" s="30" t="s">
        <v>100</v>
      </c>
      <c r="I31" s="30" t="s">
        <v>45</v>
      </c>
      <c r="J31" s="30" t="s">
        <v>56</v>
      </c>
      <c r="K31" s="31">
        <v>46120</v>
      </c>
      <c r="L31" s="31">
        <v>46123</v>
      </c>
      <c r="M31" s="30" t="s">
        <v>101</v>
      </c>
      <c r="N31" s="30" t="s">
        <v>26</v>
      </c>
      <c r="O31" s="31">
        <v>37357</v>
      </c>
      <c r="P31" s="30" t="s">
        <v>27</v>
      </c>
      <c r="Q31" s="30" t="s">
        <v>28</v>
      </c>
      <c r="R31" s="30" t="s">
        <v>39</v>
      </c>
      <c r="S31" s="30" t="s">
        <v>59</v>
      </c>
      <c r="T31" s="30">
        <v>3</v>
      </c>
      <c r="U31" s="30">
        <v>1200</v>
      </c>
      <c r="V31" s="30">
        <v>5</v>
      </c>
      <c r="W31" s="30">
        <v>3420</v>
      </c>
      <c r="X31" s="30">
        <v>5</v>
      </c>
      <c r="Y31" s="30" t="s">
        <v>65</v>
      </c>
      <c r="Z31" s="30" t="s">
        <v>32</v>
      </c>
      <c r="AA31" s="30" t="s">
        <v>102</v>
      </c>
      <c r="AB31" s="30">
        <v>9611394005</v>
      </c>
      <c r="AC31" s="22" t="s">
        <v>34</v>
      </c>
    </row>
    <row r="32" spans="8:29" ht="15" thickBot="1" x14ac:dyDescent="0.4">
      <c r="H32" s="27" t="s">
        <v>103</v>
      </c>
      <c r="I32" s="27" t="s">
        <v>104</v>
      </c>
      <c r="J32" s="27" t="s">
        <v>105</v>
      </c>
      <c r="K32" s="28">
        <v>46075</v>
      </c>
      <c r="L32" s="28">
        <v>46084</v>
      </c>
      <c r="M32" s="27" t="s">
        <v>106</v>
      </c>
      <c r="N32" s="27" t="s">
        <v>26</v>
      </c>
      <c r="O32" s="28">
        <v>37272</v>
      </c>
      <c r="P32" s="27" t="s">
        <v>79</v>
      </c>
      <c r="Q32" s="27" t="s">
        <v>75</v>
      </c>
      <c r="R32" s="27" t="s">
        <v>29</v>
      </c>
      <c r="S32" s="27" t="s">
        <v>107</v>
      </c>
      <c r="T32" s="27">
        <v>13</v>
      </c>
      <c r="U32" s="27">
        <v>8500</v>
      </c>
      <c r="V32" s="27">
        <v>20</v>
      </c>
      <c r="W32" s="27">
        <v>88400</v>
      </c>
      <c r="X32" s="27">
        <v>4</v>
      </c>
      <c r="Y32" s="27" t="s">
        <v>60</v>
      </c>
      <c r="Z32" s="27" t="s">
        <v>42</v>
      </c>
      <c r="AA32" s="27" t="s">
        <v>108</v>
      </c>
      <c r="AB32" s="27">
        <v>9692599404</v>
      </c>
      <c r="AC32" s="27" t="s">
        <v>52</v>
      </c>
    </row>
    <row r="33" spans="8:29" ht="15" thickBot="1" x14ac:dyDescent="0.4">
      <c r="H33" s="30" t="s">
        <v>109</v>
      </c>
      <c r="I33" s="30" t="s">
        <v>63</v>
      </c>
      <c r="J33" s="30" t="s">
        <v>105</v>
      </c>
      <c r="K33" s="31">
        <v>46081</v>
      </c>
      <c r="L33" s="31">
        <v>46086</v>
      </c>
      <c r="M33" s="30" t="s">
        <v>110</v>
      </c>
      <c r="N33" s="30" t="s">
        <v>58</v>
      </c>
      <c r="O33" s="31">
        <v>32790</v>
      </c>
      <c r="P33" s="30" t="s">
        <v>91</v>
      </c>
      <c r="Q33" s="30" t="s">
        <v>75</v>
      </c>
      <c r="R33" s="30" t="s">
        <v>29</v>
      </c>
      <c r="S33" s="30" t="s">
        <v>107</v>
      </c>
      <c r="T33" s="30">
        <v>4</v>
      </c>
      <c r="U33" s="30">
        <v>8500</v>
      </c>
      <c r="V33" s="30">
        <v>20</v>
      </c>
      <c r="W33" s="30">
        <v>27200</v>
      </c>
      <c r="X33" s="30">
        <v>5</v>
      </c>
      <c r="Y33" s="30" t="s">
        <v>60</v>
      </c>
      <c r="Z33" s="30" t="s">
        <v>50</v>
      </c>
      <c r="AA33" s="30" t="s">
        <v>66</v>
      </c>
      <c r="AB33" s="30">
        <v>9426119622</v>
      </c>
      <c r="AC33" s="30" t="s">
        <v>52</v>
      </c>
    </row>
    <row r="34" spans="8:29" ht="15" thickBot="1" x14ac:dyDescent="0.4">
      <c r="H34" s="27" t="s">
        <v>111</v>
      </c>
      <c r="I34" s="27" t="s">
        <v>63</v>
      </c>
      <c r="J34" s="27" t="s">
        <v>112</v>
      </c>
      <c r="K34" s="28">
        <v>45992</v>
      </c>
      <c r="L34" s="28">
        <v>45995</v>
      </c>
      <c r="M34" s="27" t="s">
        <v>113</v>
      </c>
      <c r="N34" s="27" t="s">
        <v>58</v>
      </c>
      <c r="O34" s="28">
        <v>33539</v>
      </c>
      <c r="P34" s="27" t="s">
        <v>74</v>
      </c>
      <c r="Q34" s="27" t="s">
        <v>75</v>
      </c>
      <c r="R34" s="27" t="s">
        <v>39</v>
      </c>
      <c r="S34" s="27" t="s">
        <v>114</v>
      </c>
      <c r="T34" s="27">
        <v>9</v>
      </c>
      <c r="U34" s="27">
        <v>700</v>
      </c>
      <c r="V34" s="27">
        <v>5</v>
      </c>
      <c r="W34" s="27">
        <v>5985</v>
      </c>
      <c r="X34" s="27">
        <v>3</v>
      </c>
      <c r="Y34" s="27" t="s">
        <v>65</v>
      </c>
      <c r="Z34" s="27" t="s">
        <v>32</v>
      </c>
      <c r="AA34" s="29" t="s">
        <v>115</v>
      </c>
      <c r="AB34" s="27">
        <v>9184436009</v>
      </c>
      <c r="AC34" s="27" t="s">
        <v>52</v>
      </c>
    </row>
    <row r="35" spans="8:29" ht="15" thickBot="1" x14ac:dyDescent="0.4">
      <c r="H35" s="30" t="s">
        <v>116</v>
      </c>
      <c r="I35" s="30" t="s">
        <v>23</v>
      </c>
      <c r="J35" s="30" t="s">
        <v>46</v>
      </c>
      <c r="K35" s="31">
        <v>45833</v>
      </c>
      <c r="L35" s="31">
        <v>45841</v>
      </c>
      <c r="M35" s="30" t="s">
        <v>25</v>
      </c>
      <c r="N35" s="30" t="s">
        <v>26</v>
      </c>
      <c r="O35" s="31">
        <v>32933</v>
      </c>
      <c r="P35" s="30" t="s">
        <v>91</v>
      </c>
      <c r="Q35" s="30" t="s">
        <v>75</v>
      </c>
      <c r="R35" s="30" t="s">
        <v>39</v>
      </c>
      <c r="S35" s="30" t="s">
        <v>49</v>
      </c>
      <c r="T35" s="30">
        <v>8</v>
      </c>
      <c r="U35" s="30">
        <v>55000</v>
      </c>
      <c r="V35" s="30">
        <v>20</v>
      </c>
      <c r="W35" s="30">
        <v>352000</v>
      </c>
      <c r="X35" s="30">
        <v>1</v>
      </c>
      <c r="Y35" s="30" t="s">
        <v>31</v>
      </c>
      <c r="Z35" s="30" t="s">
        <v>96</v>
      </c>
      <c r="AA35" s="30" t="s">
        <v>43</v>
      </c>
      <c r="AB35" s="30">
        <v>9263774934</v>
      </c>
      <c r="AC35" s="22" t="s">
        <v>34</v>
      </c>
    </row>
    <row r="36" spans="8:29" ht="15" thickBot="1" x14ac:dyDescent="0.4">
      <c r="H36" s="27" t="s">
        <v>117</v>
      </c>
      <c r="I36" s="27" t="s">
        <v>87</v>
      </c>
      <c r="J36" s="27" t="s">
        <v>112</v>
      </c>
      <c r="K36" s="28">
        <v>45773</v>
      </c>
      <c r="L36" s="28">
        <v>45782</v>
      </c>
      <c r="M36" s="27" t="s">
        <v>88</v>
      </c>
      <c r="N36" s="27" t="s">
        <v>58</v>
      </c>
      <c r="O36" s="28">
        <v>37455</v>
      </c>
      <c r="P36" s="27" t="s">
        <v>37</v>
      </c>
      <c r="Q36" s="27" t="s">
        <v>38</v>
      </c>
      <c r="R36" s="27" t="s">
        <v>118</v>
      </c>
      <c r="S36" s="27" t="s">
        <v>114</v>
      </c>
      <c r="T36" s="27">
        <v>10</v>
      </c>
      <c r="U36" s="27">
        <v>700</v>
      </c>
      <c r="V36" s="27">
        <v>20</v>
      </c>
      <c r="W36" s="27">
        <v>5600</v>
      </c>
      <c r="X36" s="27">
        <v>4</v>
      </c>
      <c r="Y36" s="27" t="s">
        <v>60</v>
      </c>
      <c r="Z36" s="27" t="s">
        <v>50</v>
      </c>
      <c r="AA36" s="27" t="s">
        <v>89</v>
      </c>
      <c r="AB36" s="27">
        <v>9473159572</v>
      </c>
      <c r="AC36" s="27" t="s">
        <v>53</v>
      </c>
    </row>
    <row r="37" spans="8:29" ht="15" thickBot="1" x14ac:dyDescent="0.4">
      <c r="H37" s="30" t="s">
        <v>119</v>
      </c>
      <c r="I37" s="30" t="s">
        <v>23</v>
      </c>
      <c r="J37" s="30" t="s">
        <v>68</v>
      </c>
      <c r="K37" s="31">
        <v>45660</v>
      </c>
      <c r="L37" s="31">
        <v>45665</v>
      </c>
      <c r="M37" s="30" t="s">
        <v>78</v>
      </c>
      <c r="N37" s="30" t="s">
        <v>26</v>
      </c>
      <c r="O37" s="31">
        <v>38336</v>
      </c>
      <c r="P37" s="30" t="s">
        <v>48</v>
      </c>
      <c r="Q37" s="30" t="s">
        <v>28</v>
      </c>
      <c r="R37" s="30" t="s">
        <v>29</v>
      </c>
      <c r="S37" s="30" t="s">
        <v>70</v>
      </c>
      <c r="T37" s="30">
        <v>1</v>
      </c>
      <c r="U37" s="30">
        <v>3500</v>
      </c>
      <c r="V37" s="30">
        <v>5</v>
      </c>
      <c r="W37" s="30">
        <v>3325</v>
      </c>
      <c r="X37" s="30">
        <v>3</v>
      </c>
      <c r="Y37" s="30" t="s">
        <v>65</v>
      </c>
      <c r="Z37" s="30" t="s">
        <v>80</v>
      </c>
      <c r="AA37" s="30" t="s">
        <v>43</v>
      </c>
      <c r="AB37" s="30">
        <v>9660493688</v>
      </c>
      <c r="AC37" s="30" t="s">
        <v>53</v>
      </c>
    </row>
    <row r="38" spans="8:29" ht="15" thickBot="1" x14ac:dyDescent="0.4">
      <c r="H38" s="27" t="s">
        <v>120</v>
      </c>
      <c r="I38" s="27" t="s">
        <v>72</v>
      </c>
      <c r="J38" s="27" t="s">
        <v>112</v>
      </c>
      <c r="K38" s="28">
        <v>45766</v>
      </c>
      <c r="L38" s="28">
        <v>45777</v>
      </c>
      <c r="M38" s="27" t="s">
        <v>73</v>
      </c>
      <c r="N38" s="27" t="s">
        <v>26</v>
      </c>
      <c r="O38" s="28">
        <v>30867</v>
      </c>
      <c r="P38" s="27" t="s">
        <v>121</v>
      </c>
      <c r="Q38" s="27" t="s">
        <v>38</v>
      </c>
      <c r="R38" s="27" t="s">
        <v>39</v>
      </c>
      <c r="S38" s="27" t="s">
        <v>114</v>
      </c>
      <c r="T38" s="27">
        <v>19</v>
      </c>
      <c r="U38" s="27">
        <v>700</v>
      </c>
      <c r="V38" s="27">
        <v>15</v>
      </c>
      <c r="W38" s="27">
        <v>11305</v>
      </c>
      <c r="X38" s="27">
        <v>3</v>
      </c>
      <c r="Y38" s="27" t="s">
        <v>41</v>
      </c>
      <c r="Z38" s="27" t="s">
        <v>96</v>
      </c>
      <c r="AA38" s="27" t="s">
        <v>93</v>
      </c>
      <c r="AB38" s="27">
        <v>9513325819</v>
      </c>
      <c r="AC38" s="27" t="s">
        <v>52</v>
      </c>
    </row>
    <row r="39" spans="8:29" ht="29.5" thickBot="1" x14ac:dyDescent="0.4">
      <c r="H39" s="30" t="s">
        <v>122</v>
      </c>
      <c r="I39" s="30" t="s">
        <v>55</v>
      </c>
      <c r="J39" s="30" t="s">
        <v>46</v>
      </c>
      <c r="K39" s="31">
        <v>46013</v>
      </c>
      <c r="L39" s="31">
        <v>46023</v>
      </c>
      <c r="M39" s="30" t="s">
        <v>57</v>
      </c>
      <c r="N39" s="30" t="s">
        <v>58</v>
      </c>
      <c r="O39" s="31">
        <v>28546</v>
      </c>
      <c r="P39" s="30" t="s">
        <v>48</v>
      </c>
      <c r="Q39" s="30" t="s">
        <v>28</v>
      </c>
      <c r="R39" s="30" t="s">
        <v>39</v>
      </c>
      <c r="S39" s="30" t="s">
        <v>49</v>
      </c>
      <c r="T39" s="30">
        <v>12</v>
      </c>
      <c r="U39" s="30">
        <v>55000</v>
      </c>
      <c r="V39" s="30">
        <v>0</v>
      </c>
      <c r="W39" s="30">
        <v>660000</v>
      </c>
      <c r="X39" s="30">
        <v>1</v>
      </c>
      <c r="Y39" s="30" t="s">
        <v>60</v>
      </c>
      <c r="Z39" s="30" t="s">
        <v>42</v>
      </c>
      <c r="AA39" s="30" t="s">
        <v>61</v>
      </c>
      <c r="AB39" s="30">
        <v>9641063242</v>
      </c>
      <c r="AC39" s="30" t="s">
        <v>52</v>
      </c>
    </row>
    <row r="40" spans="8:29" ht="15" thickBot="1" x14ac:dyDescent="0.4">
      <c r="H40" s="27" t="s">
        <v>123</v>
      </c>
      <c r="I40" s="27" t="s">
        <v>124</v>
      </c>
      <c r="J40" s="27" t="s">
        <v>125</v>
      </c>
      <c r="K40" s="28">
        <v>46121</v>
      </c>
      <c r="L40" s="28">
        <v>46132</v>
      </c>
      <c r="M40" s="27" t="s">
        <v>126</v>
      </c>
      <c r="N40" s="27" t="s">
        <v>58</v>
      </c>
      <c r="O40" s="28">
        <v>33453</v>
      </c>
      <c r="P40" s="27" t="s">
        <v>74</v>
      </c>
      <c r="Q40" s="27" t="s">
        <v>75</v>
      </c>
      <c r="R40" s="27" t="s">
        <v>83</v>
      </c>
      <c r="S40" s="27" t="s">
        <v>127</v>
      </c>
      <c r="T40" s="27">
        <v>1</v>
      </c>
      <c r="U40" s="27">
        <v>20</v>
      </c>
      <c r="V40" s="27">
        <v>5</v>
      </c>
      <c r="W40" s="27">
        <v>19</v>
      </c>
      <c r="X40" s="27">
        <v>5</v>
      </c>
      <c r="Y40" s="27" t="s">
        <v>60</v>
      </c>
      <c r="Z40" s="27" t="s">
        <v>32</v>
      </c>
      <c r="AA40" s="27" t="s">
        <v>128</v>
      </c>
      <c r="AB40" s="27">
        <v>9277372518</v>
      </c>
      <c r="AC40" s="27" t="s">
        <v>53</v>
      </c>
    </row>
    <row r="41" spans="8:29" ht="15" thickBot="1" x14ac:dyDescent="0.4">
      <c r="H41" s="30" t="s">
        <v>129</v>
      </c>
      <c r="I41" s="30" t="s">
        <v>63</v>
      </c>
      <c r="J41" s="30" t="s">
        <v>125</v>
      </c>
      <c r="K41" s="31">
        <v>45832</v>
      </c>
      <c r="L41" s="31">
        <v>45840</v>
      </c>
      <c r="M41" s="30" t="s">
        <v>110</v>
      </c>
      <c r="N41" s="30" t="s">
        <v>58</v>
      </c>
      <c r="O41" s="31">
        <v>28470</v>
      </c>
      <c r="P41" s="30" t="s">
        <v>74</v>
      </c>
      <c r="Q41" s="30" t="s">
        <v>75</v>
      </c>
      <c r="R41" s="30" t="s">
        <v>83</v>
      </c>
      <c r="S41" s="30" t="s">
        <v>127</v>
      </c>
      <c r="T41" s="30">
        <v>2</v>
      </c>
      <c r="U41" s="30">
        <v>20</v>
      </c>
      <c r="V41" s="30">
        <v>15</v>
      </c>
      <c r="W41" s="30">
        <v>34</v>
      </c>
      <c r="X41" s="30">
        <v>1</v>
      </c>
      <c r="Y41" s="30" t="s">
        <v>65</v>
      </c>
      <c r="Z41" s="30" t="s">
        <v>32</v>
      </c>
      <c r="AA41" s="30" t="s">
        <v>66</v>
      </c>
      <c r="AB41" s="30">
        <v>9193154372</v>
      </c>
      <c r="AC41" s="30" t="s">
        <v>52</v>
      </c>
    </row>
    <row r="42" spans="8:29" ht="29.5" thickBot="1" x14ac:dyDescent="0.4">
      <c r="H42" s="27" t="s">
        <v>130</v>
      </c>
      <c r="I42" s="27" t="s">
        <v>55</v>
      </c>
      <c r="J42" s="27" t="s">
        <v>68</v>
      </c>
      <c r="K42" s="28">
        <v>45799</v>
      </c>
      <c r="L42" s="28">
        <v>45802</v>
      </c>
      <c r="M42" s="27" t="s">
        <v>57</v>
      </c>
      <c r="N42" s="27" t="s">
        <v>58</v>
      </c>
      <c r="O42" s="28">
        <v>33642</v>
      </c>
      <c r="P42" s="27" t="s">
        <v>91</v>
      </c>
      <c r="Q42" s="27" t="s">
        <v>75</v>
      </c>
      <c r="R42" s="27" t="s">
        <v>29</v>
      </c>
      <c r="S42" s="27" t="s">
        <v>70</v>
      </c>
      <c r="T42" s="27">
        <v>12</v>
      </c>
      <c r="U42" s="27">
        <v>3500</v>
      </c>
      <c r="V42" s="27">
        <v>15</v>
      </c>
      <c r="W42" s="27">
        <v>35700</v>
      </c>
      <c r="X42" s="27">
        <v>4</v>
      </c>
      <c r="Y42" s="27" t="s">
        <v>31</v>
      </c>
      <c r="Z42" s="27" t="s">
        <v>42</v>
      </c>
      <c r="AA42" s="27" t="s">
        <v>61</v>
      </c>
      <c r="AB42" s="27">
        <v>9400073244</v>
      </c>
      <c r="AC42" s="27" t="s">
        <v>53</v>
      </c>
    </row>
    <row r="43" spans="8:29" ht="15" thickBot="1" x14ac:dyDescent="0.4">
      <c r="H43" s="30" t="s">
        <v>131</v>
      </c>
      <c r="I43" s="30" t="s">
        <v>23</v>
      </c>
      <c r="J43" s="30" t="s">
        <v>56</v>
      </c>
      <c r="K43" s="31">
        <v>46094</v>
      </c>
      <c r="L43" s="31">
        <v>46101</v>
      </c>
      <c r="M43" s="30" t="s">
        <v>25</v>
      </c>
      <c r="N43" s="30" t="s">
        <v>26</v>
      </c>
      <c r="O43" s="31">
        <v>38143</v>
      </c>
      <c r="P43" s="30" t="s">
        <v>91</v>
      </c>
      <c r="Q43" s="30" t="s">
        <v>75</v>
      </c>
      <c r="R43" s="30" t="s">
        <v>39</v>
      </c>
      <c r="S43" s="30" t="s">
        <v>59</v>
      </c>
      <c r="T43" s="30">
        <v>11</v>
      </c>
      <c r="U43" s="30">
        <v>1200</v>
      </c>
      <c r="V43" s="30">
        <v>0</v>
      </c>
      <c r="W43" s="30">
        <v>13200</v>
      </c>
      <c r="X43" s="30">
        <v>2</v>
      </c>
      <c r="Y43" s="30" t="s">
        <v>65</v>
      </c>
      <c r="Z43" s="30" t="s">
        <v>96</v>
      </c>
      <c r="AA43" s="30" t="s">
        <v>43</v>
      </c>
      <c r="AB43" s="30">
        <v>9771556720</v>
      </c>
      <c r="AC43" s="22" t="s">
        <v>34</v>
      </c>
    </row>
    <row r="44" spans="8:29" ht="15" thickBot="1" x14ac:dyDescent="0.4">
      <c r="H44" s="27" t="s">
        <v>132</v>
      </c>
      <c r="I44" s="27" t="s">
        <v>87</v>
      </c>
      <c r="J44" s="27" t="s">
        <v>105</v>
      </c>
      <c r="K44" s="28">
        <v>45908</v>
      </c>
      <c r="L44" s="28">
        <v>45920</v>
      </c>
      <c r="M44" s="27" t="s">
        <v>88</v>
      </c>
      <c r="N44" s="27" t="s">
        <v>58</v>
      </c>
      <c r="O44" s="28">
        <v>37114</v>
      </c>
      <c r="P44" s="27" t="s">
        <v>79</v>
      </c>
      <c r="Q44" s="27" t="s">
        <v>75</v>
      </c>
      <c r="R44" s="27" t="s">
        <v>29</v>
      </c>
      <c r="S44" s="27" t="s">
        <v>107</v>
      </c>
      <c r="T44" s="27">
        <v>6</v>
      </c>
      <c r="U44" s="27">
        <v>8500</v>
      </c>
      <c r="V44" s="27">
        <v>65</v>
      </c>
      <c r="W44" s="27">
        <v>51000</v>
      </c>
      <c r="X44" s="27">
        <v>1</v>
      </c>
      <c r="Y44" s="27" t="s">
        <v>60</v>
      </c>
      <c r="Z44" s="27" t="s">
        <v>50</v>
      </c>
      <c r="AA44" s="27" t="s">
        <v>89</v>
      </c>
      <c r="AB44" s="27">
        <v>9127480734</v>
      </c>
      <c r="AC44" s="21" t="s">
        <v>34</v>
      </c>
    </row>
    <row r="45" spans="8:29" ht="15" thickBot="1" x14ac:dyDescent="0.4">
      <c r="H45" s="30" t="s">
        <v>133</v>
      </c>
      <c r="I45" s="30" t="s">
        <v>134</v>
      </c>
      <c r="J45" s="30" t="s">
        <v>82</v>
      </c>
      <c r="K45" s="31">
        <v>46033</v>
      </c>
      <c r="L45" s="31">
        <v>46038</v>
      </c>
      <c r="M45" s="30" t="s">
        <v>135</v>
      </c>
      <c r="N45" s="30" t="s">
        <v>26</v>
      </c>
      <c r="O45" s="31">
        <v>29680</v>
      </c>
      <c r="P45" s="30" t="s">
        <v>79</v>
      </c>
      <c r="Q45" s="30" t="s">
        <v>75</v>
      </c>
      <c r="R45" s="30" t="s">
        <v>83</v>
      </c>
      <c r="S45" s="30" t="s">
        <v>84</v>
      </c>
      <c r="T45" s="30">
        <v>2</v>
      </c>
      <c r="U45" s="30">
        <v>60</v>
      </c>
      <c r="V45" s="30">
        <v>5</v>
      </c>
      <c r="W45" s="30">
        <v>114</v>
      </c>
      <c r="X45" s="30">
        <v>3</v>
      </c>
      <c r="Y45" s="30" t="s">
        <v>31</v>
      </c>
      <c r="Z45" s="30" t="s">
        <v>96</v>
      </c>
      <c r="AA45" s="30" t="s">
        <v>136</v>
      </c>
      <c r="AB45" s="30">
        <v>9512997042</v>
      </c>
      <c r="AC45" s="30" t="s">
        <v>53</v>
      </c>
    </row>
    <row r="46" spans="8:29" ht="15" thickBot="1" x14ac:dyDescent="0.4">
      <c r="H46" s="27" t="s">
        <v>137</v>
      </c>
      <c r="I46" s="27" t="s">
        <v>23</v>
      </c>
      <c r="J46" s="27" t="s">
        <v>138</v>
      </c>
      <c r="K46" s="28">
        <v>45824</v>
      </c>
      <c r="L46" s="28">
        <v>45834</v>
      </c>
      <c r="M46" s="27" t="s">
        <v>25</v>
      </c>
      <c r="N46" s="27" t="s">
        <v>26</v>
      </c>
      <c r="O46" s="28">
        <v>35248</v>
      </c>
      <c r="P46" s="27" t="s">
        <v>48</v>
      </c>
      <c r="Q46" s="27" t="s">
        <v>28</v>
      </c>
      <c r="R46" s="27" t="s">
        <v>83</v>
      </c>
      <c r="S46" s="27" t="s">
        <v>139</v>
      </c>
      <c r="T46" s="27">
        <v>19</v>
      </c>
      <c r="U46" s="27">
        <v>45</v>
      </c>
      <c r="V46" s="27">
        <v>20</v>
      </c>
      <c r="W46" s="27">
        <v>684</v>
      </c>
      <c r="X46" s="27">
        <v>4</v>
      </c>
      <c r="Y46" s="27" t="s">
        <v>41</v>
      </c>
      <c r="Z46" s="27" t="s">
        <v>50</v>
      </c>
      <c r="AA46" s="27" t="s">
        <v>43</v>
      </c>
      <c r="AB46" s="27">
        <v>9372748661</v>
      </c>
      <c r="AC46" s="27" t="s">
        <v>53</v>
      </c>
    </row>
    <row r="47" spans="8:29" ht="15" thickBot="1" x14ac:dyDescent="0.4">
      <c r="H47" s="30" t="s">
        <v>140</v>
      </c>
      <c r="I47" s="30" t="s">
        <v>72</v>
      </c>
      <c r="J47" s="30" t="s">
        <v>36</v>
      </c>
      <c r="K47" s="31">
        <v>45839</v>
      </c>
      <c r="L47" s="31">
        <v>45851</v>
      </c>
      <c r="M47" s="30" t="s">
        <v>73</v>
      </c>
      <c r="N47" s="30" t="s">
        <v>26</v>
      </c>
      <c r="O47" s="31">
        <v>28079</v>
      </c>
      <c r="P47" s="30" t="s">
        <v>91</v>
      </c>
      <c r="Q47" s="30" t="s">
        <v>75</v>
      </c>
      <c r="R47" s="30" t="s">
        <v>39</v>
      </c>
      <c r="S47" s="30" t="s">
        <v>40</v>
      </c>
      <c r="T47" s="30">
        <v>11</v>
      </c>
      <c r="U47" s="30">
        <v>12000</v>
      </c>
      <c r="V47" s="30">
        <v>0</v>
      </c>
      <c r="W47" s="30">
        <v>132000</v>
      </c>
      <c r="X47" s="30">
        <v>3</v>
      </c>
      <c r="Y47" s="30" t="s">
        <v>65</v>
      </c>
      <c r="Z47" s="30" t="s">
        <v>32</v>
      </c>
      <c r="AA47" s="30" t="s">
        <v>93</v>
      </c>
      <c r="AB47" s="30">
        <v>9570437805</v>
      </c>
      <c r="AC47" s="30" t="s">
        <v>52</v>
      </c>
    </row>
    <row r="48" spans="8:29" ht="15" thickBot="1" x14ac:dyDescent="0.4">
      <c r="H48" s="27" t="s">
        <v>141</v>
      </c>
      <c r="I48" s="27" t="s">
        <v>134</v>
      </c>
      <c r="J48" s="27" t="s">
        <v>24</v>
      </c>
      <c r="K48" s="28">
        <v>45723</v>
      </c>
      <c r="L48" s="28">
        <v>45731</v>
      </c>
      <c r="M48" s="27" t="s">
        <v>135</v>
      </c>
      <c r="N48" s="27" t="s">
        <v>26</v>
      </c>
      <c r="O48" s="28">
        <v>32444</v>
      </c>
      <c r="P48" s="27" t="s">
        <v>48</v>
      </c>
      <c r="Q48" s="27" t="s">
        <v>28</v>
      </c>
      <c r="R48" s="27" t="s">
        <v>29</v>
      </c>
      <c r="S48" s="27" t="s">
        <v>30</v>
      </c>
      <c r="T48" s="27">
        <v>20</v>
      </c>
      <c r="U48" s="27">
        <v>2200</v>
      </c>
      <c r="V48" s="27">
        <v>5</v>
      </c>
      <c r="W48" s="27">
        <v>41800</v>
      </c>
      <c r="X48" s="27">
        <v>1</v>
      </c>
      <c r="Y48" s="27" t="s">
        <v>31</v>
      </c>
      <c r="Z48" s="27" t="s">
        <v>42</v>
      </c>
      <c r="AA48" s="27" t="s">
        <v>136</v>
      </c>
      <c r="AB48" s="27">
        <v>9310669113</v>
      </c>
      <c r="AC48" s="27" t="s">
        <v>52</v>
      </c>
    </row>
    <row r="49" spans="8:29" ht="15" thickBot="1" x14ac:dyDescent="0.4">
      <c r="H49" s="30" t="s">
        <v>142</v>
      </c>
      <c r="I49" s="30" t="s">
        <v>63</v>
      </c>
      <c r="J49" s="30" t="s">
        <v>125</v>
      </c>
      <c r="K49" s="31">
        <v>45832</v>
      </c>
      <c r="L49" s="31">
        <v>45842</v>
      </c>
      <c r="M49" s="30" t="s">
        <v>110</v>
      </c>
      <c r="N49" s="30" t="s">
        <v>58</v>
      </c>
      <c r="O49" s="31">
        <v>38161</v>
      </c>
      <c r="P49" s="30" t="s">
        <v>91</v>
      </c>
      <c r="Q49" s="30" t="s">
        <v>75</v>
      </c>
      <c r="R49" s="30" t="s">
        <v>83</v>
      </c>
      <c r="S49" s="30" t="s">
        <v>127</v>
      </c>
      <c r="T49" s="30">
        <v>3</v>
      </c>
      <c r="U49" s="30">
        <v>20</v>
      </c>
      <c r="V49" s="30">
        <v>0</v>
      </c>
      <c r="W49" s="30">
        <v>60</v>
      </c>
      <c r="X49" s="30">
        <v>2</v>
      </c>
      <c r="Y49" s="30" t="s">
        <v>60</v>
      </c>
      <c r="Z49" s="30" t="s">
        <v>32</v>
      </c>
      <c r="AA49" s="30" t="s">
        <v>143</v>
      </c>
      <c r="AB49" s="30">
        <v>9437132894</v>
      </c>
      <c r="AC49" s="30" t="s">
        <v>53</v>
      </c>
    </row>
    <row r="50" spans="8:29" ht="15" thickBot="1" x14ac:dyDescent="0.4">
      <c r="H50" s="27" t="s">
        <v>144</v>
      </c>
      <c r="I50" s="27" t="s">
        <v>87</v>
      </c>
      <c r="J50" s="27" t="s">
        <v>138</v>
      </c>
      <c r="K50" s="28">
        <v>45939</v>
      </c>
      <c r="L50" s="28">
        <v>45949</v>
      </c>
      <c r="M50" s="27" t="s">
        <v>88</v>
      </c>
      <c r="N50" s="27" t="s">
        <v>58</v>
      </c>
      <c r="O50" s="28">
        <v>35177</v>
      </c>
      <c r="P50" s="27" t="s">
        <v>79</v>
      </c>
      <c r="Q50" s="27" t="s">
        <v>75</v>
      </c>
      <c r="R50" s="27" t="s">
        <v>83</v>
      </c>
      <c r="S50" s="27" t="s">
        <v>139</v>
      </c>
      <c r="T50" s="27">
        <v>18</v>
      </c>
      <c r="U50" s="27">
        <v>45</v>
      </c>
      <c r="V50" s="27">
        <v>20</v>
      </c>
      <c r="W50" s="27">
        <v>648</v>
      </c>
      <c r="X50" s="27">
        <v>4</v>
      </c>
      <c r="Y50" s="27" t="s">
        <v>41</v>
      </c>
      <c r="Z50" s="27" t="s">
        <v>32</v>
      </c>
      <c r="AA50" s="27" t="s">
        <v>89</v>
      </c>
      <c r="AB50" s="27">
        <v>9762437243</v>
      </c>
      <c r="AC50" s="27" t="s">
        <v>53</v>
      </c>
    </row>
    <row r="51" spans="8:29" ht="15" thickBot="1" x14ac:dyDescent="0.4">
      <c r="H51" s="30" t="s">
        <v>145</v>
      </c>
      <c r="I51" s="30" t="s">
        <v>87</v>
      </c>
      <c r="J51" s="30" t="s">
        <v>56</v>
      </c>
      <c r="K51" s="31">
        <v>45980</v>
      </c>
      <c r="L51" s="31">
        <v>45987</v>
      </c>
      <c r="M51" s="30" t="s">
        <v>88</v>
      </c>
      <c r="N51" s="30" t="s">
        <v>58</v>
      </c>
      <c r="O51" s="31">
        <v>29043</v>
      </c>
      <c r="P51" s="30" t="s">
        <v>48</v>
      </c>
      <c r="Q51" s="30" t="s">
        <v>28</v>
      </c>
      <c r="R51" s="30" t="s">
        <v>39</v>
      </c>
      <c r="S51" s="30" t="s">
        <v>59</v>
      </c>
      <c r="T51" s="30">
        <v>4</v>
      </c>
      <c r="U51" s="30">
        <v>1200</v>
      </c>
      <c r="V51" s="30">
        <v>20</v>
      </c>
      <c r="W51" s="30">
        <v>3840</v>
      </c>
      <c r="X51" s="30">
        <v>3</v>
      </c>
      <c r="Y51" s="30" t="s">
        <v>41</v>
      </c>
      <c r="Z51" s="30" t="s">
        <v>50</v>
      </c>
      <c r="AA51" s="30" t="s">
        <v>89</v>
      </c>
      <c r="AB51" s="30">
        <v>9149046970</v>
      </c>
      <c r="AC51" s="22" t="s">
        <v>34</v>
      </c>
    </row>
    <row r="52" spans="8:29" ht="29.5" thickBot="1" x14ac:dyDescent="0.4">
      <c r="H52" s="27" t="s">
        <v>146</v>
      </c>
      <c r="I52" s="27" t="s">
        <v>55</v>
      </c>
      <c r="J52" s="27" t="s">
        <v>46</v>
      </c>
      <c r="K52" s="28">
        <v>45966</v>
      </c>
      <c r="L52" s="28">
        <v>45975</v>
      </c>
      <c r="M52" s="27" t="s">
        <v>57</v>
      </c>
      <c r="N52" s="27" t="s">
        <v>58</v>
      </c>
      <c r="O52" s="28">
        <v>29491</v>
      </c>
      <c r="P52" s="27" t="s">
        <v>147</v>
      </c>
      <c r="Q52" s="27" t="s">
        <v>148</v>
      </c>
      <c r="R52" s="27" t="s">
        <v>39</v>
      </c>
      <c r="S52" s="27" t="s">
        <v>49</v>
      </c>
      <c r="T52" s="27">
        <v>10</v>
      </c>
      <c r="U52" s="27">
        <v>55000</v>
      </c>
      <c r="V52" s="27">
        <v>0</v>
      </c>
      <c r="W52" s="27">
        <v>550000</v>
      </c>
      <c r="X52" s="27">
        <v>1</v>
      </c>
      <c r="Y52" s="27" t="s">
        <v>65</v>
      </c>
      <c r="Z52" s="27" t="s">
        <v>42</v>
      </c>
      <c r="AA52" s="27" t="s">
        <v>61</v>
      </c>
      <c r="AB52" s="27">
        <v>9869182901</v>
      </c>
      <c r="AC52" s="27" t="s">
        <v>53</v>
      </c>
    </row>
    <row r="53" spans="8:29" ht="15" thickBot="1" x14ac:dyDescent="0.4">
      <c r="H53" s="30" t="s">
        <v>149</v>
      </c>
      <c r="I53" s="30" t="s">
        <v>134</v>
      </c>
      <c r="J53" s="30" t="s">
        <v>68</v>
      </c>
      <c r="K53" s="31">
        <v>46089</v>
      </c>
      <c r="L53" s="31">
        <v>46101</v>
      </c>
      <c r="M53" s="30" t="s">
        <v>135</v>
      </c>
      <c r="N53" s="30" t="s">
        <v>26</v>
      </c>
      <c r="O53" s="31">
        <v>29393</v>
      </c>
      <c r="P53" s="30" t="s">
        <v>37</v>
      </c>
      <c r="Q53" s="30" t="s">
        <v>38</v>
      </c>
      <c r="R53" s="30" t="s">
        <v>29</v>
      </c>
      <c r="S53" s="30" t="s">
        <v>70</v>
      </c>
      <c r="T53" s="30">
        <v>20</v>
      </c>
      <c r="U53" s="30">
        <v>3500</v>
      </c>
      <c r="V53" s="30">
        <v>10</v>
      </c>
      <c r="W53" s="30">
        <v>63000</v>
      </c>
      <c r="X53" s="30">
        <v>3</v>
      </c>
      <c r="Y53" s="30" t="s">
        <v>60</v>
      </c>
      <c r="Z53" s="30" t="s">
        <v>42</v>
      </c>
      <c r="AA53" s="30" t="s">
        <v>136</v>
      </c>
      <c r="AB53" s="30">
        <v>9283578533</v>
      </c>
      <c r="AC53" s="30" t="s">
        <v>53</v>
      </c>
    </row>
    <row r="54" spans="8:29" ht="15" thickBot="1" x14ac:dyDescent="0.4">
      <c r="H54" s="27" t="s">
        <v>150</v>
      </c>
      <c r="I54" s="27" t="s">
        <v>23</v>
      </c>
      <c r="J54" s="27" t="s">
        <v>125</v>
      </c>
      <c r="K54" s="28">
        <v>45701</v>
      </c>
      <c r="L54" s="28">
        <v>45707</v>
      </c>
      <c r="M54" s="27" t="s">
        <v>25</v>
      </c>
      <c r="N54" s="27" t="s">
        <v>26</v>
      </c>
      <c r="O54" s="28">
        <v>29023</v>
      </c>
      <c r="P54" s="27" t="s">
        <v>79</v>
      </c>
      <c r="Q54" s="27" t="s">
        <v>75</v>
      </c>
      <c r="R54" s="27" t="s">
        <v>83</v>
      </c>
      <c r="S54" s="27" t="s">
        <v>127</v>
      </c>
      <c r="T54" s="27">
        <v>5</v>
      </c>
      <c r="U54" s="27">
        <v>1200</v>
      </c>
      <c r="V54" s="27">
        <v>0</v>
      </c>
      <c r="W54" s="27">
        <v>100</v>
      </c>
      <c r="X54" s="27">
        <v>1</v>
      </c>
      <c r="Y54" s="27" t="s">
        <v>31</v>
      </c>
      <c r="Z54" s="27" t="s">
        <v>42</v>
      </c>
      <c r="AA54" s="27" t="s">
        <v>43</v>
      </c>
      <c r="AB54" s="27">
        <v>9963005771</v>
      </c>
      <c r="AC54" s="27" t="s">
        <v>53</v>
      </c>
    </row>
    <row r="55" spans="8:29" ht="15" thickBot="1" x14ac:dyDescent="0.4">
      <c r="H55" s="30" t="s">
        <v>151</v>
      </c>
      <c r="I55" s="30" t="s">
        <v>45</v>
      </c>
      <c r="J55" s="30" t="s">
        <v>105</v>
      </c>
      <c r="K55" s="31">
        <v>45935</v>
      </c>
      <c r="L55" s="31">
        <v>45945</v>
      </c>
      <c r="M55" s="30" t="s">
        <v>101</v>
      </c>
      <c r="N55" s="30" t="s">
        <v>26</v>
      </c>
      <c r="O55" s="31">
        <v>33773</v>
      </c>
      <c r="P55" s="30" t="s">
        <v>74</v>
      </c>
      <c r="Q55" s="30" t="s">
        <v>75</v>
      </c>
      <c r="R55" s="30" t="s">
        <v>29</v>
      </c>
      <c r="S55" s="30" t="s">
        <v>107</v>
      </c>
      <c r="T55" s="30">
        <v>20</v>
      </c>
      <c r="U55" s="30">
        <v>8500</v>
      </c>
      <c r="V55" s="30">
        <v>0</v>
      </c>
      <c r="W55" s="30">
        <v>170000</v>
      </c>
      <c r="X55" s="30">
        <v>1</v>
      </c>
      <c r="Y55" s="30" t="s">
        <v>65</v>
      </c>
      <c r="Z55" s="30" t="s">
        <v>80</v>
      </c>
      <c r="AA55" s="30" t="s">
        <v>51</v>
      </c>
      <c r="AB55" s="30">
        <v>9484632635</v>
      </c>
      <c r="AC55" s="30" t="s">
        <v>53</v>
      </c>
    </row>
    <row r="56" spans="8:29" ht="15" thickBot="1" x14ac:dyDescent="0.4">
      <c r="H56" s="27" t="s">
        <v>152</v>
      </c>
      <c r="I56" s="27" t="s">
        <v>63</v>
      </c>
      <c r="J56" s="27" t="s">
        <v>82</v>
      </c>
      <c r="K56" s="28">
        <v>46063</v>
      </c>
      <c r="L56" s="28">
        <v>46065</v>
      </c>
      <c r="M56" s="27" t="s">
        <v>110</v>
      </c>
      <c r="N56" s="27" t="s">
        <v>58</v>
      </c>
      <c r="O56" s="28">
        <v>34491</v>
      </c>
      <c r="P56" s="27" t="s">
        <v>48</v>
      </c>
      <c r="Q56" s="27" t="s">
        <v>28</v>
      </c>
      <c r="R56" s="27" t="s">
        <v>83</v>
      </c>
      <c r="S56" s="27" t="s">
        <v>84</v>
      </c>
      <c r="T56" s="27">
        <v>8</v>
      </c>
      <c r="U56" s="27">
        <v>60</v>
      </c>
      <c r="V56" s="27">
        <v>15</v>
      </c>
      <c r="W56" s="27">
        <v>408</v>
      </c>
      <c r="X56" s="27">
        <v>5</v>
      </c>
      <c r="Y56" s="27" t="s">
        <v>65</v>
      </c>
      <c r="Z56" s="27" t="s">
        <v>42</v>
      </c>
      <c r="AA56" s="27" t="s">
        <v>66</v>
      </c>
      <c r="AB56" s="27">
        <v>9276319484</v>
      </c>
      <c r="AC56" s="27" t="s">
        <v>52</v>
      </c>
    </row>
    <row r="57" spans="8:29" ht="15" thickBot="1" x14ac:dyDescent="0.4">
      <c r="H57" s="30" t="s">
        <v>153</v>
      </c>
      <c r="I57" s="30" t="s">
        <v>45</v>
      </c>
      <c r="J57" s="30" t="s">
        <v>68</v>
      </c>
      <c r="K57" s="31">
        <v>45812</v>
      </c>
      <c r="L57" s="31">
        <v>45824</v>
      </c>
      <c r="M57" s="30" t="s">
        <v>101</v>
      </c>
      <c r="N57" s="30" t="s">
        <v>26</v>
      </c>
      <c r="O57" s="31">
        <v>32408</v>
      </c>
      <c r="P57" s="30" t="s">
        <v>79</v>
      </c>
      <c r="Q57" s="30" t="s">
        <v>75</v>
      </c>
      <c r="R57" s="30" t="s">
        <v>29</v>
      </c>
      <c r="S57" s="30" t="s">
        <v>70</v>
      </c>
      <c r="T57" s="30">
        <v>8</v>
      </c>
      <c r="U57" s="30">
        <v>3500</v>
      </c>
      <c r="V57" s="30">
        <v>5</v>
      </c>
      <c r="W57" s="30">
        <v>26600</v>
      </c>
      <c r="X57" s="30">
        <v>1</v>
      </c>
      <c r="Y57" s="30" t="s">
        <v>60</v>
      </c>
      <c r="Z57" s="30" t="s">
        <v>80</v>
      </c>
      <c r="AA57" s="30" t="s">
        <v>51</v>
      </c>
      <c r="AB57" s="30">
        <v>9619034852</v>
      </c>
      <c r="AC57" s="30" t="s">
        <v>52</v>
      </c>
    </row>
    <row r="58" spans="8:29" ht="29.5" thickBot="1" x14ac:dyDescent="0.4">
      <c r="H58" s="27" t="s">
        <v>154</v>
      </c>
      <c r="I58" s="27" t="s">
        <v>55</v>
      </c>
      <c r="J58" s="27" t="s">
        <v>105</v>
      </c>
      <c r="K58" s="28">
        <v>46061</v>
      </c>
      <c r="L58" s="28">
        <v>46067</v>
      </c>
      <c r="M58" s="27" t="s">
        <v>57</v>
      </c>
      <c r="N58" s="27" t="s">
        <v>58</v>
      </c>
      <c r="O58" s="28">
        <v>37086</v>
      </c>
      <c r="P58" s="27" t="s">
        <v>121</v>
      </c>
      <c r="Q58" s="27" t="s">
        <v>38</v>
      </c>
      <c r="R58" s="27" t="s">
        <v>29</v>
      </c>
      <c r="S58" s="27" t="s">
        <v>107</v>
      </c>
      <c r="T58" s="27">
        <v>1</v>
      </c>
      <c r="U58" s="27">
        <v>8500</v>
      </c>
      <c r="V58" s="27">
        <v>0</v>
      </c>
      <c r="W58" s="27">
        <v>8500</v>
      </c>
      <c r="X58" s="27">
        <v>2</v>
      </c>
      <c r="Y58" s="27" t="s">
        <v>60</v>
      </c>
      <c r="Z58" s="27" t="s">
        <v>80</v>
      </c>
      <c r="AA58" s="27" t="s">
        <v>61</v>
      </c>
      <c r="AB58" s="27">
        <v>9636416962</v>
      </c>
      <c r="AC58" s="27" t="s">
        <v>52</v>
      </c>
    </row>
    <row r="59" spans="8:29" ht="29.5" thickBot="1" x14ac:dyDescent="0.4">
      <c r="H59" s="30" t="s">
        <v>155</v>
      </c>
      <c r="I59" s="30" t="s">
        <v>156</v>
      </c>
      <c r="J59" s="30" t="s">
        <v>138</v>
      </c>
      <c r="K59" s="31">
        <v>45746</v>
      </c>
      <c r="L59" s="31">
        <v>45747</v>
      </c>
      <c r="M59" s="30" t="s">
        <v>157</v>
      </c>
      <c r="N59" s="30" t="s">
        <v>58</v>
      </c>
      <c r="O59" s="31">
        <v>33459</v>
      </c>
      <c r="P59" s="30" t="s">
        <v>79</v>
      </c>
      <c r="Q59" s="30" t="s">
        <v>75</v>
      </c>
      <c r="R59" s="30" t="s">
        <v>83</v>
      </c>
      <c r="S59" s="30" t="s">
        <v>139</v>
      </c>
      <c r="T59" s="30">
        <v>8</v>
      </c>
      <c r="U59" s="30">
        <v>45</v>
      </c>
      <c r="V59" s="30">
        <v>15</v>
      </c>
      <c r="W59" s="30">
        <v>306</v>
      </c>
      <c r="X59" s="30">
        <v>2</v>
      </c>
      <c r="Y59" s="30" t="s">
        <v>60</v>
      </c>
      <c r="Z59" s="30" t="s">
        <v>50</v>
      </c>
      <c r="AA59" s="30" t="s">
        <v>158</v>
      </c>
      <c r="AB59" s="30">
        <v>9357133880</v>
      </c>
      <c r="AC59" s="22" t="s">
        <v>34</v>
      </c>
    </row>
    <row r="60" spans="8:29" ht="15" thickBot="1" x14ac:dyDescent="0.4">
      <c r="H60" s="27" t="s">
        <v>159</v>
      </c>
      <c r="I60" s="27" t="s">
        <v>134</v>
      </c>
      <c r="J60" s="27" t="s">
        <v>24</v>
      </c>
      <c r="K60" s="28">
        <v>45772</v>
      </c>
      <c r="L60" s="28">
        <v>45775</v>
      </c>
      <c r="M60" s="27" t="s">
        <v>135</v>
      </c>
      <c r="N60" s="27" t="s">
        <v>26</v>
      </c>
      <c r="O60" s="28">
        <v>32437</v>
      </c>
      <c r="P60" s="27" t="s">
        <v>79</v>
      </c>
      <c r="Q60" s="27" t="s">
        <v>75</v>
      </c>
      <c r="R60" s="27" t="s">
        <v>29</v>
      </c>
      <c r="S60" s="27" t="s">
        <v>30</v>
      </c>
      <c r="T60" s="27">
        <v>16</v>
      </c>
      <c r="U60" s="27">
        <v>2200</v>
      </c>
      <c r="V60" s="27">
        <v>5</v>
      </c>
      <c r="W60" s="27">
        <v>33440</v>
      </c>
      <c r="X60" s="27">
        <v>5</v>
      </c>
      <c r="Y60" s="27" t="s">
        <v>60</v>
      </c>
      <c r="Z60" s="27" t="s">
        <v>50</v>
      </c>
      <c r="AA60" s="27" t="s">
        <v>136</v>
      </c>
      <c r="AB60" s="27">
        <v>9575210324</v>
      </c>
      <c r="AC60" s="27" t="s">
        <v>53</v>
      </c>
    </row>
    <row r="61" spans="8:29" ht="29.5" thickBot="1" x14ac:dyDescent="0.4">
      <c r="H61" s="30" t="s">
        <v>160</v>
      </c>
      <c r="I61" s="30" t="s">
        <v>55</v>
      </c>
      <c r="J61" s="30" t="s">
        <v>68</v>
      </c>
      <c r="K61" s="31">
        <v>45943</v>
      </c>
      <c r="L61" s="31">
        <v>45953</v>
      </c>
      <c r="M61" s="30" t="s">
        <v>57</v>
      </c>
      <c r="N61" s="30" t="s">
        <v>58</v>
      </c>
      <c r="O61" s="31">
        <v>37579</v>
      </c>
      <c r="P61" s="30" t="s">
        <v>48</v>
      </c>
      <c r="Q61" s="30" t="s">
        <v>28</v>
      </c>
      <c r="R61" s="30" t="s">
        <v>29</v>
      </c>
      <c r="S61" s="30" t="s">
        <v>70</v>
      </c>
      <c r="T61" s="30">
        <v>19</v>
      </c>
      <c r="U61" s="30">
        <v>3500</v>
      </c>
      <c r="V61" s="30">
        <v>20</v>
      </c>
      <c r="W61" s="30">
        <v>53200</v>
      </c>
      <c r="X61" s="30">
        <v>3</v>
      </c>
      <c r="Y61" s="30" t="s">
        <v>31</v>
      </c>
      <c r="Z61" s="30" t="s">
        <v>96</v>
      </c>
      <c r="AA61" s="30" t="s">
        <v>61</v>
      </c>
      <c r="AB61" s="30">
        <v>9276080204</v>
      </c>
      <c r="AC61" s="30" t="s">
        <v>53</v>
      </c>
    </row>
    <row r="62" spans="8:29" ht="15" thickBot="1" x14ac:dyDescent="0.4">
      <c r="H62" s="27" t="s">
        <v>161</v>
      </c>
      <c r="I62" s="27" t="s">
        <v>134</v>
      </c>
      <c r="J62" s="27" t="s">
        <v>112</v>
      </c>
      <c r="K62" s="28">
        <v>45941</v>
      </c>
      <c r="L62" s="28">
        <v>45944</v>
      </c>
      <c r="M62" s="27" t="s">
        <v>135</v>
      </c>
      <c r="N62" s="27" t="s">
        <v>26</v>
      </c>
      <c r="O62" s="28">
        <v>36713</v>
      </c>
      <c r="P62" s="27" t="s">
        <v>79</v>
      </c>
      <c r="Q62" s="27" t="s">
        <v>75</v>
      </c>
      <c r="R62" s="27" t="s">
        <v>39</v>
      </c>
      <c r="S62" s="27" t="s">
        <v>114</v>
      </c>
      <c r="T62" s="27">
        <v>15</v>
      </c>
      <c r="U62" s="27">
        <v>700</v>
      </c>
      <c r="V62" s="27">
        <v>15</v>
      </c>
      <c r="W62" s="27">
        <v>8925</v>
      </c>
      <c r="X62" s="27">
        <v>4</v>
      </c>
      <c r="Y62" s="27" t="s">
        <v>65</v>
      </c>
      <c r="Z62" s="27" t="s">
        <v>80</v>
      </c>
      <c r="AA62" s="27" t="s">
        <v>162</v>
      </c>
      <c r="AB62" s="27">
        <v>9856624471</v>
      </c>
      <c r="AC62" s="21" t="s">
        <v>34</v>
      </c>
    </row>
    <row r="63" spans="8:29" ht="15" thickBot="1" x14ac:dyDescent="0.4">
      <c r="H63" s="30" t="s">
        <v>163</v>
      </c>
      <c r="I63" s="30" t="s">
        <v>134</v>
      </c>
      <c r="J63" s="30" t="s">
        <v>112</v>
      </c>
      <c r="K63" s="31">
        <v>45988</v>
      </c>
      <c r="L63" s="31">
        <v>45994</v>
      </c>
      <c r="M63" s="30" t="s">
        <v>135</v>
      </c>
      <c r="N63" s="30" t="s">
        <v>26</v>
      </c>
      <c r="O63" s="31">
        <v>36125</v>
      </c>
      <c r="P63" s="30" t="s">
        <v>121</v>
      </c>
      <c r="Q63" s="30" t="s">
        <v>38</v>
      </c>
      <c r="R63" s="30" t="s">
        <v>39</v>
      </c>
      <c r="S63" s="30" t="s">
        <v>114</v>
      </c>
      <c r="T63" s="30">
        <v>19</v>
      </c>
      <c r="U63" s="30">
        <v>700</v>
      </c>
      <c r="V63" s="30">
        <v>20</v>
      </c>
      <c r="W63" s="30">
        <v>10640</v>
      </c>
      <c r="X63" s="30">
        <v>1</v>
      </c>
      <c r="Y63" s="30" t="s">
        <v>31</v>
      </c>
      <c r="Z63" s="30" t="s">
        <v>80</v>
      </c>
      <c r="AA63" s="30" t="s">
        <v>136</v>
      </c>
      <c r="AB63" s="30">
        <v>9238141322</v>
      </c>
      <c r="AC63" s="22" t="s">
        <v>34</v>
      </c>
    </row>
    <row r="64" spans="8:29" ht="29.5" thickBot="1" x14ac:dyDescent="0.4">
      <c r="H64" s="27" t="s">
        <v>164</v>
      </c>
      <c r="I64" s="27" t="s">
        <v>55</v>
      </c>
      <c r="J64" s="27" t="s">
        <v>36</v>
      </c>
      <c r="K64" s="23">
        <v>46131</v>
      </c>
      <c r="L64" s="27"/>
      <c r="M64" s="27" t="s">
        <v>57</v>
      </c>
      <c r="N64" s="27" t="s">
        <v>58</v>
      </c>
      <c r="O64" s="28">
        <v>35219</v>
      </c>
      <c r="P64" s="27" t="s">
        <v>37</v>
      </c>
      <c r="Q64" s="27" t="s">
        <v>38</v>
      </c>
      <c r="R64" s="27" t="s">
        <v>39</v>
      </c>
      <c r="S64" s="27" t="s">
        <v>40</v>
      </c>
      <c r="T64" s="27">
        <v>19</v>
      </c>
      <c r="U64" s="27">
        <v>12000</v>
      </c>
      <c r="V64" s="27">
        <v>0</v>
      </c>
      <c r="W64" s="27">
        <v>228000</v>
      </c>
      <c r="X64" s="27">
        <v>1</v>
      </c>
      <c r="Y64" s="27" t="s">
        <v>41</v>
      </c>
      <c r="Z64" s="27" t="s">
        <v>50</v>
      </c>
      <c r="AA64" s="27" t="s">
        <v>61</v>
      </c>
      <c r="AB64" s="27">
        <v>9890380030</v>
      </c>
      <c r="AC64" s="21" t="s">
        <v>34</v>
      </c>
    </row>
    <row r="65" spans="8:29" ht="15" thickBot="1" x14ac:dyDescent="0.4">
      <c r="H65" s="30" t="s">
        <v>165</v>
      </c>
      <c r="I65" s="30" t="s">
        <v>104</v>
      </c>
      <c r="J65" s="30" t="s">
        <v>56</v>
      </c>
      <c r="K65" s="31">
        <v>46131</v>
      </c>
      <c r="L65" s="31">
        <v>46133</v>
      </c>
      <c r="M65" s="30" t="s">
        <v>166</v>
      </c>
      <c r="N65" s="30" t="s">
        <v>26</v>
      </c>
      <c r="O65" s="31">
        <v>31851</v>
      </c>
      <c r="P65" s="30" t="s">
        <v>79</v>
      </c>
      <c r="Q65" s="30" t="s">
        <v>75</v>
      </c>
      <c r="R65" s="30" t="s">
        <v>39</v>
      </c>
      <c r="S65" s="30" t="s">
        <v>59</v>
      </c>
      <c r="T65" s="30">
        <v>6</v>
      </c>
      <c r="U65" s="30">
        <v>1200</v>
      </c>
      <c r="V65" s="30">
        <v>5</v>
      </c>
      <c r="W65" s="30">
        <v>6840</v>
      </c>
      <c r="X65" s="30">
        <v>2</v>
      </c>
      <c r="Y65" s="30" t="s">
        <v>31</v>
      </c>
      <c r="Z65" s="30" t="s">
        <v>32</v>
      </c>
      <c r="AA65" s="30" t="s">
        <v>108</v>
      </c>
      <c r="AB65" s="30">
        <v>9495893170</v>
      </c>
      <c r="AC65" s="30" t="s">
        <v>52</v>
      </c>
    </row>
    <row r="66" spans="8:29" ht="15" thickBot="1" x14ac:dyDescent="0.4">
      <c r="H66" s="27" t="s">
        <v>167</v>
      </c>
      <c r="I66" s="27" t="s">
        <v>45</v>
      </c>
      <c r="J66" s="27" t="s">
        <v>24</v>
      </c>
      <c r="K66" s="28">
        <v>45744</v>
      </c>
      <c r="L66" s="28">
        <v>45754</v>
      </c>
      <c r="M66" s="27" t="s">
        <v>168</v>
      </c>
      <c r="N66" s="27" t="s">
        <v>26</v>
      </c>
      <c r="O66" s="28">
        <v>28906</v>
      </c>
      <c r="P66" s="27" t="s">
        <v>48</v>
      </c>
      <c r="Q66" s="27" t="s">
        <v>28</v>
      </c>
      <c r="R66" s="27" t="s">
        <v>29</v>
      </c>
      <c r="S66" s="27" t="s">
        <v>30</v>
      </c>
      <c r="T66" s="27">
        <v>7</v>
      </c>
      <c r="U66" s="27">
        <v>2200</v>
      </c>
      <c r="V66" s="27">
        <v>15</v>
      </c>
      <c r="W66" s="27">
        <v>13090</v>
      </c>
      <c r="X66" s="27">
        <v>1</v>
      </c>
      <c r="Y66" s="27" t="s">
        <v>65</v>
      </c>
      <c r="Z66" s="27" t="s">
        <v>50</v>
      </c>
      <c r="AA66" s="27" t="s">
        <v>51</v>
      </c>
      <c r="AB66" s="27">
        <v>9485166307</v>
      </c>
      <c r="AC66" s="21" t="s">
        <v>34</v>
      </c>
    </row>
    <row r="67" spans="8:29" ht="15" thickBot="1" x14ac:dyDescent="0.4">
      <c r="H67" s="30" t="s">
        <v>169</v>
      </c>
      <c r="I67" s="30" t="s">
        <v>72</v>
      </c>
      <c r="J67" s="30" t="s">
        <v>82</v>
      </c>
      <c r="K67" s="31">
        <v>45894</v>
      </c>
      <c r="L67" s="31">
        <v>45897</v>
      </c>
      <c r="M67" s="30" t="s">
        <v>73</v>
      </c>
      <c r="N67" s="30" t="s">
        <v>26</v>
      </c>
      <c r="O67" s="31">
        <v>36747</v>
      </c>
      <c r="P67" s="30" t="s">
        <v>121</v>
      </c>
      <c r="Q67" s="30" t="s">
        <v>38</v>
      </c>
      <c r="R67" s="30" t="s">
        <v>83</v>
      </c>
      <c r="S67" s="30" t="s">
        <v>84</v>
      </c>
      <c r="T67" s="30">
        <v>8</v>
      </c>
      <c r="U67" s="30">
        <v>60</v>
      </c>
      <c r="V67" s="30">
        <v>10</v>
      </c>
      <c r="W67" s="30">
        <v>432</v>
      </c>
      <c r="X67" s="30">
        <v>5</v>
      </c>
      <c r="Y67" s="30" t="s">
        <v>60</v>
      </c>
      <c r="Z67" s="30" t="s">
        <v>50</v>
      </c>
      <c r="AA67" s="30" t="s">
        <v>93</v>
      </c>
      <c r="AB67" s="30">
        <v>9924709648</v>
      </c>
      <c r="AC67" s="30" t="s">
        <v>53</v>
      </c>
    </row>
    <row r="68" spans="8:29" ht="15" thickBot="1" x14ac:dyDescent="0.4">
      <c r="H68" s="27" t="s">
        <v>170</v>
      </c>
      <c r="I68" s="27" t="s">
        <v>124</v>
      </c>
      <c r="J68" s="27" t="s">
        <v>46</v>
      </c>
      <c r="K68" s="28">
        <v>45888</v>
      </c>
      <c r="L68" s="28">
        <v>45892</v>
      </c>
      <c r="M68" s="27" t="s">
        <v>126</v>
      </c>
      <c r="N68" s="27" t="s">
        <v>58</v>
      </c>
      <c r="O68" s="28">
        <v>27776</v>
      </c>
      <c r="P68" s="27" t="s">
        <v>147</v>
      </c>
      <c r="Q68" s="27" t="s">
        <v>148</v>
      </c>
      <c r="R68" s="27" t="s">
        <v>39</v>
      </c>
      <c r="S68" s="27" t="s">
        <v>49</v>
      </c>
      <c r="T68" s="27">
        <v>12</v>
      </c>
      <c r="U68" s="27">
        <v>55000</v>
      </c>
      <c r="V68" s="27">
        <v>5</v>
      </c>
      <c r="W68" s="27">
        <v>627000</v>
      </c>
      <c r="X68" s="27">
        <v>2</v>
      </c>
      <c r="Y68" s="27" t="s">
        <v>65</v>
      </c>
      <c r="Z68" s="27" t="s">
        <v>42</v>
      </c>
      <c r="AA68" s="27" t="s">
        <v>128</v>
      </c>
      <c r="AB68" s="27">
        <v>9350554626</v>
      </c>
      <c r="AC68" s="27" t="s">
        <v>52</v>
      </c>
    </row>
    <row r="69" spans="8:29" ht="15" thickBot="1" x14ac:dyDescent="0.4">
      <c r="H69" s="30" t="s">
        <v>171</v>
      </c>
      <c r="I69" s="30" t="s">
        <v>23</v>
      </c>
      <c r="J69" s="30" t="s">
        <v>112</v>
      </c>
      <c r="K69" s="31">
        <v>45865</v>
      </c>
      <c r="L69" s="31">
        <v>45874</v>
      </c>
      <c r="M69" s="30" t="s">
        <v>25</v>
      </c>
      <c r="N69" s="30" t="s">
        <v>26</v>
      </c>
      <c r="O69" s="31">
        <v>27488</v>
      </c>
      <c r="P69" s="30" t="s">
        <v>121</v>
      </c>
      <c r="Q69" s="30" t="s">
        <v>38</v>
      </c>
      <c r="R69" s="30" t="s">
        <v>39</v>
      </c>
      <c r="S69" s="30" t="s">
        <v>114</v>
      </c>
      <c r="T69" s="30">
        <v>3</v>
      </c>
      <c r="U69" s="30">
        <v>700</v>
      </c>
      <c r="V69" s="30">
        <v>0</v>
      </c>
      <c r="W69" s="30">
        <v>2100</v>
      </c>
      <c r="X69" s="30">
        <v>3</v>
      </c>
      <c r="Y69" s="30" t="s">
        <v>60</v>
      </c>
      <c r="Z69" s="30" t="s">
        <v>96</v>
      </c>
      <c r="AA69" s="30" t="s">
        <v>43</v>
      </c>
      <c r="AB69" s="30">
        <v>9743295580</v>
      </c>
      <c r="AC69" s="30" t="s">
        <v>53</v>
      </c>
    </row>
    <row r="70" spans="8:29" ht="15" thickBot="1" x14ac:dyDescent="0.4">
      <c r="H70" s="27" t="s">
        <v>172</v>
      </c>
      <c r="I70" s="27" t="s">
        <v>87</v>
      </c>
      <c r="J70" s="27" t="s">
        <v>82</v>
      </c>
      <c r="K70" s="28">
        <v>45709</v>
      </c>
      <c r="L70" s="28">
        <v>45714</v>
      </c>
      <c r="M70" s="27" t="s">
        <v>173</v>
      </c>
      <c r="N70" s="27" t="s">
        <v>58</v>
      </c>
      <c r="O70" s="28">
        <v>28105</v>
      </c>
      <c r="P70" s="27" t="s">
        <v>91</v>
      </c>
      <c r="Q70" s="27" t="s">
        <v>75</v>
      </c>
      <c r="R70" s="27" t="s">
        <v>83</v>
      </c>
      <c r="S70" s="27" t="s">
        <v>84</v>
      </c>
      <c r="T70" s="27">
        <v>19</v>
      </c>
      <c r="U70" s="27">
        <v>60</v>
      </c>
      <c r="V70" s="27">
        <v>15</v>
      </c>
      <c r="W70" s="27">
        <v>969</v>
      </c>
      <c r="X70" s="27">
        <v>4</v>
      </c>
      <c r="Y70" s="27" t="s">
        <v>60</v>
      </c>
      <c r="Z70" s="27" t="s">
        <v>42</v>
      </c>
      <c r="AA70" s="27" t="s">
        <v>89</v>
      </c>
      <c r="AB70" s="27">
        <v>9822926495</v>
      </c>
      <c r="AC70" s="27" t="s">
        <v>53</v>
      </c>
    </row>
    <row r="71" spans="8:29" ht="29.5" thickBot="1" x14ac:dyDescent="0.4">
      <c r="H71" s="30" t="s">
        <v>174</v>
      </c>
      <c r="I71" s="30" t="s">
        <v>156</v>
      </c>
      <c r="J71" s="30" t="s">
        <v>82</v>
      </c>
      <c r="K71" s="31">
        <v>45879</v>
      </c>
      <c r="L71" s="31">
        <v>45880</v>
      </c>
      <c r="M71" s="30" t="s">
        <v>106</v>
      </c>
      <c r="N71" s="30" t="s">
        <v>58</v>
      </c>
      <c r="O71" s="31">
        <v>29192</v>
      </c>
      <c r="P71" s="30" t="s">
        <v>121</v>
      </c>
      <c r="Q71" s="30" t="s">
        <v>38</v>
      </c>
      <c r="R71" s="30" t="s">
        <v>83</v>
      </c>
      <c r="S71" s="30" t="s">
        <v>84</v>
      </c>
      <c r="T71" s="30">
        <v>9</v>
      </c>
      <c r="U71" s="30">
        <v>60</v>
      </c>
      <c r="V71" s="30">
        <v>20</v>
      </c>
      <c r="W71" s="30">
        <v>432</v>
      </c>
      <c r="X71" s="30">
        <v>1</v>
      </c>
      <c r="Y71" s="30" t="s">
        <v>41</v>
      </c>
      <c r="Z71" s="30" t="s">
        <v>80</v>
      </c>
      <c r="AA71" s="30" t="s">
        <v>158</v>
      </c>
      <c r="AB71" s="30">
        <v>9518298190</v>
      </c>
      <c r="AC71" s="30" t="s">
        <v>52</v>
      </c>
    </row>
    <row r="72" spans="8:29" ht="15" thickBot="1" x14ac:dyDescent="0.4">
      <c r="H72" s="27" t="s">
        <v>175</v>
      </c>
      <c r="I72" s="27" t="s">
        <v>156</v>
      </c>
      <c r="J72" s="27" t="s">
        <v>112</v>
      </c>
      <c r="K72" s="28">
        <v>46105</v>
      </c>
      <c r="L72" s="28">
        <v>46111</v>
      </c>
      <c r="M72" s="27" t="s">
        <v>106</v>
      </c>
      <c r="N72" s="27" t="s">
        <v>58</v>
      </c>
      <c r="O72" s="28">
        <v>28851</v>
      </c>
      <c r="P72" s="27" t="s">
        <v>48</v>
      </c>
      <c r="Q72" s="27" t="s">
        <v>28</v>
      </c>
      <c r="R72" s="27" t="s">
        <v>39</v>
      </c>
      <c r="S72" s="27" t="s">
        <v>114</v>
      </c>
      <c r="T72" s="27">
        <v>6</v>
      </c>
      <c r="U72" s="27">
        <v>700</v>
      </c>
      <c r="V72" s="27">
        <v>0</v>
      </c>
      <c r="W72" s="27">
        <v>4200</v>
      </c>
      <c r="X72" s="27">
        <v>4</v>
      </c>
      <c r="Y72" s="27" t="s">
        <v>65</v>
      </c>
      <c r="Z72" s="27" t="s">
        <v>42</v>
      </c>
      <c r="AA72" s="27" t="s">
        <v>176</v>
      </c>
      <c r="AB72" s="27">
        <v>9366223547</v>
      </c>
      <c r="AC72" s="27" t="s">
        <v>53</v>
      </c>
    </row>
    <row r="73" spans="8:29" ht="15" thickBot="1" x14ac:dyDescent="0.4">
      <c r="H73" s="30" t="s">
        <v>177</v>
      </c>
      <c r="I73" s="30" t="s">
        <v>87</v>
      </c>
      <c r="J73" s="30" t="s">
        <v>138</v>
      </c>
      <c r="K73" s="31">
        <v>46094</v>
      </c>
      <c r="L73" s="31">
        <v>46100</v>
      </c>
      <c r="M73" s="30" t="s">
        <v>88</v>
      </c>
      <c r="N73" s="30" t="s">
        <v>58</v>
      </c>
      <c r="O73" s="31">
        <v>27499</v>
      </c>
      <c r="P73" s="30" t="s">
        <v>37</v>
      </c>
      <c r="Q73" s="30" t="s">
        <v>38</v>
      </c>
      <c r="R73" s="30" t="s">
        <v>83</v>
      </c>
      <c r="S73" s="30" t="s">
        <v>139</v>
      </c>
      <c r="T73" s="30">
        <v>18</v>
      </c>
      <c r="U73" s="30">
        <v>45</v>
      </c>
      <c r="V73" s="30">
        <v>5</v>
      </c>
      <c r="W73" s="30">
        <v>769.5</v>
      </c>
      <c r="X73" s="30">
        <v>1</v>
      </c>
      <c r="Y73" s="30" t="s">
        <v>60</v>
      </c>
      <c r="Z73" s="30" t="s">
        <v>50</v>
      </c>
      <c r="AA73" s="30" t="s">
        <v>89</v>
      </c>
      <c r="AB73" s="30">
        <v>9701988524</v>
      </c>
      <c r="AC73" s="30" t="s">
        <v>52</v>
      </c>
    </row>
    <row r="74" spans="8:29" ht="15" thickBot="1" x14ac:dyDescent="0.4">
      <c r="H74" s="27" t="s">
        <v>178</v>
      </c>
      <c r="I74" s="27" t="s">
        <v>63</v>
      </c>
      <c r="J74" s="27" t="s">
        <v>125</v>
      </c>
      <c r="K74" s="28">
        <v>45823</v>
      </c>
      <c r="L74" s="28">
        <v>45834</v>
      </c>
      <c r="M74" s="27" t="s">
        <v>110</v>
      </c>
      <c r="N74" s="27" t="s">
        <v>58</v>
      </c>
      <c r="O74" s="28">
        <v>32496</v>
      </c>
      <c r="P74" s="27" t="s">
        <v>121</v>
      </c>
      <c r="Q74" s="27" t="s">
        <v>38</v>
      </c>
      <c r="R74" s="27" t="s">
        <v>83</v>
      </c>
      <c r="S74" s="27" t="s">
        <v>127</v>
      </c>
      <c r="T74" s="27">
        <v>8</v>
      </c>
      <c r="U74" s="27">
        <v>20</v>
      </c>
      <c r="V74" s="27">
        <v>5</v>
      </c>
      <c r="W74" s="27">
        <v>152</v>
      </c>
      <c r="X74" s="27">
        <v>1</v>
      </c>
      <c r="Y74" s="27" t="s">
        <v>60</v>
      </c>
      <c r="Z74" s="27" t="s">
        <v>32</v>
      </c>
      <c r="AA74" s="27" t="s">
        <v>66</v>
      </c>
      <c r="AB74" s="27">
        <v>9836327649</v>
      </c>
      <c r="AC74" s="21" t="s">
        <v>179</v>
      </c>
    </row>
    <row r="75" spans="8:29" ht="15" thickBot="1" x14ac:dyDescent="0.4">
      <c r="H75" s="30" t="s">
        <v>180</v>
      </c>
      <c r="I75" s="30" t="s">
        <v>124</v>
      </c>
      <c r="J75" s="30" t="s">
        <v>112</v>
      </c>
      <c r="K75" s="31">
        <v>45721</v>
      </c>
      <c r="L75" s="31">
        <v>45722</v>
      </c>
      <c r="M75" s="30" t="s">
        <v>126</v>
      </c>
      <c r="N75" s="30" t="s">
        <v>58</v>
      </c>
      <c r="O75" s="31">
        <v>28921</v>
      </c>
      <c r="P75" s="30" t="s">
        <v>121</v>
      </c>
      <c r="Q75" s="30" t="s">
        <v>38</v>
      </c>
      <c r="R75" s="30" t="s">
        <v>39</v>
      </c>
      <c r="S75" s="30" t="s">
        <v>114</v>
      </c>
      <c r="T75" s="30">
        <v>8</v>
      </c>
      <c r="U75" s="30">
        <v>700</v>
      </c>
      <c r="V75" s="30">
        <v>10</v>
      </c>
      <c r="W75" s="30">
        <v>5040</v>
      </c>
      <c r="X75" s="30">
        <v>1</v>
      </c>
      <c r="Y75" s="30" t="s">
        <v>41</v>
      </c>
      <c r="Z75" s="30" t="s">
        <v>50</v>
      </c>
      <c r="AA75" s="32" t="s">
        <v>181</v>
      </c>
      <c r="AB75" s="30">
        <v>9261800516</v>
      </c>
      <c r="AC75" s="30" t="s">
        <v>53</v>
      </c>
    </row>
    <row r="76" spans="8:29" ht="15" thickBot="1" x14ac:dyDescent="0.4">
      <c r="H76" s="27" t="s">
        <v>182</v>
      </c>
      <c r="I76" s="27" t="s">
        <v>23</v>
      </c>
      <c r="J76" s="27" t="s">
        <v>125</v>
      </c>
      <c r="K76" s="28">
        <v>46121</v>
      </c>
      <c r="L76" s="28">
        <v>46131</v>
      </c>
      <c r="M76" s="27" t="s">
        <v>25</v>
      </c>
      <c r="N76" s="27" t="s">
        <v>26</v>
      </c>
      <c r="O76" s="28">
        <v>37972</v>
      </c>
      <c r="P76" s="27" t="s">
        <v>37</v>
      </c>
      <c r="Q76" s="27" t="s">
        <v>38</v>
      </c>
      <c r="R76" s="27" t="s">
        <v>83</v>
      </c>
      <c r="S76" s="27" t="s">
        <v>127</v>
      </c>
      <c r="T76" s="27">
        <v>7</v>
      </c>
      <c r="U76" s="27">
        <v>20</v>
      </c>
      <c r="V76" s="27">
        <v>15</v>
      </c>
      <c r="W76" s="27">
        <v>119</v>
      </c>
      <c r="X76" s="27">
        <v>5</v>
      </c>
      <c r="Y76" s="27" t="s">
        <v>60</v>
      </c>
      <c r="Z76" s="27" t="s">
        <v>42</v>
      </c>
      <c r="AA76" s="27" t="s">
        <v>43</v>
      </c>
      <c r="AB76" s="27">
        <v>9950802015</v>
      </c>
      <c r="AC76" s="21" t="s">
        <v>34</v>
      </c>
    </row>
    <row r="77" spans="8:29" ht="15" thickBot="1" x14ac:dyDescent="0.4">
      <c r="H77" s="30" t="s">
        <v>183</v>
      </c>
      <c r="I77" s="30" t="s">
        <v>72</v>
      </c>
      <c r="J77" s="30" t="s">
        <v>125</v>
      </c>
      <c r="K77" s="31">
        <v>45885</v>
      </c>
      <c r="L77" s="31">
        <v>45894</v>
      </c>
      <c r="M77" s="30" t="s">
        <v>73</v>
      </c>
      <c r="N77" s="30" t="s">
        <v>26</v>
      </c>
      <c r="O77" s="31">
        <v>30777</v>
      </c>
      <c r="P77" s="30" t="s">
        <v>79</v>
      </c>
      <c r="Q77" s="30" t="s">
        <v>75</v>
      </c>
      <c r="R77" s="30" t="s">
        <v>83</v>
      </c>
      <c r="S77" s="30" t="s">
        <v>127</v>
      </c>
      <c r="T77" s="30">
        <v>16</v>
      </c>
      <c r="U77" s="30">
        <v>20</v>
      </c>
      <c r="V77" s="30">
        <v>0</v>
      </c>
      <c r="W77" s="30">
        <v>320</v>
      </c>
      <c r="X77" s="30">
        <v>5</v>
      </c>
      <c r="Y77" s="30" t="s">
        <v>41</v>
      </c>
      <c r="Z77" s="30" t="s">
        <v>50</v>
      </c>
      <c r="AA77" s="30" t="s">
        <v>93</v>
      </c>
      <c r="AB77" s="30">
        <v>9595183767</v>
      </c>
      <c r="AC77" s="30" t="s">
        <v>52</v>
      </c>
    </row>
    <row r="78" spans="8:29" ht="15" thickBot="1" x14ac:dyDescent="0.4">
      <c r="H78" s="27" t="s">
        <v>184</v>
      </c>
      <c r="I78" s="27" t="s">
        <v>45</v>
      </c>
      <c r="J78" s="27" t="s">
        <v>138</v>
      </c>
      <c r="K78" s="28">
        <v>46155</v>
      </c>
      <c r="L78" s="28">
        <v>46162</v>
      </c>
      <c r="M78" s="27" t="s">
        <v>101</v>
      </c>
      <c r="N78" s="27" t="s">
        <v>26</v>
      </c>
      <c r="O78" s="28">
        <v>35168</v>
      </c>
      <c r="P78" s="27" t="s">
        <v>74</v>
      </c>
      <c r="Q78" s="27" t="s">
        <v>75</v>
      </c>
      <c r="R78" s="27" t="s">
        <v>83</v>
      </c>
      <c r="S78" s="27" t="s">
        <v>139</v>
      </c>
      <c r="T78" s="27">
        <v>15</v>
      </c>
      <c r="U78" s="27">
        <v>45</v>
      </c>
      <c r="V78" s="27">
        <v>0</v>
      </c>
      <c r="W78" s="27">
        <v>675</v>
      </c>
      <c r="X78" s="27">
        <v>4</v>
      </c>
      <c r="Y78" s="27" t="s">
        <v>31</v>
      </c>
      <c r="Z78" s="27" t="s">
        <v>50</v>
      </c>
      <c r="AA78" s="27" t="s">
        <v>51</v>
      </c>
      <c r="AB78" s="27">
        <v>9560201307</v>
      </c>
      <c r="AC78" s="27" t="s">
        <v>53</v>
      </c>
    </row>
    <row r="79" spans="8:29" ht="15" thickBot="1" x14ac:dyDescent="0.4">
      <c r="H79" s="30" t="s">
        <v>185</v>
      </c>
      <c r="I79" s="30" t="s">
        <v>134</v>
      </c>
      <c r="J79" s="30" t="s">
        <v>112</v>
      </c>
      <c r="K79" s="31">
        <v>45717</v>
      </c>
      <c r="L79" s="31">
        <v>45721</v>
      </c>
      <c r="M79" s="30" t="s">
        <v>135</v>
      </c>
      <c r="N79" s="30" t="s">
        <v>26</v>
      </c>
      <c r="O79" s="31">
        <v>37872</v>
      </c>
      <c r="P79" s="30" t="s">
        <v>91</v>
      </c>
      <c r="Q79" s="30" t="s">
        <v>75</v>
      </c>
      <c r="R79" s="30" t="s">
        <v>39</v>
      </c>
      <c r="S79" s="30" t="s">
        <v>114</v>
      </c>
      <c r="T79" s="30">
        <v>15</v>
      </c>
      <c r="U79" s="30">
        <v>700</v>
      </c>
      <c r="V79" s="30">
        <v>10</v>
      </c>
      <c r="W79" s="30">
        <v>9450</v>
      </c>
      <c r="X79" s="30">
        <v>3</v>
      </c>
      <c r="Y79" s="30" t="s">
        <v>41</v>
      </c>
      <c r="Z79" s="30" t="s">
        <v>96</v>
      </c>
      <c r="AA79" s="30" t="s">
        <v>136</v>
      </c>
      <c r="AB79" s="30">
        <v>9826484650</v>
      </c>
      <c r="AC79" s="22" t="s">
        <v>34</v>
      </c>
    </row>
    <row r="80" spans="8:29" ht="15" thickBot="1" x14ac:dyDescent="0.4">
      <c r="H80" s="27" t="s">
        <v>186</v>
      </c>
      <c r="I80" s="27" t="s">
        <v>45</v>
      </c>
      <c r="J80" s="27" t="s">
        <v>138</v>
      </c>
      <c r="K80" s="28">
        <v>45697</v>
      </c>
      <c r="L80" s="28">
        <v>45700</v>
      </c>
      <c r="M80" s="27" t="s">
        <v>101</v>
      </c>
      <c r="N80" s="27" t="s">
        <v>26</v>
      </c>
      <c r="O80" s="28">
        <v>33871</v>
      </c>
      <c r="P80" s="27" t="s">
        <v>147</v>
      </c>
      <c r="Q80" s="27" t="s">
        <v>148</v>
      </c>
      <c r="R80" s="27" t="s">
        <v>83</v>
      </c>
      <c r="S80" s="27" t="s">
        <v>139</v>
      </c>
      <c r="T80" s="27">
        <v>3</v>
      </c>
      <c r="U80" s="27">
        <v>45</v>
      </c>
      <c r="V80" s="27">
        <v>15</v>
      </c>
      <c r="W80" s="27">
        <v>114.75</v>
      </c>
      <c r="X80" s="27">
        <v>2</v>
      </c>
      <c r="Y80" s="27" t="s">
        <v>65</v>
      </c>
      <c r="Z80" s="27" t="s">
        <v>80</v>
      </c>
      <c r="AA80" s="27" t="s">
        <v>51</v>
      </c>
      <c r="AB80" s="27">
        <v>9219978007</v>
      </c>
      <c r="AC80" s="27" t="s">
        <v>52</v>
      </c>
    </row>
    <row r="81" spans="8:29" ht="15" thickBot="1" x14ac:dyDescent="0.4">
      <c r="H81" s="30" t="s">
        <v>187</v>
      </c>
      <c r="I81" s="30" t="s">
        <v>72</v>
      </c>
      <c r="J81" s="30" t="s">
        <v>24</v>
      </c>
      <c r="K81" s="31">
        <v>46031</v>
      </c>
      <c r="L81" s="31">
        <v>46032</v>
      </c>
      <c r="M81" s="30" t="s">
        <v>73</v>
      </c>
      <c r="N81" s="30" t="s">
        <v>26</v>
      </c>
      <c r="O81" s="31">
        <v>31674</v>
      </c>
      <c r="P81" s="30" t="s">
        <v>147</v>
      </c>
      <c r="Q81" s="30" t="s">
        <v>148</v>
      </c>
      <c r="R81" s="30" t="s">
        <v>29</v>
      </c>
      <c r="S81" s="30" t="s">
        <v>30</v>
      </c>
      <c r="T81" s="30">
        <v>7</v>
      </c>
      <c r="U81" s="30">
        <v>2200</v>
      </c>
      <c r="V81" s="30">
        <v>15</v>
      </c>
      <c r="W81" s="30">
        <v>13090</v>
      </c>
      <c r="X81" s="30">
        <v>5</v>
      </c>
      <c r="Y81" s="30" t="s">
        <v>65</v>
      </c>
      <c r="Z81" s="30" t="s">
        <v>80</v>
      </c>
      <c r="AA81" s="30" t="s">
        <v>93</v>
      </c>
      <c r="AB81" s="30">
        <v>9662063276</v>
      </c>
      <c r="AC81" s="22" t="s">
        <v>34</v>
      </c>
    </row>
    <row r="82" spans="8:29" ht="15" thickBot="1" x14ac:dyDescent="0.4">
      <c r="H82" s="27" t="s">
        <v>188</v>
      </c>
      <c r="I82" s="27" t="s">
        <v>23</v>
      </c>
      <c r="J82" s="27" t="s">
        <v>138</v>
      </c>
      <c r="K82" s="28">
        <v>45901</v>
      </c>
      <c r="L82" s="28">
        <v>45905</v>
      </c>
      <c r="M82" s="27" t="s">
        <v>25</v>
      </c>
      <c r="N82" s="27" t="s">
        <v>26</v>
      </c>
      <c r="O82" s="28">
        <v>31195</v>
      </c>
      <c r="P82" s="27" t="s">
        <v>37</v>
      </c>
      <c r="Q82" s="27" t="s">
        <v>38</v>
      </c>
      <c r="R82" s="27" t="s">
        <v>83</v>
      </c>
      <c r="S82" s="27" t="s">
        <v>139</v>
      </c>
      <c r="T82" s="27">
        <v>19</v>
      </c>
      <c r="U82" s="27">
        <v>45</v>
      </c>
      <c r="V82" s="27">
        <v>10</v>
      </c>
      <c r="W82" s="27">
        <v>769.5</v>
      </c>
      <c r="X82" s="27">
        <v>5</v>
      </c>
      <c r="Y82" s="27" t="s">
        <v>60</v>
      </c>
      <c r="Z82" s="27" t="s">
        <v>80</v>
      </c>
      <c r="AA82" s="27" t="s">
        <v>43</v>
      </c>
      <c r="AB82" s="27">
        <v>9190393639</v>
      </c>
      <c r="AC82" s="27" t="s">
        <v>53</v>
      </c>
    </row>
    <row r="83" spans="8:29" ht="15" thickBot="1" x14ac:dyDescent="0.4">
      <c r="H83" s="30" t="s">
        <v>189</v>
      </c>
      <c r="I83" s="30" t="s">
        <v>134</v>
      </c>
      <c r="J83" s="30" t="s">
        <v>68</v>
      </c>
      <c r="K83" s="31">
        <v>46062</v>
      </c>
      <c r="L83" s="31">
        <v>46067</v>
      </c>
      <c r="M83" s="30" t="s">
        <v>135</v>
      </c>
      <c r="N83" s="30" t="s">
        <v>26</v>
      </c>
      <c r="O83" s="31">
        <v>29094</v>
      </c>
      <c r="P83" s="30" t="s">
        <v>27</v>
      </c>
      <c r="Q83" s="30" t="s">
        <v>28</v>
      </c>
      <c r="R83" s="30" t="s">
        <v>29</v>
      </c>
      <c r="S83" s="30" t="s">
        <v>70</v>
      </c>
      <c r="T83" s="30">
        <v>7</v>
      </c>
      <c r="U83" s="30">
        <v>3500</v>
      </c>
      <c r="V83" s="30">
        <v>15</v>
      </c>
      <c r="W83" s="30">
        <v>20825</v>
      </c>
      <c r="X83" s="30">
        <v>1</v>
      </c>
      <c r="Y83" s="30" t="s">
        <v>31</v>
      </c>
      <c r="Z83" s="30" t="s">
        <v>96</v>
      </c>
      <c r="AA83" s="30" t="s">
        <v>136</v>
      </c>
      <c r="AB83" s="30">
        <v>9106328582</v>
      </c>
      <c r="AC83" s="30" t="s">
        <v>52</v>
      </c>
    </row>
    <row r="84" spans="8:29" ht="15" thickBot="1" x14ac:dyDescent="0.4">
      <c r="H84" s="27" t="s">
        <v>190</v>
      </c>
      <c r="I84" s="27" t="s">
        <v>45</v>
      </c>
      <c r="J84" s="27" t="s">
        <v>105</v>
      </c>
      <c r="K84" s="28">
        <v>46005</v>
      </c>
      <c r="L84" s="28">
        <v>46010</v>
      </c>
      <c r="M84" s="27" t="s">
        <v>101</v>
      </c>
      <c r="N84" s="27" t="s">
        <v>26</v>
      </c>
      <c r="O84" s="28">
        <v>28116</v>
      </c>
      <c r="P84" s="27" t="s">
        <v>121</v>
      </c>
      <c r="Q84" s="27" t="s">
        <v>38</v>
      </c>
      <c r="R84" s="27" t="s">
        <v>29</v>
      </c>
      <c r="S84" s="27" t="s">
        <v>107</v>
      </c>
      <c r="T84" s="27">
        <v>7</v>
      </c>
      <c r="U84" s="27">
        <v>8500</v>
      </c>
      <c r="V84" s="27">
        <v>20</v>
      </c>
      <c r="W84" s="27">
        <v>47600</v>
      </c>
      <c r="X84" s="27">
        <v>4</v>
      </c>
      <c r="Y84" s="27" t="s">
        <v>41</v>
      </c>
      <c r="Z84" s="27" t="s">
        <v>80</v>
      </c>
      <c r="AA84" s="27" t="s">
        <v>51</v>
      </c>
      <c r="AB84" s="27">
        <v>9264401015</v>
      </c>
      <c r="AC84" s="21" t="s">
        <v>34</v>
      </c>
    </row>
    <row r="85" spans="8:29" ht="15" thickBot="1" x14ac:dyDescent="0.4">
      <c r="H85" s="30" t="s">
        <v>191</v>
      </c>
      <c r="I85" s="30" t="s">
        <v>23</v>
      </c>
      <c r="J85" s="30" t="s">
        <v>46</v>
      </c>
      <c r="K85" s="31">
        <v>45754</v>
      </c>
      <c r="L85" s="31">
        <v>45757</v>
      </c>
      <c r="M85" s="30" t="s">
        <v>25</v>
      </c>
      <c r="N85" s="30" t="s">
        <v>26</v>
      </c>
      <c r="O85" s="31">
        <v>36561</v>
      </c>
      <c r="P85" s="30" t="s">
        <v>48</v>
      </c>
      <c r="Q85" s="30" t="s">
        <v>28</v>
      </c>
      <c r="R85" s="30" t="s">
        <v>39</v>
      </c>
      <c r="S85" s="30" t="s">
        <v>49</v>
      </c>
      <c r="T85" s="30">
        <v>16</v>
      </c>
      <c r="U85" s="30">
        <v>55000</v>
      </c>
      <c r="V85" s="30">
        <v>10</v>
      </c>
      <c r="W85" s="30">
        <v>792000</v>
      </c>
      <c r="X85" s="30">
        <v>1</v>
      </c>
      <c r="Y85" s="30" t="s">
        <v>60</v>
      </c>
      <c r="Z85" s="30" t="s">
        <v>50</v>
      </c>
      <c r="AA85" s="30" t="s">
        <v>43</v>
      </c>
      <c r="AB85" s="30">
        <v>9959237375</v>
      </c>
      <c r="AC85" s="22" t="s">
        <v>34</v>
      </c>
    </row>
    <row r="86" spans="8:29" ht="15" thickBot="1" x14ac:dyDescent="0.4">
      <c r="H86" s="27" t="s">
        <v>192</v>
      </c>
      <c r="I86" s="27" t="s">
        <v>104</v>
      </c>
      <c r="J86" s="27" t="s">
        <v>36</v>
      </c>
      <c r="K86" s="28">
        <v>46015</v>
      </c>
      <c r="L86" s="28">
        <v>46025</v>
      </c>
      <c r="M86" s="27" t="s">
        <v>166</v>
      </c>
      <c r="N86" s="27" t="s">
        <v>26</v>
      </c>
      <c r="O86" s="28">
        <v>31832</v>
      </c>
      <c r="P86" s="27" t="s">
        <v>74</v>
      </c>
      <c r="Q86" s="27" t="s">
        <v>75</v>
      </c>
      <c r="R86" s="27" t="s">
        <v>39</v>
      </c>
      <c r="S86" s="27" t="s">
        <v>40</v>
      </c>
      <c r="T86" s="27">
        <v>2</v>
      </c>
      <c r="U86" s="27">
        <v>12000</v>
      </c>
      <c r="V86" s="27">
        <v>20</v>
      </c>
      <c r="W86" s="27">
        <v>19200</v>
      </c>
      <c r="X86" s="27">
        <v>1</v>
      </c>
      <c r="Y86" s="27" t="s">
        <v>31</v>
      </c>
      <c r="Z86" s="27" t="s">
        <v>96</v>
      </c>
      <c r="AA86" s="29" t="s">
        <v>193</v>
      </c>
      <c r="AB86" s="27">
        <v>9561836580</v>
      </c>
      <c r="AC86" s="27" t="s">
        <v>52</v>
      </c>
    </row>
    <row r="87" spans="8:29" ht="15" thickBot="1" x14ac:dyDescent="0.4">
      <c r="H87" s="30" t="s">
        <v>194</v>
      </c>
      <c r="I87" s="30" t="s">
        <v>87</v>
      </c>
      <c r="J87" s="30" t="s">
        <v>138</v>
      </c>
      <c r="K87" s="31">
        <v>45899</v>
      </c>
      <c r="L87" s="31">
        <v>45905</v>
      </c>
      <c r="M87" s="30" t="s">
        <v>88</v>
      </c>
      <c r="N87" s="30" t="s">
        <v>58</v>
      </c>
      <c r="O87" s="31">
        <v>30887</v>
      </c>
      <c r="P87" s="30" t="s">
        <v>48</v>
      </c>
      <c r="Q87" s="30" t="s">
        <v>28</v>
      </c>
      <c r="R87" s="30" t="s">
        <v>83</v>
      </c>
      <c r="S87" s="30" t="s">
        <v>139</v>
      </c>
      <c r="T87" s="30">
        <v>4</v>
      </c>
      <c r="U87" s="30">
        <v>45</v>
      </c>
      <c r="V87" s="30">
        <v>5</v>
      </c>
      <c r="W87" s="30">
        <v>171</v>
      </c>
      <c r="X87" s="30">
        <v>1</v>
      </c>
      <c r="Y87" s="30" t="s">
        <v>60</v>
      </c>
      <c r="Z87" s="30" t="s">
        <v>42</v>
      </c>
      <c r="AA87" s="30" t="s">
        <v>89</v>
      </c>
      <c r="AB87" s="30">
        <v>9512666401</v>
      </c>
      <c r="AC87" s="30" t="s">
        <v>52</v>
      </c>
    </row>
    <row r="88" spans="8:29" ht="15" thickBot="1" x14ac:dyDescent="0.4">
      <c r="H88" s="27" t="s">
        <v>195</v>
      </c>
      <c r="I88" s="27" t="s">
        <v>23</v>
      </c>
      <c r="J88" s="27" t="s">
        <v>56</v>
      </c>
      <c r="K88" s="28">
        <v>46004</v>
      </c>
      <c r="L88" s="28">
        <v>46014</v>
      </c>
      <c r="M88" s="27" t="s">
        <v>25</v>
      </c>
      <c r="N88" s="27" t="s">
        <v>26</v>
      </c>
      <c r="O88" s="28">
        <v>29851</v>
      </c>
      <c r="P88" s="27" t="s">
        <v>121</v>
      </c>
      <c r="Q88" s="27" t="s">
        <v>38</v>
      </c>
      <c r="R88" s="27" t="s">
        <v>39</v>
      </c>
      <c r="S88" s="27" t="s">
        <v>59</v>
      </c>
      <c r="T88" s="27">
        <v>1</v>
      </c>
      <c r="U88" s="27">
        <v>1200</v>
      </c>
      <c r="V88" s="27">
        <v>5</v>
      </c>
      <c r="W88" s="27">
        <v>1140</v>
      </c>
      <c r="X88" s="27">
        <v>3</v>
      </c>
      <c r="Y88" s="27" t="s">
        <v>65</v>
      </c>
      <c r="Z88" s="27" t="s">
        <v>50</v>
      </c>
      <c r="AA88" s="27" t="s">
        <v>43</v>
      </c>
      <c r="AB88" s="27">
        <v>9808988530</v>
      </c>
      <c r="AC88" s="27" t="s">
        <v>53</v>
      </c>
    </row>
    <row r="89" spans="8:29" ht="15" thickBot="1" x14ac:dyDescent="0.4">
      <c r="H89" s="30" t="s">
        <v>196</v>
      </c>
      <c r="I89" s="30" t="s">
        <v>45</v>
      </c>
      <c r="J89" s="30" t="s">
        <v>24</v>
      </c>
      <c r="K89" s="31">
        <v>46057</v>
      </c>
      <c r="L89" s="31">
        <v>46069</v>
      </c>
      <c r="M89" s="30" t="s">
        <v>101</v>
      </c>
      <c r="N89" s="30" t="s">
        <v>26</v>
      </c>
      <c r="O89" s="24">
        <v>29392</v>
      </c>
      <c r="P89" s="30"/>
      <c r="Q89" s="30" t="s">
        <v>28</v>
      </c>
      <c r="R89" s="30" t="s">
        <v>29</v>
      </c>
      <c r="S89" s="30" t="s">
        <v>30</v>
      </c>
      <c r="T89" s="30">
        <v>1</v>
      </c>
      <c r="U89" s="30">
        <v>2200</v>
      </c>
      <c r="V89" s="30">
        <v>15</v>
      </c>
      <c r="W89" s="30">
        <v>1870</v>
      </c>
      <c r="X89" s="30">
        <v>4</v>
      </c>
      <c r="Y89" s="30" t="s">
        <v>60</v>
      </c>
      <c r="Z89" s="30" t="s">
        <v>50</v>
      </c>
      <c r="AA89" s="30" t="s">
        <v>51</v>
      </c>
      <c r="AB89" s="30">
        <v>9286410494</v>
      </c>
      <c r="AC89" s="22" t="s">
        <v>34</v>
      </c>
    </row>
    <row r="90" spans="8:29" ht="15" thickBot="1" x14ac:dyDescent="0.4">
      <c r="H90" s="27" t="s">
        <v>197</v>
      </c>
      <c r="I90" s="27" t="s">
        <v>87</v>
      </c>
      <c r="J90" s="27" t="s">
        <v>56</v>
      </c>
      <c r="K90" s="28">
        <v>46048</v>
      </c>
      <c r="L90" s="28">
        <v>46050</v>
      </c>
      <c r="M90" s="27" t="s">
        <v>88</v>
      </c>
      <c r="N90" s="27" t="s">
        <v>58</v>
      </c>
      <c r="O90" s="28">
        <v>30257</v>
      </c>
      <c r="P90" s="27" t="s">
        <v>79</v>
      </c>
      <c r="Q90" s="27" t="s">
        <v>75</v>
      </c>
      <c r="R90" s="27" t="s">
        <v>39</v>
      </c>
      <c r="S90" s="27" t="s">
        <v>59</v>
      </c>
      <c r="T90" s="27">
        <v>3</v>
      </c>
      <c r="U90" s="27">
        <v>1200</v>
      </c>
      <c r="V90" s="27">
        <v>10</v>
      </c>
      <c r="W90" s="27">
        <v>3240</v>
      </c>
      <c r="X90" s="27">
        <v>5</v>
      </c>
      <c r="Y90" s="27" t="s">
        <v>31</v>
      </c>
      <c r="Z90" s="27" t="s">
        <v>42</v>
      </c>
      <c r="AA90" s="27" t="s">
        <v>89</v>
      </c>
      <c r="AB90" s="27">
        <v>9311555196</v>
      </c>
      <c r="AC90" s="21" t="s">
        <v>34</v>
      </c>
    </row>
    <row r="91" spans="8:29" ht="15" thickBot="1" x14ac:dyDescent="0.4">
      <c r="H91" s="30" t="s">
        <v>198</v>
      </c>
      <c r="I91" s="30" t="s">
        <v>23</v>
      </c>
      <c r="J91" s="30" t="s">
        <v>68</v>
      </c>
      <c r="K91" s="31">
        <v>45835</v>
      </c>
      <c r="L91" s="31">
        <v>45845</v>
      </c>
      <c r="M91" s="30" t="s">
        <v>25</v>
      </c>
      <c r="N91" s="30" t="s">
        <v>26</v>
      </c>
      <c r="O91" s="31">
        <v>29230</v>
      </c>
      <c r="P91" s="30" t="s">
        <v>48</v>
      </c>
      <c r="Q91" s="30" t="s">
        <v>28</v>
      </c>
      <c r="R91" s="30" t="s">
        <v>29</v>
      </c>
      <c r="S91" s="30" t="s">
        <v>70</v>
      </c>
      <c r="T91" s="30">
        <v>10</v>
      </c>
      <c r="U91" s="30">
        <v>3500</v>
      </c>
      <c r="V91" s="30">
        <v>20</v>
      </c>
      <c r="W91" s="30">
        <v>28000</v>
      </c>
      <c r="X91" s="30">
        <v>5</v>
      </c>
      <c r="Y91" s="30" t="s">
        <v>60</v>
      </c>
      <c r="Z91" s="30" t="s">
        <v>32</v>
      </c>
      <c r="AA91" s="30" t="s">
        <v>43</v>
      </c>
      <c r="AB91" s="30">
        <v>9101810266</v>
      </c>
      <c r="AC91" s="22" t="s">
        <v>34</v>
      </c>
    </row>
    <row r="92" spans="8:29" ht="15" thickBot="1" x14ac:dyDescent="0.4">
      <c r="H92" s="27" t="s">
        <v>199</v>
      </c>
      <c r="I92" s="27" t="s">
        <v>63</v>
      </c>
      <c r="J92" s="27" t="s">
        <v>112</v>
      </c>
      <c r="K92" s="28">
        <v>46098</v>
      </c>
      <c r="L92" s="28">
        <v>46100</v>
      </c>
      <c r="M92" s="27" t="s">
        <v>110</v>
      </c>
      <c r="N92" s="27" t="s">
        <v>58</v>
      </c>
      <c r="O92" s="28">
        <v>29703</v>
      </c>
      <c r="P92" s="27" t="s">
        <v>37</v>
      </c>
      <c r="Q92" s="27" t="s">
        <v>38</v>
      </c>
      <c r="R92" s="27" t="s">
        <v>39</v>
      </c>
      <c r="S92" s="27" t="s">
        <v>114</v>
      </c>
      <c r="T92" s="27">
        <v>18</v>
      </c>
      <c r="U92" s="27">
        <v>700</v>
      </c>
      <c r="V92" s="27">
        <v>5</v>
      </c>
      <c r="W92" s="27">
        <v>11970</v>
      </c>
      <c r="X92" s="27">
        <v>3</v>
      </c>
      <c r="Y92" s="27" t="s">
        <v>60</v>
      </c>
      <c r="Z92" s="27" t="s">
        <v>80</v>
      </c>
      <c r="AA92" s="27" t="s">
        <v>66</v>
      </c>
      <c r="AB92" s="27">
        <v>9464556593</v>
      </c>
      <c r="AC92" s="27" t="s">
        <v>53</v>
      </c>
    </row>
    <row r="93" spans="8:29" ht="15" thickBot="1" x14ac:dyDescent="0.4">
      <c r="H93" s="30" t="s">
        <v>200</v>
      </c>
      <c r="I93" s="30" t="s">
        <v>124</v>
      </c>
      <c r="J93" s="30" t="s">
        <v>112</v>
      </c>
      <c r="K93" s="31">
        <v>45817</v>
      </c>
      <c r="L93" s="31">
        <v>45826</v>
      </c>
      <c r="M93" s="30" t="s">
        <v>126</v>
      </c>
      <c r="N93" s="30" t="s">
        <v>58</v>
      </c>
      <c r="O93" s="31">
        <v>31118</v>
      </c>
      <c r="P93" s="30" t="s">
        <v>48</v>
      </c>
      <c r="Q93" s="30" t="s">
        <v>28</v>
      </c>
      <c r="R93" s="30" t="s">
        <v>39</v>
      </c>
      <c r="S93" s="30" t="s">
        <v>114</v>
      </c>
      <c r="T93" s="30">
        <v>12</v>
      </c>
      <c r="U93" s="30">
        <v>700</v>
      </c>
      <c r="V93" s="30">
        <v>15</v>
      </c>
      <c r="W93" s="30">
        <v>7140</v>
      </c>
      <c r="X93" s="30">
        <v>2</v>
      </c>
      <c r="Y93" s="30" t="s">
        <v>65</v>
      </c>
      <c r="Z93" s="30" t="s">
        <v>42</v>
      </c>
      <c r="AA93" s="30" t="s">
        <v>128</v>
      </c>
      <c r="AB93" s="30">
        <v>9338278358</v>
      </c>
      <c r="AC93" s="22" t="s">
        <v>34</v>
      </c>
    </row>
    <row r="94" spans="8:29" ht="29.5" thickBot="1" x14ac:dyDescent="0.4">
      <c r="H94" s="27" t="s">
        <v>201</v>
      </c>
      <c r="I94" s="27" t="s">
        <v>55</v>
      </c>
      <c r="J94" s="27" t="s">
        <v>56</v>
      </c>
      <c r="K94" s="28">
        <v>45976</v>
      </c>
      <c r="L94" s="28">
        <v>45977</v>
      </c>
      <c r="M94" s="27" t="s">
        <v>57</v>
      </c>
      <c r="N94" s="27" t="s">
        <v>58</v>
      </c>
      <c r="O94" s="28">
        <v>36234</v>
      </c>
      <c r="P94" s="27" t="s">
        <v>74</v>
      </c>
      <c r="Q94" s="27" t="s">
        <v>75</v>
      </c>
      <c r="R94" s="27" t="s">
        <v>39</v>
      </c>
      <c r="S94" s="27" t="s">
        <v>59</v>
      </c>
      <c r="T94" s="27">
        <v>8</v>
      </c>
      <c r="U94" s="27">
        <v>1200</v>
      </c>
      <c r="V94" s="27">
        <v>0</v>
      </c>
      <c r="W94" s="27">
        <v>9600</v>
      </c>
      <c r="X94" s="27">
        <v>4</v>
      </c>
      <c r="Y94" s="27" t="s">
        <v>60</v>
      </c>
      <c r="Z94" s="27" t="s">
        <v>42</v>
      </c>
      <c r="AA94" s="27" t="s">
        <v>61</v>
      </c>
      <c r="AB94" s="27">
        <v>9621410770</v>
      </c>
      <c r="AC94" s="27" t="s">
        <v>52</v>
      </c>
    </row>
    <row r="95" spans="8:29" ht="15" thickBot="1" x14ac:dyDescent="0.4">
      <c r="H95" s="30" t="s">
        <v>202</v>
      </c>
      <c r="I95" s="30" t="s">
        <v>87</v>
      </c>
      <c r="J95" s="30" t="s">
        <v>82</v>
      </c>
      <c r="K95" s="31">
        <v>45967</v>
      </c>
      <c r="L95" s="31">
        <v>45971</v>
      </c>
      <c r="M95" s="30" t="s">
        <v>88</v>
      </c>
      <c r="N95" s="30" t="s">
        <v>58</v>
      </c>
      <c r="O95" s="31">
        <v>30504</v>
      </c>
      <c r="P95" s="30" t="s">
        <v>79</v>
      </c>
      <c r="Q95" s="30" t="s">
        <v>75</v>
      </c>
      <c r="R95" s="30" t="s">
        <v>83</v>
      </c>
      <c r="S95" s="30" t="s">
        <v>84</v>
      </c>
      <c r="T95" s="30">
        <v>2</v>
      </c>
      <c r="U95" s="30">
        <v>60</v>
      </c>
      <c r="V95" s="30">
        <v>0</v>
      </c>
      <c r="W95" s="30">
        <v>120</v>
      </c>
      <c r="X95" s="30">
        <v>2</v>
      </c>
      <c r="Y95" s="30" t="s">
        <v>65</v>
      </c>
      <c r="Z95" s="30" t="s">
        <v>42</v>
      </c>
      <c r="AA95" s="30" t="s">
        <v>89</v>
      </c>
      <c r="AB95" s="30">
        <v>9981333189</v>
      </c>
      <c r="AC95" s="22" t="s">
        <v>34</v>
      </c>
    </row>
    <row r="96" spans="8:29" ht="29.5" thickBot="1" x14ac:dyDescent="0.4">
      <c r="H96" s="27" t="s">
        <v>203</v>
      </c>
      <c r="I96" s="27" t="s">
        <v>156</v>
      </c>
      <c r="J96" s="27" t="s">
        <v>138</v>
      </c>
      <c r="K96" s="28">
        <v>45658</v>
      </c>
      <c r="L96" s="28">
        <v>45664</v>
      </c>
      <c r="M96" s="27" t="s">
        <v>106</v>
      </c>
      <c r="N96" s="27" t="s">
        <v>58</v>
      </c>
      <c r="O96" s="28">
        <v>32573</v>
      </c>
      <c r="P96" s="27" t="s">
        <v>79</v>
      </c>
      <c r="Q96" s="27" t="s">
        <v>75</v>
      </c>
      <c r="R96" s="27" t="s">
        <v>83</v>
      </c>
      <c r="S96" s="27" t="s">
        <v>139</v>
      </c>
      <c r="T96" s="27">
        <v>10</v>
      </c>
      <c r="U96" s="27">
        <v>45</v>
      </c>
      <c r="V96" s="27">
        <v>15</v>
      </c>
      <c r="W96" s="27">
        <v>382.5</v>
      </c>
      <c r="X96" s="27">
        <v>3</v>
      </c>
      <c r="Y96" s="27" t="s">
        <v>41</v>
      </c>
      <c r="Z96" s="27" t="s">
        <v>32</v>
      </c>
      <c r="AA96" s="27" t="s">
        <v>158</v>
      </c>
      <c r="AB96" s="27">
        <v>9723450355</v>
      </c>
      <c r="AC96" s="27" t="s">
        <v>53</v>
      </c>
    </row>
    <row r="97" spans="8:29" ht="15" thickBot="1" x14ac:dyDescent="0.4">
      <c r="H97" s="30" t="s">
        <v>204</v>
      </c>
      <c r="I97" s="30" t="s">
        <v>124</v>
      </c>
      <c r="J97" s="30" t="s">
        <v>68</v>
      </c>
      <c r="K97" s="31">
        <v>46137</v>
      </c>
      <c r="L97" s="31">
        <v>46145</v>
      </c>
      <c r="M97" s="30" t="s">
        <v>126</v>
      </c>
      <c r="N97" s="30" t="s">
        <v>58</v>
      </c>
      <c r="O97" s="31">
        <v>30122</v>
      </c>
      <c r="P97" s="30" t="s">
        <v>147</v>
      </c>
      <c r="Q97" s="30" t="s">
        <v>148</v>
      </c>
      <c r="R97" s="30" t="s">
        <v>29</v>
      </c>
      <c r="S97" s="30" t="s">
        <v>70</v>
      </c>
      <c r="T97" s="30">
        <v>12</v>
      </c>
      <c r="U97" s="30">
        <v>3500</v>
      </c>
      <c r="V97" s="30">
        <v>5</v>
      </c>
      <c r="W97" s="30">
        <v>39900</v>
      </c>
      <c r="X97" s="30">
        <v>3</v>
      </c>
      <c r="Y97" s="30" t="s">
        <v>41</v>
      </c>
      <c r="Z97" s="30" t="s">
        <v>50</v>
      </c>
      <c r="AA97" s="30" t="s">
        <v>128</v>
      </c>
      <c r="AB97" s="30">
        <v>9886243907</v>
      </c>
      <c r="AC97" s="30" t="s">
        <v>52</v>
      </c>
    </row>
    <row r="98" spans="8:29" ht="15" thickBot="1" x14ac:dyDescent="0.4">
      <c r="H98" s="27" t="s">
        <v>205</v>
      </c>
      <c r="I98" s="27" t="s">
        <v>87</v>
      </c>
      <c r="J98" s="27" t="s">
        <v>82</v>
      </c>
      <c r="K98" s="28">
        <v>45919</v>
      </c>
      <c r="L98" s="28">
        <v>45927</v>
      </c>
      <c r="M98" s="27" t="s">
        <v>88</v>
      </c>
      <c r="N98" s="27" t="s">
        <v>58</v>
      </c>
      <c r="O98" s="28">
        <v>37065</v>
      </c>
      <c r="P98" s="27" t="s">
        <v>74</v>
      </c>
      <c r="Q98" s="27" t="s">
        <v>75</v>
      </c>
      <c r="R98" s="27" t="s">
        <v>83</v>
      </c>
      <c r="S98" s="27" t="s">
        <v>84</v>
      </c>
      <c r="T98" s="27">
        <v>2</v>
      </c>
      <c r="U98" s="27">
        <v>60</v>
      </c>
      <c r="V98" s="27">
        <v>15</v>
      </c>
      <c r="W98" s="27">
        <v>102</v>
      </c>
      <c r="X98" s="27">
        <v>1</v>
      </c>
      <c r="Y98" s="27" t="s">
        <v>65</v>
      </c>
      <c r="Z98" s="27" t="s">
        <v>80</v>
      </c>
      <c r="AA98" s="27" t="s">
        <v>89</v>
      </c>
      <c r="AB98" s="27">
        <v>9473931904</v>
      </c>
      <c r="AC98" s="21" t="s">
        <v>34</v>
      </c>
    </row>
    <row r="99" spans="8:29" ht="15" thickBot="1" x14ac:dyDescent="0.4">
      <c r="H99" s="30" t="s">
        <v>206</v>
      </c>
      <c r="I99" s="30" t="s">
        <v>87</v>
      </c>
      <c r="J99" s="30" t="s">
        <v>56</v>
      </c>
      <c r="K99" s="31">
        <v>45734</v>
      </c>
      <c r="L99" s="31">
        <v>45737</v>
      </c>
      <c r="M99" s="30" t="s">
        <v>88</v>
      </c>
      <c r="N99" s="30" t="s">
        <v>58</v>
      </c>
      <c r="O99" s="31">
        <v>30516</v>
      </c>
      <c r="P99" s="30" t="s">
        <v>27</v>
      </c>
      <c r="Q99" s="30" t="s">
        <v>28</v>
      </c>
      <c r="R99" s="30" t="s">
        <v>39</v>
      </c>
      <c r="S99" s="30" t="s">
        <v>59</v>
      </c>
      <c r="T99" s="30">
        <v>18</v>
      </c>
      <c r="U99" s="30">
        <v>1200</v>
      </c>
      <c r="V99" s="30">
        <v>15</v>
      </c>
      <c r="W99" s="30">
        <v>18360</v>
      </c>
      <c r="X99" s="30">
        <v>3</v>
      </c>
      <c r="Y99" s="30" t="s">
        <v>60</v>
      </c>
      <c r="Z99" s="30" t="s">
        <v>80</v>
      </c>
      <c r="AA99" s="30" t="s">
        <v>89</v>
      </c>
      <c r="AB99" s="30">
        <v>9287159610</v>
      </c>
      <c r="AC99" s="30" t="s">
        <v>52</v>
      </c>
    </row>
    <row r="100" spans="8:29" ht="15" thickBot="1" x14ac:dyDescent="0.4">
      <c r="H100" s="27" t="s">
        <v>207</v>
      </c>
      <c r="I100" s="27" t="s">
        <v>23</v>
      </c>
      <c r="J100" s="27" t="s">
        <v>36</v>
      </c>
      <c r="K100" s="28">
        <v>45960</v>
      </c>
      <c r="L100" s="28">
        <v>45961</v>
      </c>
      <c r="M100" s="27" t="s">
        <v>25</v>
      </c>
      <c r="N100" s="27" t="s">
        <v>26</v>
      </c>
      <c r="O100" s="28">
        <v>34052</v>
      </c>
      <c r="P100" s="27" t="s">
        <v>74</v>
      </c>
      <c r="Q100" s="27" t="s">
        <v>75</v>
      </c>
      <c r="R100" s="27" t="s">
        <v>39</v>
      </c>
      <c r="S100" s="27" t="s">
        <v>40</v>
      </c>
      <c r="T100" s="27">
        <v>18</v>
      </c>
      <c r="U100" s="27">
        <v>12000</v>
      </c>
      <c r="V100" s="27">
        <v>15</v>
      </c>
      <c r="W100" s="27">
        <v>183600</v>
      </c>
      <c r="X100" s="27">
        <v>2</v>
      </c>
      <c r="Y100" s="27" t="s">
        <v>31</v>
      </c>
      <c r="Z100" s="27" t="s">
        <v>42</v>
      </c>
      <c r="AA100" s="27" t="s">
        <v>43</v>
      </c>
      <c r="AB100" s="27">
        <v>9876513858</v>
      </c>
      <c r="AC100" s="21" t="s">
        <v>34</v>
      </c>
    </row>
    <row r="101" spans="8:29" ht="15" thickBot="1" x14ac:dyDescent="0.4">
      <c r="H101" s="30" t="s">
        <v>208</v>
      </c>
      <c r="I101" s="30" t="s">
        <v>63</v>
      </c>
      <c r="J101" s="30" t="s">
        <v>125</v>
      </c>
      <c r="K101" s="31">
        <v>45961</v>
      </c>
      <c r="L101" s="31">
        <v>45972</v>
      </c>
      <c r="M101" s="30" t="s">
        <v>110</v>
      </c>
      <c r="N101" s="30" t="s">
        <v>58</v>
      </c>
      <c r="O101" s="31">
        <v>34829</v>
      </c>
      <c r="P101" s="30" t="s">
        <v>91</v>
      </c>
      <c r="Q101" s="30" t="s">
        <v>75</v>
      </c>
      <c r="R101" s="30" t="s">
        <v>83</v>
      </c>
      <c r="S101" s="30" t="s">
        <v>127</v>
      </c>
      <c r="T101" s="30">
        <v>7</v>
      </c>
      <c r="U101" s="30">
        <v>20</v>
      </c>
      <c r="V101" s="30">
        <v>0</v>
      </c>
      <c r="W101" s="30">
        <v>140</v>
      </c>
      <c r="X101" s="30">
        <v>2</v>
      </c>
      <c r="Y101" s="30" t="s">
        <v>60</v>
      </c>
      <c r="Z101" s="30" t="s">
        <v>32</v>
      </c>
      <c r="AA101" s="30" t="s">
        <v>66</v>
      </c>
      <c r="AB101" s="30">
        <v>9237400853</v>
      </c>
      <c r="AC101" s="30" t="s">
        <v>53</v>
      </c>
    </row>
    <row r="102" spans="8:29" ht="15" thickBot="1" x14ac:dyDescent="0.4">
      <c r="H102" s="27" t="s">
        <v>209</v>
      </c>
      <c r="I102" s="27" t="s">
        <v>134</v>
      </c>
      <c r="J102" s="27" t="s">
        <v>68</v>
      </c>
      <c r="K102" s="28">
        <v>45757</v>
      </c>
      <c r="L102" s="28">
        <v>45765</v>
      </c>
      <c r="M102" s="27" t="s">
        <v>135</v>
      </c>
      <c r="N102" s="27" t="s">
        <v>26</v>
      </c>
      <c r="O102" s="28">
        <v>36937</v>
      </c>
      <c r="P102" s="27" t="s">
        <v>79</v>
      </c>
      <c r="Q102" s="27" t="s">
        <v>75</v>
      </c>
      <c r="R102" s="27" t="s">
        <v>29</v>
      </c>
      <c r="S102" s="27" t="s">
        <v>70</v>
      </c>
      <c r="T102" s="27">
        <v>20</v>
      </c>
      <c r="U102" s="27">
        <v>3500</v>
      </c>
      <c r="V102" s="27">
        <v>20</v>
      </c>
      <c r="W102" s="27">
        <v>56000</v>
      </c>
      <c r="X102" s="27">
        <v>4</v>
      </c>
      <c r="Y102" s="27" t="s">
        <v>60</v>
      </c>
      <c r="Z102" s="27" t="s">
        <v>80</v>
      </c>
      <c r="AA102" s="27" t="s">
        <v>136</v>
      </c>
      <c r="AB102" s="27">
        <v>9599597595</v>
      </c>
      <c r="AC102" s="27" t="s">
        <v>52</v>
      </c>
    </row>
    <row r="103" spans="8:29" ht="15" thickBot="1" x14ac:dyDescent="0.4">
      <c r="H103" s="30" t="s">
        <v>210</v>
      </c>
      <c r="I103" s="30" t="s">
        <v>72</v>
      </c>
      <c r="J103" s="30" t="s">
        <v>105</v>
      </c>
      <c r="K103" s="31">
        <v>46097</v>
      </c>
      <c r="L103" s="31">
        <v>46107</v>
      </c>
      <c r="M103" s="30" t="s">
        <v>73</v>
      </c>
      <c r="N103" s="30" t="s">
        <v>26</v>
      </c>
      <c r="O103" s="31">
        <v>36386</v>
      </c>
      <c r="P103" s="30" t="s">
        <v>91</v>
      </c>
      <c r="Q103" s="30" t="s">
        <v>75</v>
      </c>
      <c r="R103" s="30" t="s">
        <v>29</v>
      </c>
      <c r="S103" s="30" t="s">
        <v>107</v>
      </c>
      <c r="T103" s="30">
        <v>8</v>
      </c>
      <c r="U103" s="30">
        <v>8500</v>
      </c>
      <c r="V103" s="30">
        <v>20</v>
      </c>
      <c r="W103" s="30">
        <v>54400</v>
      </c>
      <c r="X103" s="30">
        <v>3</v>
      </c>
      <c r="Y103" s="30" t="s">
        <v>60</v>
      </c>
      <c r="Z103" s="30" t="s">
        <v>80</v>
      </c>
      <c r="AA103" s="30" t="s">
        <v>93</v>
      </c>
      <c r="AB103" s="30">
        <v>9230007509</v>
      </c>
      <c r="AC103" s="30" t="s">
        <v>52</v>
      </c>
    </row>
    <row r="104" spans="8:29" ht="29.5" thickBot="1" x14ac:dyDescent="0.4">
      <c r="H104" s="27" t="s">
        <v>211</v>
      </c>
      <c r="I104" s="27" t="s">
        <v>156</v>
      </c>
      <c r="J104" s="27" t="s">
        <v>36</v>
      </c>
      <c r="K104" s="28">
        <v>45915</v>
      </c>
      <c r="L104" s="28">
        <v>45924</v>
      </c>
      <c r="M104" s="27" t="s">
        <v>106</v>
      </c>
      <c r="N104" s="27" t="s">
        <v>58</v>
      </c>
      <c r="O104" s="28">
        <v>37335</v>
      </c>
      <c r="P104" s="27" t="s">
        <v>91</v>
      </c>
      <c r="Q104" s="27" t="s">
        <v>212</v>
      </c>
      <c r="R104" s="27" t="s">
        <v>39</v>
      </c>
      <c r="S104" s="27" t="s">
        <v>40</v>
      </c>
      <c r="T104" s="27">
        <v>6</v>
      </c>
      <c r="U104" s="27">
        <v>12000</v>
      </c>
      <c r="V104" s="27">
        <v>5</v>
      </c>
      <c r="W104" s="27">
        <v>68400</v>
      </c>
      <c r="X104" s="27">
        <v>4</v>
      </c>
      <c r="Y104" s="27" t="s">
        <v>41</v>
      </c>
      <c r="Z104" s="27" t="s">
        <v>32</v>
      </c>
      <c r="AA104" s="27" t="s">
        <v>158</v>
      </c>
      <c r="AB104" s="27">
        <v>9823428025</v>
      </c>
      <c r="AC104" s="21" t="s">
        <v>34</v>
      </c>
    </row>
    <row r="105" spans="8:29" ht="15" thickBot="1" x14ac:dyDescent="0.4">
      <c r="H105" s="30" t="s">
        <v>213</v>
      </c>
      <c r="I105" s="30" t="s">
        <v>23</v>
      </c>
      <c r="J105" s="30" t="s">
        <v>105</v>
      </c>
      <c r="K105" s="31">
        <v>46092</v>
      </c>
      <c r="L105" s="31">
        <v>46100</v>
      </c>
      <c r="M105" s="30" t="s">
        <v>25</v>
      </c>
      <c r="N105" s="30" t="s">
        <v>26</v>
      </c>
      <c r="O105" s="31">
        <v>33768</v>
      </c>
      <c r="P105" s="30" t="s">
        <v>79</v>
      </c>
      <c r="Q105" s="30" t="s">
        <v>75</v>
      </c>
      <c r="R105" s="30" t="s">
        <v>29</v>
      </c>
      <c r="S105" s="30" t="s">
        <v>107</v>
      </c>
      <c r="T105" s="30">
        <v>15</v>
      </c>
      <c r="U105" s="30">
        <v>8500</v>
      </c>
      <c r="V105" s="30">
        <v>0</v>
      </c>
      <c r="W105" s="30">
        <v>127500</v>
      </c>
      <c r="X105" s="30">
        <v>4</v>
      </c>
      <c r="Y105" s="30" t="s">
        <v>41</v>
      </c>
      <c r="Z105" s="30" t="s">
        <v>32</v>
      </c>
      <c r="AA105" s="30" t="s">
        <v>43</v>
      </c>
      <c r="AB105" s="30">
        <v>9505048912</v>
      </c>
      <c r="AC105" s="30" t="s">
        <v>53</v>
      </c>
    </row>
    <row r="106" spans="8:29" ht="15" thickBot="1" x14ac:dyDescent="0.4">
      <c r="H106" s="27" t="s">
        <v>214</v>
      </c>
      <c r="I106" s="27" t="s">
        <v>45</v>
      </c>
      <c r="J106" s="27" t="s">
        <v>56</v>
      </c>
      <c r="K106" s="28">
        <v>45889</v>
      </c>
      <c r="L106" s="28">
        <v>45892</v>
      </c>
      <c r="M106" s="27" t="s">
        <v>101</v>
      </c>
      <c r="N106" s="27" t="s">
        <v>26</v>
      </c>
      <c r="O106" s="28">
        <v>35234</v>
      </c>
      <c r="P106" s="27" t="s">
        <v>121</v>
      </c>
      <c r="Q106" s="27" t="s">
        <v>38</v>
      </c>
      <c r="R106" s="27" t="s">
        <v>39</v>
      </c>
      <c r="S106" s="27" t="s">
        <v>59</v>
      </c>
      <c r="T106" s="27">
        <v>5</v>
      </c>
      <c r="U106" s="27">
        <v>1200</v>
      </c>
      <c r="V106" s="27">
        <v>15</v>
      </c>
      <c r="W106" s="27">
        <v>5100</v>
      </c>
      <c r="X106" s="27">
        <v>1</v>
      </c>
      <c r="Y106" s="27" t="s">
        <v>41</v>
      </c>
      <c r="Z106" s="27" t="s">
        <v>32</v>
      </c>
      <c r="AA106" s="27" t="s">
        <v>51</v>
      </c>
      <c r="AB106" s="27">
        <v>9508068393</v>
      </c>
      <c r="AC106" s="27" t="s">
        <v>53</v>
      </c>
    </row>
    <row r="107" spans="8:29" ht="15" thickBot="1" x14ac:dyDescent="0.4">
      <c r="H107" s="30" t="s">
        <v>215</v>
      </c>
      <c r="I107" s="30" t="s">
        <v>45</v>
      </c>
      <c r="J107" s="30" t="s">
        <v>125</v>
      </c>
      <c r="K107" s="31">
        <v>45882</v>
      </c>
      <c r="L107" s="31">
        <v>45883</v>
      </c>
      <c r="M107" s="30" t="s">
        <v>101</v>
      </c>
      <c r="N107" s="30" t="s">
        <v>26</v>
      </c>
      <c r="O107" s="31">
        <v>30263</v>
      </c>
      <c r="P107" s="30" t="s">
        <v>27</v>
      </c>
      <c r="Q107" s="30" t="s">
        <v>28</v>
      </c>
      <c r="R107" s="30" t="s">
        <v>83</v>
      </c>
      <c r="S107" s="30" t="s">
        <v>127</v>
      </c>
      <c r="T107" s="30">
        <v>4</v>
      </c>
      <c r="U107" s="30">
        <v>20</v>
      </c>
      <c r="V107" s="30">
        <v>0</v>
      </c>
      <c r="W107" s="30">
        <v>80</v>
      </c>
      <c r="X107" s="30">
        <v>4</v>
      </c>
      <c r="Y107" s="30" t="s">
        <v>41</v>
      </c>
      <c r="Z107" s="30" t="s">
        <v>42</v>
      </c>
      <c r="AA107" s="30" t="s">
        <v>51</v>
      </c>
      <c r="AB107" s="30">
        <v>9785807771</v>
      </c>
      <c r="AC107" s="22" t="s">
        <v>34</v>
      </c>
    </row>
    <row r="108" spans="8:29" ht="15" thickBot="1" x14ac:dyDescent="0.4">
      <c r="H108" s="27" t="s">
        <v>216</v>
      </c>
      <c r="I108" s="27" t="s">
        <v>23</v>
      </c>
      <c r="J108" s="27" t="s">
        <v>125</v>
      </c>
      <c r="K108" s="28">
        <v>45732</v>
      </c>
      <c r="L108" s="28">
        <v>45736</v>
      </c>
      <c r="M108" s="27" t="s">
        <v>25</v>
      </c>
      <c r="N108" s="27" t="s">
        <v>26</v>
      </c>
      <c r="O108" s="28">
        <v>30858</v>
      </c>
      <c r="P108" s="27" t="s">
        <v>48</v>
      </c>
      <c r="Q108" s="27" t="s">
        <v>28</v>
      </c>
      <c r="R108" s="27" t="s">
        <v>83</v>
      </c>
      <c r="S108" s="27" t="s">
        <v>127</v>
      </c>
      <c r="T108" s="27">
        <v>10</v>
      </c>
      <c r="U108" s="27">
        <v>20</v>
      </c>
      <c r="V108" s="27">
        <v>0</v>
      </c>
      <c r="W108" s="27">
        <v>200</v>
      </c>
      <c r="X108" s="27">
        <v>3</v>
      </c>
      <c r="Y108" s="27" t="s">
        <v>31</v>
      </c>
      <c r="Z108" s="27" t="s">
        <v>96</v>
      </c>
      <c r="AA108" s="27" t="s">
        <v>43</v>
      </c>
      <c r="AB108" s="27">
        <v>9215250979</v>
      </c>
      <c r="AC108" s="27" t="s">
        <v>52</v>
      </c>
    </row>
    <row r="109" spans="8:29" ht="15" thickBot="1" x14ac:dyDescent="0.4">
      <c r="H109" s="30" t="s">
        <v>217</v>
      </c>
      <c r="I109" s="30" t="s">
        <v>104</v>
      </c>
      <c r="J109" s="30" t="s">
        <v>24</v>
      </c>
      <c r="K109" s="31">
        <v>45904</v>
      </c>
      <c r="L109" s="31">
        <v>45910</v>
      </c>
      <c r="M109" s="30" t="s">
        <v>166</v>
      </c>
      <c r="N109" s="30" t="s">
        <v>26</v>
      </c>
      <c r="O109" s="31">
        <v>34506</v>
      </c>
      <c r="P109" s="30" t="s">
        <v>37</v>
      </c>
      <c r="Q109" s="30" t="s">
        <v>38</v>
      </c>
      <c r="R109" s="30" t="s">
        <v>29</v>
      </c>
      <c r="S109" s="30" t="s">
        <v>30</v>
      </c>
      <c r="T109" s="30">
        <v>18</v>
      </c>
      <c r="U109" s="30">
        <v>2200</v>
      </c>
      <c r="V109" s="30">
        <v>10</v>
      </c>
      <c r="W109" s="30">
        <v>35640</v>
      </c>
      <c r="X109" s="30">
        <v>3</v>
      </c>
      <c r="Y109" s="30" t="s">
        <v>31</v>
      </c>
      <c r="Z109" s="30" t="s">
        <v>32</v>
      </c>
      <c r="AA109" s="30" t="s">
        <v>108</v>
      </c>
      <c r="AB109" s="30">
        <v>9845884906</v>
      </c>
      <c r="AC109" s="30" t="s">
        <v>53</v>
      </c>
    </row>
    <row r="110" spans="8:29" ht="29.5" thickBot="1" x14ac:dyDescent="0.4">
      <c r="H110" s="27" t="s">
        <v>218</v>
      </c>
      <c r="I110" s="27" t="s">
        <v>156</v>
      </c>
      <c r="J110" s="27" t="s">
        <v>68</v>
      </c>
      <c r="K110" s="28">
        <v>45759</v>
      </c>
      <c r="L110" s="28">
        <v>45762</v>
      </c>
      <c r="M110" s="27" t="s">
        <v>106</v>
      </c>
      <c r="N110" s="27" t="s">
        <v>58</v>
      </c>
      <c r="O110" s="28">
        <v>33163</v>
      </c>
      <c r="P110" s="27" t="s">
        <v>37</v>
      </c>
      <c r="Q110" s="27" t="s">
        <v>38</v>
      </c>
      <c r="R110" s="27" t="s">
        <v>29</v>
      </c>
      <c r="S110" s="27" t="s">
        <v>70</v>
      </c>
      <c r="T110" s="27">
        <v>7</v>
      </c>
      <c r="U110" s="27">
        <v>3500</v>
      </c>
      <c r="V110" s="27">
        <v>15</v>
      </c>
      <c r="W110" s="27">
        <v>20825</v>
      </c>
      <c r="X110" s="27">
        <v>3</v>
      </c>
      <c r="Y110" s="27" t="s">
        <v>41</v>
      </c>
      <c r="Z110" s="27" t="s">
        <v>42</v>
      </c>
      <c r="AA110" s="27" t="s">
        <v>158</v>
      </c>
      <c r="AB110" s="27">
        <v>9393097397</v>
      </c>
      <c r="AC110" s="21" t="s">
        <v>34</v>
      </c>
    </row>
    <row r="111" spans="8:29" ht="15" thickBot="1" x14ac:dyDescent="0.4">
      <c r="H111" s="30" t="s">
        <v>219</v>
      </c>
      <c r="I111" s="30" t="s">
        <v>72</v>
      </c>
      <c r="J111" s="30" t="s">
        <v>105</v>
      </c>
      <c r="K111" s="31">
        <v>46146</v>
      </c>
      <c r="L111" s="31">
        <v>46149</v>
      </c>
      <c r="M111" s="30" t="s">
        <v>73</v>
      </c>
      <c r="N111" s="30" t="s">
        <v>26</v>
      </c>
      <c r="O111" s="31">
        <v>31805</v>
      </c>
      <c r="P111" s="30" t="s">
        <v>147</v>
      </c>
      <c r="Q111" s="30" t="s">
        <v>148</v>
      </c>
      <c r="R111" s="30" t="s">
        <v>29</v>
      </c>
      <c r="S111" s="30" t="s">
        <v>107</v>
      </c>
      <c r="T111" s="30">
        <v>19</v>
      </c>
      <c r="U111" s="30">
        <v>8500</v>
      </c>
      <c r="V111" s="30">
        <v>15</v>
      </c>
      <c r="W111" s="30">
        <v>137275</v>
      </c>
      <c r="X111" s="30">
        <v>4</v>
      </c>
      <c r="Y111" s="30" t="s">
        <v>60</v>
      </c>
      <c r="Z111" s="30" t="s">
        <v>96</v>
      </c>
      <c r="AA111" s="30" t="s">
        <v>93</v>
      </c>
      <c r="AB111" s="30">
        <v>9958032109</v>
      </c>
      <c r="AC111" s="30" t="s">
        <v>52</v>
      </c>
    </row>
    <row r="112" spans="8:29" ht="15" thickBot="1" x14ac:dyDescent="0.4">
      <c r="H112" s="27" t="s">
        <v>220</v>
      </c>
      <c r="I112" s="27" t="s">
        <v>134</v>
      </c>
      <c r="J112" s="27" t="s">
        <v>36</v>
      </c>
      <c r="K112" s="28">
        <v>46040</v>
      </c>
      <c r="L112" s="28">
        <v>46049</v>
      </c>
      <c r="M112" s="27" t="s">
        <v>135</v>
      </c>
      <c r="N112" s="27" t="s">
        <v>26</v>
      </c>
      <c r="O112" s="28">
        <v>30580</v>
      </c>
      <c r="P112" s="27" t="s">
        <v>91</v>
      </c>
      <c r="Q112" s="27" t="s">
        <v>75</v>
      </c>
      <c r="R112" s="27" t="s">
        <v>39</v>
      </c>
      <c r="S112" s="27" t="s">
        <v>40</v>
      </c>
      <c r="T112" s="27">
        <v>13</v>
      </c>
      <c r="U112" s="27">
        <v>12000</v>
      </c>
      <c r="V112" s="27">
        <v>15</v>
      </c>
      <c r="W112" s="27">
        <v>132600</v>
      </c>
      <c r="X112" s="27">
        <v>4</v>
      </c>
      <c r="Y112" s="27" t="s">
        <v>31</v>
      </c>
      <c r="Z112" s="27" t="s">
        <v>42</v>
      </c>
      <c r="AA112" s="27" t="s">
        <v>136</v>
      </c>
      <c r="AB112" s="27">
        <v>9755082957</v>
      </c>
      <c r="AC112" s="21" t="s">
        <v>34</v>
      </c>
    </row>
    <row r="113" spans="8:29" ht="29.5" thickBot="1" x14ac:dyDescent="0.4">
      <c r="H113" s="30" t="s">
        <v>221</v>
      </c>
      <c r="I113" s="30" t="s">
        <v>156</v>
      </c>
      <c r="J113" s="30" t="s">
        <v>125</v>
      </c>
      <c r="K113" s="31">
        <v>46095</v>
      </c>
      <c r="L113" s="31">
        <v>46105</v>
      </c>
      <c r="M113" s="30" t="s">
        <v>106</v>
      </c>
      <c r="N113" s="30" t="s">
        <v>58</v>
      </c>
      <c r="O113" s="31">
        <v>32602</v>
      </c>
      <c r="P113" s="30" t="s">
        <v>79</v>
      </c>
      <c r="Q113" s="30" t="s">
        <v>75</v>
      </c>
      <c r="R113" s="30" t="s">
        <v>83</v>
      </c>
      <c r="S113" s="30" t="s">
        <v>127</v>
      </c>
      <c r="T113" s="30">
        <v>7</v>
      </c>
      <c r="U113" s="30">
        <v>20</v>
      </c>
      <c r="V113" s="30">
        <v>0</v>
      </c>
      <c r="W113" s="30">
        <v>140</v>
      </c>
      <c r="X113" s="30">
        <v>1</v>
      </c>
      <c r="Y113" s="30" t="s">
        <v>60</v>
      </c>
      <c r="Z113" s="30" t="s">
        <v>96</v>
      </c>
      <c r="AA113" s="30" t="s">
        <v>158</v>
      </c>
      <c r="AB113" s="30">
        <v>9872235856</v>
      </c>
      <c r="AC113" s="30" t="s">
        <v>53</v>
      </c>
    </row>
    <row r="114" spans="8:29" ht="15" thickBot="1" x14ac:dyDescent="0.4">
      <c r="H114" s="27" t="s">
        <v>222</v>
      </c>
      <c r="I114" s="27" t="s">
        <v>104</v>
      </c>
      <c r="J114" s="27" t="s">
        <v>112</v>
      </c>
      <c r="K114" s="28">
        <v>45786</v>
      </c>
      <c r="L114" s="28">
        <v>45788</v>
      </c>
      <c r="M114" s="27" t="s">
        <v>166</v>
      </c>
      <c r="N114" s="27" t="s">
        <v>26</v>
      </c>
      <c r="O114" s="28">
        <v>32045</v>
      </c>
      <c r="P114" s="27" t="s">
        <v>37</v>
      </c>
      <c r="Q114" s="27" t="s">
        <v>38</v>
      </c>
      <c r="R114" s="27" t="s">
        <v>39</v>
      </c>
      <c r="S114" s="27" t="s">
        <v>114</v>
      </c>
      <c r="T114" s="27">
        <v>5</v>
      </c>
      <c r="U114" s="27">
        <v>700</v>
      </c>
      <c r="V114" s="27">
        <v>15</v>
      </c>
      <c r="W114" s="27">
        <v>999999</v>
      </c>
      <c r="X114" s="27">
        <v>4</v>
      </c>
      <c r="Y114" s="27" t="s">
        <v>60</v>
      </c>
      <c r="Z114" s="27" t="s">
        <v>32</v>
      </c>
      <c r="AA114" s="27" t="s">
        <v>108</v>
      </c>
      <c r="AB114" s="27">
        <v>9335138816</v>
      </c>
      <c r="AC114" s="27" t="s">
        <v>52</v>
      </c>
    </row>
    <row r="115" spans="8:29" ht="15" thickBot="1" x14ac:dyDescent="0.4">
      <c r="H115" s="30" t="s">
        <v>223</v>
      </c>
      <c r="I115" s="30" t="s">
        <v>63</v>
      </c>
      <c r="J115" s="30" t="s">
        <v>138</v>
      </c>
      <c r="K115" s="31">
        <v>46149</v>
      </c>
      <c r="L115" s="31">
        <v>46152</v>
      </c>
      <c r="M115" s="30" t="s">
        <v>110</v>
      </c>
      <c r="N115" s="30" t="s">
        <v>58</v>
      </c>
      <c r="O115" s="31">
        <v>30170</v>
      </c>
      <c r="P115" s="30" t="s">
        <v>48</v>
      </c>
      <c r="Q115" s="30" t="s">
        <v>28</v>
      </c>
      <c r="R115" s="30" t="s">
        <v>83</v>
      </c>
      <c r="S115" s="30" t="s">
        <v>139</v>
      </c>
      <c r="T115" s="30">
        <v>9</v>
      </c>
      <c r="U115" s="30">
        <v>45</v>
      </c>
      <c r="V115" s="30">
        <v>5</v>
      </c>
      <c r="W115" s="30">
        <v>384.75</v>
      </c>
      <c r="X115" s="30">
        <v>3</v>
      </c>
      <c r="Y115" s="30" t="s">
        <v>31</v>
      </c>
      <c r="Z115" s="30" t="s">
        <v>32</v>
      </c>
      <c r="AA115" s="30" t="s">
        <v>66</v>
      </c>
      <c r="AB115" s="30">
        <v>9750365609</v>
      </c>
      <c r="AC115" s="22" t="s">
        <v>34</v>
      </c>
    </row>
    <row r="116" spans="8:29" ht="15" thickBot="1" x14ac:dyDescent="0.4">
      <c r="H116" s="27" t="s">
        <v>224</v>
      </c>
      <c r="I116" s="27" t="s">
        <v>87</v>
      </c>
      <c r="J116" s="27" t="s">
        <v>82</v>
      </c>
      <c r="K116" s="28">
        <v>45768</v>
      </c>
      <c r="L116" s="28">
        <v>45776</v>
      </c>
      <c r="M116" s="27" t="s">
        <v>88</v>
      </c>
      <c r="N116" s="27" t="s">
        <v>58</v>
      </c>
      <c r="O116" s="28">
        <v>31610</v>
      </c>
      <c r="P116" s="27" t="s">
        <v>147</v>
      </c>
      <c r="Q116" s="27" t="s">
        <v>148</v>
      </c>
      <c r="R116" s="27" t="s">
        <v>83</v>
      </c>
      <c r="S116" s="27" t="s">
        <v>84</v>
      </c>
      <c r="T116" s="27">
        <v>19</v>
      </c>
      <c r="U116" s="27">
        <v>60</v>
      </c>
      <c r="V116" s="27">
        <v>10</v>
      </c>
      <c r="W116" s="27">
        <v>1026</v>
      </c>
      <c r="X116" s="27">
        <v>5</v>
      </c>
      <c r="Y116" s="27" t="s">
        <v>41</v>
      </c>
      <c r="Z116" s="27" t="s">
        <v>80</v>
      </c>
      <c r="AA116" s="27" t="s">
        <v>89</v>
      </c>
      <c r="AB116" s="27">
        <v>9736812737</v>
      </c>
      <c r="AC116" s="21" t="s">
        <v>34</v>
      </c>
    </row>
    <row r="117" spans="8:29" ht="29.5" thickBot="1" x14ac:dyDescent="0.4">
      <c r="H117" s="30" t="s">
        <v>225</v>
      </c>
      <c r="I117" s="30" t="s">
        <v>156</v>
      </c>
      <c r="J117" s="30" t="s">
        <v>112</v>
      </c>
      <c r="K117" s="31">
        <v>46002</v>
      </c>
      <c r="L117" s="31">
        <v>46011</v>
      </c>
      <c r="M117" s="30" t="s">
        <v>106</v>
      </c>
      <c r="N117" s="30" t="s">
        <v>58</v>
      </c>
      <c r="O117" s="31">
        <v>31873</v>
      </c>
      <c r="P117" s="30" t="s">
        <v>91</v>
      </c>
      <c r="Q117" s="30" t="s">
        <v>75</v>
      </c>
      <c r="R117" s="30" t="s">
        <v>39</v>
      </c>
      <c r="S117" s="30" t="s">
        <v>114</v>
      </c>
      <c r="T117" s="30">
        <v>4</v>
      </c>
      <c r="U117" s="30">
        <v>700</v>
      </c>
      <c r="V117" s="30">
        <v>5</v>
      </c>
      <c r="W117" s="30">
        <v>2660</v>
      </c>
      <c r="X117" s="30">
        <v>3</v>
      </c>
      <c r="Y117" s="30" t="s">
        <v>41</v>
      </c>
      <c r="Z117" s="30" t="s">
        <v>50</v>
      </c>
      <c r="AA117" s="30" t="s">
        <v>158</v>
      </c>
      <c r="AB117" s="30">
        <v>9271420931</v>
      </c>
      <c r="AC117" s="22" t="s">
        <v>34</v>
      </c>
    </row>
    <row r="118" spans="8:29" ht="29.5" thickBot="1" x14ac:dyDescent="0.4">
      <c r="H118" s="27" t="s">
        <v>226</v>
      </c>
      <c r="I118" s="27" t="s">
        <v>156</v>
      </c>
      <c r="J118" s="27" t="s">
        <v>68</v>
      </c>
      <c r="K118" s="28">
        <v>46149</v>
      </c>
      <c r="L118" s="28">
        <v>46157</v>
      </c>
      <c r="M118" s="27" t="s">
        <v>106</v>
      </c>
      <c r="N118" s="27" t="s">
        <v>58</v>
      </c>
      <c r="O118" s="28">
        <v>38042</v>
      </c>
      <c r="P118" s="27" t="s">
        <v>79</v>
      </c>
      <c r="Q118" s="27" t="s">
        <v>75</v>
      </c>
      <c r="R118" s="27" t="s">
        <v>29</v>
      </c>
      <c r="S118" s="27" t="s">
        <v>70</v>
      </c>
      <c r="T118" s="27">
        <v>16</v>
      </c>
      <c r="U118" s="27">
        <v>3500</v>
      </c>
      <c r="V118" s="27">
        <v>0</v>
      </c>
      <c r="W118" s="27">
        <v>56000</v>
      </c>
      <c r="X118" s="27">
        <v>2</v>
      </c>
      <c r="Y118" s="27" t="s">
        <v>60</v>
      </c>
      <c r="Z118" s="27" t="s">
        <v>42</v>
      </c>
      <c r="AA118" s="27" t="s">
        <v>158</v>
      </c>
      <c r="AB118" s="27">
        <v>9781411370</v>
      </c>
      <c r="AC118" s="21" t="s">
        <v>34</v>
      </c>
    </row>
    <row r="119" spans="8:29" ht="15" thickBot="1" x14ac:dyDescent="0.4">
      <c r="H119" s="30" t="s">
        <v>227</v>
      </c>
      <c r="I119" s="30" t="s">
        <v>134</v>
      </c>
      <c r="J119" s="30" t="s">
        <v>138</v>
      </c>
      <c r="K119" s="31">
        <v>45670</v>
      </c>
      <c r="L119" s="31">
        <v>45677</v>
      </c>
      <c r="M119" s="30" t="s">
        <v>135</v>
      </c>
      <c r="N119" s="30" t="s">
        <v>26</v>
      </c>
      <c r="O119" s="31">
        <v>37005</v>
      </c>
      <c r="P119" s="30" t="s">
        <v>48</v>
      </c>
      <c r="Q119" s="30" t="s">
        <v>28</v>
      </c>
      <c r="R119" s="30" t="s">
        <v>83</v>
      </c>
      <c r="S119" s="30" t="s">
        <v>139</v>
      </c>
      <c r="T119" s="30">
        <v>5</v>
      </c>
      <c r="U119" s="30">
        <v>45</v>
      </c>
      <c r="V119" s="30">
        <v>20</v>
      </c>
      <c r="W119" s="30">
        <v>180</v>
      </c>
      <c r="X119" s="30">
        <v>3</v>
      </c>
      <c r="Y119" s="30" t="s">
        <v>60</v>
      </c>
      <c r="Z119" s="30" t="s">
        <v>32</v>
      </c>
      <c r="AA119" s="30" t="s">
        <v>136</v>
      </c>
      <c r="AB119" s="30">
        <v>9584152818</v>
      </c>
      <c r="AC119" s="22" t="s">
        <v>34</v>
      </c>
    </row>
    <row r="120" spans="8:29" ht="15" thickBot="1" x14ac:dyDescent="0.4">
      <c r="H120" s="27" t="s">
        <v>228</v>
      </c>
      <c r="I120" s="27" t="s">
        <v>63</v>
      </c>
      <c r="J120" s="27" t="s">
        <v>125</v>
      </c>
      <c r="K120" s="28">
        <v>45733</v>
      </c>
      <c r="L120" s="28">
        <v>45734</v>
      </c>
      <c r="M120" s="27" t="s">
        <v>110</v>
      </c>
      <c r="N120" s="27" t="s">
        <v>58</v>
      </c>
      <c r="O120" s="28">
        <v>35247</v>
      </c>
      <c r="P120" s="27" t="s">
        <v>74</v>
      </c>
      <c r="Q120" s="27" t="s">
        <v>75</v>
      </c>
      <c r="R120" s="27" t="s">
        <v>83</v>
      </c>
      <c r="S120" s="27" t="s">
        <v>127</v>
      </c>
      <c r="T120" s="27">
        <v>9</v>
      </c>
      <c r="U120" s="27">
        <v>20</v>
      </c>
      <c r="V120" s="27">
        <v>10</v>
      </c>
      <c r="W120" s="27">
        <v>162</v>
      </c>
      <c r="X120" s="27">
        <v>4</v>
      </c>
      <c r="Y120" s="27" t="s">
        <v>60</v>
      </c>
      <c r="Z120" s="27" t="s">
        <v>32</v>
      </c>
      <c r="AA120" s="27" t="s">
        <v>66</v>
      </c>
      <c r="AB120" s="27">
        <v>9507986836</v>
      </c>
      <c r="AC120" s="27" t="s">
        <v>52</v>
      </c>
    </row>
    <row r="121" spans="8:29" ht="15" thickBot="1" x14ac:dyDescent="0.4">
      <c r="H121" s="30" t="s">
        <v>229</v>
      </c>
      <c r="I121" s="30" t="s">
        <v>45</v>
      </c>
      <c r="J121" s="30" t="s">
        <v>56</v>
      </c>
      <c r="K121" s="31">
        <v>45713</v>
      </c>
      <c r="L121" s="31">
        <v>45717</v>
      </c>
      <c r="M121" s="30" t="s">
        <v>101</v>
      </c>
      <c r="N121" s="30" t="s">
        <v>26</v>
      </c>
      <c r="O121" s="31">
        <v>28892</v>
      </c>
      <c r="P121" s="30" t="s">
        <v>37</v>
      </c>
      <c r="Q121" s="30" t="s">
        <v>38</v>
      </c>
      <c r="R121" s="30" t="s">
        <v>39</v>
      </c>
      <c r="S121" s="30" t="s">
        <v>59</v>
      </c>
      <c r="T121" s="30">
        <v>9</v>
      </c>
      <c r="U121" s="30">
        <v>1200</v>
      </c>
      <c r="V121" s="30">
        <v>5</v>
      </c>
      <c r="W121" s="30">
        <v>10260</v>
      </c>
      <c r="X121" s="30">
        <v>3</v>
      </c>
      <c r="Y121" s="30" t="s">
        <v>65</v>
      </c>
      <c r="Z121" s="30" t="s">
        <v>32</v>
      </c>
      <c r="AA121" s="30" t="s">
        <v>51</v>
      </c>
      <c r="AB121" s="30">
        <v>9518249687</v>
      </c>
      <c r="AC121" s="30" t="s">
        <v>52</v>
      </c>
    </row>
    <row r="122" spans="8:29" ht="15" thickBot="1" x14ac:dyDescent="0.4">
      <c r="H122" s="27" t="s">
        <v>230</v>
      </c>
      <c r="I122" s="27" t="s">
        <v>72</v>
      </c>
      <c r="J122" s="27" t="s">
        <v>68</v>
      </c>
      <c r="K122" s="28">
        <v>45714</v>
      </c>
      <c r="L122" s="28">
        <v>45715</v>
      </c>
      <c r="M122" s="27" t="s">
        <v>73</v>
      </c>
      <c r="N122" s="27" t="s">
        <v>26</v>
      </c>
      <c r="O122" s="28">
        <v>31393</v>
      </c>
      <c r="P122" s="27" t="s">
        <v>37</v>
      </c>
      <c r="Q122" s="27" t="s">
        <v>38</v>
      </c>
      <c r="R122" s="27" t="s">
        <v>29</v>
      </c>
      <c r="S122" s="27" t="s">
        <v>70</v>
      </c>
      <c r="T122" s="27">
        <v>3</v>
      </c>
      <c r="U122" s="27">
        <v>3500</v>
      </c>
      <c r="V122" s="27">
        <v>10</v>
      </c>
      <c r="W122" s="27">
        <v>9450</v>
      </c>
      <c r="X122" s="27">
        <v>2</v>
      </c>
      <c r="Y122" s="27" t="s">
        <v>60</v>
      </c>
      <c r="Z122" s="27" t="s">
        <v>96</v>
      </c>
      <c r="AA122" s="27" t="s">
        <v>93</v>
      </c>
      <c r="AB122" s="27">
        <v>9179328207</v>
      </c>
      <c r="AC122" s="27" t="s">
        <v>53</v>
      </c>
    </row>
    <row r="123" spans="8:29" ht="15" thickBot="1" x14ac:dyDescent="0.4">
      <c r="H123" s="30" t="s">
        <v>231</v>
      </c>
      <c r="I123" s="30" t="s">
        <v>124</v>
      </c>
      <c r="J123" s="30" t="s">
        <v>56</v>
      </c>
      <c r="K123" s="31">
        <v>46094</v>
      </c>
      <c r="L123" s="31">
        <v>46099</v>
      </c>
      <c r="M123" s="30" t="s">
        <v>126</v>
      </c>
      <c r="N123" s="30" t="s">
        <v>58</v>
      </c>
      <c r="O123" s="31">
        <v>33631</v>
      </c>
      <c r="P123" s="30" t="s">
        <v>74</v>
      </c>
      <c r="Q123" s="30" t="s">
        <v>75</v>
      </c>
      <c r="R123" s="30" t="s">
        <v>39</v>
      </c>
      <c r="S123" s="30" t="s">
        <v>59</v>
      </c>
      <c r="T123" s="30">
        <v>6</v>
      </c>
      <c r="U123" s="30">
        <v>1200</v>
      </c>
      <c r="V123" s="30">
        <v>15</v>
      </c>
      <c r="W123" s="30">
        <v>6120</v>
      </c>
      <c r="X123" s="30">
        <v>4</v>
      </c>
      <c r="Y123" s="30" t="s">
        <v>65</v>
      </c>
      <c r="Z123" s="30" t="s">
        <v>32</v>
      </c>
      <c r="AA123" s="30" t="s">
        <v>128</v>
      </c>
      <c r="AB123" s="30">
        <v>9778490728</v>
      </c>
      <c r="AC123" s="30" t="s">
        <v>53</v>
      </c>
    </row>
    <row r="124" spans="8:29" ht="15" thickBot="1" x14ac:dyDescent="0.4">
      <c r="H124" s="27" t="s">
        <v>232</v>
      </c>
      <c r="I124" s="27" t="s">
        <v>63</v>
      </c>
      <c r="J124" s="27" t="s">
        <v>56</v>
      </c>
      <c r="K124" s="28">
        <v>45848</v>
      </c>
      <c r="L124" s="28">
        <v>45850</v>
      </c>
      <c r="M124" s="27" t="s">
        <v>110</v>
      </c>
      <c r="N124" s="27" t="s">
        <v>58</v>
      </c>
      <c r="O124" s="28">
        <v>34155</v>
      </c>
      <c r="P124" s="27" t="s">
        <v>121</v>
      </c>
      <c r="Q124" s="27" t="s">
        <v>38</v>
      </c>
      <c r="R124" s="27" t="s">
        <v>39</v>
      </c>
      <c r="S124" s="27" t="s">
        <v>59</v>
      </c>
      <c r="T124" s="27">
        <v>17</v>
      </c>
      <c r="U124" s="27">
        <v>1200</v>
      </c>
      <c r="V124" s="27">
        <v>15</v>
      </c>
      <c r="W124" s="27">
        <v>17340</v>
      </c>
      <c r="X124" s="27">
        <v>1</v>
      </c>
      <c r="Y124" s="27" t="s">
        <v>31</v>
      </c>
      <c r="Z124" s="27" t="s">
        <v>50</v>
      </c>
      <c r="AA124" s="27" t="s">
        <v>66</v>
      </c>
      <c r="AB124" s="27">
        <v>9223058722</v>
      </c>
      <c r="AC124" s="21" t="s">
        <v>34</v>
      </c>
    </row>
    <row r="125" spans="8:29" ht="15" thickBot="1" x14ac:dyDescent="0.4">
      <c r="H125" s="30" t="s">
        <v>233</v>
      </c>
      <c r="I125" s="30" t="s">
        <v>124</v>
      </c>
      <c r="J125" s="30" t="s">
        <v>105</v>
      </c>
      <c r="K125" s="31">
        <v>45979</v>
      </c>
      <c r="L125" s="31">
        <v>45987</v>
      </c>
      <c r="M125" s="30" t="s">
        <v>126</v>
      </c>
      <c r="N125" s="30" t="s">
        <v>58</v>
      </c>
      <c r="O125" s="31">
        <v>28381</v>
      </c>
      <c r="P125" s="30" t="s">
        <v>48</v>
      </c>
      <c r="Q125" s="30" t="s">
        <v>28</v>
      </c>
      <c r="R125" s="30" t="s">
        <v>29</v>
      </c>
      <c r="S125" s="30" t="s">
        <v>107</v>
      </c>
      <c r="T125" s="30">
        <v>15</v>
      </c>
      <c r="U125" s="30">
        <v>8500</v>
      </c>
      <c r="V125" s="30">
        <v>0</v>
      </c>
      <c r="W125" s="30">
        <v>127500</v>
      </c>
      <c r="X125" s="30">
        <v>3</v>
      </c>
      <c r="Y125" s="30" t="s">
        <v>31</v>
      </c>
      <c r="Z125" s="30" t="s">
        <v>80</v>
      </c>
      <c r="AA125" s="30" t="s">
        <v>128</v>
      </c>
      <c r="AB125" s="30">
        <v>9999889465</v>
      </c>
      <c r="AC125" s="30" t="s">
        <v>52</v>
      </c>
    </row>
    <row r="126" spans="8:29" ht="15" thickBot="1" x14ac:dyDescent="0.4">
      <c r="H126" s="27" t="s">
        <v>234</v>
      </c>
      <c r="I126" s="27" t="s">
        <v>87</v>
      </c>
      <c r="J126" s="27" t="s">
        <v>56</v>
      </c>
      <c r="K126" s="28">
        <v>45760</v>
      </c>
      <c r="L126" s="28">
        <v>45766</v>
      </c>
      <c r="M126" s="27" t="s">
        <v>88</v>
      </c>
      <c r="N126" s="27" t="s">
        <v>58</v>
      </c>
      <c r="O126" s="28">
        <v>31331</v>
      </c>
      <c r="P126" s="27" t="s">
        <v>27</v>
      </c>
      <c r="Q126" s="27" t="s">
        <v>28</v>
      </c>
      <c r="R126" s="27" t="s">
        <v>39</v>
      </c>
      <c r="S126" s="27" t="s">
        <v>59</v>
      </c>
      <c r="T126" s="27">
        <v>1</v>
      </c>
      <c r="U126" s="27">
        <v>1200</v>
      </c>
      <c r="V126" s="27">
        <v>20</v>
      </c>
      <c r="W126" s="27">
        <v>960</v>
      </c>
      <c r="X126" s="27">
        <v>1</v>
      </c>
      <c r="Y126" s="27" t="s">
        <v>65</v>
      </c>
      <c r="Z126" s="27" t="s">
        <v>80</v>
      </c>
      <c r="AA126" s="27" t="s">
        <v>89</v>
      </c>
      <c r="AB126" s="27">
        <v>9489687402</v>
      </c>
      <c r="AC126" s="27" t="s">
        <v>52</v>
      </c>
    </row>
    <row r="127" spans="8:29" ht="15" thickBot="1" x14ac:dyDescent="0.4">
      <c r="H127" s="30" t="s">
        <v>235</v>
      </c>
      <c r="I127" s="30" t="s">
        <v>87</v>
      </c>
      <c r="J127" s="30" t="s">
        <v>105</v>
      </c>
      <c r="K127" s="31">
        <v>45756</v>
      </c>
      <c r="L127" s="31">
        <v>45765</v>
      </c>
      <c r="M127" s="30" t="s">
        <v>88</v>
      </c>
      <c r="N127" s="30" t="s">
        <v>58</v>
      </c>
      <c r="O127" s="31">
        <v>37166</v>
      </c>
      <c r="P127" s="30" t="s">
        <v>147</v>
      </c>
      <c r="Q127" s="30" t="s">
        <v>148</v>
      </c>
      <c r="R127" s="30" t="s">
        <v>29</v>
      </c>
      <c r="S127" s="30" t="s">
        <v>107</v>
      </c>
      <c r="T127" s="30">
        <v>5</v>
      </c>
      <c r="U127" s="30">
        <v>8500</v>
      </c>
      <c r="V127" s="30">
        <v>10</v>
      </c>
      <c r="W127" s="30">
        <v>38250</v>
      </c>
      <c r="X127" s="30">
        <v>1</v>
      </c>
      <c r="Y127" s="30" t="s">
        <v>60</v>
      </c>
      <c r="Z127" s="30" t="s">
        <v>50</v>
      </c>
      <c r="AA127" s="30" t="s">
        <v>89</v>
      </c>
      <c r="AB127" s="30">
        <v>9236963301</v>
      </c>
      <c r="AC127" s="22" t="s">
        <v>34</v>
      </c>
    </row>
    <row r="128" spans="8:29" ht="15" thickBot="1" x14ac:dyDescent="0.4">
      <c r="H128" s="27" t="s">
        <v>236</v>
      </c>
      <c r="I128" s="27" t="s">
        <v>45</v>
      </c>
      <c r="J128" s="27" t="s">
        <v>138</v>
      </c>
      <c r="K128" s="28">
        <v>46115</v>
      </c>
      <c r="L128" s="28">
        <v>46122</v>
      </c>
      <c r="M128" s="27" t="s">
        <v>101</v>
      </c>
      <c r="N128" s="27" t="s">
        <v>26</v>
      </c>
      <c r="O128" s="28">
        <v>31510</v>
      </c>
      <c r="P128" s="27" t="s">
        <v>27</v>
      </c>
      <c r="Q128" s="27" t="s">
        <v>28</v>
      </c>
      <c r="R128" s="27" t="s">
        <v>83</v>
      </c>
      <c r="S128" s="27" t="s">
        <v>139</v>
      </c>
      <c r="T128" s="27">
        <v>12</v>
      </c>
      <c r="U128" s="27">
        <v>45</v>
      </c>
      <c r="V128" s="27">
        <v>5</v>
      </c>
      <c r="W128" s="27">
        <v>513</v>
      </c>
      <c r="X128" s="27">
        <v>2</v>
      </c>
      <c r="Y128" s="27" t="s">
        <v>41</v>
      </c>
      <c r="Z128" s="27" t="s">
        <v>32</v>
      </c>
      <c r="AA128" s="27" t="s">
        <v>51</v>
      </c>
      <c r="AB128" s="27">
        <v>9653594592</v>
      </c>
      <c r="AC128" s="27" t="s">
        <v>53</v>
      </c>
    </row>
    <row r="129" spans="8:29" ht="15" thickBot="1" x14ac:dyDescent="0.4">
      <c r="H129" s="30" t="s">
        <v>237</v>
      </c>
      <c r="I129" s="30" t="s">
        <v>124</v>
      </c>
      <c r="J129" s="30" t="s">
        <v>82</v>
      </c>
      <c r="K129" s="31">
        <v>45953</v>
      </c>
      <c r="L129" s="31">
        <v>45958</v>
      </c>
      <c r="M129" s="30" t="s">
        <v>126</v>
      </c>
      <c r="N129" s="30" t="s">
        <v>58</v>
      </c>
      <c r="O129" s="31">
        <v>33075</v>
      </c>
      <c r="P129" s="30" t="s">
        <v>79</v>
      </c>
      <c r="Q129" s="30" t="s">
        <v>75</v>
      </c>
      <c r="R129" s="30" t="s">
        <v>83</v>
      </c>
      <c r="S129" s="30" t="s">
        <v>84</v>
      </c>
      <c r="T129" s="30">
        <v>5</v>
      </c>
      <c r="U129" s="30">
        <v>60</v>
      </c>
      <c r="V129" s="30">
        <v>5</v>
      </c>
      <c r="W129" s="30">
        <v>285</v>
      </c>
      <c r="X129" s="30">
        <v>2</v>
      </c>
      <c r="Y129" s="30" t="s">
        <v>31</v>
      </c>
      <c r="Z129" s="30" t="s">
        <v>50</v>
      </c>
      <c r="AA129" s="30" t="s">
        <v>128</v>
      </c>
      <c r="AB129" s="30">
        <v>9781970426</v>
      </c>
      <c r="AC129" s="22" t="s">
        <v>34</v>
      </c>
    </row>
    <row r="130" spans="8:29" ht="15" thickBot="1" x14ac:dyDescent="0.4">
      <c r="H130" s="27" t="s">
        <v>238</v>
      </c>
      <c r="I130" s="27" t="s">
        <v>45</v>
      </c>
      <c r="J130" s="27" t="s">
        <v>112</v>
      </c>
      <c r="K130" s="28">
        <v>45750</v>
      </c>
      <c r="L130" s="28">
        <v>45761</v>
      </c>
      <c r="M130" s="27" t="s">
        <v>101</v>
      </c>
      <c r="N130" s="27" t="s">
        <v>26</v>
      </c>
      <c r="O130" s="28">
        <v>34435</v>
      </c>
      <c r="P130" s="27" t="s">
        <v>147</v>
      </c>
      <c r="Q130" s="27" t="s">
        <v>148</v>
      </c>
      <c r="R130" s="27" t="s">
        <v>39</v>
      </c>
      <c r="S130" s="27" t="s">
        <v>114</v>
      </c>
      <c r="T130" s="27">
        <v>3</v>
      </c>
      <c r="U130" s="27">
        <v>700</v>
      </c>
      <c r="V130" s="27">
        <v>0</v>
      </c>
      <c r="W130" s="27">
        <v>2100</v>
      </c>
      <c r="X130" s="27">
        <v>4</v>
      </c>
      <c r="Y130" s="27" t="s">
        <v>60</v>
      </c>
      <c r="Z130" s="27" t="s">
        <v>50</v>
      </c>
      <c r="AA130" s="27" t="s">
        <v>51</v>
      </c>
      <c r="AB130" s="27">
        <v>9862165194</v>
      </c>
      <c r="AC130" s="21" t="s">
        <v>34</v>
      </c>
    </row>
    <row r="131" spans="8:29" ht="15" thickBot="1" x14ac:dyDescent="0.4">
      <c r="H131" s="30" t="s">
        <v>239</v>
      </c>
      <c r="I131" s="30" t="s">
        <v>104</v>
      </c>
      <c r="J131" s="30" t="s">
        <v>125</v>
      </c>
      <c r="K131" s="31">
        <v>45772</v>
      </c>
      <c r="L131" s="31">
        <v>45776</v>
      </c>
      <c r="M131" s="30" t="s">
        <v>166</v>
      </c>
      <c r="N131" s="30" t="s">
        <v>26</v>
      </c>
      <c r="O131" s="31">
        <v>33728</v>
      </c>
      <c r="P131" s="30" t="s">
        <v>37</v>
      </c>
      <c r="Q131" s="30" t="s">
        <v>38</v>
      </c>
      <c r="R131" s="30" t="s">
        <v>83</v>
      </c>
      <c r="S131" s="30" t="s">
        <v>127</v>
      </c>
      <c r="T131" s="30">
        <v>6</v>
      </c>
      <c r="U131" s="30">
        <v>20</v>
      </c>
      <c r="V131" s="30">
        <v>15</v>
      </c>
      <c r="W131" s="30">
        <v>102</v>
      </c>
      <c r="X131" s="30">
        <v>5</v>
      </c>
      <c r="Y131" s="30" t="s">
        <v>60</v>
      </c>
      <c r="Z131" s="30" t="s">
        <v>96</v>
      </c>
      <c r="AA131" s="30" t="s">
        <v>108</v>
      </c>
      <c r="AB131" s="30">
        <v>9661280388</v>
      </c>
      <c r="AC131" s="22" t="s">
        <v>34</v>
      </c>
    </row>
    <row r="132" spans="8:29" ht="15" thickBot="1" x14ac:dyDescent="0.4">
      <c r="H132" s="27" t="s">
        <v>240</v>
      </c>
      <c r="I132" s="27" t="s">
        <v>72</v>
      </c>
      <c r="J132" s="27" t="s">
        <v>112</v>
      </c>
      <c r="K132" s="28">
        <v>45893</v>
      </c>
      <c r="L132" s="28">
        <v>45900</v>
      </c>
      <c r="M132" s="27" t="s">
        <v>73</v>
      </c>
      <c r="N132" s="27" t="s">
        <v>26</v>
      </c>
      <c r="O132" s="28">
        <v>29354</v>
      </c>
      <c r="P132" s="27" t="s">
        <v>48</v>
      </c>
      <c r="Q132" s="27" t="s">
        <v>28</v>
      </c>
      <c r="R132" s="27" t="s">
        <v>39</v>
      </c>
      <c r="S132" s="27" t="s">
        <v>114</v>
      </c>
      <c r="T132" s="27">
        <v>2</v>
      </c>
      <c r="U132" s="27">
        <v>700</v>
      </c>
      <c r="V132" s="27">
        <v>15</v>
      </c>
      <c r="W132" s="27">
        <v>1190</v>
      </c>
      <c r="X132" s="27">
        <v>4</v>
      </c>
      <c r="Y132" s="27" t="s">
        <v>31</v>
      </c>
      <c r="Z132" s="27" t="s">
        <v>96</v>
      </c>
      <c r="AA132" s="27" t="s">
        <v>93</v>
      </c>
      <c r="AB132" s="27">
        <v>9896985355</v>
      </c>
      <c r="AC132" s="27" t="s">
        <v>52</v>
      </c>
    </row>
    <row r="133" spans="8:29" ht="29.5" thickBot="1" x14ac:dyDescent="0.4">
      <c r="H133" s="30" t="s">
        <v>241</v>
      </c>
      <c r="I133" s="30" t="s">
        <v>156</v>
      </c>
      <c r="J133" s="30" t="s">
        <v>138</v>
      </c>
      <c r="K133" s="31">
        <v>45808</v>
      </c>
      <c r="L133" s="31">
        <v>45819</v>
      </c>
      <c r="M133" s="30" t="s">
        <v>106</v>
      </c>
      <c r="N133" s="30" t="s">
        <v>58</v>
      </c>
      <c r="O133" s="31">
        <v>34949</v>
      </c>
      <c r="P133" s="30" t="s">
        <v>79</v>
      </c>
      <c r="Q133" s="30" t="s">
        <v>75</v>
      </c>
      <c r="R133" s="30" t="s">
        <v>83</v>
      </c>
      <c r="S133" s="30" t="s">
        <v>139</v>
      </c>
      <c r="T133" s="30">
        <v>16</v>
      </c>
      <c r="U133" s="30">
        <v>45</v>
      </c>
      <c r="V133" s="30">
        <v>0</v>
      </c>
      <c r="W133" s="30">
        <v>720</v>
      </c>
      <c r="X133" s="30">
        <v>1</v>
      </c>
      <c r="Y133" s="30" t="s">
        <v>41</v>
      </c>
      <c r="Z133" s="30" t="s">
        <v>50</v>
      </c>
      <c r="AA133" s="30" t="s">
        <v>158</v>
      </c>
      <c r="AB133" s="30">
        <v>9807154421</v>
      </c>
      <c r="AC133" s="22" t="s">
        <v>34</v>
      </c>
    </row>
    <row r="134" spans="8:29" ht="29.5" thickBot="1" x14ac:dyDescent="0.4">
      <c r="H134" s="27" t="s">
        <v>242</v>
      </c>
      <c r="I134" s="27" t="s">
        <v>55</v>
      </c>
      <c r="J134" s="27" t="s">
        <v>56</v>
      </c>
      <c r="K134" s="28">
        <v>45807</v>
      </c>
      <c r="L134" s="28">
        <v>45810</v>
      </c>
      <c r="M134" s="27" t="s">
        <v>57</v>
      </c>
      <c r="N134" s="27" t="s">
        <v>58</v>
      </c>
      <c r="O134" s="28">
        <v>32210</v>
      </c>
      <c r="P134" s="27" t="s">
        <v>91</v>
      </c>
      <c r="Q134" s="27" t="s">
        <v>75</v>
      </c>
      <c r="R134" s="27" t="s">
        <v>39</v>
      </c>
      <c r="S134" s="27" t="s">
        <v>59</v>
      </c>
      <c r="T134" s="27" t="s">
        <v>243</v>
      </c>
      <c r="U134" s="27">
        <v>1200</v>
      </c>
      <c r="V134" s="27">
        <v>15</v>
      </c>
      <c r="W134" s="27">
        <v>7140</v>
      </c>
      <c r="X134" s="27">
        <v>4</v>
      </c>
      <c r="Y134" s="27" t="s">
        <v>65</v>
      </c>
      <c r="Z134" s="27" t="s">
        <v>96</v>
      </c>
      <c r="AA134" s="27" t="s">
        <v>61</v>
      </c>
      <c r="AB134" s="27">
        <v>9919834000</v>
      </c>
      <c r="AC134" s="27" t="s">
        <v>52</v>
      </c>
    </row>
    <row r="135" spans="8:29" ht="15" thickBot="1" x14ac:dyDescent="0.4">
      <c r="H135" s="30" t="s">
        <v>244</v>
      </c>
      <c r="I135" s="30" t="s">
        <v>72</v>
      </c>
      <c r="J135" s="30" t="s">
        <v>36</v>
      </c>
      <c r="K135" s="31">
        <v>45888</v>
      </c>
      <c r="L135" s="31">
        <v>45899</v>
      </c>
      <c r="M135" s="30" t="s">
        <v>73</v>
      </c>
      <c r="N135" s="30" t="s">
        <v>26</v>
      </c>
      <c r="O135" s="31">
        <v>32696</v>
      </c>
      <c r="P135" s="30" t="s">
        <v>121</v>
      </c>
      <c r="Q135" s="30" t="s">
        <v>38</v>
      </c>
      <c r="R135" s="30" t="s">
        <v>39</v>
      </c>
      <c r="S135" s="30" t="s">
        <v>40</v>
      </c>
      <c r="T135" s="30">
        <v>14</v>
      </c>
      <c r="U135" s="30">
        <v>12000</v>
      </c>
      <c r="V135" s="30">
        <v>15</v>
      </c>
      <c r="W135" s="30">
        <v>142800</v>
      </c>
      <c r="X135" s="30">
        <v>2</v>
      </c>
      <c r="Y135" s="30" t="s">
        <v>41</v>
      </c>
      <c r="Z135" s="30" t="s">
        <v>50</v>
      </c>
      <c r="AA135" s="30" t="s">
        <v>93</v>
      </c>
      <c r="AB135" s="30">
        <v>9739798818</v>
      </c>
      <c r="AC135" s="30" t="s">
        <v>52</v>
      </c>
    </row>
    <row r="136" spans="8:29" ht="15" thickBot="1" x14ac:dyDescent="0.4">
      <c r="H136" s="27" t="s">
        <v>245</v>
      </c>
      <c r="I136" s="27" t="s">
        <v>87</v>
      </c>
      <c r="J136" s="27" t="s">
        <v>105</v>
      </c>
      <c r="K136" s="28">
        <v>46005</v>
      </c>
      <c r="L136" s="28">
        <v>46007</v>
      </c>
      <c r="M136" s="27" t="s">
        <v>88</v>
      </c>
      <c r="N136" s="27" t="s">
        <v>58</v>
      </c>
      <c r="O136" s="28">
        <v>34284</v>
      </c>
      <c r="P136" s="27" t="s">
        <v>79</v>
      </c>
      <c r="Q136" s="27" t="s">
        <v>75</v>
      </c>
      <c r="R136" s="27" t="s">
        <v>29</v>
      </c>
      <c r="S136" s="27" t="s">
        <v>107</v>
      </c>
      <c r="T136" s="27">
        <v>8</v>
      </c>
      <c r="U136" s="27">
        <v>8500</v>
      </c>
      <c r="V136" s="27">
        <v>20</v>
      </c>
      <c r="W136" s="27">
        <v>54400</v>
      </c>
      <c r="X136" s="27">
        <v>3</v>
      </c>
      <c r="Y136" s="27" t="s">
        <v>60</v>
      </c>
      <c r="Z136" s="27" t="s">
        <v>42</v>
      </c>
      <c r="AA136" s="27" t="s">
        <v>89</v>
      </c>
      <c r="AB136" s="27">
        <v>9208625306</v>
      </c>
      <c r="AC136" s="21" t="s">
        <v>34</v>
      </c>
    </row>
    <row r="137" spans="8:29" ht="15" thickBot="1" x14ac:dyDescent="0.4">
      <c r="H137" s="30" t="s">
        <v>246</v>
      </c>
      <c r="I137" s="30" t="s">
        <v>63</v>
      </c>
      <c r="J137" s="30" t="s">
        <v>138</v>
      </c>
      <c r="K137" s="31">
        <v>46053</v>
      </c>
      <c r="L137" s="31">
        <v>46063</v>
      </c>
      <c r="M137" s="30" t="s">
        <v>110</v>
      </c>
      <c r="N137" s="30" t="s">
        <v>58</v>
      </c>
      <c r="O137" s="31">
        <v>36557</v>
      </c>
      <c r="P137" s="30" t="s">
        <v>48</v>
      </c>
      <c r="Q137" s="30" t="s">
        <v>28</v>
      </c>
      <c r="R137" s="30" t="s">
        <v>83</v>
      </c>
      <c r="S137" s="30" t="s">
        <v>139</v>
      </c>
      <c r="T137" s="30">
        <v>3</v>
      </c>
      <c r="U137" s="30">
        <v>45</v>
      </c>
      <c r="V137" s="30">
        <v>0</v>
      </c>
      <c r="W137" s="30">
        <v>135</v>
      </c>
      <c r="X137" s="30">
        <v>4</v>
      </c>
      <c r="Y137" s="30" t="s">
        <v>65</v>
      </c>
      <c r="Z137" s="30" t="s">
        <v>50</v>
      </c>
      <c r="AA137" s="30" t="s">
        <v>66</v>
      </c>
      <c r="AB137" s="30">
        <v>9970178536</v>
      </c>
      <c r="AC137" s="30" t="s">
        <v>53</v>
      </c>
    </row>
    <row r="138" spans="8:29" ht="29.5" thickBot="1" x14ac:dyDescent="0.4">
      <c r="H138" s="27" t="s">
        <v>247</v>
      </c>
      <c r="I138" s="27" t="s">
        <v>156</v>
      </c>
      <c r="J138" s="27" t="s">
        <v>112</v>
      </c>
      <c r="K138" s="28">
        <v>46025</v>
      </c>
      <c r="L138" s="28">
        <v>46026</v>
      </c>
      <c r="M138" s="27" t="s">
        <v>106</v>
      </c>
      <c r="N138" s="27" t="s">
        <v>58</v>
      </c>
      <c r="O138" s="28">
        <v>31585</v>
      </c>
      <c r="P138" s="27" t="s">
        <v>121</v>
      </c>
      <c r="Q138" s="27" t="s">
        <v>38</v>
      </c>
      <c r="R138" s="27" t="s">
        <v>39</v>
      </c>
      <c r="S138" s="27" t="s">
        <v>114</v>
      </c>
      <c r="T138" s="27">
        <v>13</v>
      </c>
      <c r="U138" s="27">
        <v>700</v>
      </c>
      <c r="V138" s="27">
        <v>5</v>
      </c>
      <c r="W138" s="27">
        <v>8645</v>
      </c>
      <c r="X138" s="27">
        <v>3</v>
      </c>
      <c r="Y138" s="27" t="s">
        <v>60</v>
      </c>
      <c r="Z138" s="27" t="s">
        <v>80</v>
      </c>
      <c r="AA138" s="27" t="s">
        <v>158</v>
      </c>
      <c r="AB138" s="27">
        <v>9633745195</v>
      </c>
      <c r="AC138" s="27" t="s">
        <v>52</v>
      </c>
    </row>
    <row r="139" spans="8:29" ht="15" thickBot="1" x14ac:dyDescent="0.4">
      <c r="H139" s="30" t="s">
        <v>248</v>
      </c>
      <c r="I139" s="30" t="s">
        <v>104</v>
      </c>
      <c r="J139" s="30" t="s">
        <v>56</v>
      </c>
      <c r="K139" s="31">
        <v>45950</v>
      </c>
      <c r="L139" s="31">
        <v>45956</v>
      </c>
      <c r="M139" s="30" t="s">
        <v>166</v>
      </c>
      <c r="N139" s="30" t="s">
        <v>26</v>
      </c>
      <c r="O139" s="31">
        <v>31459</v>
      </c>
      <c r="P139" s="30" t="s">
        <v>74</v>
      </c>
      <c r="Q139" s="30" t="s">
        <v>75</v>
      </c>
      <c r="R139" s="30" t="s">
        <v>39</v>
      </c>
      <c r="S139" s="30" t="s">
        <v>59</v>
      </c>
      <c r="T139" s="30">
        <v>14</v>
      </c>
      <c r="U139" s="30">
        <v>1200</v>
      </c>
      <c r="V139" s="30">
        <v>20</v>
      </c>
      <c r="W139" s="30">
        <v>13440</v>
      </c>
      <c r="X139" s="30">
        <v>5</v>
      </c>
      <c r="Y139" s="30" t="s">
        <v>41</v>
      </c>
      <c r="Z139" s="30" t="s">
        <v>50</v>
      </c>
      <c r="AA139" s="30" t="s">
        <v>108</v>
      </c>
      <c r="AB139" s="30">
        <v>9922102053</v>
      </c>
      <c r="AC139" s="22" t="s">
        <v>34</v>
      </c>
    </row>
    <row r="140" spans="8:29" ht="15" thickBot="1" x14ac:dyDescent="0.4">
      <c r="H140" s="27" t="s">
        <v>249</v>
      </c>
      <c r="I140" s="27" t="s">
        <v>72</v>
      </c>
      <c r="J140" s="27" t="s">
        <v>138</v>
      </c>
      <c r="K140" s="28">
        <v>45788</v>
      </c>
      <c r="L140" s="28">
        <v>45798</v>
      </c>
      <c r="M140" s="27" t="s">
        <v>73</v>
      </c>
      <c r="N140" s="27" t="s">
        <v>26</v>
      </c>
      <c r="O140" s="28">
        <v>33499</v>
      </c>
      <c r="P140" s="27" t="s">
        <v>37</v>
      </c>
      <c r="Q140" s="27" t="s">
        <v>38</v>
      </c>
      <c r="R140" s="27" t="s">
        <v>83</v>
      </c>
      <c r="S140" s="27" t="s">
        <v>139</v>
      </c>
      <c r="T140" s="27">
        <v>2</v>
      </c>
      <c r="U140" s="27">
        <v>45</v>
      </c>
      <c r="V140" s="27">
        <v>5</v>
      </c>
      <c r="W140" s="27">
        <v>85.5</v>
      </c>
      <c r="X140" s="27">
        <v>3</v>
      </c>
      <c r="Y140" s="27" t="s">
        <v>65</v>
      </c>
      <c r="Z140" s="27" t="s">
        <v>32</v>
      </c>
      <c r="AA140" s="27" t="s">
        <v>93</v>
      </c>
      <c r="AB140" s="27">
        <v>9135963930</v>
      </c>
      <c r="AC140" s="27" t="s">
        <v>53</v>
      </c>
    </row>
    <row r="141" spans="8:29" ht="15" thickBot="1" x14ac:dyDescent="0.4">
      <c r="H141" s="30" t="s">
        <v>250</v>
      </c>
      <c r="I141" s="30" t="s">
        <v>104</v>
      </c>
      <c r="J141" s="30" t="s">
        <v>56</v>
      </c>
      <c r="K141" s="31">
        <v>46024</v>
      </c>
      <c r="L141" s="31">
        <v>46028</v>
      </c>
      <c r="M141" s="30" t="s">
        <v>166</v>
      </c>
      <c r="N141" s="30" t="s">
        <v>26</v>
      </c>
      <c r="O141" s="31">
        <v>29590</v>
      </c>
      <c r="P141" s="30" t="s">
        <v>48</v>
      </c>
      <c r="Q141" s="30" t="s">
        <v>28</v>
      </c>
      <c r="R141" s="30" t="s">
        <v>39</v>
      </c>
      <c r="S141" s="30" t="s">
        <v>59</v>
      </c>
      <c r="T141" s="30">
        <v>2</v>
      </c>
      <c r="U141" s="30">
        <v>1200</v>
      </c>
      <c r="V141" s="30">
        <v>20</v>
      </c>
      <c r="W141" s="30">
        <v>1920</v>
      </c>
      <c r="X141" s="30">
        <v>3</v>
      </c>
      <c r="Y141" s="30" t="s">
        <v>60</v>
      </c>
      <c r="Z141" s="30" t="s">
        <v>80</v>
      </c>
      <c r="AA141" s="30" t="s">
        <v>108</v>
      </c>
      <c r="AB141" s="30">
        <v>9429405275</v>
      </c>
      <c r="AC141" s="22" t="s">
        <v>34</v>
      </c>
    </row>
    <row r="142" spans="8:29" ht="15" thickBot="1" x14ac:dyDescent="0.4">
      <c r="H142" s="27" t="s">
        <v>251</v>
      </c>
      <c r="I142" s="27" t="s">
        <v>87</v>
      </c>
      <c r="J142" s="27" t="s">
        <v>46</v>
      </c>
      <c r="K142" s="28">
        <v>46132</v>
      </c>
      <c r="L142" s="28">
        <v>46138</v>
      </c>
      <c r="M142" s="27" t="s">
        <v>88</v>
      </c>
      <c r="N142" s="27" t="s">
        <v>58</v>
      </c>
      <c r="O142" s="28">
        <v>38272</v>
      </c>
      <c r="P142" s="27" t="s">
        <v>48</v>
      </c>
      <c r="Q142" s="27" t="s">
        <v>28</v>
      </c>
      <c r="R142" s="27" t="s">
        <v>39</v>
      </c>
      <c r="S142" s="27" t="s">
        <v>49</v>
      </c>
      <c r="T142" s="27">
        <v>10</v>
      </c>
      <c r="U142" s="27">
        <v>55000</v>
      </c>
      <c r="V142" s="27">
        <v>5</v>
      </c>
      <c r="W142" s="27">
        <v>522500</v>
      </c>
      <c r="X142" s="27">
        <v>5</v>
      </c>
      <c r="Y142" s="27" t="s">
        <v>65</v>
      </c>
      <c r="Z142" s="27" t="s">
        <v>50</v>
      </c>
      <c r="AA142" s="27" t="s">
        <v>89</v>
      </c>
      <c r="AB142" s="27">
        <v>9521757571</v>
      </c>
      <c r="AC142" s="27" t="s">
        <v>52</v>
      </c>
    </row>
    <row r="143" spans="8:29" ht="15" thickBot="1" x14ac:dyDescent="0.4">
      <c r="H143" s="30" t="s">
        <v>252</v>
      </c>
      <c r="I143" s="30" t="s">
        <v>134</v>
      </c>
      <c r="J143" s="30" t="s">
        <v>68</v>
      </c>
      <c r="K143" s="31">
        <v>45873</v>
      </c>
      <c r="L143" s="31">
        <v>45874</v>
      </c>
      <c r="M143" s="30" t="s">
        <v>135</v>
      </c>
      <c r="N143" s="30" t="s">
        <v>26</v>
      </c>
      <c r="O143" s="31">
        <v>30766</v>
      </c>
      <c r="P143" s="30" t="s">
        <v>121</v>
      </c>
      <c r="Q143" s="30" t="s">
        <v>38</v>
      </c>
      <c r="R143" s="30" t="s">
        <v>29</v>
      </c>
      <c r="S143" s="30" t="s">
        <v>70</v>
      </c>
      <c r="T143" s="30">
        <v>15</v>
      </c>
      <c r="U143" s="30">
        <v>3500</v>
      </c>
      <c r="V143" s="30">
        <v>10</v>
      </c>
      <c r="W143" s="30">
        <v>47250</v>
      </c>
      <c r="X143" s="30">
        <v>3</v>
      </c>
      <c r="Y143" s="30" t="s">
        <v>41</v>
      </c>
      <c r="Z143" s="30" t="s">
        <v>80</v>
      </c>
      <c r="AA143" s="30" t="s">
        <v>136</v>
      </c>
      <c r="AB143" s="30">
        <v>9467375455</v>
      </c>
      <c r="AC143" s="22" t="s">
        <v>34</v>
      </c>
    </row>
    <row r="144" spans="8:29" ht="15" thickBot="1" x14ac:dyDescent="0.4">
      <c r="H144" s="27" t="s">
        <v>253</v>
      </c>
      <c r="I144" s="27" t="s">
        <v>72</v>
      </c>
      <c r="J144" s="27" t="s">
        <v>24</v>
      </c>
      <c r="K144" s="28">
        <v>45882</v>
      </c>
      <c r="L144" s="28">
        <v>45887</v>
      </c>
      <c r="M144" s="27" t="s">
        <v>73</v>
      </c>
      <c r="N144" s="27" t="s">
        <v>26</v>
      </c>
      <c r="O144" s="28">
        <v>30203</v>
      </c>
      <c r="P144" s="27" t="s">
        <v>48</v>
      </c>
      <c r="Q144" s="27" t="s">
        <v>28</v>
      </c>
      <c r="R144" s="27" t="s">
        <v>29</v>
      </c>
      <c r="S144" s="27" t="s">
        <v>30</v>
      </c>
      <c r="T144" s="27">
        <v>10</v>
      </c>
      <c r="U144" s="27">
        <v>2200</v>
      </c>
      <c r="V144" s="27">
        <v>15</v>
      </c>
      <c r="W144" s="27">
        <v>18700</v>
      </c>
      <c r="X144" s="27">
        <v>4</v>
      </c>
      <c r="Y144" s="27" t="s">
        <v>60</v>
      </c>
      <c r="Z144" s="27" t="s">
        <v>42</v>
      </c>
      <c r="AA144" s="27" t="s">
        <v>93</v>
      </c>
      <c r="AB144" s="27">
        <v>9838809695</v>
      </c>
      <c r="AC144" s="27" t="s">
        <v>52</v>
      </c>
    </row>
    <row r="145" spans="8:29" ht="15" thickBot="1" x14ac:dyDescent="0.4">
      <c r="H145" s="30" t="s">
        <v>254</v>
      </c>
      <c r="I145" s="30" t="s">
        <v>134</v>
      </c>
      <c r="J145" s="30" t="s">
        <v>68</v>
      </c>
      <c r="K145" s="31">
        <v>45824</v>
      </c>
      <c r="L145" s="31">
        <v>45832</v>
      </c>
      <c r="M145" s="30" t="s">
        <v>135</v>
      </c>
      <c r="N145" s="30" t="s">
        <v>26</v>
      </c>
      <c r="O145" s="31">
        <v>34015</v>
      </c>
      <c r="P145" s="30" t="s">
        <v>79</v>
      </c>
      <c r="Q145" s="30" t="s">
        <v>75</v>
      </c>
      <c r="R145" s="30" t="s">
        <v>29</v>
      </c>
      <c r="S145" s="30" t="s">
        <v>70</v>
      </c>
      <c r="T145" s="30">
        <v>11</v>
      </c>
      <c r="U145" s="30">
        <v>3500</v>
      </c>
      <c r="V145" s="30">
        <v>5</v>
      </c>
      <c r="W145" s="30">
        <v>36575</v>
      </c>
      <c r="X145" s="30">
        <v>5</v>
      </c>
      <c r="Y145" s="30" t="s">
        <v>31</v>
      </c>
      <c r="Z145" s="30" t="s">
        <v>32</v>
      </c>
      <c r="AA145" s="30" t="s">
        <v>136</v>
      </c>
      <c r="AB145" s="30">
        <v>9296609782</v>
      </c>
      <c r="AC145" s="30" t="s">
        <v>53</v>
      </c>
    </row>
    <row r="146" spans="8:29" ht="15" thickBot="1" x14ac:dyDescent="0.4">
      <c r="H146" s="27" t="s">
        <v>255</v>
      </c>
      <c r="I146" s="27" t="s">
        <v>104</v>
      </c>
      <c r="J146" s="27" t="s">
        <v>56</v>
      </c>
      <c r="K146" s="28">
        <v>46139</v>
      </c>
      <c r="L146" s="28">
        <v>46142</v>
      </c>
      <c r="M146" s="27" t="s">
        <v>166</v>
      </c>
      <c r="N146" s="27" t="s">
        <v>26</v>
      </c>
      <c r="O146" s="28">
        <v>37719</v>
      </c>
      <c r="P146" s="27" t="s">
        <v>48</v>
      </c>
      <c r="Q146" s="27" t="s">
        <v>28</v>
      </c>
      <c r="R146" s="27" t="s">
        <v>39</v>
      </c>
      <c r="S146" s="27" t="s">
        <v>59</v>
      </c>
      <c r="T146" s="27">
        <v>14</v>
      </c>
      <c r="U146" s="27">
        <v>1200</v>
      </c>
      <c r="V146" s="27">
        <v>0</v>
      </c>
      <c r="W146" s="27">
        <v>16800</v>
      </c>
      <c r="X146" s="27">
        <v>5</v>
      </c>
      <c r="Y146" s="27" t="s">
        <v>31</v>
      </c>
      <c r="Z146" s="27" t="s">
        <v>42</v>
      </c>
      <c r="AA146" s="27" t="s">
        <v>108</v>
      </c>
      <c r="AB146" s="27">
        <v>9848259992</v>
      </c>
      <c r="AC146" s="27" t="s">
        <v>53</v>
      </c>
    </row>
    <row r="147" spans="8:29" ht="15" thickBot="1" x14ac:dyDescent="0.4">
      <c r="H147" s="30" t="s">
        <v>256</v>
      </c>
      <c r="I147" s="30" t="s">
        <v>72</v>
      </c>
      <c r="J147" s="30" t="s">
        <v>125</v>
      </c>
      <c r="K147" s="31">
        <v>46070</v>
      </c>
      <c r="L147" s="31">
        <v>46075</v>
      </c>
      <c r="M147" s="30" t="s">
        <v>73</v>
      </c>
      <c r="N147" s="30" t="s">
        <v>26</v>
      </c>
      <c r="O147" s="31">
        <v>32801</v>
      </c>
      <c r="P147" s="30" t="s">
        <v>37</v>
      </c>
      <c r="Q147" s="30" t="s">
        <v>38</v>
      </c>
      <c r="R147" s="30" t="s">
        <v>83</v>
      </c>
      <c r="S147" s="30" t="s">
        <v>127</v>
      </c>
      <c r="T147" s="30">
        <v>11</v>
      </c>
      <c r="U147" s="30">
        <v>20</v>
      </c>
      <c r="V147" s="30">
        <v>20</v>
      </c>
      <c r="W147" s="30">
        <v>176</v>
      </c>
      <c r="X147" s="30">
        <v>4</v>
      </c>
      <c r="Y147" s="30" t="s">
        <v>41</v>
      </c>
      <c r="Z147" s="30" t="s">
        <v>32</v>
      </c>
      <c r="AA147" s="30" t="s">
        <v>93</v>
      </c>
      <c r="AB147" s="30">
        <v>9254082295</v>
      </c>
      <c r="AC147" s="22" t="s">
        <v>34</v>
      </c>
    </row>
    <row r="148" spans="8:29" ht="29.5" thickBot="1" x14ac:dyDescent="0.4">
      <c r="H148" s="27" t="s">
        <v>257</v>
      </c>
      <c r="I148" s="27" t="s">
        <v>55</v>
      </c>
      <c r="J148" s="27" t="s">
        <v>36</v>
      </c>
      <c r="K148" s="28">
        <v>46116</v>
      </c>
      <c r="L148" s="28">
        <v>46122</v>
      </c>
      <c r="M148" s="27" t="s">
        <v>57</v>
      </c>
      <c r="N148" s="27" t="s">
        <v>58</v>
      </c>
      <c r="O148" s="28">
        <v>34957</v>
      </c>
      <c r="P148" s="27" t="s">
        <v>79</v>
      </c>
      <c r="Q148" s="27" t="s">
        <v>75</v>
      </c>
      <c r="R148" s="27" t="s">
        <v>39</v>
      </c>
      <c r="S148" s="27" t="s">
        <v>40</v>
      </c>
      <c r="T148" s="27">
        <v>6</v>
      </c>
      <c r="U148" s="27">
        <v>12000</v>
      </c>
      <c r="V148" s="27">
        <v>10</v>
      </c>
      <c r="W148" s="27">
        <v>64800</v>
      </c>
      <c r="X148" s="27">
        <v>5</v>
      </c>
      <c r="Y148" s="27" t="s">
        <v>65</v>
      </c>
      <c r="Z148" s="27" t="s">
        <v>96</v>
      </c>
      <c r="AA148" s="27" t="s">
        <v>61</v>
      </c>
      <c r="AB148" s="27">
        <v>9687923860</v>
      </c>
      <c r="AC148" s="21" t="s">
        <v>34</v>
      </c>
    </row>
    <row r="149" spans="8:29" ht="29.5" thickBot="1" x14ac:dyDescent="0.4">
      <c r="H149" s="30" t="s">
        <v>258</v>
      </c>
      <c r="I149" s="30" t="s">
        <v>55</v>
      </c>
      <c r="J149" s="30" t="s">
        <v>24</v>
      </c>
      <c r="K149" s="31">
        <v>45756</v>
      </c>
      <c r="L149" s="31">
        <v>45765</v>
      </c>
      <c r="M149" s="30" t="s">
        <v>57</v>
      </c>
      <c r="N149" s="30" t="s">
        <v>58</v>
      </c>
      <c r="O149" s="31">
        <v>34431</v>
      </c>
      <c r="P149" s="30" t="s">
        <v>27</v>
      </c>
      <c r="Q149" s="30" t="s">
        <v>28</v>
      </c>
      <c r="R149" s="30" t="s">
        <v>29</v>
      </c>
      <c r="S149" s="30" t="s">
        <v>30</v>
      </c>
      <c r="T149" s="30">
        <v>6</v>
      </c>
      <c r="U149" s="30">
        <v>2200</v>
      </c>
      <c r="V149" s="30">
        <v>5</v>
      </c>
      <c r="W149" s="30">
        <v>12540</v>
      </c>
      <c r="X149" s="30">
        <v>4</v>
      </c>
      <c r="Y149" s="30" t="s">
        <v>31</v>
      </c>
      <c r="Z149" s="30" t="s">
        <v>42</v>
      </c>
      <c r="AA149" s="30" t="s">
        <v>61</v>
      </c>
      <c r="AB149" s="30">
        <v>9426459149</v>
      </c>
      <c r="AC149" s="22" t="s">
        <v>34</v>
      </c>
    </row>
    <row r="150" spans="8:29" ht="15" thickBot="1" x14ac:dyDescent="0.4">
      <c r="H150" s="27" t="s">
        <v>259</v>
      </c>
      <c r="I150" s="27" t="s">
        <v>45</v>
      </c>
      <c r="J150" s="27" t="s">
        <v>68</v>
      </c>
      <c r="K150" s="28">
        <v>45823</v>
      </c>
      <c r="L150" s="28">
        <v>45835</v>
      </c>
      <c r="M150" s="27" t="s">
        <v>101</v>
      </c>
      <c r="N150" s="27" t="s">
        <v>26</v>
      </c>
      <c r="O150" s="28">
        <v>37896</v>
      </c>
      <c r="P150" s="27" t="s">
        <v>37</v>
      </c>
      <c r="Q150" s="27" t="s">
        <v>38</v>
      </c>
      <c r="R150" s="27" t="s">
        <v>29</v>
      </c>
      <c r="S150" s="27" t="s">
        <v>70</v>
      </c>
      <c r="T150" s="27">
        <v>3</v>
      </c>
      <c r="U150" s="27">
        <v>3500</v>
      </c>
      <c r="V150" s="27">
        <v>5</v>
      </c>
      <c r="W150" s="27">
        <v>9975</v>
      </c>
      <c r="X150" s="27">
        <v>4</v>
      </c>
      <c r="Y150" s="27" t="s">
        <v>41</v>
      </c>
      <c r="Z150" s="27" t="s">
        <v>42</v>
      </c>
      <c r="AA150" s="27" t="s">
        <v>51</v>
      </c>
      <c r="AB150" s="27">
        <v>9155925975</v>
      </c>
      <c r="AC150" s="27" t="s">
        <v>52</v>
      </c>
    </row>
    <row r="151" spans="8:29" ht="29.5" thickBot="1" x14ac:dyDescent="0.4">
      <c r="H151" s="30" t="s">
        <v>260</v>
      </c>
      <c r="I151" s="30" t="s">
        <v>55</v>
      </c>
      <c r="J151" s="30" t="s">
        <v>105</v>
      </c>
      <c r="K151" s="31">
        <v>45816</v>
      </c>
      <c r="L151" s="31">
        <v>45818</v>
      </c>
      <c r="M151" s="30" t="s">
        <v>57</v>
      </c>
      <c r="N151" s="30" t="s">
        <v>58</v>
      </c>
      <c r="O151" s="31">
        <v>35625</v>
      </c>
      <c r="P151" s="30" t="s">
        <v>27</v>
      </c>
      <c r="Q151" s="30" t="s">
        <v>28</v>
      </c>
      <c r="R151" s="30" t="s">
        <v>29</v>
      </c>
      <c r="S151" s="30" t="s">
        <v>107</v>
      </c>
      <c r="T151" s="30">
        <v>5</v>
      </c>
      <c r="U151" s="30">
        <v>8500</v>
      </c>
      <c r="V151" s="30">
        <v>20</v>
      </c>
      <c r="W151" s="30">
        <v>34000</v>
      </c>
      <c r="X151" s="30">
        <v>5</v>
      </c>
      <c r="Y151" s="30" t="s">
        <v>31</v>
      </c>
      <c r="Z151" s="30" t="s">
        <v>50</v>
      </c>
      <c r="AA151" s="30" t="s">
        <v>61</v>
      </c>
      <c r="AB151" s="30">
        <v>9945247701</v>
      </c>
      <c r="AC151" s="30" t="s">
        <v>52</v>
      </c>
    </row>
    <row r="152" spans="8:29" ht="15" thickBot="1" x14ac:dyDescent="0.4">
      <c r="H152" s="27" t="s">
        <v>261</v>
      </c>
      <c r="I152" s="27" t="s">
        <v>23</v>
      </c>
      <c r="J152" s="27" t="s">
        <v>68</v>
      </c>
      <c r="K152" s="28">
        <v>45863</v>
      </c>
      <c r="L152" s="28">
        <v>45870</v>
      </c>
      <c r="M152" s="27" t="s">
        <v>25</v>
      </c>
      <c r="N152" s="27" t="s">
        <v>26</v>
      </c>
      <c r="O152" s="28">
        <v>29076</v>
      </c>
      <c r="P152" s="27" t="s">
        <v>48</v>
      </c>
      <c r="Q152" s="27" t="s">
        <v>28</v>
      </c>
      <c r="R152" s="27" t="s">
        <v>29</v>
      </c>
      <c r="S152" s="27" t="s">
        <v>70</v>
      </c>
      <c r="T152" s="27">
        <v>14</v>
      </c>
      <c r="U152" s="27">
        <v>3500</v>
      </c>
      <c r="V152" s="27">
        <v>10</v>
      </c>
      <c r="W152" s="27">
        <v>44100</v>
      </c>
      <c r="X152" s="27">
        <v>4</v>
      </c>
      <c r="Y152" s="27" t="s">
        <v>65</v>
      </c>
      <c r="Z152" s="27" t="s">
        <v>32</v>
      </c>
      <c r="AA152" s="27" t="s">
        <v>43</v>
      </c>
      <c r="AB152" s="27">
        <v>9597378398</v>
      </c>
      <c r="AC152" s="27" t="s">
        <v>53</v>
      </c>
    </row>
    <row r="153" spans="8:29" ht="29.5" thickBot="1" x14ac:dyDescent="0.4">
      <c r="H153" s="30" t="s">
        <v>262</v>
      </c>
      <c r="I153" s="30" t="s">
        <v>156</v>
      </c>
      <c r="J153" s="30" t="s">
        <v>138</v>
      </c>
      <c r="K153" s="31">
        <v>45673</v>
      </c>
      <c r="L153" s="31">
        <v>45678</v>
      </c>
      <c r="M153" s="30" t="s">
        <v>106</v>
      </c>
      <c r="N153" s="30" t="s">
        <v>58</v>
      </c>
      <c r="O153" s="31">
        <v>37549</v>
      </c>
      <c r="P153" s="30" t="s">
        <v>91</v>
      </c>
      <c r="Q153" s="30" t="s">
        <v>75</v>
      </c>
      <c r="R153" s="30" t="s">
        <v>83</v>
      </c>
      <c r="S153" s="30" t="s">
        <v>139</v>
      </c>
      <c r="T153" s="30">
        <v>8</v>
      </c>
      <c r="U153" s="30">
        <v>45</v>
      </c>
      <c r="V153" s="30">
        <v>0</v>
      </c>
      <c r="W153" s="30">
        <v>360</v>
      </c>
      <c r="X153" s="30">
        <v>1</v>
      </c>
      <c r="Y153" s="30" t="s">
        <v>60</v>
      </c>
      <c r="Z153" s="30" t="s">
        <v>96</v>
      </c>
      <c r="AA153" s="30" t="s">
        <v>158</v>
      </c>
      <c r="AB153" s="30">
        <v>9343963736</v>
      </c>
      <c r="AC153" s="30" t="s">
        <v>53</v>
      </c>
    </row>
    <row r="154" spans="8:29" ht="15" thickBot="1" x14ac:dyDescent="0.4">
      <c r="H154" s="27" t="s">
        <v>263</v>
      </c>
      <c r="I154" s="27" t="s">
        <v>124</v>
      </c>
      <c r="J154" s="27" t="s">
        <v>138</v>
      </c>
      <c r="K154" s="28">
        <v>45692</v>
      </c>
      <c r="L154" s="28">
        <v>45693</v>
      </c>
      <c r="M154" s="27" t="s">
        <v>126</v>
      </c>
      <c r="N154" s="27" t="s">
        <v>58</v>
      </c>
      <c r="O154" s="28">
        <v>31252</v>
      </c>
      <c r="P154" s="27" t="s">
        <v>37</v>
      </c>
      <c r="Q154" s="27" t="s">
        <v>38</v>
      </c>
      <c r="R154" s="27" t="s">
        <v>83</v>
      </c>
      <c r="S154" s="27" t="s">
        <v>139</v>
      </c>
      <c r="T154" s="27">
        <v>11</v>
      </c>
      <c r="U154" s="27">
        <v>45</v>
      </c>
      <c r="V154" s="27">
        <v>5</v>
      </c>
      <c r="W154" s="27">
        <v>470.25</v>
      </c>
      <c r="X154" s="27">
        <v>3</v>
      </c>
      <c r="Y154" s="27" t="s">
        <v>60</v>
      </c>
      <c r="Z154" s="27" t="s">
        <v>42</v>
      </c>
      <c r="AA154" s="27" t="s">
        <v>128</v>
      </c>
      <c r="AB154" s="27">
        <v>9548742147</v>
      </c>
      <c r="AC154" s="21" t="s">
        <v>34</v>
      </c>
    </row>
    <row r="155" spans="8:29" ht="15" thickBot="1" x14ac:dyDescent="0.4">
      <c r="H155" s="30" t="s">
        <v>264</v>
      </c>
      <c r="I155" s="30" t="s">
        <v>63</v>
      </c>
      <c r="J155" s="30" t="s">
        <v>46</v>
      </c>
      <c r="K155" s="31">
        <v>45679</v>
      </c>
      <c r="L155" s="31">
        <v>45687</v>
      </c>
      <c r="M155" s="30" t="s">
        <v>110</v>
      </c>
      <c r="N155" s="30" t="s">
        <v>58</v>
      </c>
      <c r="O155" s="31">
        <v>32378</v>
      </c>
      <c r="P155" s="30" t="s">
        <v>91</v>
      </c>
      <c r="Q155" s="30" t="s">
        <v>75</v>
      </c>
      <c r="R155" s="30" t="s">
        <v>39</v>
      </c>
      <c r="S155" s="30" t="s">
        <v>49</v>
      </c>
      <c r="T155" s="30">
        <v>19</v>
      </c>
      <c r="U155" s="30">
        <v>55000</v>
      </c>
      <c r="V155" s="30">
        <v>0</v>
      </c>
      <c r="W155" s="30">
        <v>1045000</v>
      </c>
      <c r="X155" s="30">
        <v>2</v>
      </c>
      <c r="Y155" s="30" t="s">
        <v>60</v>
      </c>
      <c r="Z155" s="30" t="s">
        <v>32</v>
      </c>
      <c r="AA155" s="30" t="s">
        <v>66</v>
      </c>
      <c r="AB155" s="30">
        <v>9912945471</v>
      </c>
      <c r="AC155" s="30" t="s">
        <v>53</v>
      </c>
    </row>
    <row r="156" spans="8:29" ht="15" thickBot="1" x14ac:dyDescent="0.4">
      <c r="H156" s="27" t="s">
        <v>265</v>
      </c>
      <c r="I156" s="27" t="s">
        <v>45</v>
      </c>
      <c r="J156" s="27" t="s">
        <v>68</v>
      </c>
      <c r="K156" s="28">
        <v>45758</v>
      </c>
      <c r="L156" s="28">
        <v>45765</v>
      </c>
      <c r="M156" s="27" t="s">
        <v>101</v>
      </c>
      <c r="N156" s="27" t="s">
        <v>26</v>
      </c>
      <c r="O156" s="28">
        <v>28864</v>
      </c>
      <c r="P156" s="27" t="s">
        <v>79</v>
      </c>
      <c r="Q156" s="27" t="s">
        <v>75</v>
      </c>
      <c r="R156" s="27" t="s">
        <v>29</v>
      </c>
      <c r="S156" s="27" t="s">
        <v>70</v>
      </c>
      <c r="T156" s="27">
        <v>20</v>
      </c>
      <c r="U156" s="27">
        <v>3500</v>
      </c>
      <c r="V156" s="27">
        <v>20</v>
      </c>
      <c r="W156" s="27">
        <v>56000</v>
      </c>
      <c r="X156" s="27">
        <v>4</v>
      </c>
      <c r="Y156" s="27" t="s">
        <v>41</v>
      </c>
      <c r="Z156" s="27" t="s">
        <v>42</v>
      </c>
      <c r="AA156" s="27" t="s">
        <v>51</v>
      </c>
      <c r="AB156" s="27">
        <v>9912630684</v>
      </c>
      <c r="AC156" s="21" t="s">
        <v>34</v>
      </c>
    </row>
    <row r="157" spans="8:29" ht="15" thickBot="1" x14ac:dyDescent="0.4">
      <c r="H157" s="30" t="s">
        <v>266</v>
      </c>
      <c r="I157" s="30" t="s">
        <v>63</v>
      </c>
      <c r="J157" s="30" t="s">
        <v>24</v>
      </c>
      <c r="K157" s="31">
        <v>45842</v>
      </c>
      <c r="L157" s="31">
        <v>45852</v>
      </c>
      <c r="M157" s="30" t="s">
        <v>110</v>
      </c>
      <c r="N157" s="30" t="s">
        <v>58</v>
      </c>
      <c r="O157" s="31">
        <v>31649</v>
      </c>
      <c r="P157" s="30" t="s">
        <v>79</v>
      </c>
      <c r="Q157" s="30" t="s">
        <v>75</v>
      </c>
      <c r="R157" s="30" t="s">
        <v>29</v>
      </c>
      <c r="S157" s="30" t="s">
        <v>30</v>
      </c>
      <c r="T157" s="30">
        <v>17</v>
      </c>
      <c r="U157" s="30">
        <v>2200</v>
      </c>
      <c r="V157" s="30">
        <v>0</v>
      </c>
      <c r="W157" s="30">
        <v>37400</v>
      </c>
      <c r="X157" s="30">
        <v>5</v>
      </c>
      <c r="Y157" s="30" t="s">
        <v>41</v>
      </c>
      <c r="Z157" s="30" t="s">
        <v>32</v>
      </c>
      <c r="AA157" s="30" t="s">
        <v>66</v>
      </c>
      <c r="AB157" s="30">
        <v>9114017237</v>
      </c>
      <c r="AC157" s="30" t="s">
        <v>52</v>
      </c>
    </row>
    <row r="158" spans="8:29" ht="15" thickBot="1" x14ac:dyDescent="0.4">
      <c r="H158" s="27" t="s">
        <v>267</v>
      </c>
      <c r="I158" s="27" t="s">
        <v>63</v>
      </c>
      <c r="J158" s="27" t="s">
        <v>56</v>
      </c>
      <c r="K158" s="28">
        <v>45679</v>
      </c>
      <c r="L158" s="28">
        <v>45686</v>
      </c>
      <c r="M158" s="27" t="s">
        <v>110</v>
      </c>
      <c r="N158" s="27" t="s">
        <v>58</v>
      </c>
      <c r="O158" s="28">
        <v>28216</v>
      </c>
      <c r="P158" s="27" t="s">
        <v>79</v>
      </c>
      <c r="Q158" s="27" t="s">
        <v>75</v>
      </c>
      <c r="R158" s="27" t="s">
        <v>39</v>
      </c>
      <c r="S158" s="27" t="s">
        <v>59</v>
      </c>
      <c r="T158" s="27">
        <v>10</v>
      </c>
      <c r="U158" s="27">
        <v>1200</v>
      </c>
      <c r="V158" s="27">
        <v>5</v>
      </c>
      <c r="W158" s="27">
        <v>11400</v>
      </c>
      <c r="X158" s="27">
        <v>2</v>
      </c>
      <c r="Y158" s="27" t="s">
        <v>31</v>
      </c>
      <c r="Z158" s="27" t="s">
        <v>42</v>
      </c>
      <c r="AA158" s="27" t="s">
        <v>66</v>
      </c>
      <c r="AB158" s="27">
        <v>9872471236</v>
      </c>
      <c r="AC158" s="27" t="s">
        <v>53</v>
      </c>
    </row>
    <row r="159" spans="8:29" ht="15" thickBot="1" x14ac:dyDescent="0.4">
      <c r="H159" s="30" t="s">
        <v>268</v>
      </c>
      <c r="I159" s="30" t="s">
        <v>124</v>
      </c>
      <c r="J159" s="30" t="s">
        <v>82</v>
      </c>
      <c r="K159" s="31">
        <v>46008</v>
      </c>
      <c r="L159" s="31">
        <v>46009</v>
      </c>
      <c r="M159" s="30" t="s">
        <v>126</v>
      </c>
      <c r="N159" s="30" t="s">
        <v>58</v>
      </c>
      <c r="O159" s="31">
        <v>30532</v>
      </c>
      <c r="P159" s="30" t="s">
        <v>27</v>
      </c>
      <c r="Q159" s="30" t="s">
        <v>28</v>
      </c>
      <c r="R159" s="30" t="s">
        <v>83</v>
      </c>
      <c r="S159" s="30" t="s">
        <v>84</v>
      </c>
      <c r="T159" s="30">
        <v>3</v>
      </c>
      <c r="U159" s="30">
        <v>60</v>
      </c>
      <c r="V159" s="30">
        <v>0</v>
      </c>
      <c r="W159" s="30">
        <v>180</v>
      </c>
      <c r="X159" s="30">
        <v>4</v>
      </c>
      <c r="Y159" s="30" t="s">
        <v>41</v>
      </c>
      <c r="Z159" s="30" t="s">
        <v>96</v>
      </c>
      <c r="AA159" s="30" t="s">
        <v>128</v>
      </c>
      <c r="AB159" s="30">
        <v>9461383824</v>
      </c>
      <c r="AC159" s="22" t="s">
        <v>34</v>
      </c>
    </row>
    <row r="160" spans="8:29" ht="15" thickBot="1" x14ac:dyDescent="0.4">
      <c r="H160" s="27" t="s">
        <v>269</v>
      </c>
      <c r="I160" s="27" t="s">
        <v>45</v>
      </c>
      <c r="J160" s="27" t="s">
        <v>24</v>
      </c>
      <c r="K160" s="28">
        <v>45940</v>
      </c>
      <c r="L160" s="28">
        <v>45951</v>
      </c>
      <c r="M160" s="27" t="s">
        <v>101</v>
      </c>
      <c r="N160" s="27" t="s">
        <v>26</v>
      </c>
      <c r="O160" s="28">
        <v>28587</v>
      </c>
      <c r="P160" s="27" t="s">
        <v>74</v>
      </c>
      <c r="Q160" s="27" t="s">
        <v>75</v>
      </c>
      <c r="R160" s="27" t="s">
        <v>29</v>
      </c>
      <c r="S160" s="27" t="s">
        <v>30</v>
      </c>
      <c r="T160" s="27">
        <v>18</v>
      </c>
      <c r="U160" s="27">
        <v>2200</v>
      </c>
      <c r="V160" s="27">
        <v>10</v>
      </c>
      <c r="W160" s="27">
        <v>35640</v>
      </c>
      <c r="X160" s="27">
        <v>1</v>
      </c>
      <c r="Y160" s="27" t="s">
        <v>60</v>
      </c>
      <c r="Z160" s="27" t="s">
        <v>96</v>
      </c>
      <c r="AA160" s="27" t="s">
        <v>51</v>
      </c>
      <c r="AB160" s="27">
        <v>9243407457</v>
      </c>
      <c r="AC160" s="27" t="s">
        <v>53</v>
      </c>
    </row>
    <row r="161" spans="8:29" ht="29.5" thickBot="1" x14ac:dyDescent="0.4">
      <c r="H161" s="30" t="s">
        <v>270</v>
      </c>
      <c r="I161" s="30" t="s">
        <v>55</v>
      </c>
      <c r="J161" s="30" t="s">
        <v>82</v>
      </c>
      <c r="K161" s="31">
        <v>46088</v>
      </c>
      <c r="L161" s="31">
        <v>46091</v>
      </c>
      <c r="M161" s="30" t="s">
        <v>57</v>
      </c>
      <c r="N161" s="30" t="s">
        <v>58</v>
      </c>
      <c r="O161" s="31">
        <v>30379</v>
      </c>
      <c r="P161" s="30" t="s">
        <v>37</v>
      </c>
      <c r="Q161" s="30" t="s">
        <v>38</v>
      </c>
      <c r="R161" s="30" t="s">
        <v>83</v>
      </c>
      <c r="S161" s="30" t="s">
        <v>84</v>
      </c>
      <c r="T161" s="30">
        <v>18</v>
      </c>
      <c r="U161" s="30">
        <v>60</v>
      </c>
      <c r="V161" s="30">
        <v>5</v>
      </c>
      <c r="W161" s="30">
        <v>1026</v>
      </c>
      <c r="X161" s="30">
        <v>3</v>
      </c>
      <c r="Y161" s="30" t="s">
        <v>60</v>
      </c>
      <c r="Z161" s="30" t="s">
        <v>42</v>
      </c>
      <c r="AA161" s="30" t="s">
        <v>61</v>
      </c>
      <c r="AB161" s="30">
        <v>9418672379</v>
      </c>
      <c r="AC161" s="30" t="s">
        <v>52</v>
      </c>
    </row>
    <row r="162" spans="8:29" ht="15" thickBot="1" x14ac:dyDescent="0.4">
      <c r="H162" s="27" t="s">
        <v>271</v>
      </c>
      <c r="I162" s="27" t="s">
        <v>87</v>
      </c>
      <c r="J162" s="27" t="s">
        <v>46</v>
      </c>
      <c r="K162" s="28">
        <v>45885</v>
      </c>
      <c r="L162" s="28">
        <v>45892</v>
      </c>
      <c r="M162" s="27" t="s">
        <v>88</v>
      </c>
      <c r="N162" s="27" t="s">
        <v>58</v>
      </c>
      <c r="O162" s="28">
        <v>32077</v>
      </c>
      <c r="P162" s="27" t="s">
        <v>79</v>
      </c>
      <c r="Q162" s="27" t="s">
        <v>75</v>
      </c>
      <c r="R162" s="27" t="s">
        <v>39</v>
      </c>
      <c r="S162" s="27" t="s">
        <v>49</v>
      </c>
      <c r="T162" s="27">
        <v>11</v>
      </c>
      <c r="U162" s="27">
        <v>55000</v>
      </c>
      <c r="V162" s="27">
        <v>15</v>
      </c>
      <c r="W162" s="27">
        <v>514250</v>
      </c>
      <c r="X162" s="27">
        <v>4</v>
      </c>
      <c r="Y162" s="27" t="s">
        <v>65</v>
      </c>
      <c r="Z162" s="27" t="s">
        <v>80</v>
      </c>
      <c r="AA162" s="27" t="s">
        <v>89</v>
      </c>
      <c r="AB162" s="27">
        <v>9222733065</v>
      </c>
      <c r="AC162" s="27" t="s">
        <v>53</v>
      </c>
    </row>
    <row r="163" spans="8:29" ht="15" thickBot="1" x14ac:dyDescent="0.4">
      <c r="H163" s="30" t="s">
        <v>272</v>
      </c>
      <c r="I163" s="30" t="s">
        <v>134</v>
      </c>
      <c r="J163" s="30" t="s">
        <v>105</v>
      </c>
      <c r="K163" s="31">
        <v>46014</v>
      </c>
      <c r="L163" s="31">
        <v>46025</v>
      </c>
      <c r="M163" s="30" t="s">
        <v>135</v>
      </c>
      <c r="N163" s="30" t="s">
        <v>26</v>
      </c>
      <c r="O163" s="31">
        <v>37730</v>
      </c>
      <c r="P163" s="30" t="s">
        <v>147</v>
      </c>
      <c r="Q163" s="30" t="s">
        <v>148</v>
      </c>
      <c r="R163" s="30" t="s">
        <v>29</v>
      </c>
      <c r="S163" s="30" t="s">
        <v>107</v>
      </c>
      <c r="T163" s="30">
        <v>5</v>
      </c>
      <c r="U163" s="30">
        <v>8500</v>
      </c>
      <c r="V163" s="30">
        <v>5</v>
      </c>
      <c r="W163" s="30">
        <v>40375</v>
      </c>
      <c r="X163" s="30">
        <v>4</v>
      </c>
      <c r="Y163" s="30" t="s">
        <v>31</v>
      </c>
      <c r="Z163" s="30" t="s">
        <v>96</v>
      </c>
      <c r="AA163" s="30" t="s">
        <v>136</v>
      </c>
      <c r="AB163" s="30">
        <v>9684246902</v>
      </c>
      <c r="AC163" s="22" t="s">
        <v>34</v>
      </c>
    </row>
    <row r="164" spans="8:29" ht="15" thickBot="1" x14ac:dyDescent="0.4">
      <c r="H164" s="27" t="s">
        <v>116</v>
      </c>
      <c r="I164" s="27" t="s">
        <v>72</v>
      </c>
      <c r="J164" s="27" t="s">
        <v>112</v>
      </c>
      <c r="K164" s="28">
        <v>45908</v>
      </c>
      <c r="L164" s="28">
        <v>45919</v>
      </c>
      <c r="M164" s="27" t="s">
        <v>73</v>
      </c>
      <c r="N164" s="27" t="s">
        <v>26</v>
      </c>
      <c r="O164" s="28">
        <v>37301</v>
      </c>
      <c r="P164" s="27" t="s">
        <v>121</v>
      </c>
      <c r="Q164" s="27" t="s">
        <v>38</v>
      </c>
      <c r="R164" s="27" t="s">
        <v>39</v>
      </c>
      <c r="S164" s="27" t="s">
        <v>114</v>
      </c>
      <c r="T164" s="27">
        <v>16</v>
      </c>
      <c r="U164" s="27">
        <v>700</v>
      </c>
      <c r="V164" s="27">
        <v>15</v>
      </c>
      <c r="W164" s="27">
        <v>9520</v>
      </c>
      <c r="X164" s="27">
        <v>4</v>
      </c>
      <c r="Y164" s="27" t="s">
        <v>60</v>
      </c>
      <c r="Z164" s="27" t="s">
        <v>50</v>
      </c>
      <c r="AA164" s="27" t="s">
        <v>93</v>
      </c>
      <c r="AB164" s="27">
        <v>9989580228</v>
      </c>
      <c r="AC164" s="21" t="s">
        <v>34</v>
      </c>
    </row>
    <row r="165" spans="8:29" ht="15" thickBot="1" x14ac:dyDescent="0.4">
      <c r="H165" s="30" t="s">
        <v>273</v>
      </c>
      <c r="I165" s="30" t="s">
        <v>87</v>
      </c>
      <c r="J165" s="30" t="s">
        <v>112</v>
      </c>
      <c r="K165" s="31">
        <v>45845</v>
      </c>
      <c r="L165" s="31">
        <v>45851</v>
      </c>
      <c r="M165" s="30" t="s">
        <v>88</v>
      </c>
      <c r="N165" s="30" t="s">
        <v>58</v>
      </c>
      <c r="O165" s="31">
        <v>27580</v>
      </c>
      <c r="P165" s="30" t="s">
        <v>79</v>
      </c>
      <c r="Q165" s="30" t="s">
        <v>75</v>
      </c>
      <c r="R165" s="30" t="s">
        <v>39</v>
      </c>
      <c r="S165" s="30" t="s">
        <v>114</v>
      </c>
      <c r="T165" s="30">
        <v>6</v>
      </c>
      <c r="U165" s="30">
        <v>700</v>
      </c>
      <c r="V165" s="30">
        <v>10</v>
      </c>
      <c r="W165" s="30">
        <v>3780</v>
      </c>
      <c r="X165" s="30">
        <v>4</v>
      </c>
      <c r="Y165" s="30" t="s">
        <v>31</v>
      </c>
      <c r="Z165" s="30" t="s">
        <v>42</v>
      </c>
      <c r="AA165" s="30" t="s">
        <v>89</v>
      </c>
      <c r="AB165" s="30">
        <v>9110269572</v>
      </c>
      <c r="AC165" s="30" t="s">
        <v>53</v>
      </c>
    </row>
    <row r="166" spans="8:29" ht="15" thickBot="1" x14ac:dyDescent="0.4">
      <c r="H166" s="27" t="s">
        <v>274</v>
      </c>
      <c r="I166" s="27" t="s">
        <v>45</v>
      </c>
      <c r="J166" s="27" t="s">
        <v>68</v>
      </c>
      <c r="K166" s="28">
        <v>46145</v>
      </c>
      <c r="L166" s="28">
        <v>46157</v>
      </c>
      <c r="M166" s="27" t="s">
        <v>101</v>
      </c>
      <c r="N166" s="27" t="s">
        <v>26</v>
      </c>
      <c r="O166" s="28">
        <v>33668</v>
      </c>
      <c r="P166" s="27" t="s">
        <v>37</v>
      </c>
      <c r="Q166" s="27" t="s">
        <v>38</v>
      </c>
      <c r="R166" s="27" t="s">
        <v>29</v>
      </c>
      <c r="S166" s="27" t="s">
        <v>70</v>
      </c>
      <c r="T166" s="27">
        <v>20</v>
      </c>
      <c r="U166" s="27">
        <v>3500</v>
      </c>
      <c r="V166" s="27">
        <v>10</v>
      </c>
      <c r="W166" s="27">
        <v>63000</v>
      </c>
      <c r="X166" s="27">
        <v>4</v>
      </c>
      <c r="Y166" s="27" t="s">
        <v>65</v>
      </c>
      <c r="Z166" s="27" t="s">
        <v>42</v>
      </c>
      <c r="AA166" s="27" t="s">
        <v>51</v>
      </c>
      <c r="AB166" s="27">
        <v>9745972422</v>
      </c>
      <c r="AC166" s="27" t="s">
        <v>52</v>
      </c>
    </row>
    <row r="167" spans="8:29" ht="15" thickBot="1" x14ac:dyDescent="0.4">
      <c r="H167" s="30" t="s">
        <v>275</v>
      </c>
      <c r="I167" s="30" t="s">
        <v>23</v>
      </c>
      <c r="J167" s="30" t="s">
        <v>125</v>
      </c>
      <c r="K167" s="31">
        <v>45990</v>
      </c>
      <c r="L167" s="31">
        <v>45998</v>
      </c>
      <c r="M167" s="30" t="s">
        <v>25</v>
      </c>
      <c r="N167" s="30" t="s">
        <v>26</v>
      </c>
      <c r="O167" s="31">
        <v>35949</v>
      </c>
      <c r="P167" s="30" t="s">
        <v>48</v>
      </c>
      <c r="Q167" s="30" t="s">
        <v>28</v>
      </c>
      <c r="R167" s="30" t="s">
        <v>83</v>
      </c>
      <c r="S167" s="30" t="s">
        <v>127</v>
      </c>
      <c r="T167" s="30">
        <v>2</v>
      </c>
      <c r="U167" s="30">
        <v>20</v>
      </c>
      <c r="V167" s="30">
        <v>10</v>
      </c>
      <c r="W167" s="30">
        <v>36</v>
      </c>
      <c r="X167" s="30">
        <v>1</v>
      </c>
      <c r="Y167" s="30" t="s">
        <v>41</v>
      </c>
      <c r="Z167" s="30" t="s">
        <v>80</v>
      </c>
      <c r="AA167" s="30" t="s">
        <v>43</v>
      </c>
      <c r="AB167" s="30">
        <v>9123712257</v>
      </c>
      <c r="AC167" s="30" t="s">
        <v>52</v>
      </c>
    </row>
    <row r="168" spans="8:29" ht="15" thickBot="1" x14ac:dyDescent="0.4">
      <c r="H168" s="27" t="s">
        <v>276</v>
      </c>
      <c r="I168" s="27" t="s">
        <v>72</v>
      </c>
      <c r="J168" s="27" t="s">
        <v>24</v>
      </c>
      <c r="K168" s="28">
        <v>45852</v>
      </c>
      <c r="L168" s="28">
        <v>45857</v>
      </c>
      <c r="M168" s="27" t="s">
        <v>73</v>
      </c>
      <c r="N168" s="27" t="s">
        <v>26</v>
      </c>
      <c r="O168" s="28">
        <v>35336</v>
      </c>
      <c r="P168" s="27" t="s">
        <v>79</v>
      </c>
      <c r="Q168" s="27" t="s">
        <v>75</v>
      </c>
      <c r="R168" s="27" t="s">
        <v>29</v>
      </c>
      <c r="S168" s="27" t="s">
        <v>30</v>
      </c>
      <c r="T168" s="27">
        <v>16</v>
      </c>
      <c r="U168" s="27">
        <v>2200</v>
      </c>
      <c r="V168" s="27">
        <v>20</v>
      </c>
      <c r="W168" s="27">
        <v>28160</v>
      </c>
      <c r="X168" s="27">
        <v>2</v>
      </c>
      <c r="Y168" s="27" t="s">
        <v>65</v>
      </c>
      <c r="Z168" s="27" t="s">
        <v>96</v>
      </c>
      <c r="AA168" s="27" t="s">
        <v>93</v>
      </c>
      <c r="AB168" s="27">
        <v>9665525431</v>
      </c>
      <c r="AC168" s="27" t="s">
        <v>52</v>
      </c>
    </row>
    <row r="169" spans="8:29" ht="15" thickBot="1" x14ac:dyDescent="0.4">
      <c r="H169" s="30" t="s">
        <v>277</v>
      </c>
      <c r="I169" s="30" t="s">
        <v>124</v>
      </c>
      <c r="J169" s="30" t="s">
        <v>36</v>
      </c>
      <c r="K169" s="31">
        <v>45729</v>
      </c>
      <c r="L169" s="31">
        <v>45739</v>
      </c>
      <c r="M169" s="30" t="s">
        <v>126</v>
      </c>
      <c r="N169" s="30" t="s">
        <v>58</v>
      </c>
      <c r="O169" s="31">
        <v>35048</v>
      </c>
      <c r="P169" s="30" t="s">
        <v>79</v>
      </c>
      <c r="Q169" s="30" t="s">
        <v>75</v>
      </c>
      <c r="R169" s="30" t="s">
        <v>39</v>
      </c>
      <c r="S169" s="30" t="s">
        <v>40</v>
      </c>
      <c r="T169" s="30">
        <v>15</v>
      </c>
      <c r="U169" s="30">
        <v>12000</v>
      </c>
      <c r="V169" s="30">
        <v>0</v>
      </c>
      <c r="W169" s="30">
        <v>180000</v>
      </c>
      <c r="X169" s="30">
        <v>1</v>
      </c>
      <c r="Y169" s="30" t="s">
        <v>60</v>
      </c>
      <c r="Z169" s="30" t="s">
        <v>50</v>
      </c>
      <c r="AA169" s="30" t="s">
        <v>128</v>
      </c>
      <c r="AB169" s="30">
        <v>9682415134</v>
      </c>
      <c r="AC169" s="30" t="s">
        <v>52</v>
      </c>
    </row>
    <row r="170" spans="8:29" ht="15" thickBot="1" x14ac:dyDescent="0.4">
      <c r="H170" s="27" t="s">
        <v>278</v>
      </c>
      <c r="I170" s="27" t="s">
        <v>23</v>
      </c>
      <c r="J170" s="27" t="s">
        <v>82</v>
      </c>
      <c r="K170" s="28">
        <v>45860</v>
      </c>
      <c r="L170" s="28">
        <v>45861</v>
      </c>
      <c r="M170" s="27" t="s">
        <v>25</v>
      </c>
      <c r="N170" s="27" t="s">
        <v>26</v>
      </c>
      <c r="O170" s="28">
        <v>27965</v>
      </c>
      <c r="P170" s="27" t="s">
        <v>37</v>
      </c>
      <c r="Q170" s="27" t="s">
        <v>38</v>
      </c>
      <c r="R170" s="27" t="s">
        <v>83</v>
      </c>
      <c r="S170" s="27" t="s">
        <v>84</v>
      </c>
      <c r="T170" s="27">
        <v>14</v>
      </c>
      <c r="U170" s="27">
        <v>60</v>
      </c>
      <c r="V170" s="27">
        <v>15</v>
      </c>
      <c r="W170" s="27">
        <v>714</v>
      </c>
      <c r="X170" s="27">
        <v>4</v>
      </c>
      <c r="Y170" s="27" t="s">
        <v>65</v>
      </c>
      <c r="Z170" s="27" t="s">
        <v>42</v>
      </c>
      <c r="AA170" s="27" t="s">
        <v>43</v>
      </c>
      <c r="AB170" s="27">
        <v>9808223872</v>
      </c>
      <c r="AC170" s="21" t="s">
        <v>34</v>
      </c>
    </row>
    <row r="171" spans="8:29" ht="15" thickBot="1" x14ac:dyDescent="0.4">
      <c r="H171" s="30" t="s">
        <v>279</v>
      </c>
      <c r="I171" s="30" t="s">
        <v>45</v>
      </c>
      <c r="J171" s="30" t="s">
        <v>56</v>
      </c>
      <c r="K171" s="31">
        <v>45859</v>
      </c>
      <c r="L171" s="31">
        <v>45862</v>
      </c>
      <c r="M171" s="30" t="s">
        <v>101</v>
      </c>
      <c r="N171" s="30" t="s">
        <v>26</v>
      </c>
      <c r="O171" s="31">
        <v>30855</v>
      </c>
      <c r="P171" s="30" t="s">
        <v>27</v>
      </c>
      <c r="Q171" s="30" t="s">
        <v>28</v>
      </c>
      <c r="R171" s="30" t="s">
        <v>39</v>
      </c>
      <c r="S171" s="30" t="s">
        <v>59</v>
      </c>
      <c r="T171" s="30">
        <v>9</v>
      </c>
      <c r="U171" s="30">
        <v>1200</v>
      </c>
      <c r="V171" s="30">
        <v>5</v>
      </c>
      <c r="W171" s="30">
        <v>10260</v>
      </c>
      <c r="X171" s="30">
        <v>5</v>
      </c>
      <c r="Y171" s="30" t="s">
        <v>41</v>
      </c>
      <c r="Z171" s="30" t="s">
        <v>50</v>
      </c>
      <c r="AA171" s="30" t="s">
        <v>51</v>
      </c>
      <c r="AB171" s="30">
        <v>9193549730</v>
      </c>
      <c r="AC171" s="30" t="s">
        <v>52</v>
      </c>
    </row>
    <row r="172" spans="8:29" ht="15" thickBot="1" x14ac:dyDescent="0.4">
      <c r="H172" s="27" t="s">
        <v>280</v>
      </c>
      <c r="I172" s="27" t="s">
        <v>124</v>
      </c>
      <c r="J172" s="27" t="s">
        <v>56</v>
      </c>
      <c r="K172" s="28">
        <v>45857</v>
      </c>
      <c r="L172" s="28">
        <v>45867</v>
      </c>
      <c r="M172" s="27" t="s">
        <v>126</v>
      </c>
      <c r="N172" s="27" t="s">
        <v>58</v>
      </c>
      <c r="O172" s="28">
        <v>36013</v>
      </c>
      <c r="P172" s="27" t="s">
        <v>147</v>
      </c>
      <c r="Q172" s="27" t="s">
        <v>148</v>
      </c>
      <c r="R172" s="27" t="s">
        <v>39</v>
      </c>
      <c r="S172" s="27" t="s">
        <v>59</v>
      </c>
      <c r="T172" s="27">
        <v>3</v>
      </c>
      <c r="U172" s="27">
        <v>1200</v>
      </c>
      <c r="V172" s="27">
        <v>10</v>
      </c>
      <c r="W172" s="27">
        <v>3240</v>
      </c>
      <c r="X172" s="27">
        <v>2</v>
      </c>
      <c r="Y172" s="27" t="s">
        <v>60</v>
      </c>
      <c r="Z172" s="27" t="s">
        <v>96</v>
      </c>
      <c r="AA172" s="27" t="s">
        <v>128</v>
      </c>
      <c r="AB172" s="27">
        <v>9520617130</v>
      </c>
      <c r="AC172" s="27" t="s">
        <v>53</v>
      </c>
    </row>
    <row r="173" spans="8:29" ht="29.5" thickBot="1" x14ac:dyDescent="0.4">
      <c r="H173" s="30" t="s">
        <v>281</v>
      </c>
      <c r="I173" s="30" t="s">
        <v>156</v>
      </c>
      <c r="J173" s="30" t="s">
        <v>82</v>
      </c>
      <c r="K173" s="31">
        <v>45757</v>
      </c>
      <c r="L173" s="31">
        <v>45759</v>
      </c>
      <c r="M173" s="30" t="s">
        <v>106</v>
      </c>
      <c r="N173" s="30" t="s">
        <v>58</v>
      </c>
      <c r="O173" s="31">
        <v>37060</v>
      </c>
      <c r="P173" s="30" t="s">
        <v>27</v>
      </c>
      <c r="Q173" s="30" t="s">
        <v>28</v>
      </c>
      <c r="R173" s="30" t="s">
        <v>83</v>
      </c>
      <c r="S173" s="30" t="s">
        <v>84</v>
      </c>
      <c r="T173" s="30">
        <v>2</v>
      </c>
      <c r="U173" s="30">
        <v>60</v>
      </c>
      <c r="V173" s="30">
        <v>10</v>
      </c>
      <c r="W173" s="30">
        <v>108</v>
      </c>
      <c r="X173" s="30">
        <v>2</v>
      </c>
      <c r="Y173" s="30" t="s">
        <v>65</v>
      </c>
      <c r="Z173" s="30" t="s">
        <v>50</v>
      </c>
      <c r="AA173" s="30" t="s">
        <v>158</v>
      </c>
      <c r="AB173" s="30">
        <v>9264578122</v>
      </c>
      <c r="AC173" s="22" t="s">
        <v>34</v>
      </c>
    </row>
    <row r="174" spans="8:29" ht="29.5" thickBot="1" x14ac:dyDescent="0.4">
      <c r="H174" s="27" t="s">
        <v>282</v>
      </c>
      <c r="I174" s="27" t="s">
        <v>55</v>
      </c>
      <c r="J174" s="27" t="s">
        <v>68</v>
      </c>
      <c r="K174" s="28">
        <v>46155</v>
      </c>
      <c r="L174" s="28">
        <v>46165</v>
      </c>
      <c r="M174" s="27" t="s">
        <v>57</v>
      </c>
      <c r="N174" s="27" t="s">
        <v>58</v>
      </c>
      <c r="O174" s="28">
        <v>36414</v>
      </c>
      <c r="P174" s="27" t="s">
        <v>37</v>
      </c>
      <c r="Q174" s="27" t="s">
        <v>38</v>
      </c>
      <c r="R174" s="27" t="s">
        <v>29</v>
      </c>
      <c r="S174" s="27" t="s">
        <v>70</v>
      </c>
      <c r="T174" s="27">
        <v>9</v>
      </c>
      <c r="U174" s="27">
        <v>3500</v>
      </c>
      <c r="V174" s="27">
        <v>20</v>
      </c>
      <c r="W174" s="27">
        <v>25200</v>
      </c>
      <c r="X174" s="27">
        <v>1</v>
      </c>
      <c r="Y174" s="27" t="s">
        <v>41</v>
      </c>
      <c r="Z174" s="27" t="s">
        <v>32</v>
      </c>
      <c r="AA174" s="27" t="s">
        <v>61</v>
      </c>
      <c r="AB174" s="27">
        <v>9275071213</v>
      </c>
      <c r="AC174" s="21" t="s">
        <v>34</v>
      </c>
    </row>
    <row r="175" spans="8:29" ht="15" thickBot="1" x14ac:dyDescent="0.4">
      <c r="H175" s="30" t="s">
        <v>283</v>
      </c>
      <c r="I175" s="30" t="s">
        <v>124</v>
      </c>
      <c r="J175" s="30" t="s">
        <v>46</v>
      </c>
      <c r="K175" s="31">
        <v>46094</v>
      </c>
      <c r="L175" s="31">
        <v>46097</v>
      </c>
      <c r="M175" s="30" t="s">
        <v>126</v>
      </c>
      <c r="N175" s="30" t="s">
        <v>58</v>
      </c>
      <c r="O175" s="31">
        <v>35040</v>
      </c>
      <c r="P175" s="30" t="s">
        <v>121</v>
      </c>
      <c r="Q175" s="30" t="s">
        <v>38</v>
      </c>
      <c r="R175" s="30" t="s">
        <v>39</v>
      </c>
      <c r="S175" s="30" t="s">
        <v>49</v>
      </c>
      <c r="T175" s="30">
        <v>4</v>
      </c>
      <c r="U175" s="30">
        <v>55000</v>
      </c>
      <c r="V175" s="30">
        <v>5</v>
      </c>
      <c r="W175" s="30">
        <v>209000</v>
      </c>
      <c r="X175" s="30">
        <v>2</v>
      </c>
      <c r="Y175" s="30" t="s">
        <v>31</v>
      </c>
      <c r="Z175" s="30" t="s">
        <v>96</v>
      </c>
      <c r="AA175" s="30" t="s">
        <v>128</v>
      </c>
      <c r="AB175" s="30">
        <v>9715222543</v>
      </c>
      <c r="AC175" s="30" t="s">
        <v>52</v>
      </c>
    </row>
    <row r="176" spans="8:29" ht="29.5" thickBot="1" x14ac:dyDescent="0.4">
      <c r="H176" s="27" t="s">
        <v>284</v>
      </c>
      <c r="I176" s="27" t="s">
        <v>156</v>
      </c>
      <c r="J176" s="27" t="s">
        <v>112</v>
      </c>
      <c r="K176" s="28">
        <v>45835</v>
      </c>
      <c r="L176" s="28">
        <v>45839</v>
      </c>
      <c r="M176" s="27" t="s">
        <v>106</v>
      </c>
      <c r="N176" s="27" t="s">
        <v>58</v>
      </c>
      <c r="O176" s="28">
        <v>36363</v>
      </c>
      <c r="P176" s="27" t="s">
        <v>37</v>
      </c>
      <c r="Q176" s="27" t="s">
        <v>38</v>
      </c>
      <c r="R176" s="27" t="s">
        <v>39</v>
      </c>
      <c r="S176" s="27" t="s">
        <v>114</v>
      </c>
      <c r="T176" s="27">
        <v>11</v>
      </c>
      <c r="U176" s="27">
        <v>700</v>
      </c>
      <c r="V176" s="27">
        <v>20</v>
      </c>
      <c r="W176" s="27">
        <v>6160</v>
      </c>
      <c r="X176" s="27">
        <v>4</v>
      </c>
      <c r="Y176" s="27" t="s">
        <v>31</v>
      </c>
      <c r="Z176" s="27" t="s">
        <v>96</v>
      </c>
      <c r="AA176" s="27" t="s">
        <v>158</v>
      </c>
      <c r="AB176" s="27">
        <v>9942010833</v>
      </c>
      <c r="AC176" s="27" t="s">
        <v>53</v>
      </c>
    </row>
    <row r="177" spans="8:29" ht="15" thickBot="1" x14ac:dyDescent="0.4">
      <c r="H177" s="30" t="s">
        <v>285</v>
      </c>
      <c r="I177" s="30" t="s">
        <v>104</v>
      </c>
      <c r="J177" s="30" t="s">
        <v>56</v>
      </c>
      <c r="K177" s="31">
        <v>45980</v>
      </c>
      <c r="L177" s="31">
        <v>45990</v>
      </c>
      <c r="M177" s="30" t="s">
        <v>166</v>
      </c>
      <c r="N177" s="30" t="s">
        <v>26</v>
      </c>
      <c r="O177" s="31">
        <v>36844</v>
      </c>
      <c r="P177" s="30" t="s">
        <v>147</v>
      </c>
      <c r="Q177" s="30" t="s">
        <v>148</v>
      </c>
      <c r="R177" s="30" t="s">
        <v>39</v>
      </c>
      <c r="S177" s="30" t="s">
        <v>59</v>
      </c>
      <c r="T177" s="30">
        <v>16</v>
      </c>
      <c r="U177" s="30">
        <v>1200</v>
      </c>
      <c r="V177" s="30">
        <v>5</v>
      </c>
      <c r="W177" s="30">
        <v>18240</v>
      </c>
      <c r="X177" s="30">
        <v>1</v>
      </c>
      <c r="Y177" s="30" t="s">
        <v>60</v>
      </c>
      <c r="Z177" s="30" t="s">
        <v>32</v>
      </c>
      <c r="AA177" s="30" t="s">
        <v>108</v>
      </c>
      <c r="AB177" s="30">
        <v>9347718932</v>
      </c>
      <c r="AC177" s="30" t="s">
        <v>52</v>
      </c>
    </row>
    <row r="178" spans="8:29" ht="15" thickBot="1" x14ac:dyDescent="0.4">
      <c r="H178" s="27" t="s">
        <v>286</v>
      </c>
      <c r="I178" s="27" t="s">
        <v>104</v>
      </c>
      <c r="J178" s="27" t="s">
        <v>56</v>
      </c>
      <c r="K178" s="28">
        <v>45915</v>
      </c>
      <c r="L178" s="28">
        <v>45917</v>
      </c>
      <c r="M178" s="27" t="s">
        <v>166</v>
      </c>
      <c r="N178" s="27" t="s">
        <v>26</v>
      </c>
      <c r="O178" s="28">
        <v>37461</v>
      </c>
      <c r="P178" s="27" t="s">
        <v>79</v>
      </c>
      <c r="Q178" s="27" t="s">
        <v>75</v>
      </c>
      <c r="R178" s="27" t="s">
        <v>39</v>
      </c>
      <c r="S178" s="27" t="s">
        <v>59</v>
      </c>
      <c r="T178" s="27">
        <v>1</v>
      </c>
      <c r="U178" s="27">
        <v>1200</v>
      </c>
      <c r="V178" s="27">
        <v>5</v>
      </c>
      <c r="W178" s="27">
        <v>1140</v>
      </c>
      <c r="X178" s="27">
        <v>4</v>
      </c>
      <c r="Y178" s="27" t="s">
        <v>60</v>
      </c>
      <c r="Z178" s="27" t="s">
        <v>32</v>
      </c>
      <c r="AA178" s="27" t="s">
        <v>108</v>
      </c>
      <c r="AB178" s="27">
        <v>9274808844</v>
      </c>
      <c r="AC178" s="21" t="s">
        <v>34</v>
      </c>
    </row>
    <row r="179" spans="8:29" ht="29.5" thickBot="1" x14ac:dyDescent="0.4">
      <c r="H179" s="30" t="s">
        <v>287</v>
      </c>
      <c r="I179" s="30" t="s">
        <v>156</v>
      </c>
      <c r="J179" s="30" t="s">
        <v>82</v>
      </c>
      <c r="K179" s="31">
        <v>45965</v>
      </c>
      <c r="L179" s="31">
        <v>45974</v>
      </c>
      <c r="M179" s="30" t="s">
        <v>106</v>
      </c>
      <c r="N179" s="30" t="s">
        <v>58</v>
      </c>
      <c r="O179" s="31">
        <v>37312</v>
      </c>
      <c r="P179" s="30" t="s">
        <v>121</v>
      </c>
      <c r="Q179" s="30" t="s">
        <v>38</v>
      </c>
      <c r="R179" s="30" t="s">
        <v>83</v>
      </c>
      <c r="S179" s="30" t="s">
        <v>84</v>
      </c>
      <c r="T179" s="30">
        <v>7</v>
      </c>
      <c r="U179" s="30">
        <v>60</v>
      </c>
      <c r="V179" s="30">
        <v>0</v>
      </c>
      <c r="W179" s="30">
        <v>420</v>
      </c>
      <c r="X179" s="30">
        <v>2</v>
      </c>
      <c r="Y179" s="30" t="s">
        <v>65</v>
      </c>
      <c r="Z179" s="30" t="s">
        <v>96</v>
      </c>
      <c r="AA179" s="30" t="s">
        <v>158</v>
      </c>
      <c r="AB179" s="30">
        <v>9798996063</v>
      </c>
      <c r="AC179" s="22" t="s">
        <v>34</v>
      </c>
    </row>
    <row r="180" spans="8:29" ht="15" thickBot="1" x14ac:dyDescent="0.4">
      <c r="H180" s="27" t="s">
        <v>288</v>
      </c>
      <c r="I180" s="27" t="s">
        <v>104</v>
      </c>
      <c r="J180" s="27" t="s">
        <v>24</v>
      </c>
      <c r="K180" s="28">
        <v>45660</v>
      </c>
      <c r="L180" s="28">
        <v>45664</v>
      </c>
      <c r="M180" s="27" t="s">
        <v>166</v>
      </c>
      <c r="N180" s="27" t="s">
        <v>26</v>
      </c>
      <c r="O180" s="28">
        <v>29418</v>
      </c>
      <c r="P180" s="27" t="s">
        <v>79</v>
      </c>
      <c r="Q180" s="27" t="s">
        <v>75</v>
      </c>
      <c r="R180" s="27" t="s">
        <v>29</v>
      </c>
      <c r="S180" s="27" t="s">
        <v>30</v>
      </c>
      <c r="T180" s="27">
        <v>14</v>
      </c>
      <c r="U180" s="27">
        <v>2200</v>
      </c>
      <c r="V180" s="27">
        <v>0</v>
      </c>
      <c r="W180" s="27">
        <v>30800</v>
      </c>
      <c r="X180" s="27">
        <v>2</v>
      </c>
      <c r="Y180" s="27" t="s">
        <v>65</v>
      </c>
      <c r="Z180" s="27" t="s">
        <v>32</v>
      </c>
      <c r="AA180" s="27" t="s">
        <v>108</v>
      </c>
      <c r="AB180" s="27">
        <v>9145200936</v>
      </c>
      <c r="AC180" s="27" t="s">
        <v>53</v>
      </c>
    </row>
    <row r="181" spans="8:29" ht="15" thickBot="1" x14ac:dyDescent="0.4">
      <c r="H181" s="30" t="s">
        <v>289</v>
      </c>
      <c r="I181" s="30" t="s">
        <v>104</v>
      </c>
      <c r="J181" s="30" t="s">
        <v>68</v>
      </c>
      <c r="K181" s="31">
        <v>45827</v>
      </c>
      <c r="L181" s="31">
        <v>45835</v>
      </c>
      <c r="M181" s="30" t="s">
        <v>166</v>
      </c>
      <c r="N181" s="30" t="s">
        <v>26</v>
      </c>
      <c r="O181" s="31">
        <v>35210</v>
      </c>
      <c r="P181" s="30" t="s">
        <v>91</v>
      </c>
      <c r="Q181" s="30" t="s">
        <v>75</v>
      </c>
      <c r="R181" s="30" t="s">
        <v>29</v>
      </c>
      <c r="S181" s="30" t="s">
        <v>70</v>
      </c>
      <c r="T181" s="30">
        <v>15</v>
      </c>
      <c r="U181" s="30">
        <v>3500</v>
      </c>
      <c r="V181" s="30">
        <v>15</v>
      </c>
      <c r="W181" s="30">
        <v>44625</v>
      </c>
      <c r="X181" s="30">
        <v>2</v>
      </c>
      <c r="Y181" s="30" t="s">
        <v>65</v>
      </c>
      <c r="Z181" s="30" t="s">
        <v>50</v>
      </c>
      <c r="AA181" s="30" t="s">
        <v>108</v>
      </c>
      <c r="AB181" s="30">
        <v>9697654418</v>
      </c>
      <c r="AC181" s="30" t="s">
        <v>52</v>
      </c>
    </row>
    <row r="182" spans="8:29" ht="15" thickBot="1" x14ac:dyDescent="0.4">
      <c r="H182" s="27" t="s">
        <v>290</v>
      </c>
      <c r="I182" s="27" t="s">
        <v>87</v>
      </c>
      <c r="J182" s="27" t="s">
        <v>68</v>
      </c>
      <c r="K182" s="28">
        <v>45742</v>
      </c>
      <c r="L182" s="28">
        <v>45753</v>
      </c>
      <c r="M182" s="27" t="s">
        <v>88</v>
      </c>
      <c r="N182" s="27" t="s">
        <v>58</v>
      </c>
      <c r="O182" s="28">
        <v>31543</v>
      </c>
      <c r="P182" s="27" t="s">
        <v>147</v>
      </c>
      <c r="Q182" s="27" t="s">
        <v>148</v>
      </c>
      <c r="R182" s="27" t="s">
        <v>29</v>
      </c>
      <c r="S182" s="27" t="s">
        <v>70</v>
      </c>
      <c r="T182" s="27">
        <v>19</v>
      </c>
      <c r="U182" s="27">
        <v>3500</v>
      </c>
      <c r="V182" s="27">
        <v>5</v>
      </c>
      <c r="W182" s="27">
        <v>63175</v>
      </c>
      <c r="X182" s="27">
        <v>2</v>
      </c>
      <c r="Y182" s="27" t="s">
        <v>31</v>
      </c>
      <c r="Z182" s="27" t="s">
        <v>80</v>
      </c>
      <c r="AA182" s="27" t="s">
        <v>89</v>
      </c>
      <c r="AB182" s="27">
        <v>9457923119</v>
      </c>
      <c r="AC182" s="27" t="s">
        <v>53</v>
      </c>
    </row>
    <row r="183" spans="8:29" ht="29.5" thickBot="1" x14ac:dyDescent="0.4">
      <c r="H183" s="30" t="s">
        <v>291</v>
      </c>
      <c r="I183" s="30" t="s">
        <v>156</v>
      </c>
      <c r="J183" s="30" t="s">
        <v>46</v>
      </c>
      <c r="K183" s="31">
        <v>45844</v>
      </c>
      <c r="L183" s="31">
        <v>45848</v>
      </c>
      <c r="M183" s="30" t="s">
        <v>106</v>
      </c>
      <c r="N183" s="30" t="s">
        <v>58</v>
      </c>
      <c r="O183" s="31">
        <v>32653</v>
      </c>
      <c r="P183" s="30" t="s">
        <v>48</v>
      </c>
      <c r="Q183" s="30" t="s">
        <v>28</v>
      </c>
      <c r="R183" s="30" t="s">
        <v>39</v>
      </c>
      <c r="S183" s="30" t="s">
        <v>49</v>
      </c>
      <c r="T183" s="30">
        <v>12</v>
      </c>
      <c r="U183" s="30">
        <v>55000</v>
      </c>
      <c r="V183" s="30">
        <v>5</v>
      </c>
      <c r="W183" s="30">
        <v>627000</v>
      </c>
      <c r="X183" s="30">
        <v>4</v>
      </c>
      <c r="Y183" s="30" t="s">
        <v>60</v>
      </c>
      <c r="Z183" s="30" t="s">
        <v>50</v>
      </c>
      <c r="AA183" s="30" t="s">
        <v>158</v>
      </c>
      <c r="AB183" s="30">
        <v>9236111271</v>
      </c>
      <c r="AC183" s="30" t="s">
        <v>53</v>
      </c>
    </row>
    <row r="184" spans="8:29" ht="15" thickBot="1" x14ac:dyDescent="0.4">
      <c r="H184" s="27" t="s">
        <v>292</v>
      </c>
      <c r="I184" s="27" t="s">
        <v>45</v>
      </c>
      <c r="J184" s="27" t="s">
        <v>56</v>
      </c>
      <c r="K184" s="28">
        <v>46040</v>
      </c>
      <c r="L184" s="28">
        <v>46048</v>
      </c>
      <c r="M184" s="27" t="s">
        <v>101</v>
      </c>
      <c r="N184" s="27" t="s">
        <v>26</v>
      </c>
      <c r="O184" s="28">
        <v>32745</v>
      </c>
      <c r="P184" s="27" t="s">
        <v>74</v>
      </c>
      <c r="Q184" s="27" t="s">
        <v>75</v>
      </c>
      <c r="R184" s="27" t="s">
        <v>39</v>
      </c>
      <c r="S184" s="27" t="s">
        <v>59</v>
      </c>
      <c r="T184" s="27">
        <v>6</v>
      </c>
      <c r="U184" s="27">
        <v>1200</v>
      </c>
      <c r="V184" s="27">
        <v>10</v>
      </c>
      <c r="W184" s="27">
        <v>6480</v>
      </c>
      <c r="X184" s="27">
        <v>5</v>
      </c>
      <c r="Y184" s="27" t="s">
        <v>41</v>
      </c>
      <c r="Z184" s="27" t="s">
        <v>80</v>
      </c>
      <c r="AA184" s="27" t="s">
        <v>51</v>
      </c>
      <c r="AB184" s="27">
        <v>9402569141</v>
      </c>
      <c r="AC184" s="27" t="s">
        <v>53</v>
      </c>
    </row>
    <row r="185" spans="8:29" ht="15" thickBot="1" x14ac:dyDescent="0.4">
      <c r="H185" s="30" t="s">
        <v>293</v>
      </c>
      <c r="I185" s="30" t="s">
        <v>134</v>
      </c>
      <c r="J185" s="30" t="s">
        <v>105</v>
      </c>
      <c r="K185" s="31">
        <v>45919</v>
      </c>
      <c r="L185" s="31">
        <v>45920</v>
      </c>
      <c r="M185" s="30" t="s">
        <v>135</v>
      </c>
      <c r="N185" s="30" t="s">
        <v>26</v>
      </c>
      <c r="O185" s="31">
        <v>35570</v>
      </c>
      <c r="P185" s="30" t="s">
        <v>27</v>
      </c>
      <c r="Q185" s="30" t="s">
        <v>28</v>
      </c>
      <c r="R185" s="30" t="s">
        <v>29</v>
      </c>
      <c r="S185" s="30" t="s">
        <v>107</v>
      </c>
      <c r="T185" s="30">
        <v>1</v>
      </c>
      <c r="U185" s="30">
        <v>8500</v>
      </c>
      <c r="V185" s="30">
        <v>0</v>
      </c>
      <c r="W185" s="30">
        <v>8500</v>
      </c>
      <c r="X185" s="30">
        <v>1</v>
      </c>
      <c r="Y185" s="30" t="s">
        <v>65</v>
      </c>
      <c r="Z185" s="30" t="s">
        <v>96</v>
      </c>
      <c r="AA185" s="30" t="s">
        <v>136</v>
      </c>
      <c r="AB185" s="30">
        <v>9138184056</v>
      </c>
      <c r="AC185" s="30" t="s">
        <v>53</v>
      </c>
    </row>
    <row r="186" spans="8:29" ht="15" thickBot="1" x14ac:dyDescent="0.4">
      <c r="H186" s="27" t="s">
        <v>294</v>
      </c>
      <c r="I186" s="27" t="s">
        <v>87</v>
      </c>
      <c r="J186" s="27" t="s">
        <v>46</v>
      </c>
      <c r="K186" s="28">
        <v>46113</v>
      </c>
      <c r="L186" s="28">
        <v>46119</v>
      </c>
      <c r="M186" s="27" t="s">
        <v>88</v>
      </c>
      <c r="N186" s="27" t="s">
        <v>58</v>
      </c>
      <c r="O186" s="28">
        <v>31900</v>
      </c>
      <c r="P186" s="27" t="s">
        <v>91</v>
      </c>
      <c r="Q186" s="27" t="s">
        <v>75</v>
      </c>
      <c r="R186" s="27" t="s">
        <v>39</v>
      </c>
      <c r="S186" s="27" t="s">
        <v>49</v>
      </c>
      <c r="T186" s="27">
        <v>20</v>
      </c>
      <c r="U186" s="27">
        <v>55000</v>
      </c>
      <c r="V186" s="27">
        <v>10</v>
      </c>
      <c r="W186" s="27">
        <v>990000</v>
      </c>
      <c r="X186" s="27">
        <v>5</v>
      </c>
      <c r="Y186" s="27" t="s">
        <v>41</v>
      </c>
      <c r="Z186" s="27" t="s">
        <v>96</v>
      </c>
      <c r="AA186" s="27" t="s">
        <v>89</v>
      </c>
      <c r="AB186" s="27">
        <v>9609598700</v>
      </c>
      <c r="AC186" s="21" t="s">
        <v>34</v>
      </c>
    </row>
    <row r="187" spans="8:29" ht="15" thickBot="1" x14ac:dyDescent="0.4">
      <c r="H187" s="30" t="s">
        <v>295</v>
      </c>
      <c r="I187" s="30" t="s">
        <v>124</v>
      </c>
      <c r="J187" s="30" t="s">
        <v>56</v>
      </c>
      <c r="K187" s="31">
        <v>45958</v>
      </c>
      <c r="L187" s="31">
        <v>45959</v>
      </c>
      <c r="M187" s="30" t="s">
        <v>126</v>
      </c>
      <c r="N187" s="30" t="s">
        <v>58</v>
      </c>
      <c r="O187" s="31">
        <v>37592</v>
      </c>
      <c r="P187" s="30" t="s">
        <v>91</v>
      </c>
      <c r="Q187" s="30" t="s">
        <v>75</v>
      </c>
      <c r="R187" s="30" t="s">
        <v>39</v>
      </c>
      <c r="S187" s="30" t="s">
        <v>59</v>
      </c>
      <c r="T187" s="30">
        <v>8</v>
      </c>
      <c r="U187" s="30">
        <v>1200</v>
      </c>
      <c r="V187" s="30">
        <v>15</v>
      </c>
      <c r="W187" s="30">
        <v>8160</v>
      </c>
      <c r="X187" s="30">
        <v>2</v>
      </c>
      <c r="Y187" s="30" t="s">
        <v>65</v>
      </c>
      <c r="Z187" s="30" t="s">
        <v>80</v>
      </c>
      <c r="AA187" s="30" t="s">
        <v>128</v>
      </c>
      <c r="AB187" s="30">
        <v>9385894399</v>
      </c>
      <c r="AC187" s="30" t="s">
        <v>53</v>
      </c>
    </row>
    <row r="188" spans="8:29" ht="15" thickBot="1" x14ac:dyDescent="0.4">
      <c r="H188" s="27" t="s">
        <v>296</v>
      </c>
      <c r="I188" s="27" t="s">
        <v>23</v>
      </c>
      <c r="J188" s="27" t="s">
        <v>68</v>
      </c>
      <c r="K188" s="28">
        <v>45694</v>
      </c>
      <c r="L188" s="28">
        <v>45705</v>
      </c>
      <c r="M188" s="27" t="s">
        <v>25</v>
      </c>
      <c r="N188" s="27" t="s">
        <v>26</v>
      </c>
      <c r="O188" s="28">
        <v>31557</v>
      </c>
      <c r="P188" s="27" t="s">
        <v>121</v>
      </c>
      <c r="Q188" s="27" t="s">
        <v>38</v>
      </c>
      <c r="R188" s="27" t="s">
        <v>29</v>
      </c>
      <c r="S188" s="27" t="s">
        <v>70</v>
      </c>
      <c r="T188" s="27">
        <v>19</v>
      </c>
      <c r="U188" s="27">
        <v>3500</v>
      </c>
      <c r="V188" s="27">
        <v>5</v>
      </c>
      <c r="W188" s="27">
        <v>63175</v>
      </c>
      <c r="X188" s="27">
        <v>4</v>
      </c>
      <c r="Y188" s="27" t="s">
        <v>65</v>
      </c>
      <c r="Z188" s="27" t="s">
        <v>42</v>
      </c>
      <c r="AA188" s="27" t="s">
        <v>43</v>
      </c>
      <c r="AB188" s="27">
        <v>9329448011</v>
      </c>
      <c r="AC188" s="27" t="s">
        <v>52</v>
      </c>
    </row>
    <row r="189" spans="8:29" ht="15" thickBot="1" x14ac:dyDescent="0.4">
      <c r="H189" s="30" t="s">
        <v>297</v>
      </c>
      <c r="I189" s="30" t="s">
        <v>124</v>
      </c>
      <c r="J189" s="30" t="s">
        <v>138</v>
      </c>
      <c r="K189" s="31">
        <v>45774</v>
      </c>
      <c r="L189" s="31">
        <v>45776</v>
      </c>
      <c r="M189" s="30" t="s">
        <v>126</v>
      </c>
      <c r="N189" s="30" t="s">
        <v>58</v>
      </c>
      <c r="O189" s="31">
        <v>31465</v>
      </c>
      <c r="P189" s="30" t="s">
        <v>121</v>
      </c>
      <c r="Q189" s="30" t="s">
        <v>38</v>
      </c>
      <c r="R189" s="30" t="s">
        <v>83</v>
      </c>
      <c r="S189" s="30" t="s">
        <v>139</v>
      </c>
      <c r="T189" s="30">
        <v>6</v>
      </c>
      <c r="U189" s="30">
        <v>45</v>
      </c>
      <c r="V189" s="30">
        <v>20</v>
      </c>
      <c r="W189" s="30">
        <v>216</v>
      </c>
      <c r="X189" s="30">
        <v>1</v>
      </c>
      <c r="Y189" s="30" t="s">
        <v>60</v>
      </c>
      <c r="Z189" s="30" t="s">
        <v>42</v>
      </c>
      <c r="AA189" s="30" t="s">
        <v>298</v>
      </c>
      <c r="AB189" s="30">
        <v>9889544104</v>
      </c>
      <c r="AC189" s="30" t="s">
        <v>52</v>
      </c>
    </row>
    <row r="190" spans="8:29" ht="15" thickBot="1" x14ac:dyDescent="0.4">
      <c r="H190" s="27" t="s">
        <v>299</v>
      </c>
      <c r="I190" s="27" t="s">
        <v>134</v>
      </c>
      <c r="J190" s="27" t="s">
        <v>138</v>
      </c>
      <c r="K190" s="28">
        <v>45730</v>
      </c>
      <c r="L190" s="28">
        <v>45741</v>
      </c>
      <c r="M190" s="27" t="s">
        <v>135</v>
      </c>
      <c r="N190" s="27" t="s">
        <v>26</v>
      </c>
      <c r="O190" s="28">
        <v>32240</v>
      </c>
      <c r="P190" s="27" t="s">
        <v>79</v>
      </c>
      <c r="Q190" s="27" t="s">
        <v>75</v>
      </c>
      <c r="R190" s="27" t="s">
        <v>83</v>
      </c>
      <c r="S190" s="27" t="s">
        <v>139</v>
      </c>
      <c r="T190" s="27">
        <v>17</v>
      </c>
      <c r="U190" s="27">
        <v>45</v>
      </c>
      <c r="V190" s="27">
        <v>15</v>
      </c>
      <c r="W190" s="27">
        <v>650.25</v>
      </c>
      <c r="X190" s="27">
        <v>5</v>
      </c>
      <c r="Y190" s="27" t="s">
        <v>31</v>
      </c>
      <c r="Z190" s="27" t="s">
        <v>80</v>
      </c>
      <c r="AA190" s="27" t="s">
        <v>136</v>
      </c>
      <c r="AB190" s="27">
        <v>9101861045</v>
      </c>
      <c r="AC190" s="27" t="s">
        <v>52</v>
      </c>
    </row>
    <row r="191" spans="8:29" ht="15" thickBot="1" x14ac:dyDescent="0.4">
      <c r="H191" s="30" t="s">
        <v>300</v>
      </c>
      <c r="I191" s="30" t="s">
        <v>23</v>
      </c>
      <c r="J191" s="30" t="s">
        <v>125</v>
      </c>
      <c r="K191" s="31">
        <v>45842</v>
      </c>
      <c r="L191" s="31">
        <v>45854</v>
      </c>
      <c r="M191" s="30" t="s">
        <v>25</v>
      </c>
      <c r="N191" s="30" t="s">
        <v>26</v>
      </c>
      <c r="O191" s="31">
        <v>34147</v>
      </c>
      <c r="P191" s="30" t="s">
        <v>79</v>
      </c>
      <c r="Q191" s="30" t="s">
        <v>75</v>
      </c>
      <c r="R191" s="30" t="s">
        <v>83</v>
      </c>
      <c r="S191" s="30" t="s">
        <v>127</v>
      </c>
      <c r="T191" s="30">
        <v>19</v>
      </c>
      <c r="U191" s="30">
        <v>20</v>
      </c>
      <c r="V191" s="30">
        <v>5</v>
      </c>
      <c r="W191" s="30">
        <v>361</v>
      </c>
      <c r="X191" s="30">
        <v>4</v>
      </c>
      <c r="Y191" s="30" t="s">
        <v>31</v>
      </c>
      <c r="Z191" s="30" t="s">
        <v>32</v>
      </c>
      <c r="AA191" s="30" t="s">
        <v>43</v>
      </c>
      <c r="AB191" s="30">
        <v>9364712105</v>
      </c>
      <c r="AC191" s="30" t="s">
        <v>52</v>
      </c>
    </row>
    <row r="192" spans="8:29" ht="15" thickBot="1" x14ac:dyDescent="0.4">
      <c r="H192" s="27" t="s">
        <v>301</v>
      </c>
      <c r="I192" s="27" t="s">
        <v>134</v>
      </c>
      <c r="J192" s="27" t="s">
        <v>125</v>
      </c>
      <c r="K192" s="28">
        <v>45993</v>
      </c>
      <c r="L192" s="28">
        <v>45994</v>
      </c>
      <c r="M192" s="27" t="s">
        <v>135</v>
      </c>
      <c r="N192" s="27" t="s">
        <v>26</v>
      </c>
      <c r="O192" s="28">
        <v>38156</v>
      </c>
      <c r="P192" s="27" t="s">
        <v>91</v>
      </c>
      <c r="Q192" s="27" t="s">
        <v>75</v>
      </c>
      <c r="R192" s="27" t="s">
        <v>83</v>
      </c>
      <c r="S192" s="27" t="s">
        <v>127</v>
      </c>
      <c r="T192" s="27">
        <v>11</v>
      </c>
      <c r="U192" s="27">
        <v>20</v>
      </c>
      <c r="V192" s="27">
        <v>0</v>
      </c>
      <c r="W192" s="27">
        <v>220</v>
      </c>
      <c r="X192" s="27">
        <v>3</v>
      </c>
      <c r="Y192" s="27" t="s">
        <v>41</v>
      </c>
      <c r="Z192" s="27" t="s">
        <v>42</v>
      </c>
      <c r="AA192" s="27" t="s">
        <v>136</v>
      </c>
      <c r="AB192" s="27">
        <v>9950206376</v>
      </c>
      <c r="AC192" s="21" t="s">
        <v>34</v>
      </c>
    </row>
    <row r="193" spans="8:29" ht="15" thickBot="1" x14ac:dyDescent="0.4">
      <c r="H193" s="30" t="s">
        <v>302</v>
      </c>
      <c r="I193" s="30" t="s">
        <v>104</v>
      </c>
      <c r="J193" s="30" t="s">
        <v>82</v>
      </c>
      <c r="K193" s="31">
        <v>46067</v>
      </c>
      <c r="L193" s="31">
        <v>46074</v>
      </c>
      <c r="M193" s="30" t="s">
        <v>166</v>
      </c>
      <c r="N193" s="30" t="s">
        <v>26</v>
      </c>
      <c r="O193" s="31">
        <v>34221</v>
      </c>
      <c r="P193" s="30" t="s">
        <v>37</v>
      </c>
      <c r="Q193" s="30" t="s">
        <v>38</v>
      </c>
      <c r="R193" s="30" t="s">
        <v>83</v>
      </c>
      <c r="S193" s="30" t="s">
        <v>84</v>
      </c>
      <c r="T193" s="30">
        <v>12</v>
      </c>
      <c r="U193" s="30">
        <v>60</v>
      </c>
      <c r="V193" s="30">
        <v>0</v>
      </c>
      <c r="W193" s="30">
        <v>720</v>
      </c>
      <c r="X193" s="30">
        <v>2</v>
      </c>
      <c r="Y193" s="30" t="s">
        <v>41</v>
      </c>
      <c r="Z193" s="30" t="s">
        <v>42</v>
      </c>
      <c r="AA193" s="30" t="s">
        <v>108</v>
      </c>
      <c r="AB193" s="30">
        <v>9235822094</v>
      </c>
      <c r="AC193" s="22" t="s">
        <v>34</v>
      </c>
    </row>
    <row r="194" spans="8:29" ht="15" thickBot="1" x14ac:dyDescent="0.4">
      <c r="H194" s="27" t="s">
        <v>303</v>
      </c>
      <c r="I194" s="27" t="s">
        <v>124</v>
      </c>
      <c r="J194" s="27" t="s">
        <v>138</v>
      </c>
      <c r="K194" s="28">
        <v>45970</v>
      </c>
      <c r="L194" s="28">
        <v>45974</v>
      </c>
      <c r="M194" s="27" t="s">
        <v>73</v>
      </c>
      <c r="N194" s="27" t="s">
        <v>58</v>
      </c>
      <c r="O194" s="28">
        <v>37147</v>
      </c>
      <c r="P194" s="27" t="s">
        <v>147</v>
      </c>
      <c r="Q194" s="27" t="s">
        <v>148</v>
      </c>
      <c r="R194" s="27" t="s">
        <v>83</v>
      </c>
      <c r="S194" s="27" t="s">
        <v>139</v>
      </c>
      <c r="T194" s="27">
        <v>14</v>
      </c>
      <c r="U194" s="27">
        <v>45</v>
      </c>
      <c r="V194" s="27">
        <v>15</v>
      </c>
      <c r="W194" s="27">
        <v>535.5</v>
      </c>
      <c r="X194" s="27">
        <v>5</v>
      </c>
      <c r="Y194" s="27" t="s">
        <v>65</v>
      </c>
      <c r="Z194" s="27" t="s">
        <v>80</v>
      </c>
      <c r="AA194" s="27" t="s">
        <v>128</v>
      </c>
      <c r="AB194" s="27">
        <v>9311021344</v>
      </c>
      <c r="AC194" s="27" t="s">
        <v>52</v>
      </c>
    </row>
    <row r="195" spans="8:29" ht="15" thickBot="1" x14ac:dyDescent="0.4">
      <c r="H195" s="30" t="s">
        <v>304</v>
      </c>
      <c r="I195" s="30" t="s">
        <v>23</v>
      </c>
      <c r="J195" s="30" t="s">
        <v>112</v>
      </c>
      <c r="K195" s="31">
        <v>45695</v>
      </c>
      <c r="L195" s="31">
        <v>45707</v>
      </c>
      <c r="M195" s="30" t="s">
        <v>25</v>
      </c>
      <c r="N195" s="30" t="s">
        <v>26</v>
      </c>
      <c r="O195" s="31">
        <v>29905</v>
      </c>
      <c r="P195" s="30" t="s">
        <v>27</v>
      </c>
      <c r="Q195" s="30" t="s">
        <v>28</v>
      </c>
      <c r="R195" s="30" t="s">
        <v>39</v>
      </c>
      <c r="S195" s="30" t="s">
        <v>114</v>
      </c>
      <c r="T195" s="30">
        <v>15</v>
      </c>
      <c r="U195" s="30">
        <v>700</v>
      </c>
      <c r="V195" s="30">
        <v>10</v>
      </c>
      <c r="W195" s="30">
        <v>9450</v>
      </c>
      <c r="X195" s="30">
        <v>3</v>
      </c>
      <c r="Y195" s="30" t="s">
        <v>41</v>
      </c>
      <c r="Z195" s="30" t="s">
        <v>42</v>
      </c>
      <c r="AA195" s="30" t="s">
        <v>43</v>
      </c>
      <c r="AB195" s="30">
        <v>9891358505</v>
      </c>
      <c r="AC195" s="30" t="s">
        <v>52</v>
      </c>
    </row>
    <row r="196" spans="8:29" ht="15" thickBot="1" x14ac:dyDescent="0.4">
      <c r="H196" s="27" t="s">
        <v>305</v>
      </c>
      <c r="I196" s="27" t="s">
        <v>72</v>
      </c>
      <c r="J196" s="27" t="s">
        <v>105</v>
      </c>
      <c r="K196" s="28">
        <v>45803</v>
      </c>
      <c r="L196" s="28">
        <v>45807</v>
      </c>
      <c r="M196" s="27" t="s">
        <v>73</v>
      </c>
      <c r="N196" s="27" t="s">
        <v>26</v>
      </c>
      <c r="O196" s="28">
        <v>29476</v>
      </c>
      <c r="P196" s="27" t="s">
        <v>91</v>
      </c>
      <c r="Q196" s="27" t="s">
        <v>75</v>
      </c>
      <c r="R196" s="27" t="s">
        <v>29</v>
      </c>
      <c r="S196" s="27" t="s">
        <v>107</v>
      </c>
      <c r="T196" s="27">
        <v>19</v>
      </c>
      <c r="U196" s="27">
        <v>8500</v>
      </c>
      <c r="V196" s="27">
        <v>15</v>
      </c>
      <c r="W196" s="27">
        <v>137275</v>
      </c>
      <c r="X196" s="27">
        <v>2</v>
      </c>
      <c r="Y196" s="27" t="s">
        <v>31</v>
      </c>
      <c r="Z196" s="27" t="s">
        <v>32</v>
      </c>
      <c r="AA196" s="27" t="s">
        <v>93</v>
      </c>
      <c r="AB196" s="27">
        <v>9910085332</v>
      </c>
      <c r="AC196" s="27" t="s">
        <v>53</v>
      </c>
    </row>
    <row r="197" spans="8:29" ht="15" thickBot="1" x14ac:dyDescent="0.4">
      <c r="H197" s="30" t="s">
        <v>306</v>
      </c>
      <c r="I197" s="30" t="s">
        <v>134</v>
      </c>
      <c r="J197" s="30" t="s">
        <v>82</v>
      </c>
      <c r="K197" s="31">
        <v>45934</v>
      </c>
      <c r="L197" s="31">
        <v>45936</v>
      </c>
      <c r="M197" s="30" t="s">
        <v>135</v>
      </c>
      <c r="N197" s="30" t="s">
        <v>26</v>
      </c>
      <c r="O197" s="31">
        <v>32240</v>
      </c>
      <c r="P197" s="30" t="s">
        <v>121</v>
      </c>
      <c r="Q197" s="30" t="s">
        <v>38</v>
      </c>
      <c r="R197" s="30" t="s">
        <v>83</v>
      </c>
      <c r="S197" s="30" t="s">
        <v>84</v>
      </c>
      <c r="T197" s="30">
        <v>19</v>
      </c>
      <c r="U197" s="30">
        <v>60</v>
      </c>
      <c r="V197" s="30">
        <v>20</v>
      </c>
      <c r="W197" s="30">
        <v>912</v>
      </c>
      <c r="X197" s="30">
        <v>4</v>
      </c>
      <c r="Y197" s="30" t="s">
        <v>60</v>
      </c>
      <c r="Z197" s="30" t="s">
        <v>42</v>
      </c>
      <c r="AA197" s="30" t="s">
        <v>136</v>
      </c>
      <c r="AB197" s="30">
        <v>9756908023</v>
      </c>
      <c r="AC197" s="30" t="s">
        <v>52</v>
      </c>
    </row>
    <row r="198" spans="8:29" ht="15" thickBot="1" x14ac:dyDescent="0.4">
      <c r="H198" s="27" t="s">
        <v>307</v>
      </c>
      <c r="I198" s="27" t="s">
        <v>72</v>
      </c>
      <c r="J198" s="27" t="s">
        <v>138</v>
      </c>
      <c r="K198" s="28">
        <v>45792</v>
      </c>
      <c r="L198" s="28">
        <v>45803</v>
      </c>
      <c r="M198" s="27" t="s">
        <v>73</v>
      </c>
      <c r="N198" s="27" t="s">
        <v>26</v>
      </c>
      <c r="O198" s="28">
        <v>32192</v>
      </c>
      <c r="P198" s="27" t="s">
        <v>48</v>
      </c>
      <c r="Q198" s="27" t="s">
        <v>28</v>
      </c>
      <c r="R198" s="27" t="s">
        <v>83</v>
      </c>
      <c r="S198" s="27" t="s">
        <v>139</v>
      </c>
      <c r="T198" s="27">
        <v>10</v>
      </c>
      <c r="U198" s="27">
        <v>45</v>
      </c>
      <c r="V198" s="27">
        <v>15</v>
      </c>
      <c r="W198" s="27">
        <v>382.5</v>
      </c>
      <c r="X198" s="27">
        <v>4</v>
      </c>
      <c r="Y198" s="27" t="s">
        <v>31</v>
      </c>
      <c r="Z198" s="27" t="s">
        <v>96</v>
      </c>
      <c r="AA198" s="27" t="s">
        <v>93</v>
      </c>
      <c r="AB198" s="27">
        <v>9645913247</v>
      </c>
      <c r="AC198" s="21" t="s">
        <v>34</v>
      </c>
    </row>
    <row r="199" spans="8:29" ht="29.5" thickBot="1" x14ac:dyDescent="0.4">
      <c r="H199" s="30" t="s">
        <v>308</v>
      </c>
      <c r="I199" s="30" t="s">
        <v>55</v>
      </c>
      <c r="J199" s="30" t="s">
        <v>24</v>
      </c>
      <c r="K199" s="31">
        <v>45822</v>
      </c>
      <c r="L199" s="31">
        <v>45831</v>
      </c>
      <c r="M199" s="30" t="s">
        <v>57</v>
      </c>
      <c r="N199" s="30" t="s">
        <v>58</v>
      </c>
      <c r="O199" s="31">
        <v>29923</v>
      </c>
      <c r="P199" s="30" t="s">
        <v>37</v>
      </c>
      <c r="Q199" s="30" t="s">
        <v>38</v>
      </c>
      <c r="R199" s="30" t="s">
        <v>29</v>
      </c>
      <c r="S199" s="30" t="s">
        <v>30</v>
      </c>
      <c r="T199" s="30">
        <v>7</v>
      </c>
      <c r="U199" s="30">
        <v>2200</v>
      </c>
      <c r="V199" s="30">
        <v>20</v>
      </c>
      <c r="W199" s="30">
        <v>12320</v>
      </c>
      <c r="X199" s="30">
        <v>5</v>
      </c>
      <c r="Y199" s="30" t="s">
        <v>65</v>
      </c>
      <c r="Z199" s="30" t="s">
        <v>42</v>
      </c>
      <c r="AA199" s="30" t="s">
        <v>61</v>
      </c>
      <c r="AB199" s="30">
        <v>9806914795</v>
      </c>
      <c r="AC199" s="30" t="s">
        <v>52</v>
      </c>
    </row>
    <row r="200" spans="8:29" ht="15" thickBot="1" x14ac:dyDescent="0.4">
      <c r="H200" s="27" t="s">
        <v>309</v>
      </c>
      <c r="I200" s="27" t="s">
        <v>72</v>
      </c>
      <c r="J200" s="27" t="s">
        <v>105</v>
      </c>
      <c r="K200" s="28">
        <v>45769</v>
      </c>
      <c r="L200" s="28">
        <v>45781</v>
      </c>
      <c r="M200" s="27" t="s">
        <v>73</v>
      </c>
      <c r="N200" s="27" t="s">
        <v>26</v>
      </c>
      <c r="O200" s="28">
        <v>30723</v>
      </c>
      <c r="P200" s="27" t="s">
        <v>147</v>
      </c>
      <c r="Q200" s="27" t="s">
        <v>148</v>
      </c>
      <c r="R200" s="27" t="s">
        <v>29</v>
      </c>
      <c r="S200" s="27" t="s">
        <v>107</v>
      </c>
      <c r="T200" s="27">
        <v>20</v>
      </c>
      <c r="U200" s="27">
        <v>8500</v>
      </c>
      <c r="V200" s="27">
        <v>20</v>
      </c>
      <c r="W200" s="27">
        <v>136000</v>
      </c>
      <c r="X200" s="27">
        <v>4</v>
      </c>
      <c r="Y200" s="27" t="s">
        <v>41</v>
      </c>
      <c r="Z200" s="27" t="s">
        <v>32</v>
      </c>
      <c r="AA200" s="27" t="s">
        <v>93</v>
      </c>
      <c r="AB200" s="27">
        <v>9276222829</v>
      </c>
      <c r="AC200" s="21" t="s">
        <v>34</v>
      </c>
    </row>
    <row r="201" spans="8:29" ht="15" thickBot="1" x14ac:dyDescent="0.4">
      <c r="H201" s="30" t="s">
        <v>310</v>
      </c>
      <c r="I201" s="30" t="s">
        <v>134</v>
      </c>
      <c r="J201" s="30" t="s">
        <v>24</v>
      </c>
      <c r="K201" s="31">
        <v>45679</v>
      </c>
      <c r="L201" s="31">
        <v>45681</v>
      </c>
      <c r="M201" s="30" t="s">
        <v>135</v>
      </c>
      <c r="N201" s="30" t="s">
        <v>26</v>
      </c>
      <c r="O201" s="31">
        <v>33579</v>
      </c>
      <c r="P201" s="30" t="s">
        <v>27</v>
      </c>
      <c r="Q201" s="30" t="s">
        <v>28</v>
      </c>
      <c r="R201" s="30" t="s">
        <v>29</v>
      </c>
      <c r="S201" s="30" t="s">
        <v>30</v>
      </c>
      <c r="T201" s="30">
        <v>10</v>
      </c>
      <c r="U201" s="30">
        <v>2200</v>
      </c>
      <c r="V201" s="30">
        <v>5</v>
      </c>
      <c r="W201" s="30">
        <v>20900</v>
      </c>
      <c r="X201" s="30">
        <v>2</v>
      </c>
      <c r="Y201" s="30" t="s">
        <v>41</v>
      </c>
      <c r="Z201" s="30" t="s">
        <v>42</v>
      </c>
      <c r="AA201" s="30" t="s">
        <v>136</v>
      </c>
      <c r="AB201" s="30">
        <v>9533835528</v>
      </c>
      <c r="AC201" s="22" t="s">
        <v>34</v>
      </c>
    </row>
    <row r="202" spans="8:29" ht="15" thickBot="1" x14ac:dyDescent="0.4">
      <c r="H202" s="27" t="s">
        <v>311</v>
      </c>
      <c r="I202" s="27" t="s">
        <v>87</v>
      </c>
      <c r="J202" s="27" t="s">
        <v>82</v>
      </c>
      <c r="K202" s="28">
        <v>46007</v>
      </c>
      <c r="L202" s="28">
        <v>46017</v>
      </c>
      <c r="M202" s="27" t="s">
        <v>88</v>
      </c>
      <c r="N202" s="27" t="s">
        <v>58</v>
      </c>
      <c r="O202" s="28">
        <v>27811</v>
      </c>
      <c r="P202" s="27" t="s">
        <v>79</v>
      </c>
      <c r="Q202" s="27" t="s">
        <v>75</v>
      </c>
      <c r="R202" s="27" t="s">
        <v>83</v>
      </c>
      <c r="S202" s="27" t="s">
        <v>84</v>
      </c>
      <c r="T202" s="27">
        <v>15</v>
      </c>
      <c r="U202" s="27">
        <v>60</v>
      </c>
      <c r="V202" s="27">
        <v>20</v>
      </c>
      <c r="W202" s="27">
        <v>720</v>
      </c>
      <c r="X202" s="27">
        <v>1</v>
      </c>
      <c r="Y202" s="27" t="s">
        <v>60</v>
      </c>
      <c r="Z202" s="27" t="s">
        <v>32</v>
      </c>
      <c r="AA202" s="27" t="s">
        <v>89</v>
      </c>
      <c r="AB202" s="27">
        <v>9654885820</v>
      </c>
      <c r="AC202" s="21" t="s">
        <v>34</v>
      </c>
    </row>
    <row r="203" spans="8:29" ht="15" thickBot="1" x14ac:dyDescent="0.4">
      <c r="H203" s="30" t="s">
        <v>312</v>
      </c>
      <c r="I203" s="30" t="s">
        <v>124</v>
      </c>
      <c r="J203" s="30" t="s">
        <v>68</v>
      </c>
      <c r="K203" s="31">
        <v>45832</v>
      </c>
      <c r="L203" s="31">
        <v>45836</v>
      </c>
      <c r="M203" s="30" t="s">
        <v>126</v>
      </c>
      <c r="N203" s="30" t="s">
        <v>58</v>
      </c>
      <c r="O203" s="31">
        <v>27634</v>
      </c>
      <c r="P203" s="30" t="s">
        <v>27</v>
      </c>
      <c r="Q203" s="30" t="s">
        <v>28</v>
      </c>
      <c r="R203" s="30" t="s">
        <v>29</v>
      </c>
      <c r="S203" s="30" t="s">
        <v>70</v>
      </c>
      <c r="T203" s="30">
        <v>18</v>
      </c>
      <c r="U203" s="30">
        <v>3500</v>
      </c>
      <c r="V203" s="30">
        <v>5</v>
      </c>
      <c r="W203" s="30">
        <v>59850</v>
      </c>
      <c r="X203" s="30">
        <v>1</v>
      </c>
      <c r="Y203" s="30" t="s">
        <v>60</v>
      </c>
      <c r="Z203" s="30" t="s">
        <v>42</v>
      </c>
      <c r="AA203" s="30" t="s">
        <v>128</v>
      </c>
      <c r="AB203" s="30">
        <v>9456029544</v>
      </c>
      <c r="AC203" s="30" t="s">
        <v>53</v>
      </c>
    </row>
    <row r="204" spans="8:29" ht="29.5" thickBot="1" x14ac:dyDescent="0.4">
      <c r="H204" s="27" t="s">
        <v>313</v>
      </c>
      <c r="I204" s="27" t="s">
        <v>156</v>
      </c>
      <c r="J204" s="27" t="s">
        <v>36</v>
      </c>
      <c r="K204" s="28">
        <v>46154</v>
      </c>
      <c r="L204" s="28">
        <v>46164</v>
      </c>
      <c r="M204" s="27" t="s">
        <v>106</v>
      </c>
      <c r="N204" s="27" t="s">
        <v>58</v>
      </c>
      <c r="O204" s="28">
        <v>32116</v>
      </c>
      <c r="P204" s="27" t="s">
        <v>79</v>
      </c>
      <c r="Q204" s="27" t="s">
        <v>75</v>
      </c>
      <c r="R204" s="27" t="s">
        <v>39</v>
      </c>
      <c r="S204" s="27" t="s">
        <v>40</v>
      </c>
      <c r="T204" s="27">
        <v>6</v>
      </c>
      <c r="U204" s="27">
        <v>12000</v>
      </c>
      <c r="V204" s="27">
        <v>5</v>
      </c>
      <c r="W204" s="27">
        <v>68400</v>
      </c>
      <c r="X204" s="27">
        <v>1</v>
      </c>
      <c r="Y204" s="27" t="s">
        <v>41</v>
      </c>
      <c r="Z204" s="27" t="s">
        <v>42</v>
      </c>
      <c r="AA204" s="27" t="s">
        <v>158</v>
      </c>
      <c r="AB204" s="27">
        <v>9914571493</v>
      </c>
      <c r="AC204" s="27" t="s">
        <v>53</v>
      </c>
    </row>
    <row r="205" spans="8:29" ht="29.5" thickBot="1" x14ac:dyDescent="0.4">
      <c r="H205" s="30" t="s">
        <v>314</v>
      </c>
      <c r="I205" s="30" t="s">
        <v>156</v>
      </c>
      <c r="J205" s="30" t="s">
        <v>125</v>
      </c>
      <c r="K205" s="31">
        <v>46067</v>
      </c>
      <c r="L205" s="31">
        <v>46069</v>
      </c>
      <c r="M205" s="30" t="s">
        <v>106</v>
      </c>
      <c r="N205" s="30" t="s">
        <v>58</v>
      </c>
      <c r="O205" s="31">
        <v>38225</v>
      </c>
      <c r="P205" s="30" t="s">
        <v>48</v>
      </c>
      <c r="Q205" s="30" t="s">
        <v>28</v>
      </c>
      <c r="R205" s="30" t="s">
        <v>83</v>
      </c>
      <c r="S205" s="30" t="s">
        <v>127</v>
      </c>
      <c r="T205" s="30">
        <v>19</v>
      </c>
      <c r="U205" s="30">
        <v>20</v>
      </c>
      <c r="V205" s="30">
        <v>10</v>
      </c>
      <c r="W205" s="30">
        <v>342</v>
      </c>
      <c r="X205" s="30">
        <v>2</v>
      </c>
      <c r="Y205" s="30" t="s">
        <v>41</v>
      </c>
      <c r="Z205" s="30" t="s">
        <v>32</v>
      </c>
      <c r="AA205" s="30" t="s">
        <v>158</v>
      </c>
      <c r="AB205" s="30">
        <v>9270726986</v>
      </c>
      <c r="AC205" s="30" t="s">
        <v>52</v>
      </c>
    </row>
    <row r="206" spans="8:29" ht="15" thickBot="1" x14ac:dyDescent="0.4">
      <c r="H206" s="27" t="s">
        <v>315</v>
      </c>
      <c r="I206" s="27" t="s">
        <v>124</v>
      </c>
      <c r="J206" s="27" t="s">
        <v>24</v>
      </c>
      <c r="K206" s="28">
        <v>46155</v>
      </c>
      <c r="L206" s="28">
        <v>46162</v>
      </c>
      <c r="M206" s="27" t="s">
        <v>126</v>
      </c>
      <c r="N206" s="27" t="s">
        <v>58</v>
      </c>
      <c r="O206" s="28">
        <v>34350</v>
      </c>
      <c r="P206" s="27" t="s">
        <v>79</v>
      </c>
      <c r="Q206" s="27" t="s">
        <v>75</v>
      </c>
      <c r="R206" s="27" t="s">
        <v>29</v>
      </c>
      <c r="S206" s="27" t="s">
        <v>30</v>
      </c>
      <c r="T206" s="27">
        <v>7</v>
      </c>
      <c r="U206" s="27">
        <v>2200</v>
      </c>
      <c r="V206" s="27">
        <v>0</v>
      </c>
      <c r="W206" s="27">
        <v>15400</v>
      </c>
      <c r="X206" s="27">
        <v>1</v>
      </c>
      <c r="Y206" s="27" t="s">
        <v>60</v>
      </c>
      <c r="Z206" s="27" t="s">
        <v>80</v>
      </c>
      <c r="AA206" s="27" t="s">
        <v>128</v>
      </c>
      <c r="AB206" s="27">
        <v>9570080664</v>
      </c>
      <c r="AC206" s="27" t="s">
        <v>53</v>
      </c>
    </row>
    <row r="207" spans="8:29" ht="29.5" thickBot="1" x14ac:dyDescent="0.4">
      <c r="H207" s="30" t="s">
        <v>316</v>
      </c>
      <c r="I207" s="30" t="s">
        <v>156</v>
      </c>
      <c r="J207" s="30" t="s">
        <v>36</v>
      </c>
      <c r="K207" s="31">
        <v>45977</v>
      </c>
      <c r="L207" s="31">
        <v>45981</v>
      </c>
      <c r="M207" s="30" t="s">
        <v>106</v>
      </c>
      <c r="N207" s="30" t="s">
        <v>58</v>
      </c>
      <c r="O207" s="31">
        <v>37922</v>
      </c>
      <c r="P207" s="30" t="s">
        <v>121</v>
      </c>
      <c r="Q207" s="30" t="s">
        <v>38</v>
      </c>
      <c r="R207" s="30" t="s">
        <v>39</v>
      </c>
      <c r="S207" s="30" t="s">
        <v>40</v>
      </c>
      <c r="T207" s="30">
        <v>3</v>
      </c>
      <c r="U207" s="30">
        <v>12000</v>
      </c>
      <c r="V207" s="30">
        <v>5</v>
      </c>
      <c r="W207" s="30">
        <v>34200</v>
      </c>
      <c r="X207" s="30">
        <v>3</v>
      </c>
      <c r="Y207" s="30" t="s">
        <v>60</v>
      </c>
      <c r="Z207" s="30" t="s">
        <v>50</v>
      </c>
      <c r="AA207" s="30" t="s">
        <v>158</v>
      </c>
      <c r="AB207" s="30">
        <v>9109009524</v>
      </c>
      <c r="AC207" s="30" t="s">
        <v>53</v>
      </c>
    </row>
    <row r="208" spans="8:29" ht="15" thickBot="1" x14ac:dyDescent="0.4">
      <c r="H208" s="27" t="s">
        <v>317</v>
      </c>
      <c r="I208" s="27" t="s">
        <v>104</v>
      </c>
      <c r="J208" s="27" t="s">
        <v>24</v>
      </c>
      <c r="K208" s="28">
        <v>45953</v>
      </c>
      <c r="L208" s="28">
        <v>45965</v>
      </c>
      <c r="M208" s="27" t="s">
        <v>166</v>
      </c>
      <c r="N208" s="27" t="s">
        <v>26</v>
      </c>
      <c r="O208" s="28">
        <v>36662</v>
      </c>
      <c r="P208" s="27" t="s">
        <v>121</v>
      </c>
      <c r="Q208" s="27" t="s">
        <v>38</v>
      </c>
      <c r="R208" s="27" t="s">
        <v>29</v>
      </c>
      <c r="S208" s="27" t="s">
        <v>30</v>
      </c>
      <c r="T208" s="27">
        <v>16</v>
      </c>
      <c r="U208" s="27">
        <v>2200</v>
      </c>
      <c r="V208" s="27">
        <v>0</v>
      </c>
      <c r="W208" s="27">
        <v>35200</v>
      </c>
      <c r="X208" s="27">
        <v>5</v>
      </c>
      <c r="Y208" s="27" t="s">
        <v>60</v>
      </c>
      <c r="Z208" s="27" t="s">
        <v>32</v>
      </c>
      <c r="AA208" s="27" t="s">
        <v>108</v>
      </c>
      <c r="AB208" s="27">
        <v>9701276770</v>
      </c>
      <c r="AC208" s="27" t="s">
        <v>52</v>
      </c>
    </row>
    <row r="209" spans="8:29" ht="15" thickBot="1" x14ac:dyDescent="0.4">
      <c r="H209" s="30" t="s">
        <v>318</v>
      </c>
      <c r="I209" s="30" t="s">
        <v>134</v>
      </c>
      <c r="J209" s="30" t="s">
        <v>24</v>
      </c>
      <c r="K209" s="31">
        <v>45704</v>
      </c>
      <c r="L209" s="31">
        <v>45706</v>
      </c>
      <c r="M209" s="30" t="s">
        <v>135</v>
      </c>
      <c r="N209" s="30" t="s">
        <v>26</v>
      </c>
      <c r="O209" s="31">
        <v>32693</v>
      </c>
      <c r="P209" s="30" t="s">
        <v>37</v>
      </c>
      <c r="Q209" s="30" t="s">
        <v>38</v>
      </c>
      <c r="R209" s="30" t="s">
        <v>29</v>
      </c>
      <c r="S209" s="30" t="s">
        <v>30</v>
      </c>
      <c r="T209" s="30">
        <v>8</v>
      </c>
      <c r="U209" s="30">
        <v>2200</v>
      </c>
      <c r="V209" s="30">
        <v>5</v>
      </c>
      <c r="W209" s="30">
        <v>16720</v>
      </c>
      <c r="X209" s="30">
        <v>2</v>
      </c>
      <c r="Y209" s="30" t="s">
        <v>65</v>
      </c>
      <c r="Z209" s="30" t="s">
        <v>96</v>
      </c>
      <c r="AA209" s="30" t="s">
        <v>136</v>
      </c>
      <c r="AB209" s="30">
        <v>9298278507</v>
      </c>
      <c r="AC209" s="22" t="s">
        <v>34</v>
      </c>
    </row>
    <row r="210" spans="8:29" ht="15" thickBot="1" x14ac:dyDescent="0.4">
      <c r="H210" s="27" t="s">
        <v>319</v>
      </c>
      <c r="I210" s="27" t="s">
        <v>134</v>
      </c>
      <c r="J210" s="27" t="s">
        <v>24</v>
      </c>
      <c r="K210" s="28">
        <v>46002</v>
      </c>
      <c r="L210" s="28">
        <v>46005</v>
      </c>
      <c r="M210" s="27" t="s">
        <v>135</v>
      </c>
      <c r="N210" s="27" t="s">
        <v>26</v>
      </c>
      <c r="O210" s="28">
        <v>35863</v>
      </c>
      <c r="P210" s="27" t="s">
        <v>91</v>
      </c>
      <c r="Q210" s="27" t="s">
        <v>75</v>
      </c>
      <c r="R210" s="27" t="s">
        <v>29</v>
      </c>
      <c r="S210" s="27" t="s">
        <v>30</v>
      </c>
      <c r="T210" s="27">
        <v>10</v>
      </c>
      <c r="U210" s="27">
        <v>2200</v>
      </c>
      <c r="V210" s="27">
        <v>10</v>
      </c>
      <c r="W210" s="27">
        <v>19800</v>
      </c>
      <c r="X210" s="27">
        <v>5</v>
      </c>
      <c r="Y210" s="27" t="s">
        <v>41</v>
      </c>
      <c r="Z210" s="27" t="s">
        <v>80</v>
      </c>
      <c r="AA210" s="27" t="s">
        <v>136</v>
      </c>
      <c r="AB210" s="27">
        <v>9895908093</v>
      </c>
      <c r="AC210" s="27" t="s">
        <v>52</v>
      </c>
    </row>
    <row r="211" spans="8:29" ht="15" thickBot="1" x14ac:dyDescent="0.4">
      <c r="H211" s="30" t="s">
        <v>320</v>
      </c>
      <c r="I211" s="30" t="s">
        <v>63</v>
      </c>
      <c r="J211" s="30" t="s">
        <v>125</v>
      </c>
      <c r="K211" s="31">
        <v>45775</v>
      </c>
      <c r="L211" s="31">
        <v>45786</v>
      </c>
      <c r="M211" s="30" t="s">
        <v>110</v>
      </c>
      <c r="N211" s="30" t="s">
        <v>58</v>
      </c>
      <c r="O211" s="31">
        <v>32284</v>
      </c>
      <c r="P211" s="30" t="s">
        <v>37</v>
      </c>
      <c r="Q211" s="30" t="s">
        <v>38</v>
      </c>
      <c r="R211" s="30" t="s">
        <v>83</v>
      </c>
      <c r="S211" s="30" t="s">
        <v>127</v>
      </c>
      <c r="T211" s="30">
        <v>7</v>
      </c>
      <c r="U211" s="30">
        <v>20</v>
      </c>
      <c r="V211" s="30">
        <v>10</v>
      </c>
      <c r="W211" s="30">
        <v>126</v>
      </c>
      <c r="X211" s="30">
        <v>4</v>
      </c>
      <c r="Y211" s="30" t="s">
        <v>60</v>
      </c>
      <c r="Z211" s="30" t="s">
        <v>50</v>
      </c>
      <c r="AA211" s="30" t="s">
        <v>66</v>
      </c>
      <c r="AB211" s="30">
        <v>9734108795</v>
      </c>
      <c r="AC211" s="22" t="s">
        <v>34</v>
      </c>
    </row>
    <row r="212" spans="8:29" ht="15" thickBot="1" x14ac:dyDescent="0.4">
      <c r="H212" s="27" t="s">
        <v>321</v>
      </c>
      <c r="I212" s="27" t="s">
        <v>124</v>
      </c>
      <c r="J212" s="27" t="s">
        <v>105</v>
      </c>
      <c r="K212" s="28">
        <v>46033</v>
      </c>
      <c r="L212" s="28">
        <v>46036</v>
      </c>
      <c r="M212" s="27" t="s">
        <v>126</v>
      </c>
      <c r="N212" s="27" t="s">
        <v>58</v>
      </c>
      <c r="O212" s="28">
        <v>34533</v>
      </c>
      <c r="P212" s="27" t="s">
        <v>27</v>
      </c>
      <c r="Q212" s="27" t="s">
        <v>28</v>
      </c>
      <c r="R212" s="27" t="s">
        <v>29</v>
      </c>
      <c r="S212" s="27" t="s">
        <v>107</v>
      </c>
      <c r="T212" s="27">
        <v>19</v>
      </c>
      <c r="U212" s="27">
        <v>8500</v>
      </c>
      <c r="V212" s="27">
        <v>20</v>
      </c>
      <c r="W212" s="27">
        <v>129200</v>
      </c>
      <c r="X212" s="27">
        <v>3</v>
      </c>
      <c r="Y212" s="27" t="s">
        <v>41</v>
      </c>
      <c r="Z212" s="27" t="s">
        <v>50</v>
      </c>
      <c r="AA212" s="27" t="s">
        <v>128</v>
      </c>
      <c r="AB212" s="27">
        <v>9799597413</v>
      </c>
      <c r="AC212" s="27" t="s">
        <v>52</v>
      </c>
    </row>
    <row r="213" spans="8:29" ht="15" thickBot="1" x14ac:dyDescent="0.4">
      <c r="H213" s="30" t="s">
        <v>322</v>
      </c>
      <c r="I213" s="30" t="s">
        <v>72</v>
      </c>
      <c r="J213" s="30" t="s">
        <v>82</v>
      </c>
      <c r="K213" s="31">
        <v>45717</v>
      </c>
      <c r="L213" s="31">
        <v>45722</v>
      </c>
      <c r="M213" s="30" t="s">
        <v>73</v>
      </c>
      <c r="N213" s="30" t="s">
        <v>26</v>
      </c>
      <c r="O213" s="31">
        <v>28444</v>
      </c>
      <c r="P213" s="30" t="s">
        <v>79</v>
      </c>
      <c r="Q213" s="30" t="s">
        <v>75</v>
      </c>
      <c r="R213" s="30" t="s">
        <v>83</v>
      </c>
      <c r="S213" s="30" t="s">
        <v>84</v>
      </c>
      <c r="T213" s="30">
        <v>16</v>
      </c>
      <c r="U213" s="30">
        <v>60</v>
      </c>
      <c r="V213" s="30">
        <v>0</v>
      </c>
      <c r="W213" s="30">
        <v>960</v>
      </c>
      <c r="X213" s="30">
        <v>2</v>
      </c>
      <c r="Y213" s="30" t="s">
        <v>41</v>
      </c>
      <c r="Z213" s="30" t="s">
        <v>80</v>
      </c>
      <c r="AA213" s="30" t="s">
        <v>93</v>
      </c>
      <c r="AB213" s="30">
        <v>9688987266</v>
      </c>
      <c r="AC213" s="22" t="s">
        <v>34</v>
      </c>
    </row>
    <row r="214" spans="8:29" ht="15" thickBot="1" x14ac:dyDescent="0.4">
      <c r="H214" s="27" t="s">
        <v>323</v>
      </c>
      <c r="I214" s="27" t="s">
        <v>124</v>
      </c>
      <c r="J214" s="27" t="s">
        <v>68</v>
      </c>
      <c r="K214" s="28">
        <v>46127</v>
      </c>
      <c r="L214" s="28">
        <v>46139</v>
      </c>
      <c r="M214" s="27" t="s">
        <v>126</v>
      </c>
      <c r="N214" s="27" t="s">
        <v>58</v>
      </c>
      <c r="O214" s="28">
        <v>30216</v>
      </c>
      <c r="P214" s="27" t="s">
        <v>48</v>
      </c>
      <c r="Q214" s="27" t="s">
        <v>28</v>
      </c>
      <c r="R214" s="27" t="s">
        <v>324</v>
      </c>
      <c r="S214" s="27" t="s">
        <v>70</v>
      </c>
      <c r="T214" s="27">
        <v>18</v>
      </c>
      <c r="U214" s="27">
        <v>3500</v>
      </c>
      <c r="V214" s="27">
        <v>5</v>
      </c>
      <c r="W214" s="27">
        <v>59850</v>
      </c>
      <c r="X214" s="27">
        <v>1</v>
      </c>
      <c r="Y214" s="27" t="s">
        <v>65</v>
      </c>
      <c r="Z214" s="27" t="s">
        <v>80</v>
      </c>
      <c r="AA214" s="27" t="s">
        <v>128</v>
      </c>
      <c r="AB214" s="27">
        <v>9867169037</v>
      </c>
      <c r="AC214" s="27" t="s">
        <v>52</v>
      </c>
    </row>
    <row r="215" spans="8:29" ht="15" thickBot="1" x14ac:dyDescent="0.4">
      <c r="H215" s="30" t="s">
        <v>325</v>
      </c>
      <c r="I215" s="30" t="s">
        <v>72</v>
      </c>
      <c r="J215" s="30" t="s">
        <v>46</v>
      </c>
      <c r="K215" s="31">
        <v>45708</v>
      </c>
      <c r="L215" s="31">
        <v>45717</v>
      </c>
      <c r="M215" s="30" t="s">
        <v>73</v>
      </c>
      <c r="N215" s="30" t="s">
        <v>26</v>
      </c>
      <c r="O215" s="31">
        <v>34591</v>
      </c>
      <c r="P215" s="30" t="s">
        <v>121</v>
      </c>
      <c r="Q215" s="30" t="s">
        <v>38</v>
      </c>
      <c r="R215" s="30" t="s">
        <v>39</v>
      </c>
      <c r="S215" s="30" t="s">
        <v>49</v>
      </c>
      <c r="T215" s="30">
        <v>16</v>
      </c>
      <c r="U215" s="30">
        <v>55000</v>
      </c>
      <c r="V215" s="30">
        <v>0</v>
      </c>
      <c r="W215" s="30">
        <v>880000</v>
      </c>
      <c r="X215" s="30">
        <v>1</v>
      </c>
      <c r="Y215" s="30" t="s">
        <v>60</v>
      </c>
      <c r="Z215" s="30" t="s">
        <v>50</v>
      </c>
      <c r="AA215" s="30" t="s">
        <v>93</v>
      </c>
      <c r="AB215" s="30">
        <v>9485547425</v>
      </c>
      <c r="AC215" s="30" t="s">
        <v>53</v>
      </c>
    </row>
    <row r="216" spans="8:29" ht="15" thickBot="1" x14ac:dyDescent="0.4">
      <c r="H216" s="27" t="s">
        <v>326</v>
      </c>
      <c r="I216" s="27" t="s">
        <v>124</v>
      </c>
      <c r="J216" s="27" t="s">
        <v>56</v>
      </c>
      <c r="K216" s="28">
        <v>45694</v>
      </c>
      <c r="L216" s="28">
        <v>45697</v>
      </c>
      <c r="M216" s="27" t="s">
        <v>126</v>
      </c>
      <c r="N216" s="27" t="s">
        <v>58</v>
      </c>
      <c r="O216" s="28">
        <v>35035</v>
      </c>
      <c r="P216" s="27" t="s">
        <v>91</v>
      </c>
      <c r="Q216" s="27" t="s">
        <v>75</v>
      </c>
      <c r="R216" s="27" t="s">
        <v>39</v>
      </c>
      <c r="S216" s="27" t="s">
        <v>59</v>
      </c>
      <c r="T216" s="27">
        <v>18</v>
      </c>
      <c r="U216" s="27">
        <v>1200</v>
      </c>
      <c r="V216" s="27">
        <v>15</v>
      </c>
      <c r="W216" s="27">
        <v>18360</v>
      </c>
      <c r="X216" s="27">
        <v>2</v>
      </c>
      <c r="Y216" s="27" t="s">
        <v>41</v>
      </c>
      <c r="Z216" s="27" t="s">
        <v>32</v>
      </c>
      <c r="AA216" s="27" t="s">
        <v>128</v>
      </c>
      <c r="AB216" s="27">
        <v>9889733076</v>
      </c>
      <c r="AC216" s="27" t="s">
        <v>53</v>
      </c>
    </row>
    <row r="217" spans="8:29" ht="29.5" thickBot="1" x14ac:dyDescent="0.4">
      <c r="H217" s="30" t="s">
        <v>327</v>
      </c>
      <c r="I217" s="30" t="s">
        <v>55</v>
      </c>
      <c r="J217" s="30" t="s">
        <v>138</v>
      </c>
      <c r="K217" s="31">
        <v>45801</v>
      </c>
      <c r="L217" s="31">
        <v>45804</v>
      </c>
      <c r="M217" s="30" t="s">
        <v>57</v>
      </c>
      <c r="N217" s="30" t="s">
        <v>58</v>
      </c>
      <c r="O217" s="31">
        <v>31238</v>
      </c>
      <c r="P217" s="30" t="s">
        <v>27</v>
      </c>
      <c r="Q217" s="30" t="s">
        <v>28</v>
      </c>
      <c r="R217" s="30" t="s">
        <v>83</v>
      </c>
      <c r="S217" s="30" t="s">
        <v>139</v>
      </c>
      <c r="T217" s="30">
        <v>2</v>
      </c>
      <c r="U217" s="30">
        <v>45</v>
      </c>
      <c r="V217" s="30">
        <v>15</v>
      </c>
      <c r="W217" s="30">
        <v>76.5</v>
      </c>
      <c r="X217" s="30">
        <v>5</v>
      </c>
      <c r="Y217" s="30" t="s">
        <v>31</v>
      </c>
      <c r="Z217" s="30" t="s">
        <v>50</v>
      </c>
      <c r="AA217" s="30" t="s">
        <v>61</v>
      </c>
      <c r="AB217" s="30">
        <v>9145434449</v>
      </c>
      <c r="AC217" s="30" t="s">
        <v>53</v>
      </c>
    </row>
    <row r="218" spans="8:29" ht="15" thickBot="1" x14ac:dyDescent="0.4">
      <c r="H218" s="27" t="s">
        <v>328</v>
      </c>
      <c r="I218" s="27" t="s">
        <v>45</v>
      </c>
      <c r="J218" s="27" t="s">
        <v>105</v>
      </c>
      <c r="K218" s="28">
        <v>46028</v>
      </c>
      <c r="L218" s="28">
        <v>46034</v>
      </c>
      <c r="M218" s="27" t="s">
        <v>101</v>
      </c>
      <c r="N218" s="27" t="s">
        <v>26</v>
      </c>
      <c r="O218" s="28">
        <v>36975</v>
      </c>
      <c r="P218" s="27" t="s">
        <v>48</v>
      </c>
      <c r="Q218" s="27" t="s">
        <v>28</v>
      </c>
      <c r="R218" s="27" t="s">
        <v>29</v>
      </c>
      <c r="S218" s="27" t="s">
        <v>107</v>
      </c>
      <c r="T218" s="27">
        <v>20</v>
      </c>
      <c r="U218" s="27">
        <v>8500</v>
      </c>
      <c r="V218" s="27">
        <v>0</v>
      </c>
      <c r="W218" s="27">
        <v>170000</v>
      </c>
      <c r="X218" s="27">
        <v>4</v>
      </c>
      <c r="Y218" s="27" t="s">
        <v>41</v>
      </c>
      <c r="Z218" s="27" t="s">
        <v>50</v>
      </c>
      <c r="AA218" s="27" t="s">
        <v>51</v>
      </c>
      <c r="AB218" s="27">
        <v>9598942148</v>
      </c>
      <c r="AC218" s="27" t="s">
        <v>53</v>
      </c>
    </row>
    <row r="219" spans="8:29" ht="15" thickBot="1" x14ac:dyDescent="0.4">
      <c r="H219" s="30" t="s">
        <v>329</v>
      </c>
      <c r="I219" s="30" t="s">
        <v>87</v>
      </c>
      <c r="J219" s="30" t="s">
        <v>68</v>
      </c>
      <c r="K219" s="31">
        <v>46089</v>
      </c>
      <c r="L219" s="31">
        <v>46090</v>
      </c>
      <c r="M219" s="30" t="s">
        <v>88</v>
      </c>
      <c r="N219" s="30" t="s">
        <v>58</v>
      </c>
      <c r="O219" s="31">
        <v>29703</v>
      </c>
      <c r="P219" s="30" t="s">
        <v>121</v>
      </c>
      <c r="Q219" s="30" t="s">
        <v>38</v>
      </c>
      <c r="R219" s="30" t="s">
        <v>29</v>
      </c>
      <c r="S219" s="30" t="s">
        <v>70</v>
      </c>
      <c r="T219" s="30">
        <v>6</v>
      </c>
      <c r="U219" s="30">
        <v>3500</v>
      </c>
      <c r="V219" s="30">
        <v>5</v>
      </c>
      <c r="W219" s="30">
        <v>19950</v>
      </c>
      <c r="X219" s="30">
        <v>1</v>
      </c>
      <c r="Y219" s="30" t="s">
        <v>31</v>
      </c>
      <c r="Z219" s="30" t="s">
        <v>96</v>
      </c>
      <c r="AA219" s="30" t="s">
        <v>89</v>
      </c>
      <c r="AB219" s="30">
        <v>9599252705</v>
      </c>
      <c r="AC219" s="22" t="s">
        <v>34</v>
      </c>
    </row>
    <row r="220" spans="8:29" ht="15" thickBot="1" x14ac:dyDescent="0.4">
      <c r="H220" s="27" t="s">
        <v>330</v>
      </c>
      <c r="I220" s="27" t="s">
        <v>104</v>
      </c>
      <c r="J220" s="27" t="s">
        <v>138</v>
      </c>
      <c r="K220" s="28">
        <v>45935</v>
      </c>
      <c r="L220" s="28">
        <v>45939</v>
      </c>
      <c r="M220" s="27" t="s">
        <v>166</v>
      </c>
      <c r="N220" s="27" t="s">
        <v>26</v>
      </c>
      <c r="O220" s="28">
        <v>37635</v>
      </c>
      <c r="P220" s="27" t="s">
        <v>79</v>
      </c>
      <c r="Q220" s="27" t="s">
        <v>75</v>
      </c>
      <c r="R220" s="27" t="s">
        <v>83</v>
      </c>
      <c r="S220" s="27" t="s">
        <v>139</v>
      </c>
      <c r="T220" s="27">
        <v>8</v>
      </c>
      <c r="U220" s="27">
        <v>45</v>
      </c>
      <c r="V220" s="27">
        <v>5</v>
      </c>
      <c r="W220" s="27">
        <v>342</v>
      </c>
      <c r="X220" s="27">
        <v>2</v>
      </c>
      <c r="Y220" s="27" t="s">
        <v>31</v>
      </c>
      <c r="Z220" s="27" t="s">
        <v>42</v>
      </c>
      <c r="AA220" s="27" t="s">
        <v>108</v>
      </c>
      <c r="AB220" s="27">
        <v>9626843681</v>
      </c>
      <c r="AC220" s="27" t="s">
        <v>52</v>
      </c>
    </row>
    <row r="221" spans="8:29" ht="29.5" thickBot="1" x14ac:dyDescent="0.4">
      <c r="H221" s="30" t="s">
        <v>331</v>
      </c>
      <c r="I221" s="30" t="s">
        <v>156</v>
      </c>
      <c r="J221" s="30" t="s">
        <v>24</v>
      </c>
      <c r="K221" s="31">
        <v>45722</v>
      </c>
      <c r="L221" s="31">
        <v>45728</v>
      </c>
      <c r="M221" s="30" t="s">
        <v>106</v>
      </c>
      <c r="N221" s="30" t="s">
        <v>58</v>
      </c>
      <c r="O221" s="31">
        <v>29496</v>
      </c>
      <c r="P221" s="30" t="s">
        <v>74</v>
      </c>
      <c r="Q221" s="30" t="s">
        <v>75</v>
      </c>
      <c r="R221" s="30" t="s">
        <v>29</v>
      </c>
      <c r="S221" s="30" t="s">
        <v>30</v>
      </c>
      <c r="T221" s="30">
        <v>18</v>
      </c>
      <c r="U221" s="30">
        <v>2200</v>
      </c>
      <c r="V221" s="30">
        <v>15</v>
      </c>
      <c r="W221" s="30">
        <v>33660</v>
      </c>
      <c r="X221" s="30">
        <v>4</v>
      </c>
      <c r="Y221" s="30" t="s">
        <v>60</v>
      </c>
      <c r="Z221" s="30" t="s">
        <v>50</v>
      </c>
      <c r="AA221" s="30" t="s">
        <v>158</v>
      </c>
      <c r="AB221" s="30">
        <v>9934933215</v>
      </c>
      <c r="AC221" s="30" t="s">
        <v>52</v>
      </c>
    </row>
    <row r="222" spans="8:29" ht="15" thickBot="1" x14ac:dyDescent="0.4">
      <c r="H222" s="27" t="s">
        <v>332</v>
      </c>
      <c r="I222" s="27" t="s">
        <v>124</v>
      </c>
      <c r="J222" s="27" t="s">
        <v>112</v>
      </c>
      <c r="K222" s="28">
        <v>46118</v>
      </c>
      <c r="L222" s="28">
        <v>46127</v>
      </c>
      <c r="M222" s="27" t="s">
        <v>126</v>
      </c>
      <c r="N222" s="27" t="s">
        <v>58</v>
      </c>
      <c r="O222" s="28">
        <v>33170</v>
      </c>
      <c r="P222" s="27" t="s">
        <v>27</v>
      </c>
      <c r="Q222" s="27" t="s">
        <v>28</v>
      </c>
      <c r="R222" s="27" t="s">
        <v>39</v>
      </c>
      <c r="S222" s="27" t="s">
        <v>114</v>
      </c>
      <c r="T222" s="27">
        <v>18</v>
      </c>
      <c r="U222" s="27">
        <v>700</v>
      </c>
      <c r="V222" s="27">
        <v>15</v>
      </c>
      <c r="W222" s="27">
        <v>10710</v>
      </c>
      <c r="X222" s="27">
        <v>3</v>
      </c>
      <c r="Y222" s="27" t="s">
        <v>60</v>
      </c>
      <c r="Z222" s="27" t="s">
        <v>96</v>
      </c>
      <c r="AA222" s="27" t="s">
        <v>128</v>
      </c>
      <c r="AB222" s="27">
        <v>9508025585</v>
      </c>
      <c r="AC222" s="27" t="s">
        <v>53</v>
      </c>
    </row>
    <row r="223" spans="8:29" ht="29.5" thickBot="1" x14ac:dyDescent="0.4">
      <c r="H223" s="30" t="s">
        <v>333</v>
      </c>
      <c r="I223" s="30" t="s">
        <v>156</v>
      </c>
      <c r="J223" s="30" t="s">
        <v>46</v>
      </c>
      <c r="K223" s="31">
        <v>46039</v>
      </c>
      <c r="L223" s="31">
        <v>46042</v>
      </c>
      <c r="M223" s="30" t="s">
        <v>106</v>
      </c>
      <c r="N223" s="30" t="s">
        <v>58</v>
      </c>
      <c r="O223" s="31">
        <v>28392</v>
      </c>
      <c r="P223" s="30" t="s">
        <v>79</v>
      </c>
      <c r="Q223" s="30" t="s">
        <v>75</v>
      </c>
      <c r="R223" s="30" t="s">
        <v>39</v>
      </c>
      <c r="S223" s="30" t="s">
        <v>49</v>
      </c>
      <c r="T223" s="30">
        <v>12</v>
      </c>
      <c r="U223" s="30">
        <v>55000</v>
      </c>
      <c r="V223" s="30">
        <v>0</v>
      </c>
      <c r="W223" s="30">
        <v>660000</v>
      </c>
      <c r="X223" s="30">
        <v>2</v>
      </c>
      <c r="Y223" s="30" t="s">
        <v>65</v>
      </c>
      <c r="Z223" s="30" t="s">
        <v>42</v>
      </c>
      <c r="AA223" s="30" t="s">
        <v>158</v>
      </c>
      <c r="AB223" s="30">
        <v>9364681052</v>
      </c>
      <c r="AC223" s="30" t="s">
        <v>53</v>
      </c>
    </row>
    <row r="224" spans="8:29" ht="15" thickBot="1" x14ac:dyDescent="0.4">
      <c r="H224" s="27" t="s">
        <v>334</v>
      </c>
      <c r="I224" s="27" t="s">
        <v>23</v>
      </c>
      <c r="J224" s="27" t="s">
        <v>36</v>
      </c>
      <c r="K224" s="28">
        <v>45976</v>
      </c>
      <c r="L224" s="28">
        <v>45985</v>
      </c>
      <c r="M224" s="27" t="s">
        <v>25</v>
      </c>
      <c r="N224" s="27" t="s">
        <v>26</v>
      </c>
      <c r="O224" s="28">
        <v>35340</v>
      </c>
      <c r="P224" s="27" t="s">
        <v>74</v>
      </c>
      <c r="Q224" s="27" t="s">
        <v>75</v>
      </c>
      <c r="R224" s="27" t="s">
        <v>39</v>
      </c>
      <c r="S224" s="27" t="s">
        <v>40</v>
      </c>
      <c r="T224" s="27">
        <v>7</v>
      </c>
      <c r="U224" s="27">
        <v>12000</v>
      </c>
      <c r="V224" s="27">
        <v>5</v>
      </c>
      <c r="W224" s="27">
        <v>79800</v>
      </c>
      <c r="X224" s="27">
        <v>3</v>
      </c>
      <c r="Y224" s="27" t="s">
        <v>60</v>
      </c>
      <c r="Z224" s="27" t="s">
        <v>96</v>
      </c>
      <c r="AA224" s="27" t="s">
        <v>43</v>
      </c>
      <c r="AB224" s="27">
        <v>9117102884</v>
      </c>
      <c r="AC224" s="27" t="s">
        <v>52</v>
      </c>
    </row>
    <row r="225" spans="8:29" ht="15" thickBot="1" x14ac:dyDescent="0.4">
      <c r="H225" s="30" t="s">
        <v>335</v>
      </c>
      <c r="I225" s="30" t="s">
        <v>134</v>
      </c>
      <c r="J225" s="30" t="s">
        <v>36</v>
      </c>
      <c r="K225" s="31">
        <v>45921</v>
      </c>
      <c r="L225" s="31">
        <v>45923</v>
      </c>
      <c r="M225" s="30" t="s">
        <v>135</v>
      </c>
      <c r="N225" s="30" t="s">
        <v>26</v>
      </c>
      <c r="O225" s="31">
        <v>27897</v>
      </c>
      <c r="P225" s="30" t="s">
        <v>74</v>
      </c>
      <c r="Q225" s="30" t="s">
        <v>75</v>
      </c>
      <c r="R225" s="30" t="s">
        <v>39</v>
      </c>
      <c r="S225" s="30" t="s">
        <v>40</v>
      </c>
      <c r="T225" s="30">
        <v>8</v>
      </c>
      <c r="U225" s="30">
        <v>12000</v>
      </c>
      <c r="V225" s="30">
        <v>15</v>
      </c>
      <c r="W225" s="30">
        <v>81600</v>
      </c>
      <c r="X225" s="30">
        <v>4</v>
      </c>
      <c r="Y225" s="30" t="s">
        <v>60</v>
      </c>
      <c r="Z225" s="30" t="s">
        <v>42</v>
      </c>
      <c r="AA225" s="30" t="s">
        <v>136</v>
      </c>
      <c r="AB225" s="30">
        <v>9819453185</v>
      </c>
      <c r="AC225" s="22" t="s">
        <v>34</v>
      </c>
    </row>
    <row r="226" spans="8:29" ht="29.5" thickBot="1" x14ac:dyDescent="0.4">
      <c r="H226" s="27" t="s">
        <v>336</v>
      </c>
      <c r="I226" s="27" t="s">
        <v>156</v>
      </c>
      <c r="J226" s="27" t="s">
        <v>68</v>
      </c>
      <c r="K226" s="28">
        <v>46009</v>
      </c>
      <c r="L226" s="28">
        <v>46018</v>
      </c>
      <c r="M226" s="27" t="s">
        <v>106</v>
      </c>
      <c r="N226" s="27" t="s">
        <v>58</v>
      </c>
      <c r="O226" s="28">
        <v>32120</v>
      </c>
      <c r="P226" s="27" t="s">
        <v>74</v>
      </c>
      <c r="Q226" s="27" t="s">
        <v>75</v>
      </c>
      <c r="R226" s="27" t="s">
        <v>29</v>
      </c>
      <c r="S226" s="27" t="s">
        <v>70</v>
      </c>
      <c r="T226" s="27">
        <v>19</v>
      </c>
      <c r="U226" s="27">
        <v>3500</v>
      </c>
      <c r="V226" s="27">
        <v>5</v>
      </c>
      <c r="W226" s="27">
        <v>63175</v>
      </c>
      <c r="X226" s="27">
        <v>3</v>
      </c>
      <c r="Y226" s="27" t="s">
        <v>60</v>
      </c>
      <c r="Z226" s="27" t="s">
        <v>50</v>
      </c>
      <c r="AA226" s="27" t="s">
        <v>158</v>
      </c>
      <c r="AB226" s="27">
        <v>9511806701</v>
      </c>
      <c r="AC226" s="27" t="s">
        <v>52</v>
      </c>
    </row>
    <row r="227" spans="8:29" ht="15" thickBot="1" x14ac:dyDescent="0.4">
      <c r="H227" s="30" t="s">
        <v>337</v>
      </c>
      <c r="I227" s="30" t="s">
        <v>134</v>
      </c>
      <c r="J227" s="30" t="s">
        <v>138</v>
      </c>
      <c r="K227" s="31">
        <v>45694</v>
      </c>
      <c r="L227" s="31">
        <v>45704</v>
      </c>
      <c r="M227" s="30" t="s">
        <v>135</v>
      </c>
      <c r="N227" s="30" t="s">
        <v>26</v>
      </c>
      <c r="O227" s="31">
        <v>33070</v>
      </c>
      <c r="P227" s="30" t="s">
        <v>91</v>
      </c>
      <c r="Q227" s="30" t="s">
        <v>75</v>
      </c>
      <c r="R227" s="30" t="s">
        <v>83</v>
      </c>
      <c r="S227" s="30" t="s">
        <v>139</v>
      </c>
      <c r="T227" s="30">
        <v>7</v>
      </c>
      <c r="U227" s="30">
        <v>45</v>
      </c>
      <c r="V227" s="30">
        <v>5</v>
      </c>
      <c r="W227" s="30">
        <v>299.25</v>
      </c>
      <c r="X227" s="30">
        <v>3</v>
      </c>
      <c r="Y227" s="30" t="s">
        <v>60</v>
      </c>
      <c r="Z227" s="30" t="s">
        <v>32</v>
      </c>
      <c r="AA227" s="30" t="s">
        <v>136</v>
      </c>
      <c r="AB227" s="30">
        <v>9875249891</v>
      </c>
      <c r="AC227" s="30" t="s">
        <v>53</v>
      </c>
    </row>
    <row r="228" spans="8:29" ht="15" thickBot="1" x14ac:dyDescent="0.4">
      <c r="H228" s="27" t="s">
        <v>338</v>
      </c>
      <c r="I228" s="27" t="s">
        <v>23</v>
      </c>
      <c r="J228" s="27" t="s">
        <v>82</v>
      </c>
      <c r="K228" s="28">
        <v>45810</v>
      </c>
      <c r="L228" s="28">
        <v>45816</v>
      </c>
      <c r="M228" s="27" t="s">
        <v>25</v>
      </c>
      <c r="N228" s="27" t="s">
        <v>26</v>
      </c>
      <c r="O228" s="28">
        <v>33459</v>
      </c>
      <c r="P228" s="27" t="s">
        <v>27</v>
      </c>
      <c r="Q228" s="27" t="s">
        <v>28</v>
      </c>
      <c r="R228" s="27" t="s">
        <v>83</v>
      </c>
      <c r="S228" s="27" t="s">
        <v>84</v>
      </c>
      <c r="T228" s="27">
        <v>3</v>
      </c>
      <c r="U228" s="27">
        <v>60</v>
      </c>
      <c r="V228" s="27">
        <v>15</v>
      </c>
      <c r="W228" s="27">
        <v>153</v>
      </c>
      <c r="X228" s="27">
        <v>3</v>
      </c>
      <c r="Y228" s="27" t="s">
        <v>41</v>
      </c>
      <c r="Z228" s="27" t="s">
        <v>42</v>
      </c>
      <c r="AA228" s="27" t="s">
        <v>43</v>
      </c>
      <c r="AB228" s="27">
        <v>9438232503</v>
      </c>
      <c r="AC228" s="27" t="s">
        <v>53</v>
      </c>
    </row>
    <row r="229" spans="8:29" ht="15" thickBot="1" x14ac:dyDescent="0.4">
      <c r="H229" s="30" t="s">
        <v>339</v>
      </c>
      <c r="I229" s="30" t="s">
        <v>45</v>
      </c>
      <c r="J229" s="30" t="s">
        <v>138</v>
      </c>
      <c r="K229" s="31">
        <v>46134</v>
      </c>
      <c r="L229" s="31">
        <v>46146</v>
      </c>
      <c r="M229" s="30" t="s">
        <v>101</v>
      </c>
      <c r="N229" s="30" t="s">
        <v>26</v>
      </c>
      <c r="O229" s="31">
        <v>28485</v>
      </c>
      <c r="P229" s="30" t="s">
        <v>79</v>
      </c>
      <c r="Q229" s="30" t="s">
        <v>75</v>
      </c>
      <c r="R229" s="30" t="s">
        <v>83</v>
      </c>
      <c r="S229" s="30" t="s">
        <v>139</v>
      </c>
      <c r="T229" s="30">
        <v>19</v>
      </c>
      <c r="U229" s="30">
        <v>45</v>
      </c>
      <c r="V229" s="30">
        <v>0</v>
      </c>
      <c r="W229" s="30">
        <v>855</v>
      </c>
      <c r="X229" s="30">
        <v>2</v>
      </c>
      <c r="Y229" s="30" t="s">
        <v>31</v>
      </c>
      <c r="Z229" s="30" t="s">
        <v>50</v>
      </c>
      <c r="AA229" s="30" t="s">
        <v>51</v>
      </c>
      <c r="AB229" s="30">
        <v>9449953754</v>
      </c>
      <c r="AC229" s="22" t="s">
        <v>34</v>
      </c>
    </row>
    <row r="230" spans="8:29" ht="15" thickBot="1" x14ac:dyDescent="0.4">
      <c r="H230" s="27" t="s">
        <v>340</v>
      </c>
      <c r="I230" s="27" t="s">
        <v>72</v>
      </c>
      <c r="J230" s="27" t="s">
        <v>36</v>
      </c>
      <c r="K230" s="28">
        <v>46087</v>
      </c>
      <c r="L230" s="28">
        <v>46097</v>
      </c>
      <c r="M230" s="27" t="s">
        <v>73</v>
      </c>
      <c r="N230" s="27" t="s">
        <v>26</v>
      </c>
      <c r="O230" s="28">
        <v>34854</v>
      </c>
      <c r="P230" s="27" t="s">
        <v>48</v>
      </c>
      <c r="Q230" s="27" t="s">
        <v>28</v>
      </c>
      <c r="R230" s="27" t="s">
        <v>39</v>
      </c>
      <c r="S230" s="27" t="s">
        <v>40</v>
      </c>
      <c r="T230" s="27">
        <v>10</v>
      </c>
      <c r="U230" s="27">
        <v>12000</v>
      </c>
      <c r="V230" s="27">
        <v>5</v>
      </c>
      <c r="W230" s="27">
        <v>114000</v>
      </c>
      <c r="X230" s="27">
        <v>1</v>
      </c>
      <c r="Y230" s="27" t="s">
        <v>60</v>
      </c>
      <c r="Z230" s="27" t="s">
        <v>80</v>
      </c>
      <c r="AA230" s="27" t="s">
        <v>93</v>
      </c>
      <c r="AB230" s="27">
        <v>9833801891</v>
      </c>
      <c r="AC230" s="27" t="s">
        <v>53</v>
      </c>
    </row>
    <row r="231" spans="8:29" ht="15" thickBot="1" x14ac:dyDescent="0.4">
      <c r="H231" s="30" t="s">
        <v>341</v>
      </c>
      <c r="I231" s="30" t="s">
        <v>23</v>
      </c>
      <c r="J231" s="30" t="s">
        <v>56</v>
      </c>
      <c r="K231" s="31">
        <v>45716</v>
      </c>
      <c r="L231" s="31">
        <v>45728</v>
      </c>
      <c r="M231" s="30" t="s">
        <v>25</v>
      </c>
      <c r="N231" s="30" t="s">
        <v>26</v>
      </c>
      <c r="O231" s="31">
        <v>30636</v>
      </c>
      <c r="P231" s="30" t="s">
        <v>147</v>
      </c>
      <c r="Q231" s="30" t="s">
        <v>148</v>
      </c>
      <c r="R231" s="30" t="s">
        <v>39</v>
      </c>
      <c r="S231" s="30" t="s">
        <v>59</v>
      </c>
      <c r="T231" s="30">
        <v>4</v>
      </c>
      <c r="U231" s="30">
        <v>1200</v>
      </c>
      <c r="V231" s="30">
        <v>0</v>
      </c>
      <c r="W231" s="30">
        <v>4800</v>
      </c>
      <c r="X231" s="30">
        <v>4</v>
      </c>
      <c r="Y231" s="30" t="s">
        <v>31</v>
      </c>
      <c r="Z231" s="30" t="s">
        <v>50</v>
      </c>
      <c r="AA231" s="30" t="s">
        <v>43</v>
      </c>
      <c r="AB231" s="30">
        <v>9183949273</v>
      </c>
      <c r="AC231" s="22" t="s">
        <v>34</v>
      </c>
    </row>
    <row r="232" spans="8:29" ht="15" thickBot="1" x14ac:dyDescent="0.4">
      <c r="H232" s="27" t="s">
        <v>342</v>
      </c>
      <c r="I232" s="27" t="s">
        <v>124</v>
      </c>
      <c r="J232" s="27" t="s">
        <v>105</v>
      </c>
      <c r="K232" s="28">
        <v>45961</v>
      </c>
      <c r="L232" s="28">
        <v>45968</v>
      </c>
      <c r="M232" s="27" t="s">
        <v>126</v>
      </c>
      <c r="N232" s="27" t="s">
        <v>58</v>
      </c>
      <c r="O232" s="28">
        <v>31330</v>
      </c>
      <c r="P232" s="27" t="s">
        <v>48</v>
      </c>
      <c r="Q232" s="27" t="s">
        <v>28</v>
      </c>
      <c r="R232" s="27" t="s">
        <v>29</v>
      </c>
      <c r="S232" s="27" t="s">
        <v>107</v>
      </c>
      <c r="T232" s="27">
        <v>2</v>
      </c>
      <c r="U232" s="27">
        <v>8500</v>
      </c>
      <c r="V232" s="27">
        <v>20</v>
      </c>
      <c r="W232" s="27">
        <v>13600</v>
      </c>
      <c r="X232" s="27">
        <v>3</v>
      </c>
      <c r="Y232" s="27" t="s">
        <v>60</v>
      </c>
      <c r="Z232" s="27" t="s">
        <v>96</v>
      </c>
      <c r="AA232" s="27" t="s">
        <v>128</v>
      </c>
      <c r="AB232" s="27">
        <v>9168257367</v>
      </c>
      <c r="AC232" s="21" t="s">
        <v>34</v>
      </c>
    </row>
    <row r="233" spans="8:29" ht="15" thickBot="1" x14ac:dyDescent="0.4">
      <c r="H233" s="30" t="s">
        <v>343</v>
      </c>
      <c r="I233" s="30" t="s">
        <v>63</v>
      </c>
      <c r="J233" s="30" t="s">
        <v>112</v>
      </c>
      <c r="K233" s="31">
        <v>46052</v>
      </c>
      <c r="L233" s="31">
        <v>46061</v>
      </c>
      <c r="M233" s="30" t="s">
        <v>110</v>
      </c>
      <c r="N233" s="30" t="s">
        <v>58</v>
      </c>
      <c r="O233" s="31">
        <v>37263</v>
      </c>
      <c r="P233" s="30" t="s">
        <v>147</v>
      </c>
      <c r="Q233" s="30" t="s">
        <v>148</v>
      </c>
      <c r="R233" s="30" t="s">
        <v>39</v>
      </c>
      <c r="S233" s="30" t="s">
        <v>114</v>
      </c>
      <c r="T233" s="30">
        <v>7</v>
      </c>
      <c r="U233" s="30">
        <v>700</v>
      </c>
      <c r="V233" s="30">
        <v>20</v>
      </c>
      <c r="W233" s="30">
        <v>3920</v>
      </c>
      <c r="X233" s="30">
        <v>2</v>
      </c>
      <c r="Y233" s="30" t="s">
        <v>60</v>
      </c>
      <c r="Z233" s="30" t="s">
        <v>96</v>
      </c>
      <c r="AA233" s="30" t="s">
        <v>66</v>
      </c>
      <c r="AB233" s="30">
        <v>9580903210</v>
      </c>
      <c r="AC233" s="30" t="s">
        <v>52</v>
      </c>
    </row>
    <row r="234" spans="8:29" ht="15" thickBot="1" x14ac:dyDescent="0.4">
      <c r="H234" s="27" t="s">
        <v>344</v>
      </c>
      <c r="I234" s="27" t="s">
        <v>45</v>
      </c>
      <c r="J234" s="27" t="s">
        <v>125</v>
      </c>
      <c r="K234" s="28">
        <v>46141</v>
      </c>
      <c r="L234" s="28">
        <v>46145</v>
      </c>
      <c r="M234" s="27" t="s">
        <v>101</v>
      </c>
      <c r="N234" s="27" t="s">
        <v>26</v>
      </c>
      <c r="O234" s="28">
        <v>36359</v>
      </c>
      <c r="P234" s="27" t="s">
        <v>79</v>
      </c>
      <c r="Q234" s="27" t="s">
        <v>75</v>
      </c>
      <c r="R234" s="27" t="s">
        <v>83</v>
      </c>
      <c r="S234" s="27" t="s">
        <v>127</v>
      </c>
      <c r="T234" s="27">
        <v>9</v>
      </c>
      <c r="U234" s="27">
        <v>20</v>
      </c>
      <c r="V234" s="27">
        <v>15</v>
      </c>
      <c r="W234" s="27">
        <v>153</v>
      </c>
      <c r="X234" s="27">
        <v>3</v>
      </c>
      <c r="Y234" s="27" t="s">
        <v>41</v>
      </c>
      <c r="Z234" s="27" t="s">
        <v>80</v>
      </c>
      <c r="AA234" s="27" t="s">
        <v>51</v>
      </c>
      <c r="AB234" s="27">
        <v>9602152945</v>
      </c>
      <c r="AC234" s="21" t="s">
        <v>34</v>
      </c>
    </row>
    <row r="235" spans="8:29" ht="15" thickBot="1" x14ac:dyDescent="0.4">
      <c r="H235" s="30" t="s">
        <v>345</v>
      </c>
      <c r="I235" s="30" t="s">
        <v>72</v>
      </c>
      <c r="J235" s="30" t="s">
        <v>105</v>
      </c>
      <c r="K235" s="31">
        <v>45795</v>
      </c>
      <c r="L235" s="31">
        <v>45797</v>
      </c>
      <c r="M235" s="30" t="s">
        <v>73</v>
      </c>
      <c r="N235" s="30" t="s">
        <v>26</v>
      </c>
      <c r="O235" s="31">
        <v>33118</v>
      </c>
      <c r="P235" s="30" t="s">
        <v>147</v>
      </c>
      <c r="Q235" s="30" t="s">
        <v>148</v>
      </c>
      <c r="R235" s="30" t="s">
        <v>29</v>
      </c>
      <c r="S235" s="30" t="s">
        <v>107</v>
      </c>
      <c r="T235" s="30">
        <v>16</v>
      </c>
      <c r="U235" s="30">
        <v>8500</v>
      </c>
      <c r="V235" s="30">
        <v>0</v>
      </c>
      <c r="W235" s="30">
        <v>136000</v>
      </c>
      <c r="X235" s="30">
        <v>4</v>
      </c>
      <c r="Y235" s="30" t="s">
        <v>41</v>
      </c>
      <c r="Z235" s="30" t="s">
        <v>32</v>
      </c>
      <c r="AA235" s="30" t="s">
        <v>93</v>
      </c>
      <c r="AB235" s="30">
        <v>9646917552</v>
      </c>
      <c r="AC235" s="22" t="s">
        <v>34</v>
      </c>
    </row>
    <row r="236" spans="8:29" ht="15" thickBot="1" x14ac:dyDescent="0.4">
      <c r="H236" s="27" t="s">
        <v>346</v>
      </c>
      <c r="I236" s="27" t="s">
        <v>134</v>
      </c>
      <c r="J236" s="27" t="s">
        <v>68</v>
      </c>
      <c r="K236" s="28">
        <v>46107</v>
      </c>
      <c r="L236" s="28">
        <v>46109</v>
      </c>
      <c r="M236" s="27" t="s">
        <v>135</v>
      </c>
      <c r="N236" s="27" t="s">
        <v>26</v>
      </c>
      <c r="O236" s="28">
        <v>33818</v>
      </c>
      <c r="P236" s="27" t="s">
        <v>37</v>
      </c>
      <c r="Q236" s="27" t="s">
        <v>38</v>
      </c>
      <c r="R236" s="27" t="s">
        <v>29</v>
      </c>
      <c r="S236" s="27" t="s">
        <v>70</v>
      </c>
      <c r="T236" s="27">
        <v>10</v>
      </c>
      <c r="U236" s="27">
        <v>3500</v>
      </c>
      <c r="V236" s="27">
        <v>5</v>
      </c>
      <c r="W236" s="27">
        <v>33250</v>
      </c>
      <c r="X236" s="27">
        <v>3</v>
      </c>
      <c r="Y236" s="27" t="s">
        <v>41</v>
      </c>
      <c r="Z236" s="27" t="s">
        <v>80</v>
      </c>
      <c r="AA236" s="27" t="s">
        <v>136</v>
      </c>
      <c r="AB236" s="27">
        <v>9127548552</v>
      </c>
      <c r="AC236" s="21" t="s">
        <v>34</v>
      </c>
    </row>
    <row r="237" spans="8:29" ht="15" thickBot="1" x14ac:dyDescent="0.4">
      <c r="H237" s="30" t="s">
        <v>347</v>
      </c>
      <c r="I237" s="30" t="s">
        <v>45</v>
      </c>
      <c r="J237" s="30" t="s">
        <v>36</v>
      </c>
      <c r="K237" s="31">
        <v>46041</v>
      </c>
      <c r="L237" s="31">
        <v>46049</v>
      </c>
      <c r="M237" s="30" t="s">
        <v>101</v>
      </c>
      <c r="N237" s="30" t="s">
        <v>26</v>
      </c>
      <c r="O237" s="31">
        <v>29260</v>
      </c>
      <c r="P237" s="30" t="s">
        <v>147</v>
      </c>
      <c r="Q237" s="30" t="s">
        <v>148</v>
      </c>
      <c r="R237" s="30" t="s">
        <v>39</v>
      </c>
      <c r="S237" s="30" t="s">
        <v>40</v>
      </c>
      <c r="T237" s="30">
        <v>1</v>
      </c>
      <c r="U237" s="30">
        <v>12000</v>
      </c>
      <c r="V237" s="30">
        <v>0</v>
      </c>
      <c r="W237" s="30">
        <v>12000</v>
      </c>
      <c r="X237" s="30">
        <v>5</v>
      </c>
      <c r="Y237" s="30" t="s">
        <v>65</v>
      </c>
      <c r="Z237" s="30" t="s">
        <v>80</v>
      </c>
      <c r="AA237" s="30" t="s">
        <v>51</v>
      </c>
      <c r="AB237" s="30">
        <v>9712805603</v>
      </c>
      <c r="AC237" s="30" t="s">
        <v>52</v>
      </c>
    </row>
    <row r="238" spans="8:29" ht="29.5" thickBot="1" x14ac:dyDescent="0.4">
      <c r="H238" s="27" t="s">
        <v>348</v>
      </c>
      <c r="I238" s="27" t="s">
        <v>156</v>
      </c>
      <c r="J238" s="27" t="s">
        <v>138</v>
      </c>
      <c r="K238" s="28">
        <v>46144</v>
      </c>
      <c r="L238" s="28">
        <v>46152</v>
      </c>
      <c r="M238" s="27" t="s">
        <v>106</v>
      </c>
      <c r="N238" s="27" t="s">
        <v>58</v>
      </c>
      <c r="O238" s="28">
        <v>32557</v>
      </c>
      <c r="P238" s="27" t="s">
        <v>147</v>
      </c>
      <c r="Q238" s="27" t="s">
        <v>148</v>
      </c>
      <c r="R238" s="27" t="s">
        <v>83</v>
      </c>
      <c r="S238" s="27" t="s">
        <v>139</v>
      </c>
      <c r="T238" s="27">
        <v>19</v>
      </c>
      <c r="U238" s="27">
        <v>45</v>
      </c>
      <c r="V238" s="27">
        <v>15</v>
      </c>
      <c r="W238" s="27">
        <v>726.75</v>
      </c>
      <c r="X238" s="27">
        <v>2</v>
      </c>
      <c r="Y238" s="27" t="s">
        <v>65</v>
      </c>
      <c r="Z238" s="27" t="s">
        <v>96</v>
      </c>
      <c r="AA238" s="27" t="s">
        <v>158</v>
      </c>
      <c r="AB238" s="27">
        <v>9798313682</v>
      </c>
      <c r="AC238" s="27" t="s">
        <v>52</v>
      </c>
    </row>
    <row r="239" spans="8:29" ht="15" thickBot="1" x14ac:dyDescent="0.4">
      <c r="H239" s="30" t="s">
        <v>349</v>
      </c>
      <c r="I239" s="30" t="s">
        <v>23</v>
      </c>
      <c r="J239" s="30" t="s">
        <v>46</v>
      </c>
      <c r="K239" s="31">
        <v>45961</v>
      </c>
      <c r="L239" s="31">
        <v>45963</v>
      </c>
      <c r="M239" s="30" t="s">
        <v>25</v>
      </c>
      <c r="N239" s="30" t="s">
        <v>26</v>
      </c>
      <c r="O239" s="31">
        <v>34222</v>
      </c>
      <c r="P239" s="30" t="s">
        <v>37</v>
      </c>
      <c r="Q239" s="30" t="s">
        <v>38</v>
      </c>
      <c r="R239" s="30" t="s">
        <v>39</v>
      </c>
      <c r="S239" s="30" t="s">
        <v>49</v>
      </c>
      <c r="T239" s="30">
        <v>13</v>
      </c>
      <c r="U239" s="30">
        <v>55000</v>
      </c>
      <c r="V239" s="30">
        <v>5</v>
      </c>
      <c r="W239" s="30">
        <v>679250</v>
      </c>
      <c r="X239" s="30">
        <v>4</v>
      </c>
      <c r="Y239" s="30" t="s">
        <v>60</v>
      </c>
      <c r="Z239" s="30" t="s">
        <v>42</v>
      </c>
      <c r="AA239" s="30" t="s">
        <v>43</v>
      </c>
      <c r="AB239" s="30">
        <v>9642822397</v>
      </c>
      <c r="AC239" s="30" t="s">
        <v>53</v>
      </c>
    </row>
    <row r="240" spans="8:29" ht="15" thickBot="1" x14ac:dyDescent="0.4">
      <c r="H240" s="27" t="s">
        <v>350</v>
      </c>
      <c r="I240" s="27" t="s">
        <v>63</v>
      </c>
      <c r="J240" s="27" t="s">
        <v>138</v>
      </c>
      <c r="K240" s="28">
        <v>45858</v>
      </c>
      <c r="L240" s="28">
        <v>45864</v>
      </c>
      <c r="M240" s="27" t="s">
        <v>110</v>
      </c>
      <c r="N240" s="27" t="s">
        <v>58</v>
      </c>
      <c r="O240" s="28">
        <v>29907</v>
      </c>
      <c r="P240" s="27" t="s">
        <v>74</v>
      </c>
      <c r="Q240" s="27" t="s">
        <v>75</v>
      </c>
      <c r="R240" s="27" t="s">
        <v>83</v>
      </c>
      <c r="S240" s="27" t="s">
        <v>139</v>
      </c>
      <c r="T240" s="27">
        <v>2</v>
      </c>
      <c r="U240" s="27">
        <v>45</v>
      </c>
      <c r="V240" s="27">
        <v>15</v>
      </c>
      <c r="W240" s="27">
        <v>76.5</v>
      </c>
      <c r="X240" s="27">
        <v>1</v>
      </c>
      <c r="Y240" s="27" t="s">
        <v>41</v>
      </c>
      <c r="Z240" s="27" t="s">
        <v>80</v>
      </c>
      <c r="AA240" s="27" t="s">
        <v>66</v>
      </c>
      <c r="AB240" s="27">
        <v>9490067655</v>
      </c>
      <c r="AC240" s="21" t="s">
        <v>34</v>
      </c>
    </row>
    <row r="241" spans="8:29" ht="15" thickBot="1" x14ac:dyDescent="0.4">
      <c r="H241" s="30" t="s">
        <v>351</v>
      </c>
      <c r="I241" s="30" t="s">
        <v>72</v>
      </c>
      <c r="J241" s="30" t="s">
        <v>125</v>
      </c>
      <c r="K241" s="31">
        <v>45707</v>
      </c>
      <c r="L241" s="31">
        <v>45712</v>
      </c>
      <c r="M241" s="30" t="s">
        <v>73</v>
      </c>
      <c r="N241" s="30" t="s">
        <v>26</v>
      </c>
      <c r="O241" s="31">
        <v>37857</v>
      </c>
      <c r="P241" s="30" t="s">
        <v>27</v>
      </c>
      <c r="Q241" s="30" t="s">
        <v>28</v>
      </c>
      <c r="R241" s="30" t="s">
        <v>83</v>
      </c>
      <c r="S241" s="30" t="s">
        <v>127</v>
      </c>
      <c r="T241" s="30">
        <v>8</v>
      </c>
      <c r="U241" s="30">
        <v>20</v>
      </c>
      <c r="V241" s="30">
        <v>15</v>
      </c>
      <c r="W241" s="30">
        <v>136</v>
      </c>
      <c r="X241" s="30">
        <v>1</v>
      </c>
      <c r="Y241" s="30" t="s">
        <v>60</v>
      </c>
      <c r="Z241" s="30" t="s">
        <v>32</v>
      </c>
      <c r="AA241" s="30" t="s">
        <v>93</v>
      </c>
      <c r="AB241" s="30">
        <v>9389792144</v>
      </c>
      <c r="AC241" s="30" t="s">
        <v>52</v>
      </c>
    </row>
    <row r="242" spans="8:29" ht="15" thickBot="1" x14ac:dyDescent="0.4">
      <c r="H242" s="27" t="s">
        <v>352</v>
      </c>
      <c r="I242" s="27" t="s">
        <v>104</v>
      </c>
      <c r="J242" s="27" t="s">
        <v>36</v>
      </c>
      <c r="K242" s="28">
        <v>45767</v>
      </c>
      <c r="L242" s="28">
        <v>45778</v>
      </c>
      <c r="M242" s="27" t="s">
        <v>166</v>
      </c>
      <c r="N242" s="27" t="s">
        <v>26</v>
      </c>
      <c r="O242" s="28">
        <v>31247</v>
      </c>
      <c r="P242" s="27" t="s">
        <v>27</v>
      </c>
      <c r="Q242" s="27" t="s">
        <v>28</v>
      </c>
      <c r="R242" s="27" t="s">
        <v>39</v>
      </c>
      <c r="S242" s="27" t="s">
        <v>40</v>
      </c>
      <c r="T242" s="27">
        <v>9</v>
      </c>
      <c r="U242" s="27">
        <v>12000</v>
      </c>
      <c r="V242" s="27">
        <v>5</v>
      </c>
      <c r="W242" s="27">
        <v>102600</v>
      </c>
      <c r="X242" s="27">
        <v>2</v>
      </c>
      <c r="Y242" s="27" t="s">
        <v>60</v>
      </c>
      <c r="Z242" s="27" t="s">
        <v>32</v>
      </c>
      <c r="AA242" s="27" t="s">
        <v>108</v>
      </c>
      <c r="AB242" s="27">
        <v>9736113863</v>
      </c>
      <c r="AC242" s="27" t="s">
        <v>53</v>
      </c>
    </row>
    <row r="243" spans="8:29" ht="29.5" thickBot="1" x14ac:dyDescent="0.4">
      <c r="H243" s="30" t="s">
        <v>353</v>
      </c>
      <c r="I243" s="30" t="s">
        <v>55</v>
      </c>
      <c r="J243" s="30" t="s">
        <v>68</v>
      </c>
      <c r="K243" s="31">
        <v>45813</v>
      </c>
      <c r="L243" s="31">
        <v>45821</v>
      </c>
      <c r="M243" s="30" t="s">
        <v>57</v>
      </c>
      <c r="N243" s="30" t="s">
        <v>58</v>
      </c>
      <c r="O243" s="31">
        <v>34464</v>
      </c>
      <c r="P243" s="30" t="s">
        <v>147</v>
      </c>
      <c r="Q243" s="30" t="s">
        <v>148</v>
      </c>
      <c r="R243" s="30" t="s">
        <v>29</v>
      </c>
      <c r="S243" s="30" t="s">
        <v>70</v>
      </c>
      <c r="T243" s="30">
        <v>3</v>
      </c>
      <c r="U243" s="30">
        <v>3500</v>
      </c>
      <c r="V243" s="30">
        <v>15</v>
      </c>
      <c r="W243" s="30">
        <v>8925</v>
      </c>
      <c r="X243" s="30">
        <v>1</v>
      </c>
      <c r="Y243" s="30" t="s">
        <v>31</v>
      </c>
      <c r="Z243" s="30" t="s">
        <v>42</v>
      </c>
      <c r="AA243" s="30" t="s">
        <v>61</v>
      </c>
      <c r="AB243" s="30">
        <v>9324634732</v>
      </c>
      <c r="AC243" s="30" t="s">
        <v>53</v>
      </c>
    </row>
    <row r="244" spans="8:29" ht="15" thickBot="1" x14ac:dyDescent="0.4">
      <c r="H244" s="27" t="s">
        <v>354</v>
      </c>
      <c r="I244" s="27" t="s">
        <v>72</v>
      </c>
      <c r="J244" s="27" t="s">
        <v>112</v>
      </c>
      <c r="K244" s="28">
        <v>45797</v>
      </c>
      <c r="L244" s="28">
        <v>45800</v>
      </c>
      <c r="M244" s="27" t="s">
        <v>73</v>
      </c>
      <c r="N244" s="27" t="s">
        <v>26</v>
      </c>
      <c r="O244" s="28">
        <v>34051</v>
      </c>
      <c r="P244" s="27" t="s">
        <v>27</v>
      </c>
      <c r="Q244" s="27" t="s">
        <v>28</v>
      </c>
      <c r="R244" s="27" t="s">
        <v>39</v>
      </c>
      <c r="S244" s="27" t="s">
        <v>114</v>
      </c>
      <c r="T244" s="27">
        <v>18</v>
      </c>
      <c r="U244" s="27">
        <v>700</v>
      </c>
      <c r="V244" s="27">
        <v>20</v>
      </c>
      <c r="W244" s="27">
        <v>10080</v>
      </c>
      <c r="X244" s="27">
        <v>1</v>
      </c>
      <c r="Y244" s="27" t="s">
        <v>60</v>
      </c>
      <c r="Z244" s="27" t="s">
        <v>96</v>
      </c>
      <c r="AA244" s="27" t="s">
        <v>93</v>
      </c>
      <c r="AB244" s="27">
        <v>9529968110</v>
      </c>
      <c r="AC244" s="21" t="s">
        <v>34</v>
      </c>
    </row>
    <row r="245" spans="8:29" ht="29.5" thickBot="1" x14ac:dyDescent="0.4">
      <c r="H245" s="30" t="s">
        <v>355</v>
      </c>
      <c r="I245" s="30" t="s">
        <v>55</v>
      </c>
      <c r="J245" s="30" t="s">
        <v>68</v>
      </c>
      <c r="K245" s="31">
        <v>46046</v>
      </c>
      <c r="L245" s="31">
        <v>46053</v>
      </c>
      <c r="M245" s="30" t="s">
        <v>57</v>
      </c>
      <c r="N245" s="30" t="s">
        <v>58</v>
      </c>
      <c r="O245" s="31">
        <v>29019</v>
      </c>
      <c r="P245" s="30" t="s">
        <v>79</v>
      </c>
      <c r="Q245" s="30" t="s">
        <v>75</v>
      </c>
      <c r="R245" s="30" t="s">
        <v>29</v>
      </c>
      <c r="S245" s="30" t="s">
        <v>70</v>
      </c>
      <c r="T245" s="30">
        <v>14</v>
      </c>
      <c r="U245" s="30">
        <v>3500</v>
      </c>
      <c r="V245" s="30">
        <v>5</v>
      </c>
      <c r="W245" s="30">
        <v>46550</v>
      </c>
      <c r="X245" s="30">
        <v>1</v>
      </c>
      <c r="Y245" s="30" t="s">
        <v>31</v>
      </c>
      <c r="Z245" s="30" t="s">
        <v>50</v>
      </c>
      <c r="AA245" s="30" t="s">
        <v>61</v>
      </c>
      <c r="AB245" s="30">
        <v>9102417647</v>
      </c>
      <c r="AC245" s="22" t="s">
        <v>34</v>
      </c>
    </row>
    <row r="246" spans="8:29" ht="15" thickBot="1" x14ac:dyDescent="0.4">
      <c r="H246" s="27" t="s">
        <v>356</v>
      </c>
      <c r="I246" s="27" t="s">
        <v>72</v>
      </c>
      <c r="J246" s="27" t="s">
        <v>112</v>
      </c>
      <c r="K246" s="28">
        <v>45810</v>
      </c>
      <c r="L246" s="28">
        <v>45812</v>
      </c>
      <c r="M246" s="27" t="s">
        <v>73</v>
      </c>
      <c r="N246" s="27" t="s">
        <v>26</v>
      </c>
      <c r="O246" s="28">
        <v>33262</v>
      </c>
      <c r="P246" s="27" t="s">
        <v>147</v>
      </c>
      <c r="Q246" s="27" t="s">
        <v>148</v>
      </c>
      <c r="R246" s="27" t="s">
        <v>39</v>
      </c>
      <c r="S246" s="27" t="s">
        <v>114</v>
      </c>
      <c r="T246" s="27">
        <v>6</v>
      </c>
      <c r="U246" s="27">
        <v>700</v>
      </c>
      <c r="V246" s="27">
        <v>5</v>
      </c>
      <c r="W246" s="27">
        <v>3990</v>
      </c>
      <c r="X246" s="27">
        <v>5</v>
      </c>
      <c r="Y246" s="27" t="s">
        <v>31</v>
      </c>
      <c r="Z246" s="27" t="s">
        <v>32</v>
      </c>
      <c r="AA246" s="27" t="s">
        <v>93</v>
      </c>
      <c r="AB246" s="27">
        <v>9630302865</v>
      </c>
      <c r="AC246" s="21" t="s">
        <v>34</v>
      </c>
    </row>
    <row r="247" spans="8:29" ht="15" thickBot="1" x14ac:dyDescent="0.4">
      <c r="H247" s="30" t="s">
        <v>357</v>
      </c>
      <c r="I247" s="30" t="s">
        <v>72</v>
      </c>
      <c r="J247" s="30" t="s">
        <v>68</v>
      </c>
      <c r="K247" s="31">
        <v>45819</v>
      </c>
      <c r="L247" s="31">
        <v>45827</v>
      </c>
      <c r="M247" s="30" t="s">
        <v>73</v>
      </c>
      <c r="N247" s="30" t="s">
        <v>26</v>
      </c>
      <c r="O247" s="31">
        <v>38039</v>
      </c>
      <c r="P247" s="30" t="s">
        <v>74</v>
      </c>
      <c r="Q247" s="30" t="s">
        <v>75</v>
      </c>
      <c r="R247" s="30" t="s">
        <v>29</v>
      </c>
      <c r="S247" s="30" t="s">
        <v>70</v>
      </c>
      <c r="T247" s="30">
        <v>17</v>
      </c>
      <c r="U247" s="30">
        <v>3500</v>
      </c>
      <c r="V247" s="30">
        <v>15</v>
      </c>
      <c r="W247" s="30">
        <v>50575</v>
      </c>
      <c r="X247" s="30">
        <v>3</v>
      </c>
      <c r="Y247" s="30" t="s">
        <v>41</v>
      </c>
      <c r="Z247" s="30" t="s">
        <v>42</v>
      </c>
      <c r="AA247" s="30" t="s">
        <v>93</v>
      </c>
      <c r="AB247" s="30">
        <v>9465353780</v>
      </c>
      <c r="AC247" s="30" t="s">
        <v>52</v>
      </c>
    </row>
    <row r="248" spans="8:29" ht="15" thickBot="1" x14ac:dyDescent="0.4">
      <c r="H248" s="27" t="s">
        <v>358</v>
      </c>
      <c r="I248" s="27" t="s">
        <v>134</v>
      </c>
      <c r="J248" s="27" t="s">
        <v>125</v>
      </c>
      <c r="K248" s="28">
        <v>46038</v>
      </c>
      <c r="L248" s="28">
        <v>46046</v>
      </c>
      <c r="M248" s="27" t="s">
        <v>135</v>
      </c>
      <c r="N248" s="27" t="s">
        <v>26</v>
      </c>
      <c r="O248" s="28">
        <v>28240</v>
      </c>
      <c r="P248" s="27" t="s">
        <v>147</v>
      </c>
      <c r="Q248" s="27" t="s">
        <v>148</v>
      </c>
      <c r="R248" s="27" t="s">
        <v>83</v>
      </c>
      <c r="S248" s="27" t="s">
        <v>127</v>
      </c>
      <c r="T248" s="27">
        <v>7</v>
      </c>
      <c r="U248" s="27">
        <v>20</v>
      </c>
      <c r="V248" s="27">
        <v>5</v>
      </c>
      <c r="W248" s="27">
        <v>133</v>
      </c>
      <c r="X248" s="27">
        <v>2</v>
      </c>
      <c r="Y248" s="27" t="s">
        <v>65</v>
      </c>
      <c r="Z248" s="27" t="s">
        <v>96</v>
      </c>
      <c r="AA248" s="27" t="s">
        <v>136</v>
      </c>
      <c r="AB248" s="27">
        <v>9837426414</v>
      </c>
      <c r="AC248" s="21" t="s">
        <v>34</v>
      </c>
    </row>
    <row r="249" spans="8:29" ht="15" thickBot="1" x14ac:dyDescent="0.4">
      <c r="H249" s="30" t="s">
        <v>359</v>
      </c>
      <c r="I249" s="30" t="s">
        <v>23</v>
      </c>
      <c r="J249" s="30" t="s">
        <v>24</v>
      </c>
      <c r="K249" s="31">
        <v>46073</v>
      </c>
      <c r="L249" s="31">
        <v>46085</v>
      </c>
      <c r="M249" s="30" t="s">
        <v>25</v>
      </c>
      <c r="N249" s="30" t="s">
        <v>26</v>
      </c>
      <c r="O249" s="31">
        <v>34537</v>
      </c>
      <c r="P249" s="30" t="s">
        <v>48</v>
      </c>
      <c r="Q249" s="30" t="s">
        <v>28</v>
      </c>
      <c r="R249" s="30" t="s">
        <v>29</v>
      </c>
      <c r="S249" s="30" t="s">
        <v>30</v>
      </c>
      <c r="T249" s="30">
        <v>15</v>
      </c>
      <c r="U249" s="30">
        <v>2200</v>
      </c>
      <c r="V249" s="30">
        <v>20</v>
      </c>
      <c r="W249" s="30">
        <v>26400</v>
      </c>
      <c r="X249" s="30">
        <v>2</v>
      </c>
      <c r="Y249" s="30" t="s">
        <v>31</v>
      </c>
      <c r="Z249" s="30" t="s">
        <v>50</v>
      </c>
      <c r="AA249" s="30" t="s">
        <v>43</v>
      </c>
      <c r="AB249" s="30">
        <v>9249918272</v>
      </c>
      <c r="AC249" s="22" t="s">
        <v>34</v>
      </c>
    </row>
    <row r="250" spans="8:29" ht="29.5" thickBot="1" x14ac:dyDescent="0.4">
      <c r="H250" s="27" t="s">
        <v>360</v>
      </c>
      <c r="I250" s="27" t="s">
        <v>55</v>
      </c>
      <c r="J250" s="27" t="s">
        <v>125</v>
      </c>
      <c r="K250" s="28">
        <v>46070</v>
      </c>
      <c r="L250" s="28">
        <v>46078</v>
      </c>
      <c r="M250" s="27" t="s">
        <v>57</v>
      </c>
      <c r="N250" s="27" t="s">
        <v>58</v>
      </c>
      <c r="O250" s="28">
        <v>29170</v>
      </c>
      <c r="P250" s="27" t="s">
        <v>74</v>
      </c>
      <c r="Q250" s="27" t="s">
        <v>75</v>
      </c>
      <c r="R250" s="27" t="s">
        <v>83</v>
      </c>
      <c r="S250" s="27" t="s">
        <v>127</v>
      </c>
      <c r="T250" s="27">
        <v>5</v>
      </c>
      <c r="U250" s="27">
        <v>20</v>
      </c>
      <c r="V250" s="27">
        <v>0</v>
      </c>
      <c r="W250" s="27">
        <v>100</v>
      </c>
      <c r="X250" s="27">
        <v>3</v>
      </c>
      <c r="Y250" s="27" t="s">
        <v>31</v>
      </c>
      <c r="Z250" s="27" t="s">
        <v>96</v>
      </c>
      <c r="AA250" s="27" t="s">
        <v>61</v>
      </c>
      <c r="AB250" s="27">
        <v>9265580582</v>
      </c>
      <c r="AC250" s="21" t="s">
        <v>34</v>
      </c>
    </row>
    <row r="251" spans="8:29" ht="15" thickBot="1" x14ac:dyDescent="0.4">
      <c r="H251" s="30" t="s">
        <v>361</v>
      </c>
      <c r="I251" s="30" t="s">
        <v>87</v>
      </c>
      <c r="J251" s="30" t="s">
        <v>36</v>
      </c>
      <c r="K251" s="31">
        <v>45847</v>
      </c>
      <c r="L251" s="31">
        <v>45852</v>
      </c>
      <c r="M251" s="30" t="s">
        <v>88</v>
      </c>
      <c r="N251" s="30" t="s">
        <v>58</v>
      </c>
      <c r="O251" s="31">
        <v>34846</v>
      </c>
      <c r="P251" s="30" t="s">
        <v>37</v>
      </c>
      <c r="Q251" s="30" t="s">
        <v>38</v>
      </c>
      <c r="R251" s="30" t="s">
        <v>39</v>
      </c>
      <c r="S251" s="30" t="s">
        <v>40</v>
      </c>
      <c r="T251" s="30">
        <v>8</v>
      </c>
      <c r="U251" s="30">
        <v>12000</v>
      </c>
      <c r="V251" s="30">
        <v>20</v>
      </c>
      <c r="W251" s="30">
        <v>76800</v>
      </c>
      <c r="X251" s="30">
        <v>3</v>
      </c>
      <c r="Y251" s="30" t="s">
        <v>60</v>
      </c>
      <c r="Z251" s="30" t="s">
        <v>50</v>
      </c>
      <c r="AA251" s="30" t="s">
        <v>89</v>
      </c>
      <c r="AB251" s="30">
        <v>9751049833</v>
      </c>
      <c r="AC251" s="30" t="s">
        <v>52</v>
      </c>
    </row>
    <row r="252" spans="8:29" ht="15" thickBot="1" x14ac:dyDescent="0.4">
      <c r="H252" s="27" t="s">
        <v>362</v>
      </c>
      <c r="I252" s="27" t="s">
        <v>87</v>
      </c>
      <c r="J252" s="27" t="s">
        <v>68</v>
      </c>
      <c r="K252" s="28">
        <v>45696</v>
      </c>
      <c r="L252" s="28">
        <v>45704</v>
      </c>
      <c r="M252" s="27" t="s">
        <v>88</v>
      </c>
      <c r="N252" s="27" t="s">
        <v>58</v>
      </c>
      <c r="O252" s="28">
        <v>35964</v>
      </c>
      <c r="P252" s="27" t="s">
        <v>74</v>
      </c>
      <c r="Q252" s="27" t="s">
        <v>75</v>
      </c>
      <c r="R252" s="27" t="s">
        <v>29</v>
      </c>
      <c r="S252" s="27" t="s">
        <v>70</v>
      </c>
      <c r="T252" s="27">
        <v>4</v>
      </c>
      <c r="U252" s="27">
        <v>3500</v>
      </c>
      <c r="V252" s="27">
        <v>20</v>
      </c>
      <c r="W252" s="27">
        <v>11200</v>
      </c>
      <c r="X252" s="27">
        <v>1</v>
      </c>
      <c r="Y252" s="27" t="s">
        <v>60</v>
      </c>
      <c r="Z252" s="27" t="s">
        <v>80</v>
      </c>
      <c r="AA252" s="27" t="s">
        <v>89</v>
      </c>
      <c r="AB252" s="27">
        <v>9741671507</v>
      </c>
      <c r="AC252" s="21" t="s">
        <v>34</v>
      </c>
    </row>
    <row r="253" spans="8:29" ht="15" thickBot="1" x14ac:dyDescent="0.4">
      <c r="H253" s="30" t="s">
        <v>363</v>
      </c>
      <c r="I253" s="30" t="s">
        <v>124</v>
      </c>
      <c r="J253" s="30" t="s">
        <v>138</v>
      </c>
      <c r="K253" s="31">
        <v>45713</v>
      </c>
      <c r="L253" s="31">
        <v>45720</v>
      </c>
      <c r="M253" s="30" t="s">
        <v>126</v>
      </c>
      <c r="N253" s="30" t="s">
        <v>58</v>
      </c>
      <c r="O253" s="31">
        <v>30337</v>
      </c>
      <c r="P253" s="30" t="s">
        <v>27</v>
      </c>
      <c r="Q253" s="30" t="s">
        <v>28</v>
      </c>
      <c r="R253" s="30" t="s">
        <v>83</v>
      </c>
      <c r="S253" s="30" t="s">
        <v>139</v>
      </c>
      <c r="T253" s="30">
        <v>19</v>
      </c>
      <c r="U253" s="30">
        <v>45</v>
      </c>
      <c r="V253" s="30">
        <v>10</v>
      </c>
      <c r="W253" s="30">
        <v>769.5</v>
      </c>
      <c r="X253" s="30">
        <v>1</v>
      </c>
      <c r="Y253" s="30" t="s">
        <v>31</v>
      </c>
      <c r="Z253" s="30" t="s">
        <v>80</v>
      </c>
      <c r="AA253" s="30" t="s">
        <v>128</v>
      </c>
      <c r="AB253" s="30">
        <v>9367541035</v>
      </c>
      <c r="AC253" s="22" t="s">
        <v>34</v>
      </c>
    </row>
    <row r="254" spans="8:29" ht="15" thickBot="1" x14ac:dyDescent="0.4">
      <c r="H254" s="27" t="s">
        <v>364</v>
      </c>
      <c r="I254" s="27" t="s">
        <v>45</v>
      </c>
      <c r="J254" s="27" t="s">
        <v>138</v>
      </c>
      <c r="K254" s="28">
        <v>46049</v>
      </c>
      <c r="L254" s="28">
        <v>46059</v>
      </c>
      <c r="M254" s="27" t="s">
        <v>101</v>
      </c>
      <c r="N254" s="27" t="s">
        <v>26</v>
      </c>
      <c r="O254" s="28">
        <v>28552</v>
      </c>
      <c r="P254" s="27" t="s">
        <v>79</v>
      </c>
      <c r="Q254" s="27" t="s">
        <v>75</v>
      </c>
      <c r="R254" s="27" t="s">
        <v>83</v>
      </c>
      <c r="S254" s="27" t="s">
        <v>139</v>
      </c>
      <c r="T254" s="27">
        <v>10</v>
      </c>
      <c r="U254" s="27">
        <v>45</v>
      </c>
      <c r="V254" s="27">
        <v>0</v>
      </c>
      <c r="W254" s="27">
        <v>450</v>
      </c>
      <c r="X254" s="27">
        <v>4</v>
      </c>
      <c r="Y254" s="27" t="s">
        <v>65</v>
      </c>
      <c r="Z254" s="27" t="s">
        <v>50</v>
      </c>
      <c r="AA254" s="27" t="s">
        <v>51</v>
      </c>
      <c r="AB254" s="27">
        <v>9323696971</v>
      </c>
      <c r="AC254" s="21" t="s">
        <v>34</v>
      </c>
    </row>
    <row r="255" spans="8:29" ht="15" thickBot="1" x14ac:dyDescent="0.4">
      <c r="H255" s="30" t="s">
        <v>365</v>
      </c>
      <c r="I255" s="30" t="s">
        <v>45</v>
      </c>
      <c r="J255" s="30" t="s">
        <v>138</v>
      </c>
      <c r="K255" s="31">
        <v>46030</v>
      </c>
      <c r="L255" s="31">
        <v>46039</v>
      </c>
      <c r="M255" s="30" t="s">
        <v>101</v>
      </c>
      <c r="N255" s="30" t="s">
        <v>26</v>
      </c>
      <c r="O255" s="31">
        <v>35605</v>
      </c>
      <c r="P255" s="30" t="s">
        <v>27</v>
      </c>
      <c r="Q255" s="30" t="s">
        <v>28</v>
      </c>
      <c r="R255" s="30" t="s">
        <v>83</v>
      </c>
      <c r="S255" s="30" t="s">
        <v>139</v>
      </c>
      <c r="T255" s="30">
        <v>16</v>
      </c>
      <c r="U255" s="30">
        <v>45</v>
      </c>
      <c r="V255" s="30">
        <v>15</v>
      </c>
      <c r="W255" s="30">
        <v>612</v>
      </c>
      <c r="X255" s="30">
        <v>3</v>
      </c>
      <c r="Y255" s="30" t="s">
        <v>31</v>
      </c>
      <c r="Z255" s="30" t="s">
        <v>80</v>
      </c>
      <c r="AA255" s="30" t="s">
        <v>51</v>
      </c>
      <c r="AB255" s="30">
        <v>9786384529</v>
      </c>
      <c r="AC255" s="30" t="s">
        <v>53</v>
      </c>
    </row>
    <row r="256" spans="8:29" ht="15" thickBot="1" x14ac:dyDescent="0.4">
      <c r="H256" s="27" t="s">
        <v>366</v>
      </c>
      <c r="I256" s="27" t="s">
        <v>104</v>
      </c>
      <c r="J256" s="27" t="s">
        <v>105</v>
      </c>
      <c r="K256" s="28">
        <v>45741</v>
      </c>
      <c r="L256" s="28">
        <v>45743</v>
      </c>
      <c r="M256" s="27" t="s">
        <v>166</v>
      </c>
      <c r="N256" s="27" t="s">
        <v>26</v>
      </c>
      <c r="O256" s="28">
        <v>27997</v>
      </c>
      <c r="P256" s="27" t="s">
        <v>79</v>
      </c>
      <c r="Q256" s="27" t="s">
        <v>75</v>
      </c>
      <c r="R256" s="27" t="s">
        <v>29</v>
      </c>
      <c r="S256" s="27" t="s">
        <v>107</v>
      </c>
      <c r="T256" s="27">
        <v>16</v>
      </c>
      <c r="U256" s="27">
        <v>8500</v>
      </c>
      <c r="V256" s="27">
        <v>15</v>
      </c>
      <c r="W256" s="27">
        <v>115600</v>
      </c>
      <c r="X256" s="27">
        <v>4</v>
      </c>
      <c r="Y256" s="27" t="s">
        <v>41</v>
      </c>
      <c r="Z256" s="27" t="s">
        <v>32</v>
      </c>
      <c r="AA256" s="27" t="s">
        <v>108</v>
      </c>
      <c r="AB256" s="27">
        <v>9444900541</v>
      </c>
      <c r="AC256" s="27" t="s">
        <v>53</v>
      </c>
    </row>
    <row r="257" spans="8:29" ht="15" thickBot="1" x14ac:dyDescent="0.4">
      <c r="H257" s="30" t="s">
        <v>367</v>
      </c>
      <c r="I257" s="30" t="s">
        <v>104</v>
      </c>
      <c r="J257" s="30" t="s">
        <v>125</v>
      </c>
      <c r="K257" s="31">
        <v>45901</v>
      </c>
      <c r="L257" s="31">
        <v>45912</v>
      </c>
      <c r="M257" s="30" t="s">
        <v>166</v>
      </c>
      <c r="N257" s="30" t="s">
        <v>26</v>
      </c>
      <c r="O257" s="31">
        <v>35159</v>
      </c>
      <c r="P257" s="30" t="s">
        <v>147</v>
      </c>
      <c r="Q257" s="30" t="s">
        <v>148</v>
      </c>
      <c r="R257" s="30" t="s">
        <v>83</v>
      </c>
      <c r="S257" s="30" t="s">
        <v>127</v>
      </c>
      <c r="T257" s="30">
        <v>15</v>
      </c>
      <c r="U257" s="30">
        <v>20</v>
      </c>
      <c r="V257" s="30">
        <v>20</v>
      </c>
      <c r="W257" s="30">
        <v>240</v>
      </c>
      <c r="X257" s="30">
        <v>3</v>
      </c>
      <c r="Y257" s="30" t="s">
        <v>41</v>
      </c>
      <c r="Z257" s="30" t="s">
        <v>42</v>
      </c>
      <c r="AA257" s="30" t="s">
        <v>108</v>
      </c>
      <c r="AB257" s="30">
        <v>9108024911</v>
      </c>
      <c r="AC257" s="30" t="s">
        <v>53</v>
      </c>
    </row>
    <row r="258" spans="8:29" ht="15" thickBot="1" x14ac:dyDescent="0.4">
      <c r="H258" s="27" t="s">
        <v>368</v>
      </c>
      <c r="I258" s="27" t="s">
        <v>63</v>
      </c>
      <c r="J258" s="27" t="s">
        <v>82</v>
      </c>
      <c r="K258" s="28">
        <v>46031</v>
      </c>
      <c r="L258" s="28">
        <v>46035</v>
      </c>
      <c r="M258" s="27" t="s">
        <v>110</v>
      </c>
      <c r="N258" s="27" t="s">
        <v>58</v>
      </c>
      <c r="O258" s="28">
        <v>37173</v>
      </c>
      <c r="P258" s="27" t="s">
        <v>48</v>
      </c>
      <c r="Q258" s="27" t="s">
        <v>28</v>
      </c>
      <c r="R258" s="27" t="s">
        <v>83</v>
      </c>
      <c r="S258" s="27" t="s">
        <v>84</v>
      </c>
      <c r="T258" s="27">
        <v>14</v>
      </c>
      <c r="U258" s="27">
        <v>60</v>
      </c>
      <c r="V258" s="27">
        <v>5</v>
      </c>
      <c r="W258" s="27">
        <v>798</v>
      </c>
      <c r="X258" s="27">
        <v>4</v>
      </c>
      <c r="Y258" s="27" t="s">
        <v>31</v>
      </c>
      <c r="Z258" s="27" t="s">
        <v>42</v>
      </c>
      <c r="AA258" s="27" t="s">
        <v>66</v>
      </c>
      <c r="AB258" s="27">
        <v>9897181325</v>
      </c>
      <c r="AC258" s="21" t="s">
        <v>34</v>
      </c>
    </row>
    <row r="259" spans="8:29" ht="15" thickBot="1" x14ac:dyDescent="0.4">
      <c r="H259" s="30" t="s">
        <v>369</v>
      </c>
      <c r="I259" s="30" t="s">
        <v>45</v>
      </c>
      <c r="J259" s="30" t="s">
        <v>56</v>
      </c>
      <c r="K259" s="31">
        <v>46158</v>
      </c>
      <c r="L259" s="31">
        <v>46161</v>
      </c>
      <c r="M259" s="30" t="s">
        <v>101</v>
      </c>
      <c r="N259" s="30" t="s">
        <v>26</v>
      </c>
      <c r="O259" s="31">
        <v>34800</v>
      </c>
      <c r="P259" s="30" t="s">
        <v>74</v>
      </c>
      <c r="Q259" s="30" t="s">
        <v>75</v>
      </c>
      <c r="R259" s="30" t="s">
        <v>39</v>
      </c>
      <c r="S259" s="30" t="s">
        <v>59</v>
      </c>
      <c r="T259" s="30">
        <v>19</v>
      </c>
      <c r="U259" s="30">
        <v>1200</v>
      </c>
      <c r="V259" s="30">
        <v>20</v>
      </c>
      <c r="W259" s="30">
        <v>18240</v>
      </c>
      <c r="X259" s="30">
        <v>2</v>
      </c>
      <c r="Y259" s="30" t="s">
        <v>31</v>
      </c>
      <c r="Z259" s="30" t="s">
        <v>80</v>
      </c>
      <c r="AA259" s="30" t="s">
        <v>51</v>
      </c>
      <c r="AB259" s="30">
        <v>9554719621</v>
      </c>
      <c r="AC259" s="30" t="s">
        <v>53</v>
      </c>
    </row>
    <row r="260" spans="8:29" ht="15" thickBot="1" x14ac:dyDescent="0.4">
      <c r="H260" s="27" t="s">
        <v>370</v>
      </c>
      <c r="I260" s="27" t="s">
        <v>23</v>
      </c>
      <c r="J260" s="27" t="s">
        <v>138</v>
      </c>
      <c r="K260" s="28">
        <v>45943</v>
      </c>
      <c r="L260" s="28">
        <v>45944</v>
      </c>
      <c r="M260" s="27" t="s">
        <v>25</v>
      </c>
      <c r="N260" s="27" t="s">
        <v>26</v>
      </c>
      <c r="O260" s="28">
        <v>36650</v>
      </c>
      <c r="P260" s="27" t="s">
        <v>48</v>
      </c>
      <c r="Q260" s="27" t="s">
        <v>28</v>
      </c>
      <c r="R260" s="27" t="s">
        <v>83</v>
      </c>
      <c r="S260" s="27" t="s">
        <v>139</v>
      </c>
      <c r="T260" s="27">
        <v>5</v>
      </c>
      <c r="U260" s="27">
        <v>45</v>
      </c>
      <c r="V260" s="27">
        <v>15</v>
      </c>
      <c r="W260" s="27">
        <v>191.25</v>
      </c>
      <c r="X260" s="27">
        <v>2</v>
      </c>
      <c r="Y260" s="27" t="s">
        <v>31</v>
      </c>
      <c r="Z260" s="27" t="s">
        <v>50</v>
      </c>
      <c r="AA260" s="27" t="s">
        <v>43</v>
      </c>
      <c r="AB260" s="27">
        <v>9815899217</v>
      </c>
      <c r="AC260" s="27" t="s">
        <v>53</v>
      </c>
    </row>
    <row r="261" spans="8:29" ht="29.5" thickBot="1" x14ac:dyDescent="0.4">
      <c r="H261" s="30" t="s">
        <v>371</v>
      </c>
      <c r="I261" s="30" t="s">
        <v>156</v>
      </c>
      <c r="J261" s="30" t="s">
        <v>112</v>
      </c>
      <c r="K261" s="31">
        <v>45802</v>
      </c>
      <c r="L261" s="31">
        <v>45809</v>
      </c>
      <c r="M261" s="30" t="s">
        <v>106</v>
      </c>
      <c r="N261" s="30" t="s">
        <v>58</v>
      </c>
      <c r="O261" s="31">
        <v>37316</v>
      </c>
      <c r="P261" s="30" t="s">
        <v>27</v>
      </c>
      <c r="Q261" s="30" t="s">
        <v>28</v>
      </c>
      <c r="R261" s="30" t="s">
        <v>39</v>
      </c>
      <c r="S261" s="30" t="s">
        <v>114</v>
      </c>
      <c r="T261" s="30">
        <v>19</v>
      </c>
      <c r="U261" s="30">
        <v>700</v>
      </c>
      <c r="V261" s="30">
        <v>5</v>
      </c>
      <c r="W261" s="30">
        <v>12635</v>
      </c>
      <c r="X261" s="30">
        <v>5</v>
      </c>
      <c r="Y261" s="30" t="s">
        <v>65</v>
      </c>
      <c r="Z261" s="30" t="s">
        <v>96</v>
      </c>
      <c r="AA261" s="30" t="s">
        <v>158</v>
      </c>
      <c r="AB261" s="30">
        <v>9308497039</v>
      </c>
      <c r="AC261" s="22" t="s">
        <v>34</v>
      </c>
    </row>
    <row r="262" spans="8:29" ht="15" thickBot="1" x14ac:dyDescent="0.4">
      <c r="H262" s="27" t="s">
        <v>372</v>
      </c>
      <c r="I262" s="27" t="s">
        <v>87</v>
      </c>
      <c r="J262" s="27" t="s">
        <v>82</v>
      </c>
      <c r="K262" s="28">
        <v>46025</v>
      </c>
      <c r="L262" s="28">
        <v>46026</v>
      </c>
      <c r="M262" s="27" t="s">
        <v>88</v>
      </c>
      <c r="N262" s="27" t="s">
        <v>58</v>
      </c>
      <c r="O262" s="28">
        <v>27541</v>
      </c>
      <c r="P262" s="27" t="s">
        <v>147</v>
      </c>
      <c r="Q262" s="27" t="s">
        <v>148</v>
      </c>
      <c r="R262" s="27" t="s">
        <v>83</v>
      </c>
      <c r="S262" s="27" t="s">
        <v>84</v>
      </c>
      <c r="T262" s="27">
        <v>7</v>
      </c>
      <c r="U262" s="27">
        <v>60</v>
      </c>
      <c r="V262" s="27">
        <v>0</v>
      </c>
      <c r="W262" s="27">
        <v>420</v>
      </c>
      <c r="X262" s="27">
        <v>4</v>
      </c>
      <c r="Y262" s="27" t="s">
        <v>31</v>
      </c>
      <c r="Z262" s="27" t="s">
        <v>80</v>
      </c>
      <c r="AA262" s="27" t="s">
        <v>89</v>
      </c>
      <c r="AB262" s="27">
        <v>9882054354</v>
      </c>
      <c r="AC262" s="27" t="s">
        <v>52</v>
      </c>
    </row>
    <row r="263" spans="8:29" ht="29.5" thickBot="1" x14ac:dyDescent="0.4">
      <c r="H263" s="30" t="s">
        <v>373</v>
      </c>
      <c r="I263" s="30" t="s">
        <v>55</v>
      </c>
      <c r="J263" s="30" t="s">
        <v>24</v>
      </c>
      <c r="K263" s="31">
        <v>46013</v>
      </c>
      <c r="L263" s="31">
        <v>46024</v>
      </c>
      <c r="M263" s="30" t="s">
        <v>57</v>
      </c>
      <c r="N263" s="30" t="s">
        <v>58</v>
      </c>
      <c r="O263" s="31">
        <v>32479</v>
      </c>
      <c r="P263" s="30" t="s">
        <v>74</v>
      </c>
      <c r="Q263" s="30" t="s">
        <v>75</v>
      </c>
      <c r="R263" s="30" t="s">
        <v>29</v>
      </c>
      <c r="S263" s="30" t="s">
        <v>30</v>
      </c>
      <c r="T263" s="30">
        <v>13</v>
      </c>
      <c r="U263" s="30">
        <v>2200</v>
      </c>
      <c r="V263" s="30">
        <v>10</v>
      </c>
      <c r="W263" s="30">
        <v>25740</v>
      </c>
      <c r="X263" s="30">
        <v>1</v>
      </c>
      <c r="Y263" s="30" t="s">
        <v>60</v>
      </c>
      <c r="Z263" s="30" t="s">
        <v>96</v>
      </c>
      <c r="AA263" s="30" t="s">
        <v>61</v>
      </c>
      <c r="AB263" s="30">
        <v>9193016830</v>
      </c>
      <c r="AC263" s="22" t="s">
        <v>34</v>
      </c>
    </row>
    <row r="264" spans="8:29" ht="29.5" thickBot="1" x14ac:dyDescent="0.4">
      <c r="H264" s="27" t="s">
        <v>374</v>
      </c>
      <c r="I264" s="27" t="s">
        <v>55</v>
      </c>
      <c r="J264" s="27" t="s">
        <v>24</v>
      </c>
      <c r="K264" s="28">
        <v>46019</v>
      </c>
      <c r="L264" s="28">
        <v>46027</v>
      </c>
      <c r="M264" s="27" t="s">
        <v>57</v>
      </c>
      <c r="N264" s="27" t="s">
        <v>58</v>
      </c>
      <c r="O264" s="28">
        <v>31022</v>
      </c>
      <c r="P264" s="27" t="s">
        <v>48</v>
      </c>
      <c r="Q264" s="27" t="s">
        <v>28</v>
      </c>
      <c r="R264" s="27" t="s">
        <v>29</v>
      </c>
      <c r="S264" s="27" t="s">
        <v>30</v>
      </c>
      <c r="T264" s="27">
        <v>9</v>
      </c>
      <c r="U264" s="27">
        <v>2200</v>
      </c>
      <c r="V264" s="27">
        <v>10</v>
      </c>
      <c r="W264" s="27">
        <v>17820</v>
      </c>
      <c r="X264" s="27">
        <v>2</v>
      </c>
      <c r="Y264" s="27" t="s">
        <v>375</v>
      </c>
      <c r="Z264" s="27" t="s">
        <v>50</v>
      </c>
      <c r="AA264" s="27" t="s">
        <v>61</v>
      </c>
      <c r="AB264" s="27">
        <v>9921470418</v>
      </c>
      <c r="AC264" s="27" t="s">
        <v>53</v>
      </c>
    </row>
    <row r="265" spans="8:29" ht="29.5" thickBot="1" x14ac:dyDescent="0.4">
      <c r="H265" s="30" t="s">
        <v>376</v>
      </c>
      <c r="I265" s="30" t="s">
        <v>156</v>
      </c>
      <c r="J265" s="30" t="s">
        <v>105</v>
      </c>
      <c r="K265" s="31">
        <v>45792</v>
      </c>
      <c r="L265" s="31">
        <v>45794</v>
      </c>
      <c r="M265" s="30" t="s">
        <v>106</v>
      </c>
      <c r="N265" s="30" t="s">
        <v>58</v>
      </c>
      <c r="O265" s="31">
        <v>32994</v>
      </c>
      <c r="P265" s="30" t="s">
        <v>48</v>
      </c>
      <c r="Q265" s="30" t="s">
        <v>28</v>
      </c>
      <c r="R265" s="30" t="s">
        <v>29</v>
      </c>
      <c r="S265" s="30" t="s">
        <v>107</v>
      </c>
      <c r="T265" s="30">
        <v>6</v>
      </c>
      <c r="U265" s="30">
        <v>8500</v>
      </c>
      <c r="V265" s="30">
        <v>15</v>
      </c>
      <c r="W265" s="30">
        <v>43350</v>
      </c>
      <c r="X265" s="30">
        <v>2</v>
      </c>
      <c r="Y265" s="30" t="s">
        <v>31</v>
      </c>
      <c r="Z265" s="30" t="s">
        <v>96</v>
      </c>
      <c r="AA265" s="30" t="s">
        <v>158</v>
      </c>
      <c r="AB265" s="30">
        <v>9686979026</v>
      </c>
      <c r="AC265" s="30" t="s">
        <v>53</v>
      </c>
    </row>
    <row r="266" spans="8:29" ht="15" thickBot="1" x14ac:dyDescent="0.4">
      <c r="H266" s="27" t="s">
        <v>377</v>
      </c>
      <c r="I266" s="27" t="s">
        <v>124</v>
      </c>
      <c r="J266" s="27" t="s">
        <v>24</v>
      </c>
      <c r="K266" s="28">
        <v>46070</v>
      </c>
      <c r="L266" s="28">
        <v>46078</v>
      </c>
      <c r="M266" s="27" t="s">
        <v>126</v>
      </c>
      <c r="N266" s="27" t="s">
        <v>58</v>
      </c>
      <c r="O266" s="28">
        <v>32182</v>
      </c>
      <c r="P266" s="27" t="s">
        <v>37</v>
      </c>
      <c r="Q266" s="27" t="s">
        <v>38</v>
      </c>
      <c r="R266" s="27" t="s">
        <v>29</v>
      </c>
      <c r="S266" s="27" t="s">
        <v>30</v>
      </c>
      <c r="T266" s="27">
        <v>9</v>
      </c>
      <c r="U266" s="27">
        <v>2200</v>
      </c>
      <c r="V266" s="27">
        <v>10</v>
      </c>
      <c r="W266" s="27">
        <v>17820</v>
      </c>
      <c r="X266" s="27">
        <v>3</v>
      </c>
      <c r="Y266" s="27" t="s">
        <v>60</v>
      </c>
      <c r="Z266" s="27" t="s">
        <v>32</v>
      </c>
      <c r="AA266" s="27" t="s">
        <v>128</v>
      </c>
      <c r="AB266" s="27">
        <v>9569007422</v>
      </c>
      <c r="AC266" s="27" t="s">
        <v>52</v>
      </c>
    </row>
    <row r="267" spans="8:29" ht="15" thickBot="1" x14ac:dyDescent="0.4">
      <c r="H267" s="30" t="s">
        <v>378</v>
      </c>
      <c r="I267" s="30" t="s">
        <v>23</v>
      </c>
      <c r="J267" s="30" t="s">
        <v>105</v>
      </c>
      <c r="K267" s="31">
        <v>45739</v>
      </c>
      <c r="L267" s="31">
        <v>45742</v>
      </c>
      <c r="M267" s="30" t="s">
        <v>25</v>
      </c>
      <c r="N267" s="30" t="s">
        <v>26</v>
      </c>
      <c r="O267" s="31">
        <v>30038</v>
      </c>
      <c r="P267" s="30" t="s">
        <v>147</v>
      </c>
      <c r="Q267" s="30" t="s">
        <v>148</v>
      </c>
      <c r="R267" s="30" t="s">
        <v>29</v>
      </c>
      <c r="S267" s="30" t="s">
        <v>107</v>
      </c>
      <c r="T267" s="30">
        <v>16</v>
      </c>
      <c r="U267" s="30">
        <v>8500</v>
      </c>
      <c r="V267" s="30">
        <v>0</v>
      </c>
      <c r="W267" s="30">
        <v>136000</v>
      </c>
      <c r="X267" s="30">
        <v>5</v>
      </c>
      <c r="Y267" s="30" t="s">
        <v>65</v>
      </c>
      <c r="Z267" s="30" t="s">
        <v>80</v>
      </c>
      <c r="AA267" s="30" t="s">
        <v>43</v>
      </c>
      <c r="AB267" s="30">
        <v>9180820441</v>
      </c>
      <c r="AC267" s="30" t="s">
        <v>53</v>
      </c>
    </row>
    <row r="268" spans="8:29" ht="29.5" thickBot="1" x14ac:dyDescent="0.4">
      <c r="H268" s="27" t="s">
        <v>379</v>
      </c>
      <c r="I268" s="27" t="s">
        <v>156</v>
      </c>
      <c r="J268" s="27" t="s">
        <v>56</v>
      </c>
      <c r="K268" s="28">
        <v>46006</v>
      </c>
      <c r="L268" s="28">
        <v>46007</v>
      </c>
      <c r="M268" s="27" t="s">
        <v>106</v>
      </c>
      <c r="N268" s="27" t="s">
        <v>58</v>
      </c>
      <c r="O268" s="28">
        <v>28122</v>
      </c>
      <c r="P268" s="27" t="s">
        <v>37</v>
      </c>
      <c r="Q268" s="27" t="s">
        <v>38</v>
      </c>
      <c r="R268" s="27" t="s">
        <v>39</v>
      </c>
      <c r="S268" s="27" t="s">
        <v>59</v>
      </c>
      <c r="T268" s="27">
        <v>10</v>
      </c>
      <c r="U268" s="27">
        <v>1200</v>
      </c>
      <c r="V268" s="27">
        <v>15</v>
      </c>
      <c r="W268" s="27">
        <v>10200</v>
      </c>
      <c r="X268" s="27">
        <v>5</v>
      </c>
      <c r="Y268" s="27" t="s">
        <v>31</v>
      </c>
      <c r="Z268" s="27" t="s">
        <v>42</v>
      </c>
      <c r="AA268" s="27" t="s">
        <v>158</v>
      </c>
      <c r="AB268" s="27">
        <v>9769075826</v>
      </c>
      <c r="AC268" s="21" t="s">
        <v>34</v>
      </c>
    </row>
    <row r="269" spans="8:29" ht="15" thickBot="1" x14ac:dyDescent="0.4">
      <c r="H269" s="30" t="s">
        <v>380</v>
      </c>
      <c r="I269" s="30" t="s">
        <v>87</v>
      </c>
      <c r="J269" s="30" t="s">
        <v>36</v>
      </c>
      <c r="K269" s="31">
        <v>45721</v>
      </c>
      <c r="L269" s="31">
        <v>45731</v>
      </c>
      <c r="M269" s="30" t="s">
        <v>88</v>
      </c>
      <c r="N269" s="30" t="s">
        <v>58</v>
      </c>
      <c r="O269" s="31">
        <v>37836</v>
      </c>
      <c r="P269" s="30" t="s">
        <v>147</v>
      </c>
      <c r="Q269" s="30" t="s">
        <v>148</v>
      </c>
      <c r="R269" s="30" t="s">
        <v>39</v>
      </c>
      <c r="S269" s="30" t="s">
        <v>40</v>
      </c>
      <c r="T269" s="30">
        <v>7</v>
      </c>
      <c r="U269" s="30">
        <v>12000</v>
      </c>
      <c r="V269" s="30">
        <v>0</v>
      </c>
      <c r="W269" s="30">
        <v>84000</v>
      </c>
      <c r="X269" s="30">
        <v>1</v>
      </c>
      <c r="Y269" s="30" t="s">
        <v>65</v>
      </c>
      <c r="Z269" s="30" t="s">
        <v>96</v>
      </c>
      <c r="AA269" s="30" t="s">
        <v>89</v>
      </c>
      <c r="AB269" s="30">
        <v>9467916296</v>
      </c>
      <c r="AC269" s="30" t="s">
        <v>52</v>
      </c>
    </row>
    <row r="270" spans="8:29" ht="15" thickBot="1" x14ac:dyDescent="0.4">
      <c r="H270" s="27" t="s">
        <v>381</v>
      </c>
      <c r="I270" s="27" t="s">
        <v>124</v>
      </c>
      <c r="J270" s="27" t="s">
        <v>36</v>
      </c>
      <c r="K270" s="28">
        <v>45919</v>
      </c>
      <c r="L270" s="28">
        <v>45931</v>
      </c>
      <c r="M270" s="27" t="s">
        <v>126</v>
      </c>
      <c r="N270" s="27" t="s">
        <v>58</v>
      </c>
      <c r="O270" s="28">
        <v>31538</v>
      </c>
      <c r="P270" s="27" t="s">
        <v>79</v>
      </c>
      <c r="Q270" s="27" t="s">
        <v>75</v>
      </c>
      <c r="R270" s="27" t="s">
        <v>39</v>
      </c>
      <c r="S270" s="27" t="s">
        <v>40</v>
      </c>
      <c r="T270" s="27">
        <v>3</v>
      </c>
      <c r="U270" s="27">
        <v>12000</v>
      </c>
      <c r="V270" s="27">
        <v>10</v>
      </c>
      <c r="W270" s="27">
        <v>32400</v>
      </c>
      <c r="X270" s="27">
        <v>4</v>
      </c>
      <c r="Y270" s="27" t="s">
        <v>60</v>
      </c>
      <c r="Z270" s="27" t="s">
        <v>96</v>
      </c>
      <c r="AA270" s="27" t="s">
        <v>128</v>
      </c>
      <c r="AB270" s="27">
        <v>9477052923</v>
      </c>
      <c r="AC270" s="21" t="s">
        <v>34</v>
      </c>
    </row>
    <row r="271" spans="8:29" ht="15" thickBot="1" x14ac:dyDescent="0.4">
      <c r="H271" s="30" t="s">
        <v>382</v>
      </c>
      <c r="I271" s="30" t="s">
        <v>124</v>
      </c>
      <c r="J271" s="30" t="s">
        <v>36</v>
      </c>
      <c r="K271" s="31">
        <v>45964</v>
      </c>
      <c r="L271" s="31">
        <v>45970</v>
      </c>
      <c r="M271" s="30" t="s">
        <v>126</v>
      </c>
      <c r="N271" s="30" t="s">
        <v>58</v>
      </c>
      <c r="O271" s="31">
        <v>32543</v>
      </c>
      <c r="P271" s="30" t="s">
        <v>27</v>
      </c>
      <c r="Q271" s="30" t="s">
        <v>28</v>
      </c>
      <c r="R271" s="30" t="s">
        <v>39</v>
      </c>
      <c r="S271" s="30" t="s">
        <v>40</v>
      </c>
      <c r="T271" s="30">
        <v>4</v>
      </c>
      <c r="U271" s="30">
        <v>12000</v>
      </c>
      <c r="V271" s="30">
        <v>15</v>
      </c>
      <c r="W271" s="30">
        <v>40800</v>
      </c>
      <c r="X271" s="30">
        <v>3</v>
      </c>
      <c r="Y271" s="30" t="s">
        <v>60</v>
      </c>
      <c r="Z271" s="30" t="s">
        <v>32</v>
      </c>
      <c r="AA271" s="30" t="s">
        <v>128</v>
      </c>
      <c r="AB271" s="30">
        <v>9184311420</v>
      </c>
      <c r="AC271" s="30" t="s">
        <v>52</v>
      </c>
    </row>
    <row r="272" spans="8:29" ht="15" thickBot="1" x14ac:dyDescent="0.4">
      <c r="H272" s="27" t="s">
        <v>383</v>
      </c>
      <c r="I272" s="27" t="s">
        <v>87</v>
      </c>
      <c r="J272" s="27" t="s">
        <v>36</v>
      </c>
      <c r="K272" s="28">
        <v>45824</v>
      </c>
      <c r="L272" s="28">
        <v>45826</v>
      </c>
      <c r="M272" s="27" t="s">
        <v>88</v>
      </c>
      <c r="N272" s="27" t="s">
        <v>58</v>
      </c>
      <c r="O272" s="28">
        <v>29259</v>
      </c>
      <c r="P272" s="27" t="s">
        <v>27</v>
      </c>
      <c r="Q272" s="27" t="s">
        <v>28</v>
      </c>
      <c r="R272" s="27" t="s">
        <v>39</v>
      </c>
      <c r="S272" s="27" t="s">
        <v>40</v>
      </c>
      <c r="T272" s="27">
        <v>13</v>
      </c>
      <c r="U272" s="27">
        <v>12000</v>
      </c>
      <c r="V272" s="27">
        <v>10</v>
      </c>
      <c r="W272" s="27">
        <v>140400</v>
      </c>
      <c r="X272" s="27">
        <v>2</v>
      </c>
      <c r="Y272" s="27" t="s">
        <v>31</v>
      </c>
      <c r="Z272" s="27" t="s">
        <v>96</v>
      </c>
      <c r="AA272" s="27" t="s">
        <v>89</v>
      </c>
      <c r="AB272" s="27">
        <v>9630913127</v>
      </c>
      <c r="AC272" s="27" t="s">
        <v>53</v>
      </c>
    </row>
    <row r="273" spans="8:29" ht="15" thickBot="1" x14ac:dyDescent="0.4">
      <c r="H273" s="30" t="s">
        <v>384</v>
      </c>
      <c r="I273" s="30" t="s">
        <v>23</v>
      </c>
      <c r="J273" s="30" t="s">
        <v>68</v>
      </c>
      <c r="K273" s="31">
        <v>45812</v>
      </c>
      <c r="L273" s="31">
        <v>45819</v>
      </c>
      <c r="M273" s="30" t="s">
        <v>25</v>
      </c>
      <c r="N273" s="30" t="s">
        <v>26</v>
      </c>
      <c r="O273" s="31">
        <v>31060</v>
      </c>
      <c r="P273" s="30" t="s">
        <v>48</v>
      </c>
      <c r="Q273" s="30" t="s">
        <v>28</v>
      </c>
      <c r="R273" s="30" t="s">
        <v>29</v>
      </c>
      <c r="S273" s="30" t="s">
        <v>70</v>
      </c>
      <c r="T273" s="30">
        <v>19</v>
      </c>
      <c r="U273" s="30">
        <v>3500</v>
      </c>
      <c r="V273" s="30">
        <v>20</v>
      </c>
      <c r="W273" s="30">
        <v>53200</v>
      </c>
      <c r="X273" s="30">
        <v>1</v>
      </c>
      <c r="Y273" s="30" t="s">
        <v>31</v>
      </c>
      <c r="Z273" s="30" t="s">
        <v>50</v>
      </c>
      <c r="AA273" s="30" t="s">
        <v>43</v>
      </c>
      <c r="AB273" s="30">
        <v>9997515828</v>
      </c>
      <c r="AC273" s="30" t="s">
        <v>53</v>
      </c>
    </row>
    <row r="274" spans="8:29" ht="15" thickBot="1" x14ac:dyDescent="0.4">
      <c r="H274" s="27" t="s">
        <v>385</v>
      </c>
      <c r="I274" s="27" t="s">
        <v>23</v>
      </c>
      <c r="J274" s="27" t="s">
        <v>24</v>
      </c>
      <c r="K274" s="28">
        <v>45695</v>
      </c>
      <c r="L274" s="28">
        <v>45700</v>
      </c>
      <c r="M274" s="27" t="s">
        <v>25</v>
      </c>
      <c r="N274" s="27" t="s">
        <v>26</v>
      </c>
      <c r="O274" s="28">
        <v>29060</v>
      </c>
      <c r="P274" s="27" t="s">
        <v>74</v>
      </c>
      <c r="Q274" s="27" t="s">
        <v>75</v>
      </c>
      <c r="R274" s="27" t="s">
        <v>29</v>
      </c>
      <c r="S274" s="27" t="s">
        <v>30</v>
      </c>
      <c r="T274" s="27">
        <v>7</v>
      </c>
      <c r="U274" s="27">
        <v>2200</v>
      </c>
      <c r="V274" s="27">
        <v>5</v>
      </c>
      <c r="W274" s="27">
        <v>14630</v>
      </c>
      <c r="X274" s="27">
        <v>3</v>
      </c>
      <c r="Y274" s="27" t="s">
        <v>65</v>
      </c>
      <c r="Z274" s="27" t="s">
        <v>50</v>
      </c>
      <c r="AA274" s="27" t="s">
        <v>43</v>
      </c>
      <c r="AB274" s="27">
        <v>9394291182</v>
      </c>
      <c r="AC274" s="27" t="s">
        <v>53</v>
      </c>
    </row>
    <row r="275" spans="8:29" ht="15" thickBot="1" x14ac:dyDescent="0.4">
      <c r="H275" s="30" t="s">
        <v>386</v>
      </c>
      <c r="I275" s="30" t="s">
        <v>63</v>
      </c>
      <c r="J275" s="30" t="s">
        <v>112</v>
      </c>
      <c r="K275" s="31">
        <v>46151</v>
      </c>
      <c r="L275" s="31">
        <v>46155</v>
      </c>
      <c r="M275" s="30" t="s">
        <v>110</v>
      </c>
      <c r="N275" s="30" t="s">
        <v>58</v>
      </c>
      <c r="O275" s="31">
        <v>34184</v>
      </c>
      <c r="P275" s="30" t="s">
        <v>121</v>
      </c>
      <c r="Q275" s="30" t="s">
        <v>38</v>
      </c>
      <c r="R275" s="30" t="s">
        <v>39</v>
      </c>
      <c r="S275" s="30" t="s">
        <v>114</v>
      </c>
      <c r="T275" s="30">
        <v>18</v>
      </c>
      <c r="U275" s="30">
        <v>700</v>
      </c>
      <c r="V275" s="30">
        <v>5</v>
      </c>
      <c r="W275" s="30">
        <v>11970</v>
      </c>
      <c r="X275" s="30">
        <v>2</v>
      </c>
      <c r="Y275" s="30" t="s">
        <v>65</v>
      </c>
      <c r="Z275" s="30" t="s">
        <v>50</v>
      </c>
      <c r="AA275" s="30" t="s">
        <v>66</v>
      </c>
      <c r="AB275" s="30">
        <v>9616853220</v>
      </c>
      <c r="AC275" s="30" t="s">
        <v>53</v>
      </c>
    </row>
    <row r="276" spans="8:29" ht="15" thickBot="1" x14ac:dyDescent="0.4">
      <c r="H276" s="27" t="s">
        <v>387</v>
      </c>
      <c r="I276" s="27" t="s">
        <v>23</v>
      </c>
      <c r="J276" s="27" t="s">
        <v>125</v>
      </c>
      <c r="K276" s="28">
        <v>45858</v>
      </c>
      <c r="L276" s="28">
        <v>45868</v>
      </c>
      <c r="M276" s="27" t="s">
        <v>25</v>
      </c>
      <c r="N276" s="27" t="s">
        <v>26</v>
      </c>
      <c r="O276" s="28">
        <v>27629</v>
      </c>
      <c r="P276" s="27" t="s">
        <v>147</v>
      </c>
      <c r="Q276" s="27" t="s">
        <v>148</v>
      </c>
      <c r="R276" s="27" t="s">
        <v>83</v>
      </c>
      <c r="S276" s="27" t="s">
        <v>127</v>
      </c>
      <c r="T276" s="27">
        <v>11</v>
      </c>
      <c r="U276" s="27">
        <v>20</v>
      </c>
      <c r="V276" s="27">
        <v>0</v>
      </c>
      <c r="W276" s="27">
        <v>220</v>
      </c>
      <c r="X276" s="27">
        <v>2</v>
      </c>
      <c r="Y276" s="27" t="s">
        <v>41</v>
      </c>
      <c r="Z276" s="27" t="s">
        <v>80</v>
      </c>
      <c r="AA276" s="27" t="s">
        <v>43</v>
      </c>
      <c r="AB276" s="27">
        <v>9147552626</v>
      </c>
      <c r="AC276" s="27" t="s">
        <v>53</v>
      </c>
    </row>
    <row r="277" spans="8:29" ht="29.5" thickBot="1" x14ac:dyDescent="0.4">
      <c r="H277" s="30" t="s">
        <v>388</v>
      </c>
      <c r="I277" s="30" t="s">
        <v>156</v>
      </c>
      <c r="J277" s="30" t="s">
        <v>36</v>
      </c>
      <c r="K277" s="31">
        <v>45716</v>
      </c>
      <c r="L277" s="31">
        <v>45723</v>
      </c>
      <c r="M277" s="30" t="s">
        <v>106</v>
      </c>
      <c r="N277" s="30" t="s">
        <v>58</v>
      </c>
      <c r="O277" s="31">
        <v>28603</v>
      </c>
      <c r="P277" s="30" t="s">
        <v>79</v>
      </c>
      <c r="Q277" s="30" t="s">
        <v>75</v>
      </c>
      <c r="R277" s="30" t="s">
        <v>39</v>
      </c>
      <c r="S277" s="30" t="s">
        <v>40</v>
      </c>
      <c r="T277" s="30">
        <v>17</v>
      </c>
      <c r="U277" s="30">
        <v>12000</v>
      </c>
      <c r="V277" s="30">
        <v>20</v>
      </c>
      <c r="W277" s="30">
        <v>163200</v>
      </c>
      <c r="X277" s="30">
        <v>4</v>
      </c>
      <c r="Y277" s="30" t="s">
        <v>65</v>
      </c>
      <c r="Z277" s="30" t="s">
        <v>96</v>
      </c>
      <c r="AA277" s="30" t="s">
        <v>158</v>
      </c>
      <c r="AB277" s="30">
        <v>9724197033</v>
      </c>
      <c r="AC277" s="22" t="s">
        <v>34</v>
      </c>
    </row>
    <row r="278" spans="8:29" ht="15" thickBot="1" x14ac:dyDescent="0.4">
      <c r="H278" s="27" t="s">
        <v>389</v>
      </c>
      <c r="I278" s="27" t="s">
        <v>134</v>
      </c>
      <c r="J278" s="27" t="s">
        <v>24</v>
      </c>
      <c r="K278" s="28">
        <v>45846</v>
      </c>
      <c r="L278" s="28">
        <v>45851</v>
      </c>
      <c r="M278" s="27" t="s">
        <v>135</v>
      </c>
      <c r="N278" s="27" t="s">
        <v>26</v>
      </c>
      <c r="O278" s="28">
        <v>37889</v>
      </c>
      <c r="P278" s="27" t="s">
        <v>147</v>
      </c>
      <c r="Q278" s="27" t="s">
        <v>148</v>
      </c>
      <c r="R278" s="27" t="s">
        <v>29</v>
      </c>
      <c r="S278" s="27" t="s">
        <v>30</v>
      </c>
      <c r="T278" s="27">
        <v>4</v>
      </c>
      <c r="U278" s="27">
        <v>2200</v>
      </c>
      <c r="V278" s="27">
        <v>5</v>
      </c>
      <c r="W278" s="27">
        <v>8360</v>
      </c>
      <c r="X278" s="27">
        <v>2</v>
      </c>
      <c r="Y278" s="27" t="s">
        <v>31</v>
      </c>
      <c r="Z278" s="27" t="s">
        <v>32</v>
      </c>
      <c r="AA278" s="27" t="s">
        <v>136</v>
      </c>
      <c r="AB278" s="27">
        <v>9130666128</v>
      </c>
      <c r="AC278" s="21" t="s">
        <v>34</v>
      </c>
    </row>
    <row r="279" spans="8:29" ht="15" thickBot="1" x14ac:dyDescent="0.4">
      <c r="H279" s="30" t="s">
        <v>390</v>
      </c>
      <c r="I279" s="30" t="s">
        <v>23</v>
      </c>
      <c r="J279" s="30" t="s">
        <v>46</v>
      </c>
      <c r="K279" s="31">
        <v>46003</v>
      </c>
      <c r="L279" s="31">
        <v>46010</v>
      </c>
      <c r="M279" s="30" t="s">
        <v>25</v>
      </c>
      <c r="N279" s="30" t="s">
        <v>26</v>
      </c>
      <c r="O279" s="31">
        <v>37355</v>
      </c>
      <c r="P279" s="30" t="s">
        <v>91</v>
      </c>
      <c r="Q279" s="30" t="s">
        <v>75</v>
      </c>
      <c r="R279" s="30" t="s">
        <v>39</v>
      </c>
      <c r="S279" s="30" t="s">
        <v>49</v>
      </c>
      <c r="T279" s="30">
        <v>6</v>
      </c>
      <c r="U279" s="30">
        <v>55000</v>
      </c>
      <c r="V279" s="30">
        <v>20</v>
      </c>
      <c r="W279" s="30">
        <v>264000</v>
      </c>
      <c r="X279" s="30">
        <v>2</v>
      </c>
      <c r="Y279" s="30" t="s">
        <v>65</v>
      </c>
      <c r="Z279" s="30" t="s">
        <v>96</v>
      </c>
      <c r="AA279" s="30" t="s">
        <v>43</v>
      </c>
      <c r="AB279" s="30">
        <v>9866567601</v>
      </c>
      <c r="AC279" s="30" t="s">
        <v>53</v>
      </c>
    </row>
    <row r="280" spans="8:29" ht="29.5" thickBot="1" x14ac:dyDescent="0.4">
      <c r="H280" s="27" t="s">
        <v>391</v>
      </c>
      <c r="I280" s="27" t="s">
        <v>55</v>
      </c>
      <c r="J280" s="27" t="s">
        <v>105</v>
      </c>
      <c r="K280" s="28">
        <v>46026</v>
      </c>
      <c r="L280" s="28">
        <v>46036</v>
      </c>
      <c r="M280" s="27" t="s">
        <v>57</v>
      </c>
      <c r="N280" s="27" t="s">
        <v>58</v>
      </c>
      <c r="O280" s="28">
        <v>31314</v>
      </c>
      <c r="P280" s="27" t="s">
        <v>37</v>
      </c>
      <c r="Q280" s="27" t="s">
        <v>38</v>
      </c>
      <c r="R280" s="27" t="s">
        <v>29</v>
      </c>
      <c r="S280" s="27" t="s">
        <v>107</v>
      </c>
      <c r="T280" s="27">
        <v>6</v>
      </c>
      <c r="U280" s="27">
        <v>8500</v>
      </c>
      <c r="V280" s="27">
        <v>10</v>
      </c>
      <c r="W280" s="27">
        <v>45900</v>
      </c>
      <c r="X280" s="27">
        <v>5</v>
      </c>
      <c r="Y280" s="27" t="s">
        <v>65</v>
      </c>
      <c r="Z280" s="27" t="s">
        <v>50</v>
      </c>
      <c r="AA280" s="27" t="s">
        <v>61</v>
      </c>
      <c r="AB280" s="27">
        <v>9477282450</v>
      </c>
      <c r="AC280" s="21" t="s">
        <v>34</v>
      </c>
    </row>
    <row r="281" spans="8:29" ht="15" thickBot="1" x14ac:dyDescent="0.4">
      <c r="H281" s="30" t="s">
        <v>392</v>
      </c>
      <c r="I281" s="30" t="s">
        <v>23</v>
      </c>
      <c r="J281" s="30" t="s">
        <v>125</v>
      </c>
      <c r="K281" s="31">
        <v>45889</v>
      </c>
      <c r="L281" s="31">
        <v>45894</v>
      </c>
      <c r="M281" s="30" t="s">
        <v>25</v>
      </c>
      <c r="N281" s="30" t="s">
        <v>26</v>
      </c>
      <c r="O281" s="31">
        <v>31028</v>
      </c>
      <c r="P281" s="30" t="s">
        <v>121</v>
      </c>
      <c r="Q281" s="30" t="s">
        <v>38</v>
      </c>
      <c r="R281" s="30" t="s">
        <v>83</v>
      </c>
      <c r="S281" s="30" t="s">
        <v>127</v>
      </c>
      <c r="T281" s="30">
        <v>6</v>
      </c>
      <c r="U281" s="30">
        <v>20</v>
      </c>
      <c r="V281" s="30">
        <v>15</v>
      </c>
      <c r="W281" s="30">
        <v>102</v>
      </c>
      <c r="X281" s="30">
        <v>2</v>
      </c>
      <c r="Y281" s="30" t="s">
        <v>65</v>
      </c>
      <c r="Z281" s="30" t="s">
        <v>42</v>
      </c>
      <c r="AA281" s="30" t="s">
        <v>43</v>
      </c>
      <c r="AB281" s="30">
        <v>9857621478</v>
      </c>
      <c r="AC281" s="30" t="s">
        <v>53</v>
      </c>
    </row>
    <row r="282" spans="8:29" ht="15" thickBot="1" x14ac:dyDescent="0.4">
      <c r="H282" s="27" t="s">
        <v>393</v>
      </c>
      <c r="I282" s="27" t="s">
        <v>45</v>
      </c>
      <c r="J282" s="27" t="s">
        <v>82</v>
      </c>
      <c r="K282" s="28">
        <v>45780</v>
      </c>
      <c r="L282" s="28">
        <v>45788</v>
      </c>
      <c r="M282" s="27" t="s">
        <v>101</v>
      </c>
      <c r="N282" s="27" t="s">
        <v>26</v>
      </c>
      <c r="O282" s="28">
        <v>30883</v>
      </c>
      <c r="P282" s="27" t="s">
        <v>74</v>
      </c>
      <c r="Q282" s="27" t="s">
        <v>75</v>
      </c>
      <c r="R282" s="27" t="s">
        <v>83</v>
      </c>
      <c r="S282" s="27" t="s">
        <v>84</v>
      </c>
      <c r="T282" s="27">
        <v>6</v>
      </c>
      <c r="U282" s="27">
        <v>60</v>
      </c>
      <c r="V282" s="27">
        <v>5</v>
      </c>
      <c r="W282" s="27">
        <v>342</v>
      </c>
      <c r="X282" s="27">
        <v>1</v>
      </c>
      <c r="Y282" s="27" t="s">
        <v>41</v>
      </c>
      <c r="Z282" s="27" t="s">
        <v>50</v>
      </c>
      <c r="AA282" s="27" t="s">
        <v>51</v>
      </c>
      <c r="AB282" s="27">
        <v>9753869055</v>
      </c>
      <c r="AC282" s="21" t="s">
        <v>34</v>
      </c>
    </row>
    <row r="283" spans="8:29" ht="15" thickBot="1" x14ac:dyDescent="0.4">
      <c r="H283" s="30" t="s">
        <v>394</v>
      </c>
      <c r="I283" s="30" t="s">
        <v>87</v>
      </c>
      <c r="J283" s="30" t="s">
        <v>105</v>
      </c>
      <c r="K283" s="31">
        <v>45666</v>
      </c>
      <c r="L283" s="31">
        <v>45669</v>
      </c>
      <c r="M283" s="30" t="s">
        <v>88</v>
      </c>
      <c r="N283" s="30" t="s">
        <v>58</v>
      </c>
      <c r="O283" s="31">
        <v>32217</v>
      </c>
      <c r="P283" s="30" t="s">
        <v>27</v>
      </c>
      <c r="Q283" s="30" t="s">
        <v>28</v>
      </c>
      <c r="R283" s="30" t="s">
        <v>29</v>
      </c>
      <c r="S283" s="30" t="s">
        <v>107</v>
      </c>
      <c r="T283" s="30">
        <v>19</v>
      </c>
      <c r="U283" s="30">
        <v>8500</v>
      </c>
      <c r="V283" s="30">
        <v>0</v>
      </c>
      <c r="W283" s="30">
        <v>161500</v>
      </c>
      <c r="X283" s="30">
        <v>5</v>
      </c>
      <c r="Y283" s="30" t="s">
        <v>65</v>
      </c>
      <c r="Z283" s="30" t="s">
        <v>96</v>
      </c>
      <c r="AA283" s="30" t="s">
        <v>89</v>
      </c>
      <c r="AB283" s="30">
        <v>9663266204</v>
      </c>
      <c r="AC283" s="22" t="s">
        <v>34</v>
      </c>
    </row>
    <row r="284" spans="8:29" ht="15" thickBot="1" x14ac:dyDescent="0.4">
      <c r="H284" s="27" t="s">
        <v>395</v>
      </c>
      <c r="I284" s="27" t="s">
        <v>134</v>
      </c>
      <c r="J284" s="27" t="s">
        <v>46</v>
      </c>
      <c r="K284" s="28">
        <v>45901</v>
      </c>
      <c r="L284" s="28">
        <v>45910</v>
      </c>
      <c r="M284" s="27" t="s">
        <v>135</v>
      </c>
      <c r="N284" s="27" t="s">
        <v>26</v>
      </c>
      <c r="O284" s="28">
        <v>31924</v>
      </c>
      <c r="P284" s="27" t="s">
        <v>121</v>
      </c>
      <c r="Q284" s="27" t="s">
        <v>38</v>
      </c>
      <c r="R284" s="27" t="s">
        <v>39</v>
      </c>
      <c r="S284" s="27" t="s">
        <v>49</v>
      </c>
      <c r="T284" s="27">
        <v>8</v>
      </c>
      <c r="U284" s="27">
        <v>55000</v>
      </c>
      <c r="V284" s="27">
        <v>0</v>
      </c>
      <c r="W284" s="27">
        <v>440000</v>
      </c>
      <c r="X284" s="27">
        <v>3</v>
      </c>
      <c r="Y284" s="27" t="s">
        <v>60</v>
      </c>
      <c r="Z284" s="27" t="s">
        <v>80</v>
      </c>
      <c r="AA284" s="27" t="s">
        <v>136</v>
      </c>
      <c r="AB284" s="27">
        <v>9675208616</v>
      </c>
      <c r="AC284" s="27" t="s">
        <v>52</v>
      </c>
    </row>
    <row r="285" spans="8:29" ht="29.5" thickBot="1" x14ac:dyDescent="0.4">
      <c r="H285" s="30" t="s">
        <v>396</v>
      </c>
      <c r="I285" s="30" t="s">
        <v>55</v>
      </c>
      <c r="J285" s="30" t="s">
        <v>36</v>
      </c>
      <c r="K285" s="31">
        <v>46144</v>
      </c>
      <c r="L285" s="31">
        <v>46149</v>
      </c>
      <c r="M285" s="30" t="s">
        <v>57</v>
      </c>
      <c r="N285" s="30" t="s">
        <v>58</v>
      </c>
      <c r="O285" s="31">
        <v>32441</v>
      </c>
      <c r="P285" s="30" t="s">
        <v>147</v>
      </c>
      <c r="Q285" s="30" t="s">
        <v>148</v>
      </c>
      <c r="R285" s="30" t="s">
        <v>39</v>
      </c>
      <c r="S285" s="30" t="s">
        <v>40</v>
      </c>
      <c r="T285" s="30">
        <v>18</v>
      </c>
      <c r="U285" s="30">
        <v>12000</v>
      </c>
      <c r="V285" s="30">
        <v>20</v>
      </c>
      <c r="W285" s="30">
        <v>172800</v>
      </c>
      <c r="X285" s="30">
        <v>5</v>
      </c>
      <c r="Y285" s="30" t="s">
        <v>65</v>
      </c>
      <c r="Z285" s="30" t="s">
        <v>50</v>
      </c>
      <c r="AA285" s="30" t="s">
        <v>61</v>
      </c>
      <c r="AB285" s="30">
        <v>9618393586</v>
      </c>
      <c r="AC285" s="30" t="s">
        <v>53</v>
      </c>
    </row>
    <row r="286" spans="8:29" ht="15" thickBot="1" x14ac:dyDescent="0.4">
      <c r="H286" s="27" t="s">
        <v>397</v>
      </c>
      <c r="I286" s="27" t="s">
        <v>87</v>
      </c>
      <c r="J286" s="27" t="s">
        <v>105</v>
      </c>
      <c r="K286" s="28">
        <v>45764</v>
      </c>
      <c r="L286" s="28">
        <v>45773</v>
      </c>
      <c r="M286" s="27" t="s">
        <v>88</v>
      </c>
      <c r="N286" s="27" t="s">
        <v>58</v>
      </c>
      <c r="O286" s="28">
        <v>33219</v>
      </c>
      <c r="P286" s="27" t="s">
        <v>91</v>
      </c>
      <c r="Q286" s="27" t="s">
        <v>75</v>
      </c>
      <c r="R286" s="27" t="s">
        <v>29</v>
      </c>
      <c r="S286" s="27" t="s">
        <v>107</v>
      </c>
      <c r="T286" s="27">
        <v>8</v>
      </c>
      <c r="U286" s="27">
        <v>8500</v>
      </c>
      <c r="V286" s="27">
        <v>5</v>
      </c>
      <c r="W286" s="27">
        <v>64600</v>
      </c>
      <c r="X286" s="27">
        <v>2</v>
      </c>
      <c r="Y286" s="27" t="s">
        <v>60</v>
      </c>
      <c r="Z286" s="27" t="s">
        <v>50</v>
      </c>
      <c r="AA286" s="27" t="s">
        <v>89</v>
      </c>
      <c r="AB286" s="27">
        <v>9137027840</v>
      </c>
      <c r="AC286" s="27" t="s">
        <v>53</v>
      </c>
    </row>
    <row r="287" spans="8:29" ht="15" thickBot="1" x14ac:dyDescent="0.4">
      <c r="H287" s="30" t="s">
        <v>398</v>
      </c>
      <c r="I287" s="30" t="s">
        <v>23</v>
      </c>
      <c r="J287" s="30" t="s">
        <v>125</v>
      </c>
      <c r="K287" s="31">
        <v>45878</v>
      </c>
      <c r="L287" s="31">
        <v>45887</v>
      </c>
      <c r="M287" s="30" t="s">
        <v>25</v>
      </c>
      <c r="N287" s="30" t="s">
        <v>26</v>
      </c>
      <c r="O287" s="31">
        <v>29640</v>
      </c>
      <c r="P287" s="30" t="s">
        <v>74</v>
      </c>
      <c r="Q287" s="30" t="s">
        <v>75</v>
      </c>
      <c r="R287" s="30" t="s">
        <v>83</v>
      </c>
      <c r="S287" s="30" t="s">
        <v>127</v>
      </c>
      <c r="T287" s="30">
        <v>13</v>
      </c>
      <c r="U287" s="30">
        <v>20</v>
      </c>
      <c r="V287" s="30">
        <v>5</v>
      </c>
      <c r="W287" s="30">
        <v>247</v>
      </c>
      <c r="X287" s="30">
        <v>3</v>
      </c>
      <c r="Y287" s="30" t="s">
        <v>41</v>
      </c>
      <c r="Z287" s="30" t="s">
        <v>80</v>
      </c>
      <c r="AA287" s="30" t="s">
        <v>43</v>
      </c>
      <c r="AB287" s="30">
        <v>9362758134</v>
      </c>
      <c r="AC287" s="30" t="s">
        <v>52</v>
      </c>
    </row>
    <row r="288" spans="8:29" ht="15" thickBot="1" x14ac:dyDescent="0.4">
      <c r="H288" s="27" t="s">
        <v>399</v>
      </c>
      <c r="I288" s="27" t="s">
        <v>63</v>
      </c>
      <c r="J288" s="27" t="s">
        <v>82</v>
      </c>
      <c r="K288" s="28">
        <v>46116</v>
      </c>
      <c r="L288" s="28">
        <v>46128</v>
      </c>
      <c r="M288" s="27" t="s">
        <v>110</v>
      </c>
      <c r="N288" s="27" t="s">
        <v>58</v>
      </c>
      <c r="O288" s="28">
        <v>31140</v>
      </c>
      <c r="P288" s="27" t="s">
        <v>121</v>
      </c>
      <c r="Q288" s="27" t="s">
        <v>38</v>
      </c>
      <c r="R288" s="27" t="s">
        <v>83</v>
      </c>
      <c r="S288" s="27" t="s">
        <v>84</v>
      </c>
      <c r="T288" s="27">
        <v>1</v>
      </c>
      <c r="U288" s="27">
        <v>60</v>
      </c>
      <c r="V288" s="27">
        <v>15</v>
      </c>
      <c r="W288" s="27">
        <v>51</v>
      </c>
      <c r="X288" s="27">
        <v>2</v>
      </c>
      <c r="Y288" s="27" t="s">
        <v>60</v>
      </c>
      <c r="Z288" s="27" t="s">
        <v>50</v>
      </c>
      <c r="AA288" s="27" t="s">
        <v>66</v>
      </c>
      <c r="AB288" s="27">
        <v>9648541985</v>
      </c>
      <c r="AC288" s="27" t="s">
        <v>53</v>
      </c>
    </row>
    <row r="289" spans="8:29" ht="15" thickBot="1" x14ac:dyDescent="0.4">
      <c r="H289" s="30" t="s">
        <v>400</v>
      </c>
      <c r="I289" s="30" t="s">
        <v>45</v>
      </c>
      <c r="J289" s="30" t="s">
        <v>125</v>
      </c>
      <c r="K289" s="31">
        <v>45830</v>
      </c>
      <c r="L289" s="31">
        <v>45836</v>
      </c>
      <c r="M289" s="30" t="s">
        <v>101</v>
      </c>
      <c r="N289" s="30" t="s">
        <v>26</v>
      </c>
      <c r="O289" s="31">
        <v>27978</v>
      </c>
      <c r="P289" s="30" t="s">
        <v>79</v>
      </c>
      <c r="Q289" s="30" t="s">
        <v>75</v>
      </c>
      <c r="R289" s="30" t="s">
        <v>83</v>
      </c>
      <c r="S289" s="30" t="s">
        <v>127</v>
      </c>
      <c r="T289" s="30">
        <v>5</v>
      </c>
      <c r="U289" s="30">
        <v>20</v>
      </c>
      <c r="V289" s="30">
        <v>5</v>
      </c>
      <c r="W289" s="30">
        <v>95</v>
      </c>
      <c r="X289" s="30">
        <v>2</v>
      </c>
      <c r="Y289" s="30" t="s">
        <v>41</v>
      </c>
      <c r="Z289" s="30" t="s">
        <v>42</v>
      </c>
      <c r="AA289" s="30" t="s">
        <v>51</v>
      </c>
      <c r="AB289" s="30">
        <v>9175002781</v>
      </c>
      <c r="AC289" s="30" t="s">
        <v>52</v>
      </c>
    </row>
    <row r="290" spans="8:29" ht="15" thickBot="1" x14ac:dyDescent="0.4">
      <c r="H290" s="27" t="s">
        <v>401</v>
      </c>
      <c r="I290" s="27" t="s">
        <v>124</v>
      </c>
      <c r="J290" s="27" t="s">
        <v>125</v>
      </c>
      <c r="K290" s="28">
        <v>45796</v>
      </c>
      <c r="L290" s="28">
        <v>45801</v>
      </c>
      <c r="M290" s="27" t="s">
        <v>126</v>
      </c>
      <c r="N290" s="27" t="s">
        <v>58</v>
      </c>
      <c r="O290" s="28">
        <v>28623</v>
      </c>
      <c r="P290" s="27" t="s">
        <v>147</v>
      </c>
      <c r="Q290" s="27" t="s">
        <v>148</v>
      </c>
      <c r="R290" s="27" t="s">
        <v>83</v>
      </c>
      <c r="S290" s="27" t="s">
        <v>127</v>
      </c>
      <c r="T290" s="27">
        <v>19</v>
      </c>
      <c r="U290" s="27">
        <v>20</v>
      </c>
      <c r="V290" s="27">
        <v>20</v>
      </c>
      <c r="W290" s="27">
        <v>304</v>
      </c>
      <c r="X290" s="27">
        <v>3</v>
      </c>
      <c r="Y290" s="27" t="s">
        <v>31</v>
      </c>
      <c r="Z290" s="27" t="s">
        <v>32</v>
      </c>
      <c r="AA290" s="27" t="s">
        <v>128</v>
      </c>
      <c r="AB290" s="27">
        <v>9786241263</v>
      </c>
      <c r="AC290" s="27" t="s">
        <v>53</v>
      </c>
    </row>
    <row r="291" spans="8:29" ht="15" thickBot="1" x14ac:dyDescent="0.4">
      <c r="H291" s="30" t="s">
        <v>402</v>
      </c>
      <c r="I291" s="30" t="s">
        <v>72</v>
      </c>
      <c r="J291" s="30" t="s">
        <v>138</v>
      </c>
      <c r="K291" s="31">
        <v>45745</v>
      </c>
      <c r="L291" s="31">
        <v>45754</v>
      </c>
      <c r="M291" s="30" t="s">
        <v>73</v>
      </c>
      <c r="N291" s="30" t="s">
        <v>26</v>
      </c>
      <c r="O291" s="31">
        <v>36026</v>
      </c>
      <c r="P291" s="30" t="s">
        <v>91</v>
      </c>
      <c r="Q291" s="30" t="s">
        <v>75</v>
      </c>
      <c r="R291" s="30" t="s">
        <v>83</v>
      </c>
      <c r="S291" s="30" t="s">
        <v>139</v>
      </c>
      <c r="T291" s="30">
        <v>17</v>
      </c>
      <c r="U291" s="30">
        <v>45</v>
      </c>
      <c r="V291" s="30">
        <v>5</v>
      </c>
      <c r="W291" s="30">
        <v>726.75</v>
      </c>
      <c r="X291" s="30">
        <v>4</v>
      </c>
      <c r="Y291" s="30" t="s">
        <v>31</v>
      </c>
      <c r="Z291" s="30" t="s">
        <v>80</v>
      </c>
      <c r="AA291" s="30" t="s">
        <v>93</v>
      </c>
      <c r="AB291" s="30">
        <v>9691078176</v>
      </c>
      <c r="AC291" s="30" t="s">
        <v>52</v>
      </c>
    </row>
    <row r="292" spans="8:29" ht="15" thickBot="1" x14ac:dyDescent="0.4">
      <c r="H292" s="27" t="s">
        <v>403</v>
      </c>
      <c r="I292" s="27" t="s">
        <v>63</v>
      </c>
      <c r="J292" s="27" t="s">
        <v>112</v>
      </c>
      <c r="K292" s="28">
        <v>46071</v>
      </c>
      <c r="L292" s="28">
        <v>46075</v>
      </c>
      <c r="M292" s="27" t="s">
        <v>110</v>
      </c>
      <c r="N292" s="27" t="s">
        <v>58</v>
      </c>
      <c r="O292" s="28">
        <v>27687</v>
      </c>
      <c r="P292" s="27" t="s">
        <v>48</v>
      </c>
      <c r="Q292" s="27" t="s">
        <v>28</v>
      </c>
      <c r="R292" s="27" t="s">
        <v>39</v>
      </c>
      <c r="S292" s="27" t="s">
        <v>114</v>
      </c>
      <c r="T292" s="27">
        <v>8</v>
      </c>
      <c r="U292" s="27">
        <v>700</v>
      </c>
      <c r="V292" s="27">
        <v>15</v>
      </c>
      <c r="W292" s="27">
        <v>4760</v>
      </c>
      <c r="X292" s="27">
        <v>4</v>
      </c>
      <c r="Y292" s="27" t="s">
        <v>41</v>
      </c>
      <c r="Z292" s="27" t="s">
        <v>32</v>
      </c>
      <c r="AA292" s="27" t="s">
        <v>66</v>
      </c>
      <c r="AB292" s="27">
        <v>9336679085</v>
      </c>
      <c r="AC292" s="27" t="s">
        <v>52</v>
      </c>
    </row>
    <row r="293" spans="8:29" ht="15" thickBot="1" x14ac:dyDescent="0.4">
      <c r="H293" s="30" t="s">
        <v>404</v>
      </c>
      <c r="I293" s="30" t="s">
        <v>104</v>
      </c>
      <c r="J293" s="30" t="s">
        <v>24</v>
      </c>
      <c r="K293" s="31">
        <v>46043</v>
      </c>
      <c r="L293" s="31">
        <v>46051</v>
      </c>
      <c r="M293" s="30" t="s">
        <v>166</v>
      </c>
      <c r="N293" s="30" t="s">
        <v>26</v>
      </c>
      <c r="O293" s="31">
        <v>27665</v>
      </c>
      <c r="P293" s="30" t="s">
        <v>74</v>
      </c>
      <c r="Q293" s="30" t="s">
        <v>75</v>
      </c>
      <c r="R293" s="30" t="s">
        <v>29</v>
      </c>
      <c r="S293" s="30" t="s">
        <v>30</v>
      </c>
      <c r="T293" s="30">
        <v>15</v>
      </c>
      <c r="U293" s="30">
        <v>2200</v>
      </c>
      <c r="V293" s="30">
        <v>10</v>
      </c>
      <c r="W293" s="30">
        <v>29700</v>
      </c>
      <c r="X293" s="30">
        <v>5</v>
      </c>
      <c r="Y293" s="30" t="s">
        <v>65</v>
      </c>
      <c r="Z293" s="30" t="s">
        <v>96</v>
      </c>
      <c r="AA293" s="30" t="s">
        <v>108</v>
      </c>
      <c r="AB293" s="30">
        <v>9497351043</v>
      </c>
      <c r="AC293" s="22" t="s">
        <v>34</v>
      </c>
    </row>
    <row r="294" spans="8:29" ht="15" thickBot="1" x14ac:dyDescent="0.4">
      <c r="H294" s="27" t="s">
        <v>405</v>
      </c>
      <c r="I294" s="27" t="s">
        <v>72</v>
      </c>
      <c r="J294" s="27" t="s">
        <v>24</v>
      </c>
      <c r="K294" s="28">
        <v>45917</v>
      </c>
      <c r="L294" s="28">
        <v>45929</v>
      </c>
      <c r="M294" s="27" t="s">
        <v>73</v>
      </c>
      <c r="N294" s="27" t="s">
        <v>26</v>
      </c>
      <c r="O294" s="28">
        <v>37522</v>
      </c>
      <c r="P294" s="27" t="s">
        <v>74</v>
      </c>
      <c r="Q294" s="27" t="s">
        <v>75</v>
      </c>
      <c r="R294" s="27" t="s">
        <v>29</v>
      </c>
      <c r="S294" s="27" t="s">
        <v>30</v>
      </c>
      <c r="T294" s="27">
        <v>1</v>
      </c>
      <c r="U294" s="27">
        <v>2200</v>
      </c>
      <c r="V294" s="27">
        <v>0</v>
      </c>
      <c r="W294" s="27">
        <v>2200</v>
      </c>
      <c r="X294" s="27">
        <v>4</v>
      </c>
      <c r="Y294" s="27" t="s">
        <v>31</v>
      </c>
      <c r="Z294" s="27" t="s">
        <v>42</v>
      </c>
      <c r="AA294" s="27" t="s">
        <v>93</v>
      </c>
      <c r="AB294" s="27">
        <v>9357038998</v>
      </c>
      <c r="AC294" s="27" t="s">
        <v>53</v>
      </c>
    </row>
    <row r="295" spans="8:29" ht="15" thickBot="1" x14ac:dyDescent="0.4">
      <c r="H295" s="30" t="s">
        <v>406</v>
      </c>
      <c r="I295" s="30" t="s">
        <v>134</v>
      </c>
      <c r="J295" s="30" t="s">
        <v>68</v>
      </c>
      <c r="K295" s="31">
        <v>45827</v>
      </c>
      <c r="L295" s="31">
        <v>45838</v>
      </c>
      <c r="M295" s="30" t="s">
        <v>135</v>
      </c>
      <c r="N295" s="30" t="s">
        <v>26</v>
      </c>
      <c r="O295" s="31">
        <v>32311</v>
      </c>
      <c r="P295" s="30" t="s">
        <v>91</v>
      </c>
      <c r="Q295" s="30" t="s">
        <v>75</v>
      </c>
      <c r="R295" s="30" t="s">
        <v>29</v>
      </c>
      <c r="S295" s="30" t="s">
        <v>70</v>
      </c>
      <c r="T295" s="30">
        <v>10</v>
      </c>
      <c r="U295" s="30">
        <v>3500</v>
      </c>
      <c r="V295" s="30">
        <v>10</v>
      </c>
      <c r="W295" s="30">
        <v>31500</v>
      </c>
      <c r="X295" s="30">
        <v>4</v>
      </c>
      <c r="Y295" s="30" t="s">
        <v>41</v>
      </c>
      <c r="Z295" s="30" t="s">
        <v>32</v>
      </c>
      <c r="AA295" s="30" t="s">
        <v>136</v>
      </c>
      <c r="AB295" s="30">
        <v>9986371291</v>
      </c>
      <c r="AC295" s="30" t="s">
        <v>53</v>
      </c>
    </row>
    <row r="296" spans="8:29" ht="29.5" thickBot="1" x14ac:dyDescent="0.4">
      <c r="H296" s="27" t="s">
        <v>407</v>
      </c>
      <c r="I296" s="27" t="s">
        <v>55</v>
      </c>
      <c r="J296" s="27" t="s">
        <v>68</v>
      </c>
      <c r="K296" s="28">
        <v>45789</v>
      </c>
      <c r="L296" s="28">
        <v>45793</v>
      </c>
      <c r="M296" s="27" t="s">
        <v>57</v>
      </c>
      <c r="N296" s="27" t="s">
        <v>58</v>
      </c>
      <c r="O296" s="28">
        <v>33271</v>
      </c>
      <c r="P296" s="27" t="s">
        <v>121</v>
      </c>
      <c r="Q296" s="27" t="s">
        <v>38</v>
      </c>
      <c r="R296" s="27" t="s">
        <v>29</v>
      </c>
      <c r="S296" s="27" t="s">
        <v>70</v>
      </c>
      <c r="T296" s="27">
        <v>16</v>
      </c>
      <c r="U296" s="27">
        <v>3500</v>
      </c>
      <c r="V296" s="27">
        <v>15</v>
      </c>
      <c r="W296" s="27">
        <v>47600</v>
      </c>
      <c r="X296" s="27">
        <v>1</v>
      </c>
      <c r="Y296" s="27" t="s">
        <v>60</v>
      </c>
      <c r="Z296" s="27" t="s">
        <v>80</v>
      </c>
      <c r="AA296" s="27" t="s">
        <v>61</v>
      </c>
      <c r="AB296" s="27">
        <v>9397839191</v>
      </c>
      <c r="AC296" s="27" t="s">
        <v>52</v>
      </c>
    </row>
    <row r="297" spans="8:29" ht="15" thickBot="1" x14ac:dyDescent="0.4">
      <c r="H297" s="30" t="s">
        <v>408</v>
      </c>
      <c r="I297" s="30" t="s">
        <v>134</v>
      </c>
      <c r="J297" s="30" t="s">
        <v>36</v>
      </c>
      <c r="K297" s="31">
        <v>45906</v>
      </c>
      <c r="L297" s="31">
        <v>45918</v>
      </c>
      <c r="M297" s="30" t="s">
        <v>135</v>
      </c>
      <c r="N297" s="30" t="s">
        <v>26</v>
      </c>
      <c r="O297" s="31">
        <v>28711</v>
      </c>
      <c r="P297" s="30" t="s">
        <v>121</v>
      </c>
      <c r="Q297" s="30" t="s">
        <v>38</v>
      </c>
      <c r="R297" s="30" t="s">
        <v>39</v>
      </c>
      <c r="S297" s="30" t="s">
        <v>40</v>
      </c>
      <c r="T297" s="30">
        <v>1</v>
      </c>
      <c r="U297" s="30">
        <v>12000</v>
      </c>
      <c r="V297" s="30">
        <v>0</v>
      </c>
      <c r="W297" s="30">
        <v>12000</v>
      </c>
      <c r="X297" s="30">
        <v>4</v>
      </c>
      <c r="Y297" s="30" t="s">
        <v>41</v>
      </c>
      <c r="Z297" s="30" t="s">
        <v>80</v>
      </c>
      <c r="AA297" s="30" t="s">
        <v>136</v>
      </c>
      <c r="AB297" s="30">
        <v>9162975843</v>
      </c>
      <c r="AC297" s="30" t="s">
        <v>53</v>
      </c>
    </row>
    <row r="298" spans="8:29" ht="15" thickBot="1" x14ac:dyDescent="0.4">
      <c r="H298" s="27" t="s">
        <v>409</v>
      </c>
      <c r="I298" s="27" t="s">
        <v>63</v>
      </c>
      <c r="J298" s="27" t="s">
        <v>112</v>
      </c>
      <c r="K298" s="28">
        <v>45770</v>
      </c>
      <c r="L298" s="28">
        <v>45776</v>
      </c>
      <c r="M298" s="27" t="s">
        <v>110</v>
      </c>
      <c r="N298" s="27" t="s">
        <v>58</v>
      </c>
      <c r="O298" s="28">
        <v>34367</v>
      </c>
      <c r="P298" s="27" t="s">
        <v>74</v>
      </c>
      <c r="Q298" s="27" t="s">
        <v>75</v>
      </c>
      <c r="R298" s="27" t="s">
        <v>39</v>
      </c>
      <c r="S298" s="27" t="s">
        <v>114</v>
      </c>
      <c r="T298" s="27">
        <v>6</v>
      </c>
      <c r="U298" s="27">
        <v>700</v>
      </c>
      <c r="V298" s="27">
        <v>20</v>
      </c>
      <c r="W298" s="27">
        <v>3360</v>
      </c>
      <c r="X298" s="27">
        <v>2</v>
      </c>
      <c r="Y298" s="27" t="s">
        <v>41</v>
      </c>
      <c r="Z298" s="27" t="s">
        <v>80</v>
      </c>
      <c r="AA298" s="27" t="s">
        <v>66</v>
      </c>
      <c r="AB298" s="27">
        <v>9237616558</v>
      </c>
      <c r="AC298" s="27" t="s">
        <v>52</v>
      </c>
    </row>
    <row r="299" spans="8:29" ht="29.5" thickBot="1" x14ac:dyDescent="0.4">
      <c r="H299" s="30" t="s">
        <v>410</v>
      </c>
      <c r="I299" s="30" t="s">
        <v>55</v>
      </c>
      <c r="J299" s="30" t="s">
        <v>24</v>
      </c>
      <c r="K299" s="31">
        <v>46074</v>
      </c>
      <c r="L299" s="31">
        <v>46080</v>
      </c>
      <c r="M299" s="30" t="s">
        <v>57</v>
      </c>
      <c r="N299" s="30" t="s">
        <v>58</v>
      </c>
      <c r="O299" s="31">
        <v>34786</v>
      </c>
      <c r="P299" s="30" t="s">
        <v>91</v>
      </c>
      <c r="Q299" s="30" t="s">
        <v>75</v>
      </c>
      <c r="R299" s="30" t="s">
        <v>29</v>
      </c>
      <c r="S299" s="30" t="s">
        <v>30</v>
      </c>
      <c r="T299" s="30">
        <v>3</v>
      </c>
      <c r="U299" s="30">
        <v>2200</v>
      </c>
      <c r="V299" s="30">
        <v>0</v>
      </c>
      <c r="W299" s="30">
        <v>6600</v>
      </c>
      <c r="X299" s="30">
        <v>4</v>
      </c>
      <c r="Y299" s="30" t="s">
        <v>60</v>
      </c>
      <c r="Z299" s="30" t="s">
        <v>32</v>
      </c>
      <c r="AA299" s="30" t="s">
        <v>61</v>
      </c>
      <c r="AB299" s="30">
        <v>9935063989</v>
      </c>
      <c r="AC299" s="22" t="s">
        <v>34</v>
      </c>
    </row>
    <row r="300" spans="8:29" ht="15" thickBot="1" x14ac:dyDescent="0.4">
      <c r="H300" s="27" t="s">
        <v>411</v>
      </c>
      <c r="I300" s="27" t="s">
        <v>134</v>
      </c>
      <c r="J300" s="27" t="s">
        <v>138</v>
      </c>
      <c r="K300" s="28">
        <v>46019</v>
      </c>
      <c r="L300" s="28">
        <v>46023</v>
      </c>
      <c r="M300" s="27" t="s">
        <v>135</v>
      </c>
      <c r="N300" s="27" t="s">
        <v>26</v>
      </c>
      <c r="O300" s="28">
        <v>33675</v>
      </c>
      <c r="P300" s="27" t="s">
        <v>27</v>
      </c>
      <c r="Q300" s="27" t="s">
        <v>28</v>
      </c>
      <c r="R300" s="27" t="s">
        <v>83</v>
      </c>
      <c r="S300" s="27" t="s">
        <v>139</v>
      </c>
      <c r="T300" s="27">
        <v>6</v>
      </c>
      <c r="U300" s="27">
        <v>45</v>
      </c>
      <c r="V300" s="27">
        <v>15</v>
      </c>
      <c r="W300" s="27">
        <v>229.5</v>
      </c>
      <c r="X300" s="27">
        <v>1</v>
      </c>
      <c r="Y300" s="27" t="s">
        <v>65</v>
      </c>
      <c r="Z300" s="27" t="s">
        <v>42</v>
      </c>
      <c r="AA300" s="27" t="s">
        <v>136</v>
      </c>
      <c r="AB300" s="27">
        <v>9167376169</v>
      </c>
      <c r="AC300" s="21" t="s">
        <v>34</v>
      </c>
    </row>
    <row r="301" spans="8:29" ht="15" thickBot="1" x14ac:dyDescent="0.4">
      <c r="H301" s="30" t="s">
        <v>412</v>
      </c>
      <c r="I301" s="30" t="s">
        <v>134</v>
      </c>
      <c r="J301" s="30" t="s">
        <v>56</v>
      </c>
      <c r="K301" s="31">
        <v>45922</v>
      </c>
      <c r="L301" s="31">
        <v>45930</v>
      </c>
      <c r="M301" s="30" t="s">
        <v>135</v>
      </c>
      <c r="N301" s="30" t="s">
        <v>26</v>
      </c>
      <c r="O301" s="31">
        <v>29609</v>
      </c>
      <c r="P301" s="30" t="s">
        <v>48</v>
      </c>
      <c r="Q301" s="30" t="s">
        <v>28</v>
      </c>
      <c r="R301" s="30" t="s">
        <v>39</v>
      </c>
      <c r="S301" s="30" t="s">
        <v>59</v>
      </c>
      <c r="T301" s="30">
        <v>2</v>
      </c>
      <c r="U301" s="30">
        <v>1200</v>
      </c>
      <c r="V301" s="30">
        <v>0</v>
      </c>
      <c r="W301" s="30">
        <v>2400</v>
      </c>
      <c r="X301" s="30">
        <v>1</v>
      </c>
      <c r="Y301" s="30" t="s">
        <v>31</v>
      </c>
      <c r="Z301" s="30" t="s">
        <v>96</v>
      </c>
      <c r="AA301" s="30" t="s">
        <v>136</v>
      </c>
      <c r="AB301" s="30">
        <v>9231845497</v>
      </c>
      <c r="AC301" s="30" t="s">
        <v>53</v>
      </c>
    </row>
    <row r="302" spans="8:29" ht="15" thickBot="1" x14ac:dyDescent="0.4">
      <c r="H302" s="27" t="s">
        <v>413</v>
      </c>
      <c r="I302" s="27" t="s">
        <v>104</v>
      </c>
      <c r="J302" s="27" t="s">
        <v>112</v>
      </c>
      <c r="K302" s="28">
        <v>46150</v>
      </c>
      <c r="L302" s="28">
        <v>46153</v>
      </c>
      <c r="M302" s="27" t="s">
        <v>166</v>
      </c>
      <c r="N302" s="27" t="s">
        <v>26</v>
      </c>
      <c r="O302" s="28">
        <v>30953</v>
      </c>
      <c r="P302" s="27" t="s">
        <v>27</v>
      </c>
      <c r="Q302" s="27" t="s">
        <v>28</v>
      </c>
      <c r="R302" s="27" t="s">
        <v>39</v>
      </c>
      <c r="S302" s="27" t="s">
        <v>114</v>
      </c>
      <c r="T302" s="27">
        <v>14</v>
      </c>
      <c r="U302" s="27">
        <v>700</v>
      </c>
      <c r="V302" s="27">
        <v>15</v>
      </c>
      <c r="W302" s="27">
        <v>8330</v>
      </c>
      <c r="X302" s="27">
        <v>5</v>
      </c>
      <c r="Y302" s="27" t="s">
        <v>31</v>
      </c>
      <c r="Z302" s="27" t="s">
        <v>80</v>
      </c>
      <c r="AA302" s="27" t="s">
        <v>108</v>
      </c>
      <c r="AB302" s="27">
        <v>9409415805</v>
      </c>
      <c r="AC302" s="27" t="s">
        <v>52</v>
      </c>
    </row>
    <row r="303" spans="8:29" ht="15" thickBot="1" x14ac:dyDescent="0.4">
      <c r="H303" s="30" t="s">
        <v>414</v>
      </c>
      <c r="I303" s="30" t="s">
        <v>72</v>
      </c>
      <c r="J303" s="30" t="s">
        <v>125</v>
      </c>
      <c r="K303" s="31">
        <v>45966</v>
      </c>
      <c r="L303" s="31">
        <v>45967</v>
      </c>
      <c r="M303" s="30" t="s">
        <v>73</v>
      </c>
      <c r="N303" s="30" t="s">
        <v>26</v>
      </c>
      <c r="O303" s="31">
        <v>27704</v>
      </c>
      <c r="P303" s="30" t="s">
        <v>74</v>
      </c>
      <c r="Q303" s="30" t="s">
        <v>75</v>
      </c>
      <c r="R303" s="30" t="s">
        <v>83</v>
      </c>
      <c r="S303" s="30" t="s">
        <v>127</v>
      </c>
      <c r="T303" s="30">
        <v>13</v>
      </c>
      <c r="U303" s="30">
        <v>20</v>
      </c>
      <c r="V303" s="30">
        <v>5</v>
      </c>
      <c r="W303" s="30">
        <v>247</v>
      </c>
      <c r="X303" s="30">
        <v>1</v>
      </c>
      <c r="Y303" s="30" t="s">
        <v>60</v>
      </c>
      <c r="Z303" s="30" t="s">
        <v>32</v>
      </c>
      <c r="AA303" s="30" t="s">
        <v>415</v>
      </c>
      <c r="AB303" s="30">
        <v>9240800508</v>
      </c>
      <c r="AC303" s="30" t="s">
        <v>52</v>
      </c>
    </row>
    <row r="304" spans="8:29" ht="29.5" thickBot="1" x14ac:dyDescent="0.4">
      <c r="H304" s="27" t="s">
        <v>416</v>
      </c>
      <c r="I304" s="27" t="s">
        <v>55</v>
      </c>
      <c r="J304" s="27" t="s">
        <v>24</v>
      </c>
      <c r="K304" s="28">
        <v>45724</v>
      </c>
      <c r="L304" s="28">
        <v>45731</v>
      </c>
      <c r="M304" s="27" t="s">
        <v>57</v>
      </c>
      <c r="N304" s="27" t="s">
        <v>58</v>
      </c>
      <c r="O304" s="28">
        <v>34876</v>
      </c>
      <c r="P304" s="27" t="s">
        <v>79</v>
      </c>
      <c r="Q304" s="27" t="s">
        <v>75</v>
      </c>
      <c r="R304" s="27" t="s">
        <v>29</v>
      </c>
      <c r="S304" s="27" t="s">
        <v>30</v>
      </c>
      <c r="T304" s="27">
        <v>3</v>
      </c>
      <c r="U304" s="27">
        <v>2200</v>
      </c>
      <c r="V304" s="27">
        <v>0</v>
      </c>
      <c r="W304" s="27">
        <v>6600</v>
      </c>
      <c r="X304" s="27">
        <v>4</v>
      </c>
      <c r="Y304" s="27" t="s">
        <v>41</v>
      </c>
      <c r="Z304" s="27" t="s">
        <v>50</v>
      </c>
      <c r="AA304" s="27" t="s">
        <v>61</v>
      </c>
      <c r="AB304" s="27">
        <v>9764609936</v>
      </c>
      <c r="AC304" s="27" t="s">
        <v>53</v>
      </c>
    </row>
    <row r="305" spans="8:29" ht="29.5" thickBot="1" x14ac:dyDescent="0.4">
      <c r="H305" s="30" t="s">
        <v>417</v>
      </c>
      <c r="I305" s="30" t="s">
        <v>55</v>
      </c>
      <c r="J305" s="30" t="s">
        <v>82</v>
      </c>
      <c r="K305" s="31">
        <v>46062</v>
      </c>
      <c r="L305" s="31">
        <v>46074</v>
      </c>
      <c r="M305" s="30" t="s">
        <v>57</v>
      </c>
      <c r="N305" s="30" t="s">
        <v>58</v>
      </c>
      <c r="O305" s="31">
        <v>29180</v>
      </c>
      <c r="P305" s="30" t="s">
        <v>79</v>
      </c>
      <c r="Q305" s="30" t="s">
        <v>75</v>
      </c>
      <c r="R305" s="30" t="s">
        <v>83</v>
      </c>
      <c r="S305" s="30" t="s">
        <v>84</v>
      </c>
      <c r="T305" s="30">
        <v>3</v>
      </c>
      <c r="U305" s="30">
        <v>60</v>
      </c>
      <c r="V305" s="30">
        <v>15</v>
      </c>
      <c r="W305" s="30">
        <v>153</v>
      </c>
      <c r="X305" s="30">
        <v>4</v>
      </c>
      <c r="Y305" s="30" t="s">
        <v>65</v>
      </c>
      <c r="Z305" s="30" t="s">
        <v>80</v>
      </c>
      <c r="AA305" s="30" t="s">
        <v>61</v>
      </c>
      <c r="AB305" s="30">
        <v>9362733217</v>
      </c>
      <c r="AC305" s="22" t="s">
        <v>34</v>
      </c>
    </row>
    <row r="306" spans="8:29" ht="15" thickBot="1" x14ac:dyDescent="0.4">
      <c r="H306" s="27" t="s">
        <v>418</v>
      </c>
      <c r="I306" s="27" t="s">
        <v>87</v>
      </c>
      <c r="J306" s="27" t="s">
        <v>68</v>
      </c>
      <c r="K306" s="28">
        <v>45733</v>
      </c>
      <c r="L306" s="28">
        <v>45739</v>
      </c>
      <c r="M306" s="27" t="s">
        <v>88</v>
      </c>
      <c r="N306" s="27" t="s">
        <v>58</v>
      </c>
      <c r="O306" s="28">
        <v>31805</v>
      </c>
      <c r="P306" s="27" t="s">
        <v>74</v>
      </c>
      <c r="Q306" s="27" t="s">
        <v>75</v>
      </c>
      <c r="R306" s="27" t="s">
        <v>29</v>
      </c>
      <c r="S306" s="27" t="s">
        <v>70</v>
      </c>
      <c r="T306" s="27">
        <v>9</v>
      </c>
      <c r="U306" s="27">
        <v>3500</v>
      </c>
      <c r="V306" s="27">
        <v>5</v>
      </c>
      <c r="W306" s="27">
        <v>29925</v>
      </c>
      <c r="X306" s="27">
        <v>1</v>
      </c>
      <c r="Y306" s="27" t="s">
        <v>31</v>
      </c>
      <c r="Z306" s="27" t="s">
        <v>50</v>
      </c>
      <c r="AA306" s="27" t="s">
        <v>89</v>
      </c>
      <c r="AB306" s="27">
        <v>9270466205</v>
      </c>
      <c r="AC306" s="27" t="s">
        <v>52</v>
      </c>
    </row>
    <row r="307" spans="8:29" ht="29.5" thickBot="1" x14ac:dyDescent="0.4">
      <c r="H307" s="30" t="s">
        <v>419</v>
      </c>
      <c r="I307" s="30" t="s">
        <v>156</v>
      </c>
      <c r="J307" s="30" t="s">
        <v>56</v>
      </c>
      <c r="K307" s="31">
        <v>45743</v>
      </c>
      <c r="L307" s="31">
        <v>45748</v>
      </c>
      <c r="M307" s="30" t="s">
        <v>106</v>
      </c>
      <c r="N307" s="30" t="s">
        <v>58</v>
      </c>
      <c r="O307" s="31">
        <v>36930</v>
      </c>
      <c r="P307" s="30" t="s">
        <v>121</v>
      </c>
      <c r="Q307" s="30" t="s">
        <v>38</v>
      </c>
      <c r="R307" s="30" t="s">
        <v>39</v>
      </c>
      <c r="S307" s="30" t="s">
        <v>59</v>
      </c>
      <c r="T307" s="30">
        <v>5</v>
      </c>
      <c r="U307" s="30">
        <v>1200</v>
      </c>
      <c r="V307" s="30">
        <v>20</v>
      </c>
      <c r="W307" s="30">
        <v>4800</v>
      </c>
      <c r="X307" s="30">
        <v>2</v>
      </c>
      <c r="Y307" s="30" t="s">
        <v>65</v>
      </c>
      <c r="Z307" s="30" t="s">
        <v>80</v>
      </c>
      <c r="AA307" s="30" t="s">
        <v>158</v>
      </c>
      <c r="AB307" s="30">
        <v>9571436865</v>
      </c>
      <c r="AC307" s="30" t="s">
        <v>52</v>
      </c>
    </row>
    <row r="308" spans="8:29" ht="15" thickBot="1" x14ac:dyDescent="0.4">
      <c r="H308" s="27" t="s">
        <v>420</v>
      </c>
      <c r="I308" s="27" t="s">
        <v>45</v>
      </c>
      <c r="J308" s="27" t="s">
        <v>56</v>
      </c>
      <c r="K308" s="28">
        <v>45728</v>
      </c>
      <c r="L308" s="28">
        <v>45730</v>
      </c>
      <c r="M308" s="27" t="s">
        <v>101</v>
      </c>
      <c r="N308" s="27" t="s">
        <v>26</v>
      </c>
      <c r="O308" s="28">
        <v>32856</v>
      </c>
      <c r="P308" s="27" t="s">
        <v>121</v>
      </c>
      <c r="Q308" s="27" t="s">
        <v>38</v>
      </c>
      <c r="R308" s="27" t="s">
        <v>39</v>
      </c>
      <c r="S308" s="27" t="s">
        <v>59</v>
      </c>
      <c r="T308" s="27">
        <v>10</v>
      </c>
      <c r="U308" s="27">
        <v>1200</v>
      </c>
      <c r="V308" s="27">
        <v>20</v>
      </c>
      <c r="W308" s="27">
        <v>9600</v>
      </c>
      <c r="X308" s="27">
        <v>4</v>
      </c>
      <c r="Y308" s="27" t="s">
        <v>31</v>
      </c>
      <c r="Z308" s="27" t="s">
        <v>42</v>
      </c>
      <c r="AA308" s="29" t="s">
        <v>421</v>
      </c>
      <c r="AB308" s="27">
        <v>9307011171</v>
      </c>
      <c r="AC308" s="21" t="s">
        <v>34</v>
      </c>
    </row>
    <row r="309" spans="8:29" ht="15" thickBot="1" x14ac:dyDescent="0.4">
      <c r="H309" s="30" t="s">
        <v>422</v>
      </c>
      <c r="I309" s="30" t="s">
        <v>23</v>
      </c>
      <c r="J309" s="30" t="s">
        <v>56</v>
      </c>
      <c r="K309" s="31">
        <v>46066</v>
      </c>
      <c r="L309" s="31">
        <v>46077</v>
      </c>
      <c r="M309" s="30" t="s">
        <v>25</v>
      </c>
      <c r="N309" s="30" t="s">
        <v>26</v>
      </c>
      <c r="O309" s="31">
        <v>32492</v>
      </c>
      <c r="P309" s="30" t="s">
        <v>91</v>
      </c>
      <c r="Q309" s="30" t="s">
        <v>75</v>
      </c>
      <c r="R309" s="30" t="s">
        <v>39</v>
      </c>
      <c r="S309" s="30" t="s">
        <v>59</v>
      </c>
      <c r="T309" s="30">
        <v>5</v>
      </c>
      <c r="U309" s="30">
        <v>1200</v>
      </c>
      <c r="V309" s="30">
        <v>20</v>
      </c>
      <c r="W309" s="30">
        <v>4800</v>
      </c>
      <c r="X309" s="30">
        <v>3</v>
      </c>
      <c r="Y309" s="30" t="s">
        <v>41</v>
      </c>
      <c r="Z309" s="30" t="s">
        <v>96</v>
      </c>
      <c r="AA309" s="30" t="s">
        <v>43</v>
      </c>
      <c r="AB309" s="30">
        <v>9922380435</v>
      </c>
      <c r="AC309" s="22" t="s">
        <v>34</v>
      </c>
    </row>
    <row r="310" spans="8:29" ht="15" thickBot="1" x14ac:dyDescent="0.4">
      <c r="H310" s="27" t="s">
        <v>423</v>
      </c>
      <c r="I310" s="27" t="s">
        <v>104</v>
      </c>
      <c r="J310" s="27" t="s">
        <v>125</v>
      </c>
      <c r="K310" s="28">
        <v>45699</v>
      </c>
      <c r="L310" s="28">
        <v>45702</v>
      </c>
      <c r="M310" s="27" t="s">
        <v>166</v>
      </c>
      <c r="N310" s="27" t="s">
        <v>26</v>
      </c>
      <c r="O310" s="28">
        <v>33166</v>
      </c>
      <c r="P310" s="27" t="s">
        <v>74</v>
      </c>
      <c r="Q310" s="27" t="s">
        <v>75</v>
      </c>
      <c r="R310" s="27" t="s">
        <v>83</v>
      </c>
      <c r="S310" s="27" t="s">
        <v>127</v>
      </c>
      <c r="T310" s="27">
        <v>10</v>
      </c>
      <c r="U310" s="27">
        <v>20</v>
      </c>
      <c r="V310" s="27">
        <v>5</v>
      </c>
      <c r="W310" s="27">
        <v>190</v>
      </c>
      <c r="X310" s="27">
        <v>4</v>
      </c>
      <c r="Y310" s="27" t="s">
        <v>31</v>
      </c>
      <c r="Z310" s="27" t="s">
        <v>96</v>
      </c>
      <c r="AA310" s="27" t="s">
        <v>108</v>
      </c>
      <c r="AB310" s="27">
        <v>9463618792</v>
      </c>
      <c r="AC310" s="27" t="s">
        <v>52</v>
      </c>
    </row>
    <row r="311" spans="8:29" ht="15" thickBot="1" x14ac:dyDescent="0.4">
      <c r="H311" s="30" t="s">
        <v>424</v>
      </c>
      <c r="I311" s="30" t="s">
        <v>72</v>
      </c>
      <c r="J311" s="30" t="s">
        <v>82</v>
      </c>
      <c r="K311" s="31">
        <v>45674</v>
      </c>
      <c r="L311" s="31">
        <v>45684</v>
      </c>
      <c r="M311" s="30" t="s">
        <v>73</v>
      </c>
      <c r="N311" s="30" t="s">
        <v>26</v>
      </c>
      <c r="O311" s="31">
        <v>28741</v>
      </c>
      <c r="P311" s="30" t="s">
        <v>37</v>
      </c>
      <c r="Q311" s="30" t="s">
        <v>38</v>
      </c>
      <c r="R311" s="30" t="s">
        <v>83</v>
      </c>
      <c r="S311" s="30" t="s">
        <v>84</v>
      </c>
      <c r="T311" s="30">
        <v>20</v>
      </c>
      <c r="U311" s="30">
        <v>60</v>
      </c>
      <c r="V311" s="30">
        <v>15</v>
      </c>
      <c r="W311" s="30">
        <v>1020</v>
      </c>
      <c r="X311" s="30">
        <v>5</v>
      </c>
      <c r="Y311" s="30" t="s">
        <v>60</v>
      </c>
      <c r="Z311" s="30" t="s">
        <v>32</v>
      </c>
      <c r="AA311" s="30" t="s">
        <v>93</v>
      </c>
      <c r="AB311" s="30">
        <v>9954973200</v>
      </c>
      <c r="AC311" s="30" t="s">
        <v>52</v>
      </c>
    </row>
    <row r="312" spans="8:29" ht="29.5" thickBot="1" x14ac:dyDescent="0.4">
      <c r="H312" s="27" t="s">
        <v>425</v>
      </c>
      <c r="I312" s="27" t="s">
        <v>156</v>
      </c>
      <c r="J312" s="27" t="s">
        <v>24</v>
      </c>
      <c r="K312" s="28">
        <v>45748</v>
      </c>
      <c r="L312" s="28">
        <v>45759</v>
      </c>
      <c r="M312" s="27" t="s">
        <v>106</v>
      </c>
      <c r="N312" s="27" t="s">
        <v>58</v>
      </c>
      <c r="O312" s="28">
        <v>28530</v>
      </c>
      <c r="P312" s="27" t="s">
        <v>91</v>
      </c>
      <c r="Q312" s="27" t="s">
        <v>75</v>
      </c>
      <c r="R312" s="27" t="s">
        <v>29</v>
      </c>
      <c r="S312" s="27" t="s">
        <v>30</v>
      </c>
      <c r="T312" s="27">
        <v>7</v>
      </c>
      <c r="U312" s="27">
        <v>2200</v>
      </c>
      <c r="V312" s="27">
        <v>15</v>
      </c>
      <c r="W312" s="27">
        <v>13090</v>
      </c>
      <c r="X312" s="27">
        <v>4</v>
      </c>
      <c r="Y312" s="27" t="s">
        <v>31</v>
      </c>
      <c r="Z312" s="27" t="s">
        <v>50</v>
      </c>
      <c r="AA312" s="27" t="s">
        <v>158</v>
      </c>
      <c r="AB312" s="27">
        <v>9383199236</v>
      </c>
      <c r="AC312" s="27" t="s">
        <v>53</v>
      </c>
    </row>
    <row r="313" spans="8:29" ht="15" thickBot="1" x14ac:dyDescent="0.4">
      <c r="H313" s="30" t="s">
        <v>426</v>
      </c>
      <c r="I313" s="30" t="s">
        <v>87</v>
      </c>
      <c r="J313" s="30" t="s">
        <v>46</v>
      </c>
      <c r="K313" s="31">
        <v>45670</v>
      </c>
      <c r="L313" s="31">
        <v>45673</v>
      </c>
      <c r="M313" s="30" t="s">
        <v>88</v>
      </c>
      <c r="N313" s="30" t="s">
        <v>58</v>
      </c>
      <c r="O313" s="31">
        <v>37989</v>
      </c>
      <c r="P313" s="30" t="s">
        <v>27</v>
      </c>
      <c r="Q313" s="30" t="s">
        <v>28</v>
      </c>
      <c r="R313" s="30" t="s">
        <v>39</v>
      </c>
      <c r="S313" s="30" t="s">
        <v>49</v>
      </c>
      <c r="T313" s="30">
        <v>11</v>
      </c>
      <c r="U313" s="30">
        <v>55000</v>
      </c>
      <c r="V313" s="30">
        <v>5</v>
      </c>
      <c r="W313" s="30">
        <v>574750</v>
      </c>
      <c r="X313" s="30">
        <v>1</v>
      </c>
      <c r="Y313" s="30" t="s">
        <v>65</v>
      </c>
      <c r="Z313" s="30" t="s">
        <v>32</v>
      </c>
      <c r="AA313" s="30" t="s">
        <v>89</v>
      </c>
      <c r="AB313" s="30">
        <v>9482699727</v>
      </c>
      <c r="AC313" s="30" t="s">
        <v>53</v>
      </c>
    </row>
    <row r="314" spans="8:29" ht="15" thickBot="1" x14ac:dyDescent="0.4">
      <c r="H314" s="27" t="s">
        <v>427</v>
      </c>
      <c r="I314" s="27" t="s">
        <v>63</v>
      </c>
      <c r="J314" s="27" t="s">
        <v>68</v>
      </c>
      <c r="K314" s="28">
        <v>45935</v>
      </c>
      <c r="L314" s="28">
        <v>45947</v>
      </c>
      <c r="M314" s="27" t="s">
        <v>110</v>
      </c>
      <c r="N314" s="27" t="s">
        <v>58</v>
      </c>
      <c r="O314" s="28">
        <v>33726</v>
      </c>
      <c r="P314" s="27" t="s">
        <v>121</v>
      </c>
      <c r="Q314" s="27" t="s">
        <v>38</v>
      </c>
      <c r="R314" s="27" t="s">
        <v>29</v>
      </c>
      <c r="S314" s="27" t="s">
        <v>70</v>
      </c>
      <c r="T314" s="27">
        <v>12</v>
      </c>
      <c r="U314" s="27">
        <v>3500</v>
      </c>
      <c r="V314" s="27">
        <v>0</v>
      </c>
      <c r="W314" s="27">
        <v>42000</v>
      </c>
      <c r="X314" s="27">
        <v>2</v>
      </c>
      <c r="Y314" s="21" t="s">
        <v>41</v>
      </c>
      <c r="Z314" s="27"/>
      <c r="AA314" s="27" t="s">
        <v>66</v>
      </c>
      <c r="AB314" s="27">
        <v>9332473934</v>
      </c>
      <c r="AC314" s="27" t="s">
        <v>52</v>
      </c>
    </row>
    <row r="315" spans="8:29" ht="29.5" thickBot="1" x14ac:dyDescent="0.4">
      <c r="H315" s="30" t="s">
        <v>428</v>
      </c>
      <c r="I315" s="30" t="s">
        <v>55</v>
      </c>
      <c r="J315" s="30" t="s">
        <v>138</v>
      </c>
      <c r="K315" s="31">
        <v>46078</v>
      </c>
      <c r="L315" s="31">
        <v>46089</v>
      </c>
      <c r="M315" s="30" t="s">
        <v>57</v>
      </c>
      <c r="N315" s="30" t="s">
        <v>58</v>
      </c>
      <c r="O315" s="31">
        <v>37647</v>
      </c>
      <c r="P315" s="30" t="s">
        <v>27</v>
      </c>
      <c r="Q315" s="30" t="s">
        <v>28</v>
      </c>
      <c r="R315" s="30" t="s">
        <v>83</v>
      </c>
      <c r="S315" s="30" t="s">
        <v>139</v>
      </c>
      <c r="T315" s="30">
        <v>15</v>
      </c>
      <c r="U315" s="30">
        <v>45</v>
      </c>
      <c r="V315" s="30">
        <v>10</v>
      </c>
      <c r="W315" s="30">
        <v>607.5</v>
      </c>
      <c r="X315" s="30">
        <v>2</v>
      </c>
      <c r="Y315" s="30" t="s">
        <v>31</v>
      </c>
      <c r="Z315" s="30" t="s">
        <v>96</v>
      </c>
      <c r="AA315" s="30" t="s">
        <v>61</v>
      </c>
      <c r="AB315" s="30">
        <v>9647657382</v>
      </c>
      <c r="AC315" s="30" t="s">
        <v>52</v>
      </c>
    </row>
    <row r="316" spans="8:29" ht="29.5" thickBot="1" x14ac:dyDescent="0.4">
      <c r="H316" s="27" t="s">
        <v>429</v>
      </c>
      <c r="I316" s="27" t="s">
        <v>156</v>
      </c>
      <c r="J316" s="27" t="s">
        <v>138</v>
      </c>
      <c r="K316" s="28">
        <v>45793</v>
      </c>
      <c r="L316" s="28">
        <v>45803</v>
      </c>
      <c r="M316" s="27" t="s">
        <v>106</v>
      </c>
      <c r="N316" s="27" t="s">
        <v>58</v>
      </c>
      <c r="O316" s="28">
        <v>31917</v>
      </c>
      <c r="P316" s="27" t="s">
        <v>48</v>
      </c>
      <c r="Q316" s="27" t="s">
        <v>28</v>
      </c>
      <c r="R316" s="27" t="s">
        <v>83</v>
      </c>
      <c r="S316" s="27" t="s">
        <v>139</v>
      </c>
      <c r="T316" s="27">
        <v>13</v>
      </c>
      <c r="U316" s="27">
        <v>45</v>
      </c>
      <c r="V316" s="27">
        <v>0</v>
      </c>
      <c r="W316" s="27">
        <v>585</v>
      </c>
      <c r="X316" s="27">
        <v>5</v>
      </c>
      <c r="Y316" s="27" t="s">
        <v>41</v>
      </c>
      <c r="Z316" s="27" t="s">
        <v>42</v>
      </c>
      <c r="AA316" s="27" t="s">
        <v>158</v>
      </c>
      <c r="AB316" s="27">
        <v>9736797776</v>
      </c>
      <c r="AC316" s="27" t="s">
        <v>52</v>
      </c>
    </row>
    <row r="317" spans="8:29" ht="15" thickBot="1" x14ac:dyDescent="0.4">
      <c r="H317" s="30" t="s">
        <v>430</v>
      </c>
      <c r="I317" s="30" t="s">
        <v>87</v>
      </c>
      <c r="J317" s="30" t="s">
        <v>46</v>
      </c>
      <c r="K317" s="31">
        <v>46024</v>
      </c>
      <c r="L317" s="31">
        <v>46027</v>
      </c>
      <c r="M317" s="30" t="s">
        <v>88</v>
      </c>
      <c r="N317" s="30" t="s">
        <v>58</v>
      </c>
      <c r="O317" s="31">
        <v>27644</v>
      </c>
      <c r="P317" s="30" t="s">
        <v>48</v>
      </c>
      <c r="Q317" s="30" t="s">
        <v>28</v>
      </c>
      <c r="R317" s="30" t="s">
        <v>39</v>
      </c>
      <c r="S317" s="30" t="s">
        <v>49</v>
      </c>
      <c r="T317" s="30">
        <v>8</v>
      </c>
      <c r="U317" s="30">
        <v>55000</v>
      </c>
      <c r="V317" s="30">
        <v>0</v>
      </c>
      <c r="W317" s="30">
        <v>440000</v>
      </c>
      <c r="X317" s="30">
        <v>2</v>
      </c>
      <c r="Y317" s="30" t="s">
        <v>65</v>
      </c>
      <c r="Z317" s="30" t="s">
        <v>96</v>
      </c>
      <c r="AA317" s="30" t="s">
        <v>89</v>
      </c>
      <c r="AB317" s="30">
        <v>9745773533</v>
      </c>
      <c r="AC317" s="30" t="s">
        <v>53</v>
      </c>
    </row>
    <row r="318" spans="8:29" ht="15" thickBot="1" x14ac:dyDescent="0.4">
      <c r="H318" s="27" t="s">
        <v>431</v>
      </c>
      <c r="I318" s="27" t="s">
        <v>134</v>
      </c>
      <c r="J318" s="27" t="s">
        <v>46</v>
      </c>
      <c r="K318" s="28">
        <v>45861</v>
      </c>
      <c r="L318" s="28">
        <v>45865</v>
      </c>
      <c r="M318" s="27" t="s">
        <v>135</v>
      </c>
      <c r="N318" s="27" t="s">
        <v>26</v>
      </c>
      <c r="O318" s="28">
        <v>29443</v>
      </c>
      <c r="P318" s="27" t="s">
        <v>37</v>
      </c>
      <c r="Q318" s="27" t="s">
        <v>38</v>
      </c>
      <c r="R318" s="27" t="s">
        <v>39</v>
      </c>
      <c r="S318" s="27" t="s">
        <v>49</v>
      </c>
      <c r="T318" s="27">
        <v>4</v>
      </c>
      <c r="U318" s="27">
        <v>55000</v>
      </c>
      <c r="V318" s="27">
        <v>20</v>
      </c>
      <c r="W318" s="27">
        <v>176000</v>
      </c>
      <c r="X318" s="27">
        <v>5</v>
      </c>
      <c r="Y318" s="27" t="s">
        <v>31</v>
      </c>
      <c r="Z318" s="27" t="s">
        <v>42</v>
      </c>
      <c r="AA318" s="27" t="s">
        <v>136</v>
      </c>
      <c r="AB318" s="27">
        <v>9246715757</v>
      </c>
      <c r="AC318" s="27" t="s">
        <v>52</v>
      </c>
    </row>
    <row r="319" spans="8:29" ht="15" thickBot="1" x14ac:dyDescent="0.4">
      <c r="H319" s="30" t="s">
        <v>432</v>
      </c>
      <c r="I319" s="30" t="s">
        <v>23</v>
      </c>
      <c r="J319" s="30" t="s">
        <v>68</v>
      </c>
      <c r="K319" s="31">
        <v>46135</v>
      </c>
      <c r="L319" s="31">
        <v>46138</v>
      </c>
      <c r="M319" s="30" t="s">
        <v>25</v>
      </c>
      <c r="N319" s="30" t="s">
        <v>26</v>
      </c>
      <c r="O319" s="31">
        <v>32605</v>
      </c>
      <c r="P319" s="30" t="s">
        <v>91</v>
      </c>
      <c r="Q319" s="30" t="s">
        <v>75</v>
      </c>
      <c r="R319" s="30" t="s">
        <v>29</v>
      </c>
      <c r="S319" s="30" t="s">
        <v>70</v>
      </c>
      <c r="T319" s="30">
        <v>19</v>
      </c>
      <c r="U319" s="30">
        <v>3500</v>
      </c>
      <c r="V319" s="30">
        <v>5</v>
      </c>
      <c r="W319" s="30">
        <v>63175</v>
      </c>
      <c r="X319" s="30">
        <v>1</v>
      </c>
      <c r="Y319" s="30" t="s">
        <v>60</v>
      </c>
      <c r="Z319" s="30" t="s">
        <v>80</v>
      </c>
      <c r="AA319" s="30" t="s">
        <v>43</v>
      </c>
      <c r="AB319" s="30">
        <v>9904065774</v>
      </c>
      <c r="AC319" s="22" t="s">
        <v>34</v>
      </c>
    </row>
    <row r="320" spans="8:29" ht="15" thickBot="1" x14ac:dyDescent="0.4">
      <c r="H320" s="27" t="s">
        <v>433</v>
      </c>
      <c r="I320" s="27" t="s">
        <v>124</v>
      </c>
      <c r="J320" s="27" t="s">
        <v>56</v>
      </c>
      <c r="K320" s="28">
        <v>45718</v>
      </c>
      <c r="L320" s="28">
        <v>45722</v>
      </c>
      <c r="M320" s="27" t="s">
        <v>126</v>
      </c>
      <c r="N320" s="27" t="s">
        <v>58</v>
      </c>
      <c r="O320" s="28">
        <v>36027</v>
      </c>
      <c r="P320" s="27" t="s">
        <v>121</v>
      </c>
      <c r="Q320" s="27" t="s">
        <v>38</v>
      </c>
      <c r="R320" s="27" t="s">
        <v>39</v>
      </c>
      <c r="S320" s="27" t="s">
        <v>59</v>
      </c>
      <c r="T320" s="27">
        <v>17</v>
      </c>
      <c r="U320" s="27">
        <v>1200</v>
      </c>
      <c r="V320" s="27">
        <v>15</v>
      </c>
      <c r="W320" s="27">
        <v>17340</v>
      </c>
      <c r="X320" s="27">
        <v>2</v>
      </c>
      <c r="Y320" s="27" t="s">
        <v>41</v>
      </c>
      <c r="Z320" s="27" t="s">
        <v>42</v>
      </c>
      <c r="AA320" s="27" t="s">
        <v>128</v>
      </c>
      <c r="AB320" s="27">
        <v>9652985385</v>
      </c>
      <c r="AC320" s="21" t="s">
        <v>34</v>
      </c>
    </row>
    <row r="321" spans="8:29" ht="15" thickBot="1" x14ac:dyDescent="0.4">
      <c r="H321" s="30" t="s">
        <v>434</v>
      </c>
      <c r="I321" s="30" t="s">
        <v>23</v>
      </c>
      <c r="J321" s="30" t="s">
        <v>24</v>
      </c>
      <c r="K321" s="31">
        <v>46062</v>
      </c>
      <c r="L321" s="31">
        <v>46070</v>
      </c>
      <c r="M321" s="30" t="s">
        <v>25</v>
      </c>
      <c r="N321" s="30" t="s">
        <v>26</v>
      </c>
      <c r="O321" s="31">
        <v>36984</v>
      </c>
      <c r="P321" s="30" t="s">
        <v>27</v>
      </c>
      <c r="Q321" s="30" t="s">
        <v>28</v>
      </c>
      <c r="R321" s="30" t="s">
        <v>29</v>
      </c>
      <c r="S321" s="30" t="s">
        <v>30</v>
      </c>
      <c r="T321" s="30">
        <v>8</v>
      </c>
      <c r="U321" s="30">
        <v>2200</v>
      </c>
      <c r="V321" s="30">
        <v>5</v>
      </c>
      <c r="W321" s="30">
        <v>16720</v>
      </c>
      <c r="X321" s="30">
        <v>3</v>
      </c>
      <c r="Y321" s="30" t="s">
        <v>60</v>
      </c>
      <c r="Z321" s="30" t="s">
        <v>80</v>
      </c>
      <c r="AA321" s="30" t="s">
        <v>43</v>
      </c>
      <c r="AB321" s="30">
        <v>9427001508</v>
      </c>
      <c r="AC321" s="30" t="s">
        <v>52</v>
      </c>
    </row>
    <row r="322" spans="8:29" ht="15" thickBot="1" x14ac:dyDescent="0.4">
      <c r="H322" s="27" t="s">
        <v>435</v>
      </c>
      <c r="I322" s="27" t="s">
        <v>134</v>
      </c>
      <c r="J322" s="27" t="s">
        <v>112</v>
      </c>
      <c r="K322" s="28">
        <v>45704</v>
      </c>
      <c r="L322" s="28">
        <v>45714</v>
      </c>
      <c r="M322" s="27" t="s">
        <v>135</v>
      </c>
      <c r="N322" s="27" t="s">
        <v>26</v>
      </c>
      <c r="O322" s="28">
        <v>33668</v>
      </c>
      <c r="P322" s="27" t="s">
        <v>74</v>
      </c>
      <c r="Q322" s="27" t="s">
        <v>75</v>
      </c>
      <c r="R322" s="27" t="s">
        <v>39</v>
      </c>
      <c r="S322" s="27" t="s">
        <v>114</v>
      </c>
      <c r="T322" s="27">
        <v>17</v>
      </c>
      <c r="U322" s="27">
        <v>700</v>
      </c>
      <c r="V322" s="27">
        <v>20</v>
      </c>
      <c r="W322" s="27">
        <v>9520</v>
      </c>
      <c r="X322" s="27">
        <v>4</v>
      </c>
      <c r="Y322" s="27" t="s">
        <v>41</v>
      </c>
      <c r="Z322" s="27" t="s">
        <v>80</v>
      </c>
      <c r="AA322" s="27" t="s">
        <v>136</v>
      </c>
      <c r="AB322" s="27">
        <v>9666803655</v>
      </c>
      <c r="AC322" s="21" t="s">
        <v>34</v>
      </c>
    </row>
    <row r="323" spans="8:29" ht="15" thickBot="1" x14ac:dyDescent="0.4">
      <c r="H323" s="30" t="s">
        <v>436</v>
      </c>
      <c r="I323" s="30" t="s">
        <v>134</v>
      </c>
      <c r="J323" s="30" t="s">
        <v>105</v>
      </c>
      <c r="K323" s="31">
        <v>45897</v>
      </c>
      <c r="L323" s="31">
        <v>45908</v>
      </c>
      <c r="M323" s="30" t="s">
        <v>135</v>
      </c>
      <c r="N323" s="30" t="s">
        <v>26</v>
      </c>
      <c r="O323" s="31">
        <v>28122</v>
      </c>
      <c r="P323" s="30" t="s">
        <v>79</v>
      </c>
      <c r="Q323" s="30" t="s">
        <v>75</v>
      </c>
      <c r="R323" s="30" t="s">
        <v>29</v>
      </c>
      <c r="S323" s="30" t="s">
        <v>107</v>
      </c>
      <c r="T323" s="30">
        <v>6</v>
      </c>
      <c r="U323" s="30">
        <v>8500</v>
      </c>
      <c r="V323" s="30">
        <v>15</v>
      </c>
      <c r="W323" s="30">
        <v>43350</v>
      </c>
      <c r="X323" s="30">
        <v>1</v>
      </c>
      <c r="Y323" s="30" t="s">
        <v>31</v>
      </c>
      <c r="Z323" s="30" t="s">
        <v>50</v>
      </c>
      <c r="AA323" s="30" t="s">
        <v>136</v>
      </c>
      <c r="AB323" s="30">
        <v>9134878547</v>
      </c>
      <c r="AC323" s="22" t="s">
        <v>34</v>
      </c>
    </row>
    <row r="324" spans="8:29" ht="15" thickBot="1" x14ac:dyDescent="0.4">
      <c r="H324" s="27" t="s">
        <v>437</v>
      </c>
      <c r="I324" s="27" t="s">
        <v>45</v>
      </c>
      <c r="J324" s="27" t="s">
        <v>68</v>
      </c>
      <c r="K324" s="28">
        <v>45936</v>
      </c>
      <c r="L324" s="28">
        <v>45941</v>
      </c>
      <c r="M324" s="27" t="s">
        <v>101</v>
      </c>
      <c r="N324" s="27" t="s">
        <v>26</v>
      </c>
      <c r="O324" s="28">
        <v>31659</v>
      </c>
      <c r="P324" s="27" t="s">
        <v>27</v>
      </c>
      <c r="Q324" s="27" t="s">
        <v>28</v>
      </c>
      <c r="R324" s="27" t="s">
        <v>29</v>
      </c>
      <c r="S324" s="27" t="s">
        <v>70</v>
      </c>
      <c r="T324" s="27">
        <v>3</v>
      </c>
      <c r="U324" s="27">
        <v>3500</v>
      </c>
      <c r="V324" s="27">
        <v>10</v>
      </c>
      <c r="W324" s="27">
        <v>9450</v>
      </c>
      <c r="X324" s="27">
        <v>1</v>
      </c>
      <c r="Y324" s="27" t="s">
        <v>41</v>
      </c>
      <c r="Z324" s="27" t="s">
        <v>42</v>
      </c>
      <c r="AA324" s="27" t="s">
        <v>51</v>
      </c>
      <c r="AB324" s="27">
        <v>9253593557</v>
      </c>
      <c r="AC324" s="21" t="s">
        <v>34</v>
      </c>
    </row>
    <row r="325" spans="8:29" ht="29.5" thickBot="1" x14ac:dyDescent="0.4">
      <c r="H325" s="30" t="s">
        <v>438</v>
      </c>
      <c r="I325" s="30" t="s">
        <v>55</v>
      </c>
      <c r="J325" s="30" t="s">
        <v>36</v>
      </c>
      <c r="K325" s="31">
        <v>45674</v>
      </c>
      <c r="L325" s="31">
        <v>45686</v>
      </c>
      <c r="M325" s="30" t="s">
        <v>57</v>
      </c>
      <c r="N325" s="30" t="s">
        <v>58</v>
      </c>
      <c r="O325" s="31">
        <v>32734</v>
      </c>
      <c r="P325" s="30" t="s">
        <v>91</v>
      </c>
      <c r="Q325" s="30" t="s">
        <v>75</v>
      </c>
      <c r="R325" s="30" t="s">
        <v>39</v>
      </c>
      <c r="S325" s="30" t="s">
        <v>40</v>
      </c>
      <c r="T325" s="30">
        <v>2</v>
      </c>
      <c r="U325" s="30">
        <v>12000</v>
      </c>
      <c r="V325" s="30">
        <v>20</v>
      </c>
      <c r="W325" s="30">
        <v>19200</v>
      </c>
      <c r="X325" s="30">
        <v>1</v>
      </c>
      <c r="Y325" s="30" t="s">
        <v>60</v>
      </c>
      <c r="Z325" s="30" t="s">
        <v>50</v>
      </c>
      <c r="AA325" s="30" t="s">
        <v>61</v>
      </c>
      <c r="AB325" s="30">
        <v>9183094051</v>
      </c>
      <c r="AC325" s="22" t="s">
        <v>34</v>
      </c>
    </row>
    <row r="326" spans="8:29" ht="15" thickBot="1" x14ac:dyDescent="0.4">
      <c r="H326" s="27" t="s">
        <v>439</v>
      </c>
      <c r="I326" s="27" t="s">
        <v>124</v>
      </c>
      <c r="J326" s="27" t="s">
        <v>125</v>
      </c>
      <c r="K326" s="28">
        <v>45943</v>
      </c>
      <c r="L326" s="28">
        <v>45946</v>
      </c>
      <c r="M326" s="27" t="s">
        <v>126</v>
      </c>
      <c r="N326" s="27" t="s">
        <v>58</v>
      </c>
      <c r="O326" s="28">
        <v>33299</v>
      </c>
      <c r="P326" s="27" t="s">
        <v>37</v>
      </c>
      <c r="Q326" s="27" t="s">
        <v>38</v>
      </c>
      <c r="R326" s="27" t="s">
        <v>83</v>
      </c>
      <c r="S326" s="27" t="s">
        <v>127</v>
      </c>
      <c r="T326" s="27">
        <v>12</v>
      </c>
      <c r="U326" s="27">
        <v>20</v>
      </c>
      <c r="V326" s="27">
        <v>20</v>
      </c>
      <c r="W326" s="27">
        <v>192</v>
      </c>
      <c r="X326" s="27">
        <v>2</v>
      </c>
      <c r="Y326" s="27" t="s">
        <v>60</v>
      </c>
      <c r="Z326" s="27" t="s">
        <v>42</v>
      </c>
      <c r="AA326" s="27" t="s">
        <v>128</v>
      </c>
      <c r="AB326" s="27">
        <v>9293147620</v>
      </c>
      <c r="AC326" s="21" t="s">
        <v>34</v>
      </c>
    </row>
    <row r="327" spans="8:29" ht="15" thickBot="1" x14ac:dyDescent="0.4">
      <c r="H327" s="30" t="s">
        <v>440</v>
      </c>
      <c r="I327" s="30" t="s">
        <v>72</v>
      </c>
      <c r="J327" s="30" t="s">
        <v>36</v>
      </c>
      <c r="K327" s="31">
        <v>46138</v>
      </c>
      <c r="L327" s="31">
        <v>46140</v>
      </c>
      <c r="M327" s="30" t="s">
        <v>73</v>
      </c>
      <c r="N327" s="30" t="s">
        <v>26</v>
      </c>
      <c r="O327" s="31">
        <v>32733</v>
      </c>
      <c r="P327" s="30" t="s">
        <v>147</v>
      </c>
      <c r="Q327" s="30" t="s">
        <v>148</v>
      </c>
      <c r="R327" s="30" t="s">
        <v>39</v>
      </c>
      <c r="S327" s="30" t="s">
        <v>40</v>
      </c>
      <c r="T327" s="30">
        <v>20</v>
      </c>
      <c r="U327" s="30">
        <v>12000</v>
      </c>
      <c r="V327" s="30">
        <v>15</v>
      </c>
      <c r="W327" s="30">
        <v>204000</v>
      </c>
      <c r="X327" s="30">
        <v>3</v>
      </c>
      <c r="Y327" s="30" t="s">
        <v>31</v>
      </c>
      <c r="Z327" s="30" t="s">
        <v>32</v>
      </c>
      <c r="AA327" s="30" t="s">
        <v>93</v>
      </c>
      <c r="AB327" s="30">
        <v>9755583734</v>
      </c>
      <c r="AC327" s="30" t="s">
        <v>52</v>
      </c>
    </row>
    <row r="328" spans="8:29" ht="15" thickBot="1" x14ac:dyDescent="0.4">
      <c r="H328" s="27" t="s">
        <v>441</v>
      </c>
      <c r="I328" s="27" t="s">
        <v>45</v>
      </c>
      <c r="J328" s="27" t="s">
        <v>82</v>
      </c>
      <c r="K328" s="28">
        <v>46105</v>
      </c>
      <c r="L328" s="28">
        <v>46116</v>
      </c>
      <c r="M328" s="27" t="s">
        <v>101</v>
      </c>
      <c r="N328" s="27" t="s">
        <v>26</v>
      </c>
      <c r="O328" s="28">
        <v>37654</v>
      </c>
      <c r="P328" s="27" t="s">
        <v>121</v>
      </c>
      <c r="Q328" s="27" t="s">
        <v>38</v>
      </c>
      <c r="R328" s="27" t="s">
        <v>83</v>
      </c>
      <c r="S328" s="27" t="s">
        <v>84</v>
      </c>
      <c r="T328" s="27">
        <v>13</v>
      </c>
      <c r="U328" s="27">
        <v>60</v>
      </c>
      <c r="V328" s="27">
        <v>10</v>
      </c>
      <c r="W328" s="27">
        <v>702</v>
      </c>
      <c r="X328" s="27">
        <v>5</v>
      </c>
      <c r="Y328" s="27" t="s">
        <v>31</v>
      </c>
      <c r="Z328" s="27" t="s">
        <v>32</v>
      </c>
      <c r="AA328" s="27" t="s">
        <v>51</v>
      </c>
      <c r="AB328" s="27">
        <v>9186592813</v>
      </c>
      <c r="AC328" s="27" t="s">
        <v>52</v>
      </c>
    </row>
    <row r="329" spans="8:29" ht="29.5" thickBot="1" x14ac:dyDescent="0.4">
      <c r="H329" s="30" t="s">
        <v>442</v>
      </c>
      <c r="I329" s="30" t="s">
        <v>55</v>
      </c>
      <c r="J329" s="30" t="s">
        <v>46</v>
      </c>
      <c r="K329" s="31">
        <v>45785</v>
      </c>
      <c r="L329" s="31">
        <v>45796</v>
      </c>
      <c r="M329" s="30" t="s">
        <v>57</v>
      </c>
      <c r="N329" s="30" t="s">
        <v>58</v>
      </c>
      <c r="O329" s="31">
        <v>35019</v>
      </c>
      <c r="P329" s="30" t="s">
        <v>79</v>
      </c>
      <c r="Q329" s="30" t="s">
        <v>75</v>
      </c>
      <c r="R329" s="30" t="s">
        <v>39</v>
      </c>
      <c r="S329" s="30" t="s">
        <v>49</v>
      </c>
      <c r="T329" s="30">
        <v>13</v>
      </c>
      <c r="U329" s="30">
        <v>55000</v>
      </c>
      <c r="V329" s="30">
        <v>5</v>
      </c>
      <c r="W329" s="30">
        <v>679250</v>
      </c>
      <c r="X329" s="30">
        <v>1</v>
      </c>
      <c r="Y329" s="30" t="s">
        <v>65</v>
      </c>
      <c r="Z329" s="30" t="s">
        <v>96</v>
      </c>
      <c r="AA329" s="30" t="s">
        <v>61</v>
      </c>
      <c r="AB329" s="30">
        <v>9203482008</v>
      </c>
      <c r="AC329" s="30" t="s">
        <v>52</v>
      </c>
    </row>
    <row r="330" spans="8:29" ht="15" thickBot="1" x14ac:dyDescent="0.4">
      <c r="H330" s="27" t="s">
        <v>443</v>
      </c>
      <c r="I330" s="27" t="s">
        <v>72</v>
      </c>
      <c r="J330" s="27" t="s">
        <v>56</v>
      </c>
      <c r="K330" s="28">
        <v>46088</v>
      </c>
      <c r="L330" s="28">
        <v>46091</v>
      </c>
      <c r="M330" s="27" t="s">
        <v>73</v>
      </c>
      <c r="N330" s="27" t="s">
        <v>26</v>
      </c>
      <c r="O330" s="28">
        <v>32836</v>
      </c>
      <c r="P330" s="27" t="s">
        <v>48</v>
      </c>
      <c r="Q330" s="27" t="s">
        <v>28</v>
      </c>
      <c r="R330" s="27" t="s">
        <v>39</v>
      </c>
      <c r="S330" s="27" t="s">
        <v>59</v>
      </c>
      <c r="T330" s="27">
        <v>7</v>
      </c>
      <c r="U330" s="27">
        <v>1200</v>
      </c>
      <c r="V330" s="27">
        <v>15</v>
      </c>
      <c r="W330" s="27">
        <v>7140</v>
      </c>
      <c r="X330" s="27">
        <v>5</v>
      </c>
      <c r="Y330" s="27" t="s">
        <v>65</v>
      </c>
      <c r="Z330" s="27" t="s">
        <v>42</v>
      </c>
      <c r="AA330" s="27" t="s">
        <v>93</v>
      </c>
      <c r="AB330" s="27">
        <v>9829888777</v>
      </c>
      <c r="AC330" s="27" t="s">
        <v>52</v>
      </c>
    </row>
    <row r="331" spans="8:29" ht="15" thickBot="1" x14ac:dyDescent="0.4">
      <c r="H331" s="30" t="s">
        <v>444</v>
      </c>
      <c r="I331" s="30" t="s">
        <v>63</v>
      </c>
      <c r="J331" s="30" t="s">
        <v>36</v>
      </c>
      <c r="K331" s="31">
        <v>46017</v>
      </c>
      <c r="L331" s="31">
        <v>46021</v>
      </c>
      <c r="M331" s="30" t="s">
        <v>110</v>
      </c>
      <c r="N331" s="30" t="s">
        <v>58</v>
      </c>
      <c r="O331" s="31">
        <v>32253</v>
      </c>
      <c r="P331" s="30" t="s">
        <v>121</v>
      </c>
      <c r="Q331" s="30" t="s">
        <v>38</v>
      </c>
      <c r="R331" s="30" t="s">
        <v>39</v>
      </c>
      <c r="S331" s="30" t="s">
        <v>40</v>
      </c>
      <c r="T331" s="30">
        <v>17</v>
      </c>
      <c r="U331" s="30">
        <v>12000</v>
      </c>
      <c r="V331" s="30">
        <v>5</v>
      </c>
      <c r="W331" s="30">
        <v>193800</v>
      </c>
      <c r="X331" s="30">
        <v>1</v>
      </c>
      <c r="Y331" s="30" t="s">
        <v>31</v>
      </c>
      <c r="Z331" s="30" t="s">
        <v>50</v>
      </c>
      <c r="AA331" s="30" t="s">
        <v>66</v>
      </c>
      <c r="AB331" s="30">
        <v>9566101317</v>
      </c>
      <c r="AC331" s="30" t="s">
        <v>53</v>
      </c>
    </row>
    <row r="332" spans="8:29" ht="15" thickBot="1" x14ac:dyDescent="0.4">
      <c r="H332" s="27" t="s">
        <v>445</v>
      </c>
      <c r="I332" s="27" t="s">
        <v>63</v>
      </c>
      <c r="J332" s="27" t="s">
        <v>125</v>
      </c>
      <c r="K332" s="28">
        <v>46131</v>
      </c>
      <c r="L332" s="28">
        <v>46137</v>
      </c>
      <c r="M332" s="27" t="s">
        <v>110</v>
      </c>
      <c r="N332" s="27" t="s">
        <v>58</v>
      </c>
      <c r="O332" s="28">
        <v>28796</v>
      </c>
      <c r="P332" s="27" t="s">
        <v>48</v>
      </c>
      <c r="Q332" s="27" t="s">
        <v>28</v>
      </c>
      <c r="R332" s="27" t="s">
        <v>83</v>
      </c>
      <c r="S332" s="27" t="s">
        <v>127</v>
      </c>
      <c r="T332" s="27">
        <v>10</v>
      </c>
      <c r="U332" s="27">
        <v>20</v>
      </c>
      <c r="V332" s="27">
        <v>5</v>
      </c>
      <c r="W332" s="27">
        <v>190</v>
      </c>
      <c r="X332" s="27">
        <v>2</v>
      </c>
      <c r="Y332" s="27" t="s">
        <v>31</v>
      </c>
      <c r="Z332" s="27" t="s">
        <v>50</v>
      </c>
      <c r="AA332" s="27" t="s">
        <v>66</v>
      </c>
      <c r="AB332" s="27">
        <v>9706240823</v>
      </c>
      <c r="AC332" s="27" t="s">
        <v>53</v>
      </c>
    </row>
    <row r="333" spans="8:29" ht="15" thickBot="1" x14ac:dyDescent="0.4">
      <c r="H333" s="30" t="s">
        <v>446</v>
      </c>
      <c r="I333" s="30" t="s">
        <v>104</v>
      </c>
      <c r="J333" s="30" t="s">
        <v>24</v>
      </c>
      <c r="K333" s="31">
        <v>45966</v>
      </c>
      <c r="L333" s="31">
        <v>45969</v>
      </c>
      <c r="M333" s="30" t="s">
        <v>166</v>
      </c>
      <c r="N333" s="30" t="s">
        <v>26</v>
      </c>
      <c r="O333" s="31">
        <v>32855</v>
      </c>
      <c r="P333" s="30" t="s">
        <v>37</v>
      </c>
      <c r="Q333" s="30" t="s">
        <v>38</v>
      </c>
      <c r="R333" s="30" t="s">
        <v>29</v>
      </c>
      <c r="S333" s="30" t="s">
        <v>30</v>
      </c>
      <c r="T333" s="30">
        <v>11</v>
      </c>
      <c r="U333" s="30">
        <v>2200</v>
      </c>
      <c r="V333" s="30">
        <v>5</v>
      </c>
      <c r="W333" s="30">
        <v>22990</v>
      </c>
      <c r="X333" s="30">
        <v>5</v>
      </c>
      <c r="Y333" s="30" t="s">
        <v>60</v>
      </c>
      <c r="Z333" s="30" t="s">
        <v>42</v>
      </c>
      <c r="AA333" s="30" t="s">
        <v>108</v>
      </c>
      <c r="AB333" s="30">
        <v>9259943760</v>
      </c>
      <c r="AC333" s="30" t="s">
        <v>52</v>
      </c>
    </row>
    <row r="334" spans="8:29" ht="15" thickBot="1" x14ac:dyDescent="0.4">
      <c r="H334" s="27" t="s">
        <v>447</v>
      </c>
      <c r="I334" s="27" t="s">
        <v>72</v>
      </c>
      <c r="J334" s="27" t="s">
        <v>82</v>
      </c>
      <c r="K334" s="28">
        <v>46077</v>
      </c>
      <c r="L334" s="28">
        <v>46081</v>
      </c>
      <c r="M334" s="27" t="s">
        <v>73</v>
      </c>
      <c r="N334" s="27" t="s">
        <v>26</v>
      </c>
      <c r="O334" s="28">
        <v>34707</v>
      </c>
      <c r="P334" s="27" t="s">
        <v>121</v>
      </c>
      <c r="Q334" s="27" t="s">
        <v>38</v>
      </c>
      <c r="R334" s="27" t="s">
        <v>83</v>
      </c>
      <c r="S334" s="27" t="s">
        <v>84</v>
      </c>
      <c r="T334" s="27">
        <v>8</v>
      </c>
      <c r="U334" s="27">
        <v>60</v>
      </c>
      <c r="V334" s="27">
        <v>15</v>
      </c>
      <c r="W334" s="27">
        <v>408</v>
      </c>
      <c r="X334" s="27">
        <v>4</v>
      </c>
      <c r="Y334" s="27" t="s">
        <v>31</v>
      </c>
      <c r="Z334" s="27" t="s">
        <v>42</v>
      </c>
      <c r="AA334" s="27" t="s">
        <v>93</v>
      </c>
      <c r="AB334" s="27">
        <v>9527326977</v>
      </c>
      <c r="AC334" s="27" t="s">
        <v>52</v>
      </c>
    </row>
    <row r="335" spans="8:29" ht="15" thickBot="1" x14ac:dyDescent="0.4">
      <c r="H335" s="30" t="s">
        <v>448</v>
      </c>
      <c r="I335" s="30" t="s">
        <v>124</v>
      </c>
      <c r="J335" s="30" t="s">
        <v>138</v>
      </c>
      <c r="K335" s="31">
        <v>45739</v>
      </c>
      <c r="L335" s="31">
        <v>45741</v>
      </c>
      <c r="M335" s="30" t="s">
        <v>126</v>
      </c>
      <c r="N335" s="30" t="s">
        <v>58</v>
      </c>
      <c r="O335" s="31">
        <v>34630</v>
      </c>
      <c r="P335" s="30" t="s">
        <v>37</v>
      </c>
      <c r="Q335" s="30" t="s">
        <v>38</v>
      </c>
      <c r="R335" s="30" t="s">
        <v>83</v>
      </c>
      <c r="S335" s="30" t="s">
        <v>139</v>
      </c>
      <c r="T335" s="30">
        <v>17</v>
      </c>
      <c r="U335" s="30">
        <v>45</v>
      </c>
      <c r="V335" s="30">
        <v>15</v>
      </c>
      <c r="W335" s="30">
        <v>650.25</v>
      </c>
      <c r="X335" s="30">
        <v>2</v>
      </c>
      <c r="Y335" s="30" t="s">
        <v>65</v>
      </c>
      <c r="Z335" s="30" t="s">
        <v>96</v>
      </c>
      <c r="AA335" s="30" t="s">
        <v>128</v>
      </c>
      <c r="AB335" s="30">
        <v>9886970990</v>
      </c>
      <c r="AC335" s="22" t="s">
        <v>34</v>
      </c>
    </row>
    <row r="336" spans="8:29" ht="29.5" thickBot="1" x14ac:dyDescent="0.4">
      <c r="H336" s="27" t="s">
        <v>449</v>
      </c>
      <c r="I336" s="27" t="s">
        <v>156</v>
      </c>
      <c r="J336" s="27" t="s">
        <v>112</v>
      </c>
      <c r="K336" s="28">
        <v>45715</v>
      </c>
      <c r="L336" s="28">
        <v>45726</v>
      </c>
      <c r="M336" s="27" t="s">
        <v>106</v>
      </c>
      <c r="N336" s="27" t="s">
        <v>58</v>
      </c>
      <c r="O336" s="28">
        <v>35206</v>
      </c>
      <c r="P336" s="27" t="s">
        <v>121</v>
      </c>
      <c r="Q336" s="27" t="s">
        <v>38</v>
      </c>
      <c r="R336" s="27" t="s">
        <v>39</v>
      </c>
      <c r="S336" s="27" t="s">
        <v>114</v>
      </c>
      <c r="T336" s="27">
        <v>14</v>
      </c>
      <c r="U336" s="27">
        <v>700</v>
      </c>
      <c r="V336" s="27">
        <v>15</v>
      </c>
      <c r="W336" s="27">
        <v>8330</v>
      </c>
      <c r="X336" s="27">
        <v>1</v>
      </c>
      <c r="Y336" s="27" t="s">
        <v>60</v>
      </c>
      <c r="Z336" s="27" t="s">
        <v>80</v>
      </c>
      <c r="AA336" s="27" t="s">
        <v>158</v>
      </c>
      <c r="AB336" s="27">
        <v>9106930369</v>
      </c>
      <c r="AC336" s="21" t="s">
        <v>34</v>
      </c>
    </row>
    <row r="337" spans="8:29" ht="15" thickBot="1" x14ac:dyDescent="0.4">
      <c r="H337" s="30" t="s">
        <v>450</v>
      </c>
      <c r="I337" s="30" t="s">
        <v>63</v>
      </c>
      <c r="J337" s="30" t="s">
        <v>56</v>
      </c>
      <c r="K337" s="31">
        <v>45811</v>
      </c>
      <c r="L337" s="31">
        <v>45822</v>
      </c>
      <c r="M337" s="30" t="s">
        <v>110</v>
      </c>
      <c r="N337" s="30" t="s">
        <v>58</v>
      </c>
      <c r="O337" s="31">
        <v>30097</v>
      </c>
      <c r="P337" s="30" t="s">
        <v>79</v>
      </c>
      <c r="Q337" s="30" t="s">
        <v>75</v>
      </c>
      <c r="R337" s="30" t="s">
        <v>39</v>
      </c>
      <c r="S337" s="30" t="s">
        <v>59</v>
      </c>
      <c r="T337" s="30">
        <v>3</v>
      </c>
      <c r="U337" s="30">
        <v>1200</v>
      </c>
      <c r="V337" s="30">
        <v>5</v>
      </c>
      <c r="W337" s="30">
        <v>3420</v>
      </c>
      <c r="X337" s="30">
        <v>3</v>
      </c>
      <c r="Y337" s="30" t="s">
        <v>41</v>
      </c>
      <c r="Z337" s="30" t="s">
        <v>96</v>
      </c>
      <c r="AA337" s="30" t="s">
        <v>66</v>
      </c>
      <c r="AB337" s="30">
        <v>9342009114</v>
      </c>
      <c r="AC337" s="22" t="s">
        <v>34</v>
      </c>
    </row>
    <row r="338" spans="8:29" ht="15" thickBot="1" x14ac:dyDescent="0.4">
      <c r="H338" s="27" t="s">
        <v>451</v>
      </c>
      <c r="I338" s="27" t="s">
        <v>23</v>
      </c>
      <c r="J338" s="27" t="s">
        <v>56</v>
      </c>
      <c r="K338" s="28">
        <v>45845</v>
      </c>
      <c r="L338" s="28">
        <v>45854</v>
      </c>
      <c r="M338" s="27" t="s">
        <v>25</v>
      </c>
      <c r="N338" s="27" t="s">
        <v>26</v>
      </c>
      <c r="O338" s="28">
        <v>37217</v>
      </c>
      <c r="P338" s="27" t="s">
        <v>91</v>
      </c>
      <c r="Q338" s="27" t="s">
        <v>75</v>
      </c>
      <c r="R338" s="27" t="s">
        <v>39</v>
      </c>
      <c r="S338" s="27" t="s">
        <v>59</v>
      </c>
      <c r="T338" s="27">
        <v>9</v>
      </c>
      <c r="U338" s="27">
        <v>1200</v>
      </c>
      <c r="V338" s="27">
        <v>15</v>
      </c>
      <c r="W338" s="27">
        <v>9180</v>
      </c>
      <c r="X338" s="27">
        <v>3</v>
      </c>
      <c r="Y338" s="27" t="s">
        <v>31</v>
      </c>
      <c r="Z338" s="27" t="s">
        <v>42</v>
      </c>
      <c r="AA338" s="27" t="s">
        <v>43</v>
      </c>
      <c r="AB338" s="27">
        <v>9992739960</v>
      </c>
      <c r="AC338" s="21" t="s">
        <v>34</v>
      </c>
    </row>
    <row r="339" spans="8:29" ht="15" thickBot="1" x14ac:dyDescent="0.4">
      <c r="H339" s="30" t="s">
        <v>452</v>
      </c>
      <c r="I339" s="30" t="s">
        <v>134</v>
      </c>
      <c r="J339" s="30" t="s">
        <v>125</v>
      </c>
      <c r="K339" s="31">
        <v>46132</v>
      </c>
      <c r="L339" s="31">
        <v>46133</v>
      </c>
      <c r="M339" s="30" t="s">
        <v>135</v>
      </c>
      <c r="N339" s="30" t="s">
        <v>26</v>
      </c>
      <c r="O339" s="31">
        <v>32565</v>
      </c>
      <c r="P339" s="30" t="s">
        <v>74</v>
      </c>
      <c r="Q339" s="30" t="s">
        <v>75</v>
      </c>
      <c r="R339" s="30" t="s">
        <v>83</v>
      </c>
      <c r="S339" s="30" t="s">
        <v>127</v>
      </c>
      <c r="T339" s="30">
        <v>5</v>
      </c>
      <c r="U339" s="30">
        <v>20</v>
      </c>
      <c r="V339" s="30">
        <v>5</v>
      </c>
      <c r="W339" s="30">
        <v>95</v>
      </c>
      <c r="X339" s="30">
        <v>4</v>
      </c>
      <c r="Y339" s="30" t="s">
        <v>31</v>
      </c>
      <c r="Z339" s="30" t="s">
        <v>96</v>
      </c>
      <c r="AA339" s="30" t="s">
        <v>136</v>
      </c>
      <c r="AB339" s="30">
        <v>9241987748</v>
      </c>
      <c r="AC339" s="22" t="s">
        <v>34</v>
      </c>
    </row>
    <row r="340" spans="8:29" ht="15" thickBot="1" x14ac:dyDescent="0.4">
      <c r="H340" s="27" t="s">
        <v>453</v>
      </c>
      <c r="I340" s="27" t="s">
        <v>134</v>
      </c>
      <c r="J340" s="27" t="s">
        <v>24</v>
      </c>
      <c r="K340" s="28">
        <v>46001</v>
      </c>
      <c r="L340" s="28">
        <v>46012</v>
      </c>
      <c r="M340" s="27" t="s">
        <v>135</v>
      </c>
      <c r="N340" s="27" t="s">
        <v>26</v>
      </c>
      <c r="O340" s="28">
        <v>31277</v>
      </c>
      <c r="P340" s="27" t="s">
        <v>91</v>
      </c>
      <c r="Q340" s="27" t="s">
        <v>75</v>
      </c>
      <c r="R340" s="27" t="s">
        <v>29</v>
      </c>
      <c r="S340" s="27" t="s">
        <v>30</v>
      </c>
      <c r="T340" s="27">
        <v>8</v>
      </c>
      <c r="U340" s="27">
        <v>2200</v>
      </c>
      <c r="V340" s="27">
        <v>10</v>
      </c>
      <c r="W340" s="27">
        <v>15840</v>
      </c>
      <c r="X340" s="27">
        <v>4</v>
      </c>
      <c r="Y340" s="27" t="s">
        <v>65</v>
      </c>
      <c r="Z340" s="27" t="s">
        <v>50</v>
      </c>
      <c r="AA340" s="27" t="s">
        <v>136</v>
      </c>
      <c r="AB340" s="27">
        <v>9571990711</v>
      </c>
      <c r="AC340" s="27" t="s">
        <v>53</v>
      </c>
    </row>
    <row r="341" spans="8:29" ht="15" thickBot="1" x14ac:dyDescent="0.4">
      <c r="H341" s="30" t="s">
        <v>454</v>
      </c>
      <c r="I341" s="30" t="s">
        <v>134</v>
      </c>
      <c r="J341" s="30" t="s">
        <v>112</v>
      </c>
      <c r="K341" s="31">
        <v>46089</v>
      </c>
      <c r="L341" s="31">
        <v>46093</v>
      </c>
      <c r="M341" s="30" t="s">
        <v>135</v>
      </c>
      <c r="N341" s="30" t="s">
        <v>26</v>
      </c>
      <c r="O341" s="31">
        <v>29223</v>
      </c>
      <c r="P341" s="30" t="s">
        <v>74</v>
      </c>
      <c r="Q341" s="30" t="s">
        <v>75</v>
      </c>
      <c r="R341" s="30" t="s">
        <v>39</v>
      </c>
      <c r="S341" s="30" t="s">
        <v>114</v>
      </c>
      <c r="T341" s="30">
        <v>10</v>
      </c>
      <c r="U341" s="30">
        <v>700</v>
      </c>
      <c r="V341" s="30">
        <v>20</v>
      </c>
      <c r="W341" s="30">
        <v>5600</v>
      </c>
      <c r="X341" s="30">
        <v>1</v>
      </c>
      <c r="Y341" s="30" t="s">
        <v>65</v>
      </c>
      <c r="Z341" s="30" t="s">
        <v>80</v>
      </c>
      <c r="AA341" s="30" t="s">
        <v>136</v>
      </c>
      <c r="AB341" s="30">
        <v>9219231183</v>
      </c>
      <c r="AC341" s="22" t="s">
        <v>34</v>
      </c>
    </row>
    <row r="342" spans="8:29" ht="15" thickBot="1" x14ac:dyDescent="0.4">
      <c r="H342" s="27" t="s">
        <v>455</v>
      </c>
      <c r="I342" s="27" t="s">
        <v>63</v>
      </c>
      <c r="J342" s="27" t="s">
        <v>112</v>
      </c>
      <c r="K342" s="28">
        <v>45986</v>
      </c>
      <c r="L342" s="28">
        <v>45989</v>
      </c>
      <c r="M342" s="27" t="s">
        <v>110</v>
      </c>
      <c r="N342" s="27" t="s">
        <v>58</v>
      </c>
      <c r="O342" s="28">
        <v>28498</v>
      </c>
      <c r="P342" s="27" t="s">
        <v>48</v>
      </c>
      <c r="Q342" s="27" t="s">
        <v>28</v>
      </c>
      <c r="R342" s="27" t="s">
        <v>39</v>
      </c>
      <c r="S342" s="27" t="s">
        <v>114</v>
      </c>
      <c r="T342" s="27">
        <v>2</v>
      </c>
      <c r="U342" s="27">
        <v>700</v>
      </c>
      <c r="V342" s="27">
        <v>20</v>
      </c>
      <c r="W342" s="27">
        <v>1120</v>
      </c>
      <c r="X342" s="27">
        <v>2</v>
      </c>
      <c r="Y342" s="27" t="s">
        <v>31</v>
      </c>
      <c r="Z342" s="27" t="s">
        <v>80</v>
      </c>
      <c r="AA342" s="27" t="s">
        <v>66</v>
      </c>
      <c r="AB342" s="27">
        <v>9847386174</v>
      </c>
      <c r="AC342" s="27" t="s">
        <v>52</v>
      </c>
    </row>
    <row r="343" spans="8:29" ht="15" thickBot="1" x14ac:dyDescent="0.4">
      <c r="H343" s="30" t="s">
        <v>456</v>
      </c>
      <c r="I343" s="30" t="s">
        <v>124</v>
      </c>
      <c r="J343" s="30" t="s">
        <v>68</v>
      </c>
      <c r="K343" s="31">
        <v>45827</v>
      </c>
      <c r="L343" s="31">
        <v>45836</v>
      </c>
      <c r="M343" s="30" t="s">
        <v>126</v>
      </c>
      <c r="N343" s="30" t="s">
        <v>58</v>
      </c>
      <c r="O343" s="31">
        <v>33821</v>
      </c>
      <c r="P343" s="30" t="s">
        <v>79</v>
      </c>
      <c r="Q343" s="30" t="s">
        <v>75</v>
      </c>
      <c r="R343" s="30" t="s">
        <v>29</v>
      </c>
      <c r="S343" s="30" t="s">
        <v>70</v>
      </c>
      <c r="T343" s="30">
        <v>16</v>
      </c>
      <c r="U343" s="30">
        <v>3500</v>
      </c>
      <c r="V343" s="30">
        <v>20</v>
      </c>
      <c r="W343" s="30">
        <v>44800</v>
      </c>
      <c r="X343" s="30">
        <v>2</v>
      </c>
      <c r="Y343" s="30" t="s">
        <v>65</v>
      </c>
      <c r="Z343" s="30" t="s">
        <v>32</v>
      </c>
      <c r="AA343" s="30" t="s">
        <v>128</v>
      </c>
      <c r="AB343" s="30">
        <v>9941274924</v>
      </c>
      <c r="AC343" s="30" t="s">
        <v>52</v>
      </c>
    </row>
    <row r="344" spans="8:29" ht="15" thickBot="1" x14ac:dyDescent="0.4">
      <c r="H344" s="27" t="s">
        <v>457</v>
      </c>
      <c r="I344" s="27" t="s">
        <v>104</v>
      </c>
      <c r="J344" s="27" t="s">
        <v>68</v>
      </c>
      <c r="K344" s="28">
        <v>45860</v>
      </c>
      <c r="L344" s="28">
        <v>45870</v>
      </c>
      <c r="M344" s="27" t="s">
        <v>166</v>
      </c>
      <c r="N344" s="27" t="s">
        <v>26</v>
      </c>
      <c r="O344" s="28">
        <v>38349</v>
      </c>
      <c r="P344" s="27" t="s">
        <v>37</v>
      </c>
      <c r="Q344" s="27" t="s">
        <v>38</v>
      </c>
      <c r="R344" s="27" t="s">
        <v>29</v>
      </c>
      <c r="S344" s="27" t="s">
        <v>70</v>
      </c>
      <c r="T344" s="27">
        <v>9</v>
      </c>
      <c r="U344" s="27">
        <v>3500</v>
      </c>
      <c r="V344" s="27">
        <v>20</v>
      </c>
      <c r="W344" s="27">
        <v>25200</v>
      </c>
      <c r="X344" s="27">
        <v>1</v>
      </c>
      <c r="Y344" s="27" t="s">
        <v>60</v>
      </c>
      <c r="Z344" s="27" t="s">
        <v>42</v>
      </c>
      <c r="AA344" s="27" t="s">
        <v>108</v>
      </c>
      <c r="AB344" s="27">
        <v>9950650508</v>
      </c>
      <c r="AC344" s="27" t="s">
        <v>53</v>
      </c>
    </row>
    <row r="345" spans="8:29" ht="15" thickBot="1" x14ac:dyDescent="0.4">
      <c r="H345" s="30" t="s">
        <v>458</v>
      </c>
      <c r="I345" s="30" t="s">
        <v>87</v>
      </c>
      <c r="J345" s="30" t="s">
        <v>112</v>
      </c>
      <c r="K345" s="31">
        <v>45959</v>
      </c>
      <c r="L345" s="31">
        <v>45960</v>
      </c>
      <c r="M345" s="30" t="s">
        <v>88</v>
      </c>
      <c r="N345" s="30" t="s">
        <v>58</v>
      </c>
      <c r="O345" s="31">
        <v>37628</v>
      </c>
      <c r="P345" s="30" t="s">
        <v>27</v>
      </c>
      <c r="Q345" s="30" t="s">
        <v>28</v>
      </c>
      <c r="R345" s="30" t="s">
        <v>39</v>
      </c>
      <c r="S345" s="30" t="s">
        <v>114</v>
      </c>
      <c r="T345" s="30">
        <v>15</v>
      </c>
      <c r="U345" s="30">
        <v>700</v>
      </c>
      <c r="V345" s="30">
        <v>5</v>
      </c>
      <c r="W345" s="30">
        <v>9975</v>
      </c>
      <c r="X345" s="30">
        <v>1</v>
      </c>
      <c r="Y345" s="30" t="s">
        <v>31</v>
      </c>
      <c r="Z345" s="30" t="s">
        <v>42</v>
      </c>
      <c r="AA345" s="30" t="s">
        <v>89</v>
      </c>
      <c r="AB345" s="30">
        <v>9464035549</v>
      </c>
      <c r="AC345" s="30" t="s">
        <v>53</v>
      </c>
    </row>
    <row r="346" spans="8:29" ht="15" thickBot="1" x14ac:dyDescent="0.4">
      <c r="H346" s="27" t="s">
        <v>459</v>
      </c>
      <c r="I346" s="27" t="s">
        <v>45</v>
      </c>
      <c r="J346" s="27" t="s">
        <v>56</v>
      </c>
      <c r="K346" s="28">
        <v>46086</v>
      </c>
      <c r="L346" s="28">
        <v>46091</v>
      </c>
      <c r="M346" s="27" t="s">
        <v>101</v>
      </c>
      <c r="N346" s="27" t="s">
        <v>26</v>
      </c>
      <c r="O346" s="28">
        <v>34037</v>
      </c>
      <c r="P346" s="27" t="s">
        <v>91</v>
      </c>
      <c r="Q346" s="27" t="s">
        <v>75</v>
      </c>
      <c r="R346" s="27" t="s">
        <v>39</v>
      </c>
      <c r="S346" s="27" t="s">
        <v>59</v>
      </c>
      <c r="T346" s="27">
        <v>13</v>
      </c>
      <c r="U346" s="27">
        <v>1200</v>
      </c>
      <c r="V346" s="27">
        <v>0</v>
      </c>
      <c r="W346" s="27">
        <v>15600</v>
      </c>
      <c r="X346" s="27">
        <v>3</v>
      </c>
      <c r="Y346" s="27" t="s">
        <v>41</v>
      </c>
      <c r="Z346" s="27" t="s">
        <v>80</v>
      </c>
      <c r="AA346" s="27" t="s">
        <v>51</v>
      </c>
      <c r="AB346" s="27">
        <v>9142334315</v>
      </c>
      <c r="AC346" s="27" t="s">
        <v>53</v>
      </c>
    </row>
    <row r="347" spans="8:29" ht="29.5" thickBot="1" x14ac:dyDescent="0.4">
      <c r="H347" s="30" t="s">
        <v>460</v>
      </c>
      <c r="I347" s="30" t="s">
        <v>156</v>
      </c>
      <c r="J347" s="30" t="s">
        <v>36</v>
      </c>
      <c r="K347" s="31">
        <v>45895</v>
      </c>
      <c r="L347" s="31">
        <v>45907</v>
      </c>
      <c r="M347" s="30" t="s">
        <v>106</v>
      </c>
      <c r="N347" s="30" t="s">
        <v>58</v>
      </c>
      <c r="O347" s="31">
        <v>34123</v>
      </c>
      <c r="P347" s="30" t="s">
        <v>37</v>
      </c>
      <c r="Q347" s="30" t="s">
        <v>38</v>
      </c>
      <c r="R347" s="30" t="s">
        <v>39</v>
      </c>
      <c r="S347" s="30" t="s">
        <v>40</v>
      </c>
      <c r="T347" s="30">
        <v>5</v>
      </c>
      <c r="U347" s="30">
        <v>12000</v>
      </c>
      <c r="V347" s="30">
        <v>10</v>
      </c>
      <c r="W347" s="30">
        <v>54000</v>
      </c>
      <c r="X347" s="30">
        <v>3</v>
      </c>
      <c r="Y347" s="30" t="s">
        <v>65</v>
      </c>
      <c r="Z347" s="30" t="s">
        <v>42</v>
      </c>
      <c r="AA347" s="30" t="s">
        <v>158</v>
      </c>
      <c r="AB347" s="30">
        <v>9123961962</v>
      </c>
      <c r="AC347" s="22" t="s">
        <v>34</v>
      </c>
    </row>
    <row r="348" spans="8:29" ht="15" thickBot="1" x14ac:dyDescent="0.4">
      <c r="H348" s="27" t="s">
        <v>461</v>
      </c>
      <c r="I348" s="27" t="s">
        <v>45</v>
      </c>
      <c r="J348" s="27" t="s">
        <v>138</v>
      </c>
      <c r="K348" s="28">
        <v>45752</v>
      </c>
      <c r="L348" s="28">
        <v>45755</v>
      </c>
      <c r="M348" s="27" t="s">
        <v>101</v>
      </c>
      <c r="N348" s="27" t="s">
        <v>26</v>
      </c>
      <c r="O348" s="28">
        <v>36504</v>
      </c>
      <c r="P348" s="27" t="s">
        <v>48</v>
      </c>
      <c r="Q348" s="27" t="s">
        <v>28</v>
      </c>
      <c r="R348" s="27" t="s">
        <v>83</v>
      </c>
      <c r="S348" s="27" t="s">
        <v>139</v>
      </c>
      <c r="T348" s="27">
        <v>12</v>
      </c>
      <c r="U348" s="27">
        <v>45</v>
      </c>
      <c r="V348" s="27">
        <v>20</v>
      </c>
      <c r="W348" s="27">
        <v>432</v>
      </c>
      <c r="X348" s="27">
        <v>3</v>
      </c>
      <c r="Y348" s="27" t="s">
        <v>41</v>
      </c>
      <c r="Z348" s="27" t="s">
        <v>50</v>
      </c>
      <c r="AA348" s="27" t="s">
        <v>51</v>
      </c>
      <c r="AB348" s="27">
        <v>9741953402</v>
      </c>
      <c r="AC348" s="21" t="s">
        <v>34</v>
      </c>
    </row>
    <row r="349" spans="8:29" ht="15" thickBot="1" x14ac:dyDescent="0.4">
      <c r="H349" s="30" t="s">
        <v>462</v>
      </c>
      <c r="I349" s="30" t="s">
        <v>23</v>
      </c>
      <c r="J349" s="30" t="s">
        <v>68</v>
      </c>
      <c r="K349" s="31">
        <v>45756</v>
      </c>
      <c r="L349" s="31">
        <v>45761</v>
      </c>
      <c r="M349" s="30" t="s">
        <v>25</v>
      </c>
      <c r="N349" s="30" t="s">
        <v>26</v>
      </c>
      <c r="O349" s="31">
        <v>27917</v>
      </c>
      <c r="P349" s="30" t="s">
        <v>48</v>
      </c>
      <c r="Q349" s="30" t="s">
        <v>28</v>
      </c>
      <c r="R349" s="30" t="s">
        <v>29</v>
      </c>
      <c r="S349" s="30" t="s">
        <v>70</v>
      </c>
      <c r="T349" s="30">
        <v>2</v>
      </c>
      <c r="U349" s="30">
        <v>3500</v>
      </c>
      <c r="V349" s="30">
        <v>0</v>
      </c>
      <c r="W349" s="30">
        <v>7000</v>
      </c>
      <c r="X349" s="30">
        <v>1</v>
      </c>
      <c r="Y349" s="30" t="s">
        <v>41</v>
      </c>
      <c r="Z349" s="30" t="s">
        <v>80</v>
      </c>
      <c r="AA349" s="30" t="s">
        <v>43</v>
      </c>
      <c r="AB349" s="30">
        <v>9404733633</v>
      </c>
      <c r="AC349" s="30" t="s">
        <v>52</v>
      </c>
    </row>
    <row r="350" spans="8:29" ht="15" thickBot="1" x14ac:dyDescent="0.4">
      <c r="H350" s="27" t="s">
        <v>463</v>
      </c>
      <c r="I350" s="27" t="s">
        <v>23</v>
      </c>
      <c r="J350" s="27" t="s">
        <v>24</v>
      </c>
      <c r="K350" s="28">
        <v>46155</v>
      </c>
      <c r="L350" s="28">
        <v>46158</v>
      </c>
      <c r="M350" s="27" t="s">
        <v>25</v>
      </c>
      <c r="N350" s="27" t="s">
        <v>26</v>
      </c>
      <c r="O350" s="28">
        <v>30982</v>
      </c>
      <c r="P350" s="27" t="s">
        <v>79</v>
      </c>
      <c r="Q350" s="27" t="s">
        <v>75</v>
      </c>
      <c r="R350" s="27" t="s">
        <v>29</v>
      </c>
      <c r="S350" s="27" t="s">
        <v>30</v>
      </c>
      <c r="T350" s="27">
        <v>15</v>
      </c>
      <c r="U350" s="27">
        <v>2200</v>
      </c>
      <c r="V350" s="27">
        <v>15</v>
      </c>
      <c r="W350" s="27">
        <v>28050</v>
      </c>
      <c r="X350" s="27">
        <v>2</v>
      </c>
      <c r="Y350" s="27" t="s">
        <v>41</v>
      </c>
      <c r="Z350" s="27" t="s">
        <v>42</v>
      </c>
      <c r="AA350" s="27" t="s">
        <v>43</v>
      </c>
      <c r="AB350" s="27">
        <v>9297492337</v>
      </c>
      <c r="AC350" s="27" t="s">
        <v>52</v>
      </c>
    </row>
    <row r="351" spans="8:29" ht="15" thickBot="1" x14ac:dyDescent="0.4">
      <c r="H351" s="30" t="s">
        <v>464</v>
      </c>
      <c r="I351" s="30" t="s">
        <v>72</v>
      </c>
      <c r="J351" s="30" t="s">
        <v>125</v>
      </c>
      <c r="K351" s="31">
        <v>45995</v>
      </c>
      <c r="L351" s="31">
        <v>46003</v>
      </c>
      <c r="M351" s="30" t="s">
        <v>73</v>
      </c>
      <c r="N351" s="30" t="s">
        <v>26</v>
      </c>
      <c r="O351" s="31">
        <v>27453</v>
      </c>
      <c r="P351" s="30" t="s">
        <v>91</v>
      </c>
      <c r="Q351" s="30" t="s">
        <v>75</v>
      </c>
      <c r="R351" s="30" t="s">
        <v>83</v>
      </c>
      <c r="S351" s="30" t="s">
        <v>127</v>
      </c>
      <c r="T351" s="30">
        <v>8</v>
      </c>
      <c r="U351" s="30">
        <v>20</v>
      </c>
      <c r="V351" s="30">
        <v>20</v>
      </c>
      <c r="W351" s="30">
        <v>128</v>
      </c>
      <c r="X351" s="30">
        <v>5</v>
      </c>
      <c r="Y351" s="30" t="s">
        <v>65</v>
      </c>
      <c r="Z351" s="30" t="s">
        <v>42</v>
      </c>
      <c r="AA351" s="30" t="s">
        <v>93</v>
      </c>
      <c r="AB351" s="30">
        <v>9350338928</v>
      </c>
      <c r="AC351" s="22" t="s">
        <v>34</v>
      </c>
    </row>
    <row r="352" spans="8:29" ht="15" thickBot="1" x14ac:dyDescent="0.4">
      <c r="H352" s="27" t="s">
        <v>465</v>
      </c>
      <c r="I352" s="27" t="s">
        <v>87</v>
      </c>
      <c r="J352" s="27" t="s">
        <v>125</v>
      </c>
      <c r="K352" s="28">
        <v>46089</v>
      </c>
      <c r="L352" s="28">
        <v>46091</v>
      </c>
      <c r="M352" s="27" t="s">
        <v>88</v>
      </c>
      <c r="N352" s="27" t="s">
        <v>58</v>
      </c>
      <c r="O352" s="28">
        <v>34261</v>
      </c>
      <c r="P352" s="27" t="s">
        <v>27</v>
      </c>
      <c r="Q352" s="27" t="s">
        <v>28</v>
      </c>
      <c r="R352" s="27" t="s">
        <v>83</v>
      </c>
      <c r="S352" s="27" t="s">
        <v>127</v>
      </c>
      <c r="T352" s="27">
        <v>1</v>
      </c>
      <c r="U352" s="27">
        <v>20</v>
      </c>
      <c r="V352" s="27">
        <v>0</v>
      </c>
      <c r="W352" s="27">
        <v>20</v>
      </c>
      <c r="X352" s="27">
        <v>3</v>
      </c>
      <c r="Y352" s="27" t="s">
        <v>65</v>
      </c>
      <c r="Z352" s="27" t="s">
        <v>32</v>
      </c>
      <c r="AA352" s="27" t="s">
        <v>89</v>
      </c>
      <c r="AB352" s="27">
        <v>9933894798</v>
      </c>
      <c r="AC352" s="21" t="s">
        <v>34</v>
      </c>
    </row>
    <row r="353" spans="8:29" ht="15" thickBot="1" x14ac:dyDescent="0.4">
      <c r="H353" s="30" t="s">
        <v>466</v>
      </c>
      <c r="I353" s="30" t="s">
        <v>23</v>
      </c>
      <c r="J353" s="30" t="s">
        <v>112</v>
      </c>
      <c r="K353" s="31">
        <v>46027</v>
      </c>
      <c r="L353" s="31">
        <v>46038</v>
      </c>
      <c r="M353" s="30" t="s">
        <v>25</v>
      </c>
      <c r="N353" s="30" t="s">
        <v>26</v>
      </c>
      <c r="O353" s="31">
        <v>30614</v>
      </c>
      <c r="P353" s="30" t="s">
        <v>121</v>
      </c>
      <c r="Q353" s="30" t="s">
        <v>38</v>
      </c>
      <c r="R353" s="30" t="s">
        <v>39</v>
      </c>
      <c r="S353" s="30" t="s">
        <v>114</v>
      </c>
      <c r="T353" s="30">
        <v>15</v>
      </c>
      <c r="U353" s="30">
        <v>700</v>
      </c>
      <c r="V353" s="30">
        <v>0</v>
      </c>
      <c r="W353" s="30">
        <v>10500</v>
      </c>
      <c r="X353" s="30">
        <v>2</v>
      </c>
      <c r="Y353" s="30" t="s">
        <v>65</v>
      </c>
      <c r="Z353" s="30" t="s">
        <v>42</v>
      </c>
      <c r="AA353" s="30" t="s">
        <v>43</v>
      </c>
      <c r="AB353" s="30">
        <v>9705218824</v>
      </c>
      <c r="AC353" s="22" t="s">
        <v>34</v>
      </c>
    </row>
    <row r="354" spans="8:29" ht="29.5" thickBot="1" x14ac:dyDescent="0.4">
      <c r="H354" s="27" t="s">
        <v>467</v>
      </c>
      <c r="I354" s="27" t="s">
        <v>156</v>
      </c>
      <c r="J354" s="27" t="s">
        <v>68</v>
      </c>
      <c r="K354" s="28">
        <v>45695</v>
      </c>
      <c r="L354" s="28">
        <v>45698</v>
      </c>
      <c r="M354" s="27" t="s">
        <v>106</v>
      </c>
      <c r="N354" s="27" t="s">
        <v>58</v>
      </c>
      <c r="O354" s="28">
        <v>30324</v>
      </c>
      <c r="P354" s="27" t="s">
        <v>27</v>
      </c>
      <c r="Q354" s="27" t="s">
        <v>28</v>
      </c>
      <c r="R354" s="27" t="s">
        <v>29</v>
      </c>
      <c r="S354" s="27" t="s">
        <v>70</v>
      </c>
      <c r="T354" s="27">
        <v>15</v>
      </c>
      <c r="U354" s="27">
        <v>3500</v>
      </c>
      <c r="V354" s="27">
        <v>10</v>
      </c>
      <c r="W354" s="27">
        <v>47250</v>
      </c>
      <c r="X354" s="27">
        <v>3</v>
      </c>
      <c r="Y354" s="27" t="s">
        <v>31</v>
      </c>
      <c r="Z354" s="27" t="s">
        <v>96</v>
      </c>
      <c r="AA354" s="27" t="s">
        <v>158</v>
      </c>
      <c r="AB354" s="27">
        <v>9229164453</v>
      </c>
      <c r="AC354" s="27" t="s">
        <v>52</v>
      </c>
    </row>
    <row r="355" spans="8:29" ht="15" thickBot="1" x14ac:dyDescent="0.4">
      <c r="H355" s="30" t="s">
        <v>468</v>
      </c>
      <c r="I355" s="30" t="s">
        <v>23</v>
      </c>
      <c r="J355" s="30" t="s">
        <v>82</v>
      </c>
      <c r="K355" s="31">
        <v>45866</v>
      </c>
      <c r="L355" s="31">
        <v>45876</v>
      </c>
      <c r="M355" s="30" t="s">
        <v>25</v>
      </c>
      <c r="N355" s="30" t="s">
        <v>26</v>
      </c>
      <c r="O355" s="31">
        <v>30664</v>
      </c>
      <c r="P355" s="30" t="s">
        <v>147</v>
      </c>
      <c r="Q355" s="30" t="s">
        <v>148</v>
      </c>
      <c r="R355" s="30" t="s">
        <v>83</v>
      </c>
      <c r="S355" s="30" t="s">
        <v>84</v>
      </c>
      <c r="T355" s="30">
        <v>16</v>
      </c>
      <c r="U355" s="30">
        <v>60</v>
      </c>
      <c r="V355" s="30">
        <v>10</v>
      </c>
      <c r="W355" s="30">
        <v>864</v>
      </c>
      <c r="X355" s="30">
        <v>4</v>
      </c>
      <c r="Y355" s="30" t="s">
        <v>60</v>
      </c>
      <c r="Z355" s="30" t="s">
        <v>50</v>
      </c>
      <c r="AA355" s="30" t="s">
        <v>43</v>
      </c>
      <c r="AB355" s="30">
        <v>9219806176</v>
      </c>
      <c r="AC355" s="22" t="s">
        <v>34</v>
      </c>
    </row>
    <row r="356" spans="8:29" ht="15" thickBot="1" x14ac:dyDescent="0.4">
      <c r="H356" s="27" t="s">
        <v>469</v>
      </c>
      <c r="I356" s="27" t="s">
        <v>87</v>
      </c>
      <c r="J356" s="27" t="s">
        <v>138</v>
      </c>
      <c r="K356" s="28">
        <v>45945</v>
      </c>
      <c r="L356" s="28">
        <v>45951</v>
      </c>
      <c r="M356" s="27" t="s">
        <v>88</v>
      </c>
      <c r="N356" s="27" t="s">
        <v>58</v>
      </c>
      <c r="O356" s="28">
        <v>30585</v>
      </c>
      <c r="P356" s="27" t="s">
        <v>37</v>
      </c>
      <c r="Q356" s="27" t="s">
        <v>38</v>
      </c>
      <c r="R356" s="27" t="s">
        <v>83</v>
      </c>
      <c r="S356" s="27" t="s">
        <v>139</v>
      </c>
      <c r="T356" s="27">
        <v>2</v>
      </c>
      <c r="U356" s="27">
        <v>45</v>
      </c>
      <c r="V356" s="27">
        <v>15</v>
      </c>
      <c r="W356" s="27">
        <v>76.5</v>
      </c>
      <c r="X356" s="27">
        <v>1</v>
      </c>
      <c r="Y356" s="27" t="s">
        <v>65</v>
      </c>
      <c r="Z356" s="27" t="s">
        <v>96</v>
      </c>
      <c r="AA356" s="27" t="s">
        <v>89</v>
      </c>
      <c r="AB356" s="27">
        <v>9630210250</v>
      </c>
      <c r="AC356" s="27" t="s">
        <v>53</v>
      </c>
    </row>
    <row r="357" spans="8:29" ht="15" thickBot="1" x14ac:dyDescent="0.4">
      <c r="H357" s="30" t="s">
        <v>470</v>
      </c>
      <c r="I357" s="30" t="s">
        <v>104</v>
      </c>
      <c r="J357" s="30" t="s">
        <v>82</v>
      </c>
      <c r="K357" s="31">
        <v>45997</v>
      </c>
      <c r="L357" s="31">
        <v>46006</v>
      </c>
      <c r="M357" s="30" t="s">
        <v>166</v>
      </c>
      <c r="N357" s="30" t="s">
        <v>26</v>
      </c>
      <c r="O357" s="31">
        <v>27537</v>
      </c>
      <c r="P357" s="30" t="s">
        <v>37</v>
      </c>
      <c r="Q357" s="30" t="s">
        <v>38</v>
      </c>
      <c r="R357" s="30" t="s">
        <v>83</v>
      </c>
      <c r="S357" s="30" t="s">
        <v>84</v>
      </c>
      <c r="T357" s="30">
        <v>13</v>
      </c>
      <c r="U357" s="30">
        <v>60</v>
      </c>
      <c r="V357" s="30">
        <v>15</v>
      </c>
      <c r="W357" s="30">
        <v>663</v>
      </c>
      <c r="X357" s="30">
        <v>2</v>
      </c>
      <c r="Y357" s="30" t="s">
        <v>41</v>
      </c>
      <c r="Z357" s="30" t="s">
        <v>50</v>
      </c>
      <c r="AA357" s="30" t="s">
        <v>108</v>
      </c>
      <c r="AB357" s="30">
        <v>9583354052</v>
      </c>
      <c r="AC357" s="30" t="s">
        <v>53</v>
      </c>
    </row>
    <row r="358" spans="8:29" ht="15" thickBot="1" x14ac:dyDescent="0.4">
      <c r="H358" s="27" t="s">
        <v>471</v>
      </c>
      <c r="I358" s="27" t="s">
        <v>63</v>
      </c>
      <c r="J358" s="27" t="s">
        <v>36</v>
      </c>
      <c r="K358" s="28">
        <v>45797</v>
      </c>
      <c r="L358" s="28">
        <v>45799</v>
      </c>
      <c r="M358" s="27" t="s">
        <v>110</v>
      </c>
      <c r="N358" s="27" t="s">
        <v>58</v>
      </c>
      <c r="O358" s="28">
        <v>34647</v>
      </c>
      <c r="P358" s="27" t="s">
        <v>37</v>
      </c>
      <c r="Q358" s="27" t="s">
        <v>38</v>
      </c>
      <c r="R358" s="27" t="s">
        <v>39</v>
      </c>
      <c r="S358" s="27" t="s">
        <v>40</v>
      </c>
      <c r="T358" s="27">
        <v>15</v>
      </c>
      <c r="U358" s="27">
        <v>12000</v>
      </c>
      <c r="V358" s="27">
        <v>20</v>
      </c>
      <c r="W358" s="27">
        <v>144000</v>
      </c>
      <c r="X358" s="27">
        <v>3</v>
      </c>
      <c r="Y358" s="27" t="s">
        <v>60</v>
      </c>
      <c r="Z358" s="27" t="s">
        <v>32</v>
      </c>
      <c r="AA358" s="27" t="s">
        <v>66</v>
      </c>
      <c r="AB358" s="27">
        <v>9242534507</v>
      </c>
      <c r="AC358" s="27" t="s">
        <v>53</v>
      </c>
    </row>
    <row r="359" spans="8:29" ht="29.5" thickBot="1" x14ac:dyDescent="0.4">
      <c r="H359" s="30" t="s">
        <v>472</v>
      </c>
      <c r="I359" s="30" t="s">
        <v>156</v>
      </c>
      <c r="J359" s="30" t="s">
        <v>125</v>
      </c>
      <c r="K359" s="31">
        <v>45863</v>
      </c>
      <c r="L359" s="31">
        <v>45871</v>
      </c>
      <c r="M359" s="30" t="s">
        <v>106</v>
      </c>
      <c r="N359" s="30" t="s">
        <v>58</v>
      </c>
      <c r="O359" s="31">
        <v>32128</v>
      </c>
      <c r="P359" s="30" t="s">
        <v>37</v>
      </c>
      <c r="Q359" s="30" t="s">
        <v>38</v>
      </c>
      <c r="R359" s="30" t="s">
        <v>83</v>
      </c>
      <c r="S359" s="30" t="s">
        <v>127</v>
      </c>
      <c r="T359" s="30">
        <v>2</v>
      </c>
      <c r="U359" s="30">
        <v>20</v>
      </c>
      <c r="V359" s="30">
        <v>20</v>
      </c>
      <c r="W359" s="30">
        <v>32</v>
      </c>
      <c r="X359" s="30">
        <v>4</v>
      </c>
      <c r="Y359" s="30" t="s">
        <v>31</v>
      </c>
      <c r="Z359" s="30" t="s">
        <v>32</v>
      </c>
      <c r="AA359" s="30" t="s">
        <v>158</v>
      </c>
      <c r="AB359" s="30">
        <v>9291239150</v>
      </c>
      <c r="AC359" s="30" t="s">
        <v>52</v>
      </c>
    </row>
    <row r="360" spans="8:29" ht="15" thickBot="1" x14ac:dyDescent="0.4">
      <c r="H360" s="27" t="s">
        <v>473</v>
      </c>
      <c r="I360" s="27" t="s">
        <v>87</v>
      </c>
      <c r="J360" s="27" t="s">
        <v>68</v>
      </c>
      <c r="K360" s="28">
        <v>45874</v>
      </c>
      <c r="L360" s="28">
        <v>45886</v>
      </c>
      <c r="M360" s="27" t="s">
        <v>88</v>
      </c>
      <c r="N360" s="27" t="s">
        <v>58</v>
      </c>
      <c r="O360" s="28">
        <v>27564</v>
      </c>
      <c r="P360" s="27" t="s">
        <v>48</v>
      </c>
      <c r="Q360" s="27" t="s">
        <v>28</v>
      </c>
      <c r="R360" s="27" t="s">
        <v>29</v>
      </c>
      <c r="S360" s="27" t="s">
        <v>70</v>
      </c>
      <c r="T360" s="27">
        <v>16</v>
      </c>
      <c r="U360" s="27">
        <v>3500</v>
      </c>
      <c r="V360" s="27">
        <v>0</v>
      </c>
      <c r="W360" s="27">
        <v>56000</v>
      </c>
      <c r="X360" s="27">
        <v>4</v>
      </c>
      <c r="Y360" s="27" t="s">
        <v>31</v>
      </c>
      <c r="Z360" s="27" t="s">
        <v>80</v>
      </c>
      <c r="AA360" s="27" t="s">
        <v>89</v>
      </c>
      <c r="AB360" s="27">
        <v>9550820904</v>
      </c>
      <c r="AC360" s="21" t="s">
        <v>34</v>
      </c>
    </row>
    <row r="361" spans="8:29" ht="15" thickBot="1" x14ac:dyDescent="0.4">
      <c r="H361" s="30" t="s">
        <v>474</v>
      </c>
      <c r="I361" s="30" t="s">
        <v>45</v>
      </c>
      <c r="J361" s="30" t="s">
        <v>68</v>
      </c>
      <c r="K361" s="31">
        <v>46071</v>
      </c>
      <c r="L361" s="31">
        <v>46078</v>
      </c>
      <c r="M361" s="30" t="s">
        <v>101</v>
      </c>
      <c r="N361" s="30" t="s">
        <v>26</v>
      </c>
      <c r="O361" s="31">
        <v>28134</v>
      </c>
      <c r="P361" s="30" t="s">
        <v>91</v>
      </c>
      <c r="Q361" s="30" t="s">
        <v>75</v>
      </c>
      <c r="R361" s="30" t="s">
        <v>29</v>
      </c>
      <c r="S361" s="30" t="s">
        <v>70</v>
      </c>
      <c r="T361" s="30">
        <v>18</v>
      </c>
      <c r="U361" s="30">
        <v>3500</v>
      </c>
      <c r="V361" s="30">
        <v>15</v>
      </c>
      <c r="W361" s="30">
        <v>53550</v>
      </c>
      <c r="X361" s="30">
        <v>5</v>
      </c>
      <c r="Y361" s="30" t="s">
        <v>31</v>
      </c>
      <c r="Z361" s="30" t="s">
        <v>96</v>
      </c>
      <c r="AA361" s="30" t="s">
        <v>51</v>
      </c>
      <c r="AB361" s="30">
        <v>9294486423</v>
      </c>
      <c r="AC361" s="30" t="s">
        <v>53</v>
      </c>
    </row>
    <row r="362" spans="8:29" ht="15" thickBot="1" x14ac:dyDescent="0.4">
      <c r="H362" s="27" t="s">
        <v>475</v>
      </c>
      <c r="I362" s="27" t="s">
        <v>23</v>
      </c>
      <c r="J362" s="27" t="s">
        <v>138</v>
      </c>
      <c r="K362" s="28">
        <v>46102</v>
      </c>
      <c r="L362" s="28">
        <v>46107</v>
      </c>
      <c r="M362" s="27" t="s">
        <v>25</v>
      </c>
      <c r="N362" s="27" t="s">
        <v>26</v>
      </c>
      <c r="O362" s="28">
        <v>34232</v>
      </c>
      <c r="P362" s="27" t="s">
        <v>91</v>
      </c>
      <c r="Q362" s="27" t="s">
        <v>75</v>
      </c>
      <c r="R362" s="27" t="s">
        <v>83</v>
      </c>
      <c r="S362" s="27" t="s">
        <v>139</v>
      </c>
      <c r="T362" s="27">
        <v>20</v>
      </c>
      <c r="U362" s="27">
        <v>45</v>
      </c>
      <c r="V362" s="27">
        <v>15</v>
      </c>
      <c r="W362" s="27">
        <v>765</v>
      </c>
      <c r="X362" s="27">
        <v>4</v>
      </c>
      <c r="Y362" s="27" t="s">
        <v>31</v>
      </c>
      <c r="Z362" s="27" t="s">
        <v>96</v>
      </c>
      <c r="AA362" s="27" t="s">
        <v>43</v>
      </c>
      <c r="AB362" s="27">
        <v>9260258621</v>
      </c>
      <c r="AC362" s="27" t="s">
        <v>53</v>
      </c>
    </row>
    <row r="363" spans="8:29" ht="15" thickBot="1" x14ac:dyDescent="0.4">
      <c r="H363" s="30" t="s">
        <v>476</v>
      </c>
      <c r="I363" s="30" t="s">
        <v>134</v>
      </c>
      <c r="J363" s="30" t="s">
        <v>24</v>
      </c>
      <c r="K363" s="31">
        <v>46128</v>
      </c>
      <c r="L363" s="31">
        <v>46131</v>
      </c>
      <c r="M363" s="30" t="s">
        <v>135</v>
      </c>
      <c r="N363" s="30" t="s">
        <v>26</v>
      </c>
      <c r="O363" s="31">
        <v>35494</v>
      </c>
      <c r="P363" s="30" t="s">
        <v>37</v>
      </c>
      <c r="Q363" s="30" t="s">
        <v>38</v>
      </c>
      <c r="R363" s="30" t="s">
        <v>29</v>
      </c>
      <c r="S363" s="30" t="s">
        <v>30</v>
      </c>
      <c r="T363" s="30">
        <v>13</v>
      </c>
      <c r="U363" s="30">
        <v>2200</v>
      </c>
      <c r="V363" s="30">
        <v>15</v>
      </c>
      <c r="W363" s="30">
        <v>24310</v>
      </c>
      <c r="X363" s="30">
        <v>2</v>
      </c>
      <c r="Y363" s="30" t="s">
        <v>41</v>
      </c>
      <c r="Z363" s="30" t="s">
        <v>80</v>
      </c>
      <c r="AA363" s="30" t="s">
        <v>136</v>
      </c>
      <c r="AB363" s="30">
        <v>9697433584</v>
      </c>
      <c r="AC363" s="30" t="s">
        <v>52</v>
      </c>
    </row>
    <row r="364" spans="8:29" ht="15" thickBot="1" x14ac:dyDescent="0.4">
      <c r="H364" s="27" t="s">
        <v>477</v>
      </c>
      <c r="I364" s="27" t="s">
        <v>45</v>
      </c>
      <c r="J364" s="27" t="s">
        <v>478</v>
      </c>
      <c r="K364" s="28">
        <v>45943</v>
      </c>
      <c r="L364" s="28">
        <v>45944</v>
      </c>
      <c r="M364" s="27" t="s">
        <v>101</v>
      </c>
      <c r="N364" s="27" t="s">
        <v>26</v>
      </c>
      <c r="O364" s="28">
        <v>37447</v>
      </c>
      <c r="P364" s="27" t="s">
        <v>147</v>
      </c>
      <c r="Q364" s="27" t="s">
        <v>148</v>
      </c>
      <c r="R364" s="27" t="s">
        <v>29</v>
      </c>
      <c r="S364" s="27" t="s">
        <v>107</v>
      </c>
      <c r="T364" s="27">
        <v>11</v>
      </c>
      <c r="U364" s="27">
        <v>8500</v>
      </c>
      <c r="V364" s="27">
        <v>5</v>
      </c>
      <c r="W364" s="27">
        <v>88825</v>
      </c>
      <c r="X364" s="27">
        <v>1</v>
      </c>
      <c r="Y364" s="27" t="s">
        <v>65</v>
      </c>
      <c r="Z364" s="27" t="s">
        <v>80</v>
      </c>
      <c r="AA364" s="27" t="s">
        <v>51</v>
      </c>
      <c r="AB364" s="27">
        <v>9837969758</v>
      </c>
      <c r="AC364" s="27" t="s">
        <v>53</v>
      </c>
    </row>
    <row r="365" spans="8:29" ht="15" thickBot="1" x14ac:dyDescent="0.4">
      <c r="H365" s="30" t="s">
        <v>479</v>
      </c>
      <c r="I365" s="30" t="s">
        <v>45</v>
      </c>
      <c r="J365" s="30" t="s">
        <v>24</v>
      </c>
      <c r="K365" s="31">
        <v>45996</v>
      </c>
      <c r="L365" s="31">
        <v>46001</v>
      </c>
      <c r="M365" s="30" t="s">
        <v>101</v>
      </c>
      <c r="N365" s="30" t="s">
        <v>26</v>
      </c>
      <c r="O365" s="31">
        <v>30790</v>
      </c>
      <c r="P365" s="30" t="s">
        <v>121</v>
      </c>
      <c r="Q365" s="30" t="s">
        <v>38</v>
      </c>
      <c r="R365" s="30" t="s">
        <v>29</v>
      </c>
      <c r="S365" s="30" t="s">
        <v>30</v>
      </c>
      <c r="T365" s="30">
        <v>2</v>
      </c>
      <c r="U365" s="30">
        <v>2200</v>
      </c>
      <c r="V365" s="30">
        <v>0</v>
      </c>
      <c r="W365" s="30">
        <v>4400</v>
      </c>
      <c r="X365" s="30">
        <v>4</v>
      </c>
      <c r="Y365" s="30" t="s">
        <v>65</v>
      </c>
      <c r="Z365" s="30" t="s">
        <v>96</v>
      </c>
      <c r="AA365" s="30" t="s">
        <v>51</v>
      </c>
      <c r="AB365" s="30">
        <v>9209736419</v>
      </c>
      <c r="AC365" s="30" t="s">
        <v>52</v>
      </c>
    </row>
    <row r="366" spans="8:29" ht="15" thickBot="1" x14ac:dyDescent="0.4">
      <c r="H366" s="27" t="s">
        <v>480</v>
      </c>
      <c r="I366" s="27" t="s">
        <v>63</v>
      </c>
      <c r="J366" s="27" t="s">
        <v>112</v>
      </c>
      <c r="K366" s="28">
        <v>45868</v>
      </c>
      <c r="L366" s="28">
        <v>45873</v>
      </c>
      <c r="M366" s="27" t="s">
        <v>110</v>
      </c>
      <c r="N366" s="27" t="s">
        <v>58</v>
      </c>
      <c r="O366" s="28">
        <v>37803</v>
      </c>
      <c r="P366" s="27" t="s">
        <v>74</v>
      </c>
      <c r="Q366" s="27" t="s">
        <v>75</v>
      </c>
      <c r="R366" s="27" t="s">
        <v>39</v>
      </c>
      <c r="S366" s="27" t="s">
        <v>114</v>
      </c>
      <c r="T366" s="27">
        <v>15</v>
      </c>
      <c r="U366" s="27">
        <v>700</v>
      </c>
      <c r="V366" s="27">
        <v>15</v>
      </c>
      <c r="W366" s="27">
        <v>8925</v>
      </c>
      <c r="X366" s="27">
        <v>3</v>
      </c>
      <c r="Y366" s="27" t="s">
        <v>41</v>
      </c>
      <c r="Z366" s="27" t="s">
        <v>80</v>
      </c>
      <c r="AA366" s="27" t="s">
        <v>66</v>
      </c>
      <c r="AB366" s="27">
        <v>9645907237</v>
      </c>
      <c r="AC366" s="21" t="s">
        <v>34</v>
      </c>
    </row>
    <row r="367" spans="8:29" ht="15" thickBot="1" x14ac:dyDescent="0.4">
      <c r="H367" s="30" t="s">
        <v>481</v>
      </c>
      <c r="I367" s="30" t="s">
        <v>87</v>
      </c>
      <c r="J367" s="30" t="s">
        <v>24</v>
      </c>
      <c r="K367" s="31">
        <v>45856</v>
      </c>
      <c r="L367" s="31">
        <v>45862</v>
      </c>
      <c r="M367" s="30" t="s">
        <v>88</v>
      </c>
      <c r="N367" s="30" t="s">
        <v>58</v>
      </c>
      <c r="O367" s="31">
        <v>33902</v>
      </c>
      <c r="P367" s="30" t="s">
        <v>91</v>
      </c>
      <c r="Q367" s="30" t="s">
        <v>75</v>
      </c>
      <c r="R367" s="30" t="s">
        <v>29</v>
      </c>
      <c r="S367" s="30" t="s">
        <v>30</v>
      </c>
      <c r="T367" s="30">
        <v>5</v>
      </c>
      <c r="U367" s="30">
        <v>2200</v>
      </c>
      <c r="V367" s="30">
        <v>15</v>
      </c>
      <c r="W367" s="30">
        <v>9350</v>
      </c>
      <c r="X367" s="30">
        <v>1</v>
      </c>
      <c r="Y367" s="30" t="s">
        <v>41</v>
      </c>
      <c r="Z367" s="30" t="s">
        <v>80</v>
      </c>
      <c r="AA367" s="30" t="s">
        <v>89</v>
      </c>
      <c r="AB367" s="30">
        <v>9566149945</v>
      </c>
      <c r="AC367" s="30" t="s">
        <v>52</v>
      </c>
    </row>
    <row r="368" spans="8:29" ht="15" thickBot="1" x14ac:dyDescent="0.4">
      <c r="H368" s="27" t="s">
        <v>482</v>
      </c>
      <c r="I368" s="27" t="s">
        <v>63</v>
      </c>
      <c r="J368" s="27" t="s">
        <v>56</v>
      </c>
      <c r="K368" s="28">
        <v>46092</v>
      </c>
      <c r="L368" s="28">
        <v>46093</v>
      </c>
      <c r="M368" s="27" t="s">
        <v>110</v>
      </c>
      <c r="N368" s="27" t="s">
        <v>58</v>
      </c>
      <c r="O368" s="28">
        <v>32360</v>
      </c>
      <c r="P368" s="27" t="s">
        <v>91</v>
      </c>
      <c r="Q368" s="27" t="s">
        <v>75</v>
      </c>
      <c r="R368" s="27" t="s">
        <v>39</v>
      </c>
      <c r="S368" s="27" t="s">
        <v>59</v>
      </c>
      <c r="T368" s="27">
        <v>15</v>
      </c>
      <c r="U368" s="27">
        <v>1200</v>
      </c>
      <c r="V368" s="27">
        <v>0</v>
      </c>
      <c r="W368" s="27">
        <v>18000</v>
      </c>
      <c r="X368" s="27">
        <v>3</v>
      </c>
      <c r="Y368" s="27" t="s">
        <v>41</v>
      </c>
      <c r="Z368" s="27" t="s">
        <v>50</v>
      </c>
      <c r="AA368" s="27" t="s">
        <v>66</v>
      </c>
      <c r="AB368" s="27">
        <v>9935018068</v>
      </c>
      <c r="AC368" s="27" t="s">
        <v>53</v>
      </c>
    </row>
    <row r="369" spans="8:29" ht="15" thickBot="1" x14ac:dyDescent="0.4">
      <c r="H369" s="30" t="s">
        <v>483</v>
      </c>
      <c r="I369" s="30" t="s">
        <v>134</v>
      </c>
      <c r="J369" s="30" t="s">
        <v>56</v>
      </c>
      <c r="K369" s="31">
        <v>46120</v>
      </c>
      <c r="L369" s="31">
        <v>46122</v>
      </c>
      <c r="M369" s="30" t="s">
        <v>135</v>
      </c>
      <c r="N369" s="30" t="s">
        <v>26</v>
      </c>
      <c r="O369" s="31">
        <v>31952</v>
      </c>
      <c r="P369" s="30" t="s">
        <v>74</v>
      </c>
      <c r="Q369" s="30" t="s">
        <v>75</v>
      </c>
      <c r="R369" s="30" t="s">
        <v>39</v>
      </c>
      <c r="S369" s="30" t="s">
        <v>59</v>
      </c>
      <c r="T369" s="30">
        <v>19</v>
      </c>
      <c r="U369" s="30">
        <v>1200</v>
      </c>
      <c r="V369" s="30">
        <v>0</v>
      </c>
      <c r="W369" s="30">
        <v>22800</v>
      </c>
      <c r="X369" s="30">
        <v>1</v>
      </c>
      <c r="Y369" s="30" t="s">
        <v>31</v>
      </c>
      <c r="Z369" s="30" t="s">
        <v>42</v>
      </c>
      <c r="AA369" s="30" t="s">
        <v>136</v>
      </c>
      <c r="AB369" s="30">
        <v>9171794652</v>
      </c>
      <c r="AC369" s="30" t="s">
        <v>53</v>
      </c>
    </row>
    <row r="370" spans="8:29" ht="15" thickBot="1" x14ac:dyDescent="0.4">
      <c r="H370" s="27" t="s">
        <v>484</v>
      </c>
      <c r="I370" s="27" t="s">
        <v>104</v>
      </c>
      <c r="J370" s="27" t="s">
        <v>36</v>
      </c>
      <c r="K370" s="28">
        <v>45918</v>
      </c>
      <c r="L370" s="28">
        <v>45925</v>
      </c>
      <c r="M370" s="27" t="s">
        <v>166</v>
      </c>
      <c r="N370" s="27" t="s">
        <v>26</v>
      </c>
      <c r="O370" s="28">
        <v>32800</v>
      </c>
      <c r="P370" s="27" t="s">
        <v>74</v>
      </c>
      <c r="Q370" s="27" t="s">
        <v>75</v>
      </c>
      <c r="R370" s="27" t="s">
        <v>39</v>
      </c>
      <c r="S370" s="27" t="s">
        <v>40</v>
      </c>
      <c r="T370" s="27">
        <v>9</v>
      </c>
      <c r="U370" s="27">
        <v>12000</v>
      </c>
      <c r="V370" s="27">
        <v>15</v>
      </c>
      <c r="W370" s="27">
        <v>91800</v>
      </c>
      <c r="X370" s="27">
        <v>3</v>
      </c>
      <c r="Y370" s="27" t="s">
        <v>65</v>
      </c>
      <c r="Z370" s="27" t="s">
        <v>42</v>
      </c>
      <c r="AA370" s="27" t="s">
        <v>108</v>
      </c>
      <c r="AB370" s="27">
        <v>9671497416</v>
      </c>
      <c r="AC370" s="27" t="s">
        <v>53</v>
      </c>
    </row>
    <row r="371" spans="8:29" ht="15" thickBot="1" x14ac:dyDescent="0.4">
      <c r="H371" s="30" t="s">
        <v>485</v>
      </c>
      <c r="I371" s="30" t="s">
        <v>23</v>
      </c>
      <c r="J371" s="30" t="s">
        <v>138</v>
      </c>
      <c r="K371" s="31">
        <v>45941</v>
      </c>
      <c r="L371" s="31">
        <v>45951</v>
      </c>
      <c r="M371" s="30" t="s">
        <v>25</v>
      </c>
      <c r="N371" s="30" t="s">
        <v>26</v>
      </c>
      <c r="O371" s="31">
        <v>33746</v>
      </c>
      <c r="P371" s="30" t="s">
        <v>121</v>
      </c>
      <c r="Q371" s="30" t="s">
        <v>38</v>
      </c>
      <c r="R371" s="30" t="s">
        <v>83</v>
      </c>
      <c r="S371" s="30" t="s">
        <v>139</v>
      </c>
      <c r="T371" s="30">
        <v>5</v>
      </c>
      <c r="U371" s="30">
        <v>45</v>
      </c>
      <c r="V371" s="30">
        <v>5</v>
      </c>
      <c r="W371" s="30">
        <v>213.75</v>
      </c>
      <c r="X371" s="30">
        <v>1</v>
      </c>
      <c r="Y371" s="30" t="s">
        <v>60</v>
      </c>
      <c r="Z371" s="30" t="s">
        <v>80</v>
      </c>
      <c r="AA371" s="30" t="s">
        <v>43</v>
      </c>
      <c r="AB371" s="30">
        <v>9810433484</v>
      </c>
      <c r="AC371" s="22" t="s">
        <v>34</v>
      </c>
    </row>
    <row r="372" spans="8:29" ht="15" thickBot="1" x14ac:dyDescent="0.4">
      <c r="H372" s="27" t="s">
        <v>486</v>
      </c>
      <c r="I372" s="27" t="s">
        <v>134</v>
      </c>
      <c r="J372" s="27" t="s">
        <v>112</v>
      </c>
      <c r="K372" s="27" t="s">
        <v>487</v>
      </c>
      <c r="L372" s="28">
        <v>45699</v>
      </c>
      <c r="M372" s="27" t="s">
        <v>135</v>
      </c>
      <c r="N372" s="27" t="s">
        <v>26</v>
      </c>
      <c r="O372" s="28">
        <v>32822</v>
      </c>
      <c r="P372" s="27" t="s">
        <v>74</v>
      </c>
      <c r="Q372" s="27" t="s">
        <v>75</v>
      </c>
      <c r="R372" s="27" t="s">
        <v>39</v>
      </c>
      <c r="S372" s="27" t="s">
        <v>114</v>
      </c>
      <c r="T372" s="27">
        <v>3</v>
      </c>
      <c r="U372" s="27">
        <v>700</v>
      </c>
      <c r="V372" s="27">
        <v>15</v>
      </c>
      <c r="W372" s="27">
        <v>1785</v>
      </c>
      <c r="X372" s="27">
        <v>4</v>
      </c>
      <c r="Y372" s="27" t="s">
        <v>31</v>
      </c>
      <c r="Z372" s="27" t="s">
        <v>96</v>
      </c>
      <c r="AA372" s="27" t="s">
        <v>136</v>
      </c>
      <c r="AB372" s="27">
        <v>9990243436</v>
      </c>
      <c r="AC372" s="21" t="s">
        <v>34</v>
      </c>
    </row>
    <row r="373" spans="8:29" ht="29.5" thickBot="1" x14ac:dyDescent="0.4">
      <c r="H373" s="30" t="s">
        <v>488</v>
      </c>
      <c r="I373" s="30" t="s">
        <v>55</v>
      </c>
      <c r="J373" s="30" t="s">
        <v>105</v>
      </c>
      <c r="K373" s="31">
        <v>46005</v>
      </c>
      <c r="L373" s="31">
        <v>46017</v>
      </c>
      <c r="M373" s="30" t="s">
        <v>57</v>
      </c>
      <c r="N373" s="30" t="s">
        <v>58</v>
      </c>
      <c r="O373" s="31">
        <v>29467</v>
      </c>
      <c r="P373" s="30" t="s">
        <v>121</v>
      </c>
      <c r="Q373" s="30" t="s">
        <v>38</v>
      </c>
      <c r="R373" s="30" t="s">
        <v>29</v>
      </c>
      <c r="S373" s="30" t="s">
        <v>107</v>
      </c>
      <c r="T373" s="30">
        <v>12</v>
      </c>
      <c r="U373" s="30">
        <v>8500</v>
      </c>
      <c r="V373" s="30">
        <v>5</v>
      </c>
      <c r="W373" s="30">
        <v>96900</v>
      </c>
      <c r="X373" s="30">
        <v>3</v>
      </c>
      <c r="Y373" s="30" t="s">
        <v>60</v>
      </c>
      <c r="Z373" s="30" t="s">
        <v>50</v>
      </c>
      <c r="AA373" s="30" t="s">
        <v>61</v>
      </c>
      <c r="AB373" s="30">
        <v>9396678031</v>
      </c>
      <c r="AC373" s="30" t="s">
        <v>52</v>
      </c>
    </row>
    <row r="374" spans="8:29" ht="15" thickBot="1" x14ac:dyDescent="0.4">
      <c r="H374" s="27" t="s">
        <v>489</v>
      </c>
      <c r="I374" s="27" t="s">
        <v>134</v>
      </c>
      <c r="J374" s="27" t="s">
        <v>105</v>
      </c>
      <c r="K374" s="28">
        <v>46123</v>
      </c>
      <c r="L374" s="28">
        <v>46131</v>
      </c>
      <c r="M374" s="27" t="s">
        <v>135</v>
      </c>
      <c r="N374" s="27" t="s">
        <v>26</v>
      </c>
      <c r="O374" s="28">
        <v>28920</v>
      </c>
      <c r="P374" s="27" t="s">
        <v>79</v>
      </c>
      <c r="Q374" s="27" t="s">
        <v>75</v>
      </c>
      <c r="R374" s="27" t="s">
        <v>29</v>
      </c>
      <c r="S374" s="27" t="s">
        <v>107</v>
      </c>
      <c r="T374" s="27">
        <v>4</v>
      </c>
      <c r="U374" s="27">
        <v>8500</v>
      </c>
      <c r="V374" s="27">
        <v>15</v>
      </c>
      <c r="W374" s="27">
        <v>28900</v>
      </c>
      <c r="X374" s="27">
        <v>4</v>
      </c>
      <c r="Y374" s="27" t="s">
        <v>41</v>
      </c>
      <c r="Z374" s="27" t="s">
        <v>50</v>
      </c>
      <c r="AA374" s="27" t="s">
        <v>136</v>
      </c>
      <c r="AB374" s="27">
        <v>9818591245</v>
      </c>
      <c r="AC374" s="27" t="s">
        <v>52</v>
      </c>
    </row>
    <row r="375" spans="8:29" ht="15" thickBot="1" x14ac:dyDescent="0.4">
      <c r="H375" s="30" t="s">
        <v>490</v>
      </c>
      <c r="I375" s="30" t="s">
        <v>87</v>
      </c>
      <c r="J375" s="30" t="s">
        <v>125</v>
      </c>
      <c r="K375" s="31">
        <v>45766</v>
      </c>
      <c r="L375" s="31">
        <v>45769</v>
      </c>
      <c r="M375" s="30" t="s">
        <v>88</v>
      </c>
      <c r="N375" s="30" t="s">
        <v>58</v>
      </c>
      <c r="O375" s="31">
        <v>35312</v>
      </c>
      <c r="P375" s="30" t="s">
        <v>121</v>
      </c>
      <c r="Q375" s="30" t="s">
        <v>38</v>
      </c>
      <c r="R375" s="30" t="s">
        <v>83</v>
      </c>
      <c r="S375" s="30" t="s">
        <v>127</v>
      </c>
      <c r="T375" s="30">
        <v>16</v>
      </c>
      <c r="U375" s="30">
        <v>20</v>
      </c>
      <c r="V375" s="30">
        <v>10</v>
      </c>
      <c r="W375" s="30">
        <v>288</v>
      </c>
      <c r="X375" s="30">
        <v>4</v>
      </c>
      <c r="Y375" s="30" t="s">
        <v>31</v>
      </c>
      <c r="Z375" s="30" t="s">
        <v>80</v>
      </c>
      <c r="AA375" s="30" t="s">
        <v>89</v>
      </c>
      <c r="AB375" s="30">
        <v>9505550047</v>
      </c>
      <c r="AC375" s="30" t="s">
        <v>53</v>
      </c>
    </row>
    <row r="376" spans="8:29" ht="15" thickBot="1" x14ac:dyDescent="0.4">
      <c r="H376" s="27" t="s">
        <v>491</v>
      </c>
      <c r="I376" s="27" t="s">
        <v>87</v>
      </c>
      <c r="J376" s="27" t="s">
        <v>82</v>
      </c>
      <c r="K376" s="28">
        <v>46152</v>
      </c>
      <c r="L376" s="28">
        <v>46160</v>
      </c>
      <c r="M376" s="27" t="s">
        <v>88</v>
      </c>
      <c r="N376" s="27" t="s">
        <v>58</v>
      </c>
      <c r="O376" s="28">
        <v>36233</v>
      </c>
      <c r="P376" s="27" t="s">
        <v>74</v>
      </c>
      <c r="Q376" s="27" t="s">
        <v>75</v>
      </c>
      <c r="R376" s="27" t="s">
        <v>83</v>
      </c>
      <c r="S376" s="27" t="s">
        <v>84</v>
      </c>
      <c r="T376" s="27">
        <v>3</v>
      </c>
      <c r="U376" s="27">
        <v>60</v>
      </c>
      <c r="V376" s="27">
        <v>20</v>
      </c>
      <c r="W376" s="27">
        <v>144</v>
      </c>
      <c r="X376" s="27">
        <v>4</v>
      </c>
      <c r="Y376" s="27" t="s">
        <v>65</v>
      </c>
      <c r="Z376" s="27" t="s">
        <v>96</v>
      </c>
      <c r="AA376" s="27" t="s">
        <v>89</v>
      </c>
      <c r="AB376" s="27">
        <v>9469828772</v>
      </c>
      <c r="AC376" s="27" t="s">
        <v>52</v>
      </c>
    </row>
    <row r="377" spans="8:29" ht="29.5" thickBot="1" x14ac:dyDescent="0.4">
      <c r="H377" s="30" t="s">
        <v>492</v>
      </c>
      <c r="I377" s="30" t="s">
        <v>55</v>
      </c>
      <c r="J377" s="30" t="s">
        <v>24</v>
      </c>
      <c r="K377" s="31">
        <v>45858</v>
      </c>
      <c r="L377" s="31">
        <v>45864</v>
      </c>
      <c r="M377" s="30" t="s">
        <v>57</v>
      </c>
      <c r="N377" s="30" t="s">
        <v>58</v>
      </c>
      <c r="O377" s="31">
        <v>30958</v>
      </c>
      <c r="P377" s="30" t="s">
        <v>74</v>
      </c>
      <c r="Q377" s="30" t="s">
        <v>75</v>
      </c>
      <c r="R377" s="30" t="s">
        <v>29</v>
      </c>
      <c r="S377" s="30" t="s">
        <v>30</v>
      </c>
      <c r="T377" s="30">
        <v>19</v>
      </c>
      <c r="U377" s="30">
        <v>2200</v>
      </c>
      <c r="V377" s="30">
        <v>10</v>
      </c>
      <c r="W377" s="30">
        <v>37620</v>
      </c>
      <c r="X377" s="30">
        <v>2</v>
      </c>
      <c r="Y377" s="30" t="s">
        <v>31</v>
      </c>
      <c r="Z377" s="30" t="s">
        <v>96</v>
      </c>
      <c r="AA377" s="30" t="s">
        <v>61</v>
      </c>
      <c r="AB377" s="30">
        <v>9885092680</v>
      </c>
      <c r="AC377" s="30" t="s">
        <v>52</v>
      </c>
    </row>
    <row r="378" spans="8:29" ht="29.5" thickBot="1" x14ac:dyDescent="0.4">
      <c r="H378" s="27" t="s">
        <v>493</v>
      </c>
      <c r="I378" s="27" t="s">
        <v>55</v>
      </c>
      <c r="J378" s="27" t="s">
        <v>56</v>
      </c>
      <c r="K378" s="28">
        <v>46045</v>
      </c>
      <c r="L378" s="28">
        <v>46049</v>
      </c>
      <c r="M378" s="27" t="s">
        <v>57</v>
      </c>
      <c r="N378" s="27" t="s">
        <v>58</v>
      </c>
      <c r="O378" s="28">
        <v>30872</v>
      </c>
      <c r="P378" s="27" t="s">
        <v>27</v>
      </c>
      <c r="Q378" s="27" t="s">
        <v>28</v>
      </c>
      <c r="R378" s="27" t="s">
        <v>39</v>
      </c>
      <c r="S378" s="27" t="s">
        <v>59</v>
      </c>
      <c r="T378" s="27">
        <v>7</v>
      </c>
      <c r="U378" s="27">
        <v>1200</v>
      </c>
      <c r="V378" s="27">
        <v>20</v>
      </c>
      <c r="W378" s="27">
        <v>6720</v>
      </c>
      <c r="X378" s="27">
        <v>3</v>
      </c>
      <c r="Y378" s="27" t="s">
        <v>60</v>
      </c>
      <c r="Z378" s="27" t="s">
        <v>80</v>
      </c>
      <c r="AA378" s="27" t="s">
        <v>61</v>
      </c>
      <c r="AB378" s="27">
        <v>9362319457</v>
      </c>
      <c r="AC378" s="27" t="s">
        <v>53</v>
      </c>
    </row>
    <row r="379" spans="8:29" ht="15" thickBot="1" x14ac:dyDescent="0.4">
      <c r="H379" s="30" t="s">
        <v>494</v>
      </c>
      <c r="I379" s="30" t="s">
        <v>45</v>
      </c>
      <c r="J379" s="30" t="s">
        <v>125</v>
      </c>
      <c r="K379" s="31">
        <v>46097</v>
      </c>
      <c r="L379" s="31">
        <v>46102</v>
      </c>
      <c r="M379" s="30" t="s">
        <v>101</v>
      </c>
      <c r="N379" s="30" t="s">
        <v>26</v>
      </c>
      <c r="O379" s="31">
        <v>32577</v>
      </c>
      <c r="P379" s="30" t="s">
        <v>48</v>
      </c>
      <c r="Q379" s="30" t="s">
        <v>28</v>
      </c>
      <c r="R379" s="30" t="s">
        <v>83</v>
      </c>
      <c r="S379" s="30" t="s">
        <v>127</v>
      </c>
      <c r="T379" s="30">
        <v>20</v>
      </c>
      <c r="U379" s="30">
        <v>20</v>
      </c>
      <c r="V379" s="30">
        <v>20</v>
      </c>
      <c r="W379" s="30">
        <v>320</v>
      </c>
      <c r="X379" s="30">
        <v>5</v>
      </c>
      <c r="Y379" s="30" t="s">
        <v>60</v>
      </c>
      <c r="Z379" s="30" t="s">
        <v>80</v>
      </c>
      <c r="AA379" s="30" t="s">
        <v>51</v>
      </c>
      <c r="AB379" s="30">
        <v>9223945130</v>
      </c>
      <c r="AC379" s="30" t="s">
        <v>52</v>
      </c>
    </row>
    <row r="380" spans="8:29" ht="15" thickBot="1" x14ac:dyDescent="0.4">
      <c r="H380" s="27" t="s">
        <v>495</v>
      </c>
      <c r="I380" s="27" t="s">
        <v>72</v>
      </c>
      <c r="J380" s="27" t="s">
        <v>56</v>
      </c>
      <c r="K380" s="28">
        <v>45777</v>
      </c>
      <c r="L380" s="28">
        <v>45784</v>
      </c>
      <c r="M380" s="27" t="s">
        <v>73</v>
      </c>
      <c r="N380" s="27" t="s">
        <v>26</v>
      </c>
      <c r="O380" s="28">
        <v>31156</v>
      </c>
      <c r="P380" s="27" t="s">
        <v>27</v>
      </c>
      <c r="Q380" s="27" t="s">
        <v>28</v>
      </c>
      <c r="R380" s="27" t="s">
        <v>39</v>
      </c>
      <c r="S380" s="27" t="s">
        <v>59</v>
      </c>
      <c r="T380" s="27">
        <v>19</v>
      </c>
      <c r="U380" s="27">
        <v>1200</v>
      </c>
      <c r="V380" s="27">
        <v>5</v>
      </c>
      <c r="W380" s="27">
        <v>21660</v>
      </c>
      <c r="X380" s="27">
        <v>3</v>
      </c>
      <c r="Y380" s="27" t="s">
        <v>60</v>
      </c>
      <c r="Z380" s="27" t="s">
        <v>32</v>
      </c>
      <c r="AA380" s="27" t="s">
        <v>93</v>
      </c>
      <c r="AB380" s="27">
        <v>9910804926</v>
      </c>
      <c r="AC380" s="27" t="s">
        <v>52</v>
      </c>
    </row>
    <row r="381" spans="8:29" ht="15" thickBot="1" x14ac:dyDescent="0.4">
      <c r="H381" s="30" t="s">
        <v>496</v>
      </c>
      <c r="I381" s="30" t="s">
        <v>45</v>
      </c>
      <c r="J381" s="30" t="s">
        <v>125</v>
      </c>
      <c r="K381" s="31">
        <v>45691</v>
      </c>
      <c r="L381" s="31">
        <v>45701</v>
      </c>
      <c r="M381" s="30" t="s">
        <v>101</v>
      </c>
      <c r="N381" s="30" t="s">
        <v>26</v>
      </c>
      <c r="O381" s="31">
        <v>37846</v>
      </c>
      <c r="P381" s="30" t="s">
        <v>27</v>
      </c>
      <c r="Q381" s="30" t="s">
        <v>28</v>
      </c>
      <c r="R381" s="30" t="s">
        <v>83</v>
      </c>
      <c r="S381" s="30" t="s">
        <v>127</v>
      </c>
      <c r="T381" s="30">
        <v>5</v>
      </c>
      <c r="U381" s="30">
        <v>20</v>
      </c>
      <c r="V381" s="30">
        <v>0</v>
      </c>
      <c r="W381" s="30">
        <v>100</v>
      </c>
      <c r="X381" s="30">
        <v>2</v>
      </c>
      <c r="Y381" s="30" t="s">
        <v>65</v>
      </c>
      <c r="Z381" s="30" t="s">
        <v>42</v>
      </c>
      <c r="AA381" s="30" t="s">
        <v>51</v>
      </c>
      <c r="AB381" s="30">
        <v>9274269744</v>
      </c>
      <c r="AC381" s="30" t="s">
        <v>52</v>
      </c>
    </row>
    <row r="382" spans="8:29" ht="15" thickBot="1" x14ac:dyDescent="0.4">
      <c r="H382" s="27" t="s">
        <v>497</v>
      </c>
      <c r="I382" s="27" t="s">
        <v>72</v>
      </c>
      <c r="J382" s="27" t="s">
        <v>138</v>
      </c>
      <c r="K382" s="28">
        <v>46088</v>
      </c>
      <c r="L382" s="28">
        <v>46097</v>
      </c>
      <c r="M382" s="27" t="s">
        <v>73</v>
      </c>
      <c r="N382" s="27" t="s">
        <v>26</v>
      </c>
      <c r="O382" s="28">
        <v>30570</v>
      </c>
      <c r="P382" s="27" t="s">
        <v>121</v>
      </c>
      <c r="Q382" s="27" t="s">
        <v>38</v>
      </c>
      <c r="R382" s="27" t="s">
        <v>83</v>
      </c>
      <c r="S382" s="27" t="s">
        <v>139</v>
      </c>
      <c r="T382" s="27">
        <v>16</v>
      </c>
      <c r="U382" s="27">
        <v>45</v>
      </c>
      <c r="V382" s="27">
        <v>15</v>
      </c>
      <c r="W382" s="27">
        <v>612</v>
      </c>
      <c r="X382" s="27">
        <v>5</v>
      </c>
      <c r="Y382" s="27" t="s">
        <v>31</v>
      </c>
      <c r="Z382" s="27" t="s">
        <v>50</v>
      </c>
      <c r="AA382" s="27" t="s">
        <v>93</v>
      </c>
      <c r="AB382" s="27">
        <v>9223196101</v>
      </c>
      <c r="AC382" s="27" t="s">
        <v>53</v>
      </c>
    </row>
    <row r="383" spans="8:29" ht="15" thickBot="1" x14ac:dyDescent="0.4">
      <c r="H383" s="30" t="s">
        <v>498</v>
      </c>
      <c r="I383" s="30" t="s">
        <v>23</v>
      </c>
      <c r="J383" s="30" t="s">
        <v>24</v>
      </c>
      <c r="K383" s="31">
        <v>45780</v>
      </c>
      <c r="L383" s="31">
        <v>45792</v>
      </c>
      <c r="M383" s="30" t="s">
        <v>25</v>
      </c>
      <c r="N383" s="30" t="s">
        <v>26</v>
      </c>
      <c r="O383" s="31">
        <v>27922</v>
      </c>
      <c r="P383" s="30" t="s">
        <v>121</v>
      </c>
      <c r="Q383" s="30" t="s">
        <v>38</v>
      </c>
      <c r="R383" s="30" t="s">
        <v>29</v>
      </c>
      <c r="S383" s="30" t="s">
        <v>30</v>
      </c>
      <c r="T383" s="30">
        <v>1</v>
      </c>
      <c r="U383" s="30">
        <v>2200</v>
      </c>
      <c r="V383" s="30">
        <v>10</v>
      </c>
      <c r="W383" s="30">
        <v>1980</v>
      </c>
      <c r="X383" s="30">
        <v>5</v>
      </c>
      <c r="Y383" s="30" t="s">
        <v>60</v>
      </c>
      <c r="Z383" s="30" t="s">
        <v>42</v>
      </c>
      <c r="AA383" s="30" t="s">
        <v>43</v>
      </c>
      <c r="AB383" s="30">
        <v>9888477457</v>
      </c>
      <c r="AC383" s="22" t="s">
        <v>34</v>
      </c>
    </row>
    <row r="384" spans="8:29" ht="15" thickBot="1" x14ac:dyDescent="0.4">
      <c r="H384" s="27" t="s">
        <v>499</v>
      </c>
      <c r="I384" s="27" t="s">
        <v>45</v>
      </c>
      <c r="J384" s="27" t="s">
        <v>82</v>
      </c>
      <c r="K384" s="28">
        <v>46113</v>
      </c>
      <c r="L384" s="28">
        <v>46117</v>
      </c>
      <c r="M384" s="27" t="s">
        <v>101</v>
      </c>
      <c r="N384" s="27" t="s">
        <v>26</v>
      </c>
      <c r="O384" s="28">
        <v>31781</v>
      </c>
      <c r="P384" s="27" t="s">
        <v>27</v>
      </c>
      <c r="Q384" s="27" t="s">
        <v>28</v>
      </c>
      <c r="R384" s="27" t="s">
        <v>83</v>
      </c>
      <c r="S384" s="27" t="s">
        <v>84</v>
      </c>
      <c r="T384" s="27">
        <v>19</v>
      </c>
      <c r="U384" s="27">
        <v>60</v>
      </c>
      <c r="V384" s="27">
        <v>15</v>
      </c>
      <c r="W384" s="27">
        <v>969</v>
      </c>
      <c r="X384" s="27">
        <v>4</v>
      </c>
      <c r="Y384" s="27" t="s">
        <v>41</v>
      </c>
      <c r="Z384" s="27" t="s">
        <v>80</v>
      </c>
      <c r="AA384" s="27" t="s">
        <v>51</v>
      </c>
      <c r="AB384" s="27">
        <v>9435947486</v>
      </c>
      <c r="AC384" s="27" t="s">
        <v>53</v>
      </c>
    </row>
    <row r="385" spans="8:29" ht="29.5" thickBot="1" x14ac:dyDescent="0.4">
      <c r="H385" s="30" t="s">
        <v>500</v>
      </c>
      <c r="I385" s="30" t="s">
        <v>156</v>
      </c>
      <c r="J385" s="30" t="s">
        <v>46</v>
      </c>
      <c r="K385" s="30"/>
      <c r="L385" s="31">
        <v>45690</v>
      </c>
      <c r="M385" s="30" t="s">
        <v>106</v>
      </c>
      <c r="N385" s="30" t="s">
        <v>58</v>
      </c>
      <c r="O385" s="31">
        <v>33738</v>
      </c>
      <c r="P385" s="30" t="s">
        <v>37</v>
      </c>
      <c r="Q385" s="30" t="s">
        <v>38</v>
      </c>
      <c r="R385" s="30" t="s">
        <v>39</v>
      </c>
      <c r="S385" s="30" t="s">
        <v>49</v>
      </c>
      <c r="T385" s="30">
        <v>15</v>
      </c>
      <c r="U385" s="30">
        <v>55000</v>
      </c>
      <c r="V385" s="30">
        <v>0</v>
      </c>
      <c r="W385" s="30">
        <v>825000</v>
      </c>
      <c r="X385" s="30">
        <v>5</v>
      </c>
      <c r="Y385" s="30" t="s">
        <v>60</v>
      </c>
      <c r="Z385" s="30" t="s">
        <v>80</v>
      </c>
      <c r="AA385" s="30" t="s">
        <v>158</v>
      </c>
      <c r="AB385" s="30">
        <v>9411668831</v>
      </c>
      <c r="AC385" s="30" t="s">
        <v>53</v>
      </c>
    </row>
    <row r="386" spans="8:29" ht="29.5" thickBot="1" x14ac:dyDescent="0.4">
      <c r="H386" s="27" t="s">
        <v>501</v>
      </c>
      <c r="I386" s="27" t="s">
        <v>55</v>
      </c>
      <c r="J386" s="27" t="s">
        <v>138</v>
      </c>
      <c r="K386" s="28">
        <v>45936</v>
      </c>
      <c r="L386" s="28">
        <v>45938</v>
      </c>
      <c r="M386" s="27" t="s">
        <v>57</v>
      </c>
      <c r="N386" s="27" t="s">
        <v>58</v>
      </c>
      <c r="O386" s="28">
        <v>32631</v>
      </c>
      <c r="P386" s="27" t="s">
        <v>48</v>
      </c>
      <c r="Q386" s="27" t="s">
        <v>28</v>
      </c>
      <c r="R386" s="27" t="s">
        <v>83</v>
      </c>
      <c r="S386" s="27" t="s">
        <v>139</v>
      </c>
      <c r="T386" s="27">
        <v>11</v>
      </c>
      <c r="U386" s="27">
        <v>45</v>
      </c>
      <c r="V386" s="27">
        <v>5</v>
      </c>
      <c r="W386" s="27">
        <v>470.25</v>
      </c>
      <c r="X386" s="27">
        <v>5</v>
      </c>
      <c r="Y386" s="27" t="s">
        <v>41</v>
      </c>
      <c r="Z386" s="27" t="s">
        <v>96</v>
      </c>
      <c r="AA386" s="27" t="s">
        <v>61</v>
      </c>
      <c r="AB386" s="27">
        <v>9523682403</v>
      </c>
      <c r="AC386" s="21" t="s">
        <v>34</v>
      </c>
    </row>
    <row r="387" spans="8:29" ht="15" thickBot="1" x14ac:dyDescent="0.4">
      <c r="H387" s="30" t="s">
        <v>502</v>
      </c>
      <c r="I387" s="30" t="s">
        <v>134</v>
      </c>
      <c r="J387" s="30" t="s">
        <v>125</v>
      </c>
      <c r="K387" s="31">
        <v>45820</v>
      </c>
      <c r="L387" s="31">
        <v>45825</v>
      </c>
      <c r="M387" s="30" t="s">
        <v>135</v>
      </c>
      <c r="N387" s="30" t="s">
        <v>26</v>
      </c>
      <c r="O387" s="31">
        <v>33226</v>
      </c>
      <c r="P387" s="30" t="s">
        <v>121</v>
      </c>
      <c r="Q387" s="30" t="s">
        <v>38</v>
      </c>
      <c r="R387" s="30" t="s">
        <v>83</v>
      </c>
      <c r="S387" s="30" t="s">
        <v>127</v>
      </c>
      <c r="T387" s="30">
        <v>9</v>
      </c>
      <c r="U387" s="30">
        <v>20</v>
      </c>
      <c r="V387" s="30">
        <v>10</v>
      </c>
      <c r="W387" s="30">
        <v>162</v>
      </c>
      <c r="X387" s="30">
        <v>1</v>
      </c>
      <c r="Y387" s="30" t="s">
        <v>60</v>
      </c>
      <c r="Z387" s="30" t="s">
        <v>42</v>
      </c>
      <c r="AA387" s="30" t="s">
        <v>136</v>
      </c>
      <c r="AB387" s="30">
        <v>9652936744</v>
      </c>
      <c r="AC387" s="30" t="s">
        <v>53</v>
      </c>
    </row>
    <row r="388" spans="8:29" ht="15" thickBot="1" x14ac:dyDescent="0.4">
      <c r="H388" s="27" t="s">
        <v>503</v>
      </c>
      <c r="I388" s="27" t="s">
        <v>104</v>
      </c>
      <c r="J388" s="27" t="s">
        <v>138</v>
      </c>
      <c r="K388" s="28">
        <v>45979</v>
      </c>
      <c r="L388" s="28">
        <v>45981</v>
      </c>
      <c r="M388" s="27" t="s">
        <v>166</v>
      </c>
      <c r="N388" s="27" t="s">
        <v>26</v>
      </c>
      <c r="O388" s="28">
        <v>34889</v>
      </c>
      <c r="P388" s="27" t="s">
        <v>48</v>
      </c>
      <c r="Q388" s="27" t="s">
        <v>28</v>
      </c>
      <c r="R388" s="27" t="s">
        <v>83</v>
      </c>
      <c r="S388" s="27" t="s">
        <v>139</v>
      </c>
      <c r="T388" s="27">
        <v>5</v>
      </c>
      <c r="U388" s="27">
        <v>45</v>
      </c>
      <c r="V388" s="27">
        <v>5</v>
      </c>
      <c r="W388" s="27">
        <v>213.75</v>
      </c>
      <c r="X388" s="27">
        <v>3</v>
      </c>
      <c r="Y388" s="27" t="s">
        <v>60</v>
      </c>
      <c r="Z388" s="27" t="s">
        <v>80</v>
      </c>
      <c r="AA388" s="27" t="s">
        <v>108</v>
      </c>
      <c r="AB388" s="27">
        <v>9726464733</v>
      </c>
      <c r="AC388" s="27" t="s">
        <v>52</v>
      </c>
    </row>
    <row r="389" spans="8:29" ht="15" thickBot="1" x14ac:dyDescent="0.4">
      <c r="H389" s="30" t="s">
        <v>504</v>
      </c>
      <c r="I389" s="30" t="s">
        <v>63</v>
      </c>
      <c r="J389" s="30" t="s">
        <v>112</v>
      </c>
      <c r="K389" s="31">
        <v>45962</v>
      </c>
      <c r="L389" s="31">
        <v>45963</v>
      </c>
      <c r="M389" s="30" t="s">
        <v>110</v>
      </c>
      <c r="N389" s="30" t="s">
        <v>58</v>
      </c>
      <c r="O389" s="31">
        <v>36152</v>
      </c>
      <c r="P389" s="30" t="s">
        <v>27</v>
      </c>
      <c r="Q389" s="30" t="s">
        <v>28</v>
      </c>
      <c r="R389" s="30" t="s">
        <v>39</v>
      </c>
      <c r="S389" s="30" t="s">
        <v>114</v>
      </c>
      <c r="T389" s="30">
        <v>5</v>
      </c>
      <c r="U389" s="30">
        <v>700</v>
      </c>
      <c r="V389" s="30">
        <v>10</v>
      </c>
      <c r="W389" s="30">
        <v>3150</v>
      </c>
      <c r="X389" s="30">
        <v>2</v>
      </c>
      <c r="Y389" s="30" t="s">
        <v>65</v>
      </c>
      <c r="Z389" s="30" t="s">
        <v>42</v>
      </c>
      <c r="AA389" s="30" t="s">
        <v>66</v>
      </c>
      <c r="AB389" s="30">
        <v>9273520544</v>
      </c>
      <c r="AC389" s="22" t="s">
        <v>34</v>
      </c>
    </row>
    <row r="390" spans="8:29" ht="15" thickBot="1" x14ac:dyDescent="0.4">
      <c r="H390" s="27" t="s">
        <v>505</v>
      </c>
      <c r="I390" s="27" t="s">
        <v>124</v>
      </c>
      <c r="J390" s="27" t="s">
        <v>112</v>
      </c>
      <c r="K390" s="28">
        <v>45681</v>
      </c>
      <c r="L390" s="28">
        <v>45688</v>
      </c>
      <c r="M390" s="27" t="s">
        <v>126</v>
      </c>
      <c r="N390" s="27" t="s">
        <v>58</v>
      </c>
      <c r="O390" s="28">
        <v>29212</v>
      </c>
      <c r="P390" s="27" t="s">
        <v>147</v>
      </c>
      <c r="Q390" s="27" t="s">
        <v>148</v>
      </c>
      <c r="R390" s="27" t="s">
        <v>39</v>
      </c>
      <c r="S390" s="27" t="s">
        <v>114</v>
      </c>
      <c r="T390" s="27">
        <v>1</v>
      </c>
      <c r="U390" s="27">
        <v>700</v>
      </c>
      <c r="V390" s="27">
        <v>0</v>
      </c>
      <c r="W390" s="27">
        <v>700</v>
      </c>
      <c r="X390" s="27">
        <v>1</v>
      </c>
      <c r="Y390" s="27" t="s">
        <v>65</v>
      </c>
      <c r="Z390" s="27" t="s">
        <v>96</v>
      </c>
      <c r="AA390" s="27" t="s">
        <v>128</v>
      </c>
      <c r="AB390" s="27">
        <v>9374259988</v>
      </c>
      <c r="AC390" s="21" t="s">
        <v>34</v>
      </c>
    </row>
    <row r="391" spans="8:29" ht="15" thickBot="1" x14ac:dyDescent="0.4">
      <c r="H391" s="30" t="s">
        <v>506</v>
      </c>
      <c r="I391" s="30" t="s">
        <v>23</v>
      </c>
      <c r="J391" s="30" t="s">
        <v>112</v>
      </c>
      <c r="K391" s="31">
        <v>46066</v>
      </c>
      <c r="L391" s="31">
        <v>46074</v>
      </c>
      <c r="M391" s="30" t="s">
        <v>25</v>
      </c>
      <c r="N391" s="30" t="s">
        <v>26</v>
      </c>
      <c r="O391" s="31">
        <v>27743</v>
      </c>
      <c r="P391" s="30" t="s">
        <v>74</v>
      </c>
      <c r="Q391" s="30" t="s">
        <v>75</v>
      </c>
      <c r="R391" s="30" t="s">
        <v>39</v>
      </c>
      <c r="S391" s="30" t="s">
        <v>114</v>
      </c>
      <c r="T391" s="30">
        <v>13</v>
      </c>
      <c r="U391" s="30">
        <v>700</v>
      </c>
      <c r="V391" s="30">
        <v>20</v>
      </c>
      <c r="W391" s="30">
        <v>7280</v>
      </c>
      <c r="X391" s="30">
        <v>2</v>
      </c>
      <c r="Y391" s="30" t="s">
        <v>60</v>
      </c>
      <c r="Z391" s="30" t="s">
        <v>32</v>
      </c>
      <c r="AA391" s="30" t="s">
        <v>43</v>
      </c>
      <c r="AB391" s="30">
        <v>9538129419</v>
      </c>
      <c r="AC391" s="22" t="s">
        <v>34</v>
      </c>
    </row>
    <row r="392" spans="8:29" ht="29.5" thickBot="1" x14ac:dyDescent="0.4">
      <c r="H392" s="27" t="s">
        <v>507</v>
      </c>
      <c r="I392" s="27" t="s">
        <v>55</v>
      </c>
      <c r="J392" s="27" t="s">
        <v>36</v>
      </c>
      <c r="K392" s="28">
        <v>45696</v>
      </c>
      <c r="L392" s="28">
        <v>45707</v>
      </c>
      <c r="M392" s="27" t="s">
        <v>57</v>
      </c>
      <c r="N392" s="27" t="s">
        <v>58</v>
      </c>
      <c r="O392" s="28">
        <v>34106</v>
      </c>
      <c r="P392" s="27" t="s">
        <v>79</v>
      </c>
      <c r="Q392" s="27" t="s">
        <v>75</v>
      </c>
      <c r="R392" s="27" t="s">
        <v>39</v>
      </c>
      <c r="S392" s="27" t="s">
        <v>40</v>
      </c>
      <c r="T392" s="27">
        <v>20</v>
      </c>
      <c r="U392" s="27">
        <v>12000</v>
      </c>
      <c r="V392" s="27">
        <v>0</v>
      </c>
      <c r="W392" s="27">
        <v>240000</v>
      </c>
      <c r="X392" s="27">
        <v>2</v>
      </c>
      <c r="Y392" s="27" t="s">
        <v>60</v>
      </c>
      <c r="Z392" s="27" t="s">
        <v>80</v>
      </c>
      <c r="AA392" s="27" t="s">
        <v>61</v>
      </c>
      <c r="AB392" s="27">
        <v>9382815686</v>
      </c>
      <c r="AC392" s="21" t="s">
        <v>34</v>
      </c>
    </row>
    <row r="393" spans="8:29" ht="15" thickBot="1" x14ac:dyDescent="0.4">
      <c r="H393" s="30" t="s">
        <v>508</v>
      </c>
      <c r="I393" s="30" t="s">
        <v>63</v>
      </c>
      <c r="J393" s="30" t="s">
        <v>56</v>
      </c>
      <c r="K393" s="31">
        <v>46019</v>
      </c>
      <c r="L393" s="31">
        <v>46028</v>
      </c>
      <c r="M393" s="30" t="s">
        <v>110</v>
      </c>
      <c r="N393" s="30" t="s">
        <v>58</v>
      </c>
      <c r="O393" s="31">
        <v>28020</v>
      </c>
      <c r="P393" s="30" t="s">
        <v>147</v>
      </c>
      <c r="Q393" s="30" t="s">
        <v>148</v>
      </c>
      <c r="R393" s="30" t="s">
        <v>39</v>
      </c>
      <c r="S393" s="30" t="s">
        <v>59</v>
      </c>
      <c r="T393" s="30">
        <v>9</v>
      </c>
      <c r="U393" s="30">
        <v>1200</v>
      </c>
      <c r="V393" s="30">
        <v>15</v>
      </c>
      <c r="W393" s="30">
        <v>9180</v>
      </c>
      <c r="X393" s="30">
        <v>1</v>
      </c>
      <c r="Y393" s="30" t="s">
        <v>65</v>
      </c>
      <c r="Z393" s="30" t="s">
        <v>32</v>
      </c>
      <c r="AA393" s="30" t="s">
        <v>66</v>
      </c>
      <c r="AB393" s="30">
        <v>9450746157</v>
      </c>
      <c r="AC393" s="30" t="s">
        <v>52</v>
      </c>
    </row>
    <row r="394" spans="8:29" ht="15" thickBot="1" x14ac:dyDescent="0.4">
      <c r="H394" s="27" t="s">
        <v>509</v>
      </c>
      <c r="I394" s="27" t="s">
        <v>63</v>
      </c>
      <c r="J394" s="27" t="s">
        <v>125</v>
      </c>
      <c r="K394" s="28">
        <v>45931</v>
      </c>
      <c r="L394" s="28">
        <v>45933</v>
      </c>
      <c r="M394" s="27" t="s">
        <v>110</v>
      </c>
      <c r="N394" s="27" t="s">
        <v>58</v>
      </c>
      <c r="O394" s="28">
        <v>35421</v>
      </c>
      <c r="P394" s="27" t="s">
        <v>121</v>
      </c>
      <c r="Q394" s="27" t="s">
        <v>38</v>
      </c>
      <c r="R394" s="27" t="s">
        <v>83</v>
      </c>
      <c r="S394" s="27" t="s">
        <v>127</v>
      </c>
      <c r="T394" s="27">
        <v>3</v>
      </c>
      <c r="U394" s="27">
        <v>20</v>
      </c>
      <c r="V394" s="27">
        <v>15</v>
      </c>
      <c r="W394" s="27">
        <v>51</v>
      </c>
      <c r="X394" s="27">
        <v>3</v>
      </c>
      <c r="Y394" s="27" t="s">
        <v>31</v>
      </c>
      <c r="Z394" s="27" t="s">
        <v>80</v>
      </c>
      <c r="AA394" s="27" t="s">
        <v>66</v>
      </c>
      <c r="AB394" s="27">
        <v>9349012570</v>
      </c>
      <c r="AC394" s="27" t="s">
        <v>52</v>
      </c>
    </row>
    <row r="395" spans="8:29" ht="15" thickBot="1" x14ac:dyDescent="0.4">
      <c r="H395" s="30" t="s">
        <v>510</v>
      </c>
      <c r="I395" s="30" t="s">
        <v>134</v>
      </c>
      <c r="J395" s="30" t="s">
        <v>46</v>
      </c>
      <c r="K395" s="31">
        <v>46009</v>
      </c>
      <c r="L395" s="31">
        <v>46010</v>
      </c>
      <c r="M395" s="30" t="s">
        <v>135</v>
      </c>
      <c r="N395" s="30" t="s">
        <v>26</v>
      </c>
      <c r="O395" s="31">
        <v>35058</v>
      </c>
      <c r="P395" s="30" t="s">
        <v>37</v>
      </c>
      <c r="Q395" s="30" t="s">
        <v>38</v>
      </c>
      <c r="R395" s="30" t="s">
        <v>39</v>
      </c>
      <c r="S395" s="30" t="s">
        <v>49</v>
      </c>
      <c r="T395" s="30">
        <v>8</v>
      </c>
      <c r="U395" s="30">
        <v>55000</v>
      </c>
      <c r="V395" s="30">
        <v>20</v>
      </c>
      <c r="W395" s="30">
        <v>352000</v>
      </c>
      <c r="X395" s="30">
        <v>5</v>
      </c>
      <c r="Y395" s="30" t="s">
        <v>60</v>
      </c>
      <c r="Z395" s="30" t="s">
        <v>96</v>
      </c>
      <c r="AA395" s="30" t="s">
        <v>136</v>
      </c>
      <c r="AB395" s="30">
        <v>9442163790</v>
      </c>
      <c r="AC395" s="30" t="s">
        <v>52</v>
      </c>
    </row>
    <row r="396" spans="8:29" ht="15" thickBot="1" x14ac:dyDescent="0.4">
      <c r="H396" s="27" t="s">
        <v>511</v>
      </c>
      <c r="I396" s="27" t="s">
        <v>134</v>
      </c>
      <c r="J396" s="27" t="s">
        <v>82</v>
      </c>
      <c r="K396" s="28">
        <v>45929</v>
      </c>
      <c r="L396" s="28">
        <v>45937</v>
      </c>
      <c r="M396" s="27" t="s">
        <v>135</v>
      </c>
      <c r="N396" s="27" t="s">
        <v>26</v>
      </c>
      <c r="O396" s="28">
        <v>31221</v>
      </c>
      <c r="P396" s="27" t="s">
        <v>37</v>
      </c>
      <c r="Q396" s="27" t="s">
        <v>38</v>
      </c>
      <c r="R396" s="27" t="s">
        <v>83</v>
      </c>
      <c r="S396" s="27" t="s">
        <v>84</v>
      </c>
      <c r="T396" s="27">
        <v>17</v>
      </c>
      <c r="U396" s="27">
        <v>60</v>
      </c>
      <c r="V396" s="27">
        <v>20</v>
      </c>
      <c r="W396" s="27">
        <v>816</v>
      </c>
      <c r="X396" s="27">
        <v>1</v>
      </c>
      <c r="Y396" s="27" t="s">
        <v>65</v>
      </c>
      <c r="Z396" s="27" t="s">
        <v>32</v>
      </c>
      <c r="AA396" s="27" t="s">
        <v>136</v>
      </c>
      <c r="AB396" s="27">
        <v>9953329223</v>
      </c>
      <c r="AC396" s="27" t="s">
        <v>52</v>
      </c>
    </row>
    <row r="397" spans="8:29" ht="15" thickBot="1" x14ac:dyDescent="0.4">
      <c r="H397" s="30" t="s">
        <v>512</v>
      </c>
      <c r="I397" s="30" t="s">
        <v>87</v>
      </c>
      <c r="J397" s="30" t="s">
        <v>125</v>
      </c>
      <c r="K397" s="31">
        <v>45791</v>
      </c>
      <c r="L397" s="31">
        <v>45799</v>
      </c>
      <c r="M397" s="30" t="s">
        <v>88</v>
      </c>
      <c r="N397" s="30" t="s">
        <v>58</v>
      </c>
      <c r="O397" s="31">
        <v>30722</v>
      </c>
      <c r="P397" s="30" t="s">
        <v>48</v>
      </c>
      <c r="Q397" s="30" t="s">
        <v>28</v>
      </c>
      <c r="R397" s="30" t="s">
        <v>83</v>
      </c>
      <c r="S397" s="30" t="s">
        <v>127</v>
      </c>
      <c r="T397" s="30">
        <v>4</v>
      </c>
      <c r="U397" s="30">
        <v>20</v>
      </c>
      <c r="V397" s="30">
        <v>15</v>
      </c>
      <c r="W397" s="30">
        <v>68</v>
      </c>
      <c r="X397" s="30">
        <v>3</v>
      </c>
      <c r="Y397" s="30" t="s">
        <v>41</v>
      </c>
      <c r="Z397" s="30" t="s">
        <v>50</v>
      </c>
      <c r="AA397" s="30" t="s">
        <v>89</v>
      </c>
      <c r="AB397" s="30">
        <v>9202321359</v>
      </c>
      <c r="AC397" s="30" t="s">
        <v>52</v>
      </c>
    </row>
    <row r="398" spans="8:29" ht="15" thickBot="1" x14ac:dyDescent="0.4">
      <c r="H398" s="27" t="s">
        <v>513</v>
      </c>
      <c r="I398" s="27" t="s">
        <v>87</v>
      </c>
      <c r="J398" s="27" t="s">
        <v>24</v>
      </c>
      <c r="K398" s="28">
        <v>45748</v>
      </c>
      <c r="L398" s="28">
        <v>45758</v>
      </c>
      <c r="M398" s="27" t="s">
        <v>88</v>
      </c>
      <c r="N398" s="27" t="s">
        <v>58</v>
      </c>
      <c r="O398" s="28">
        <v>37348</v>
      </c>
      <c r="P398" s="27" t="s">
        <v>147</v>
      </c>
      <c r="Q398" s="27" t="s">
        <v>148</v>
      </c>
      <c r="R398" s="27" t="s">
        <v>29</v>
      </c>
      <c r="S398" s="27" t="s">
        <v>30</v>
      </c>
      <c r="T398" s="27">
        <v>2</v>
      </c>
      <c r="U398" s="27">
        <v>2200</v>
      </c>
      <c r="V398" s="27">
        <v>10</v>
      </c>
      <c r="W398" s="27">
        <v>3960</v>
      </c>
      <c r="X398" s="27">
        <v>2</v>
      </c>
      <c r="Y398" s="27" t="s">
        <v>65</v>
      </c>
      <c r="Z398" s="27" t="s">
        <v>42</v>
      </c>
      <c r="AA398" s="27" t="s">
        <v>89</v>
      </c>
      <c r="AB398" s="27">
        <v>9812564160</v>
      </c>
      <c r="AC398" s="27" t="s">
        <v>52</v>
      </c>
    </row>
    <row r="399" spans="8:29" ht="15" thickBot="1" x14ac:dyDescent="0.4">
      <c r="H399" s="30" t="s">
        <v>514</v>
      </c>
      <c r="I399" s="30" t="s">
        <v>124</v>
      </c>
      <c r="J399" s="30" t="s">
        <v>82</v>
      </c>
      <c r="K399" s="31">
        <v>45754</v>
      </c>
      <c r="L399" s="31">
        <v>45765</v>
      </c>
      <c r="M399" s="30" t="s">
        <v>126</v>
      </c>
      <c r="N399" s="30" t="s">
        <v>58</v>
      </c>
      <c r="O399" s="31">
        <v>37819</v>
      </c>
      <c r="P399" s="30" t="s">
        <v>48</v>
      </c>
      <c r="Q399" s="30" t="s">
        <v>28</v>
      </c>
      <c r="R399" s="30" t="s">
        <v>83</v>
      </c>
      <c r="S399" s="30" t="s">
        <v>84</v>
      </c>
      <c r="T399" s="30">
        <v>5</v>
      </c>
      <c r="U399" s="30">
        <v>60</v>
      </c>
      <c r="V399" s="30">
        <v>5</v>
      </c>
      <c r="W399" s="30">
        <v>285</v>
      </c>
      <c r="X399" s="30">
        <v>1</v>
      </c>
      <c r="Y399" s="30" t="s">
        <v>65</v>
      </c>
      <c r="Z399" s="30" t="s">
        <v>32</v>
      </c>
      <c r="AA399" s="30" t="s">
        <v>128</v>
      </c>
      <c r="AB399" s="30">
        <v>9688458222</v>
      </c>
      <c r="AC399" s="30" t="s">
        <v>53</v>
      </c>
    </row>
    <row r="400" spans="8:29" ht="15" thickBot="1" x14ac:dyDescent="0.4">
      <c r="H400" s="27" t="s">
        <v>515</v>
      </c>
      <c r="I400" s="27" t="s">
        <v>87</v>
      </c>
      <c r="J400" s="27" t="s">
        <v>24</v>
      </c>
      <c r="K400" s="28">
        <v>46072</v>
      </c>
      <c r="L400" s="28">
        <v>46076</v>
      </c>
      <c r="M400" s="27" t="s">
        <v>88</v>
      </c>
      <c r="N400" s="27" t="s">
        <v>58</v>
      </c>
      <c r="O400" s="28">
        <v>33517</v>
      </c>
      <c r="P400" s="27" t="s">
        <v>37</v>
      </c>
      <c r="Q400" s="27" t="s">
        <v>38</v>
      </c>
      <c r="R400" s="27" t="s">
        <v>29</v>
      </c>
      <c r="S400" s="27" t="s">
        <v>30</v>
      </c>
      <c r="T400" s="27">
        <v>17</v>
      </c>
      <c r="U400" s="27">
        <v>2200</v>
      </c>
      <c r="V400" s="27">
        <v>0</v>
      </c>
      <c r="W400" s="27">
        <v>37400</v>
      </c>
      <c r="X400" s="27">
        <v>2</v>
      </c>
      <c r="Y400" s="27" t="s">
        <v>65</v>
      </c>
      <c r="Z400" s="27" t="s">
        <v>96</v>
      </c>
      <c r="AA400" s="27" t="s">
        <v>89</v>
      </c>
      <c r="AB400" s="27">
        <v>9634473337</v>
      </c>
      <c r="AC400" s="27" t="s">
        <v>53</v>
      </c>
    </row>
    <row r="401" spans="8:29" ht="15" thickBot="1" x14ac:dyDescent="0.4">
      <c r="H401" s="30" t="s">
        <v>516</v>
      </c>
      <c r="I401" s="30" t="s">
        <v>104</v>
      </c>
      <c r="J401" s="30" t="s">
        <v>82</v>
      </c>
      <c r="K401" s="31">
        <v>45995</v>
      </c>
      <c r="L401" s="31">
        <v>46002</v>
      </c>
      <c r="M401" s="30" t="s">
        <v>166</v>
      </c>
      <c r="N401" s="30" t="s">
        <v>26</v>
      </c>
      <c r="O401" s="31">
        <v>30686</v>
      </c>
      <c r="P401" s="30" t="s">
        <v>91</v>
      </c>
      <c r="Q401" s="30" t="s">
        <v>75</v>
      </c>
      <c r="R401" s="30" t="s">
        <v>83</v>
      </c>
      <c r="S401" s="30" t="s">
        <v>84</v>
      </c>
      <c r="T401" s="30">
        <v>7</v>
      </c>
      <c r="U401" s="30">
        <v>60</v>
      </c>
      <c r="V401" s="30">
        <v>0</v>
      </c>
      <c r="W401" s="30">
        <v>420</v>
      </c>
      <c r="X401" s="30">
        <v>2</v>
      </c>
      <c r="Y401" s="30" t="s">
        <v>65</v>
      </c>
      <c r="Z401" s="30" t="s">
        <v>50</v>
      </c>
      <c r="AA401" s="30" t="s">
        <v>108</v>
      </c>
      <c r="AB401" s="30">
        <v>9608737026</v>
      </c>
      <c r="AC401" s="30" t="s">
        <v>52</v>
      </c>
    </row>
    <row r="402" spans="8:29" ht="15" thickBot="1" x14ac:dyDescent="0.4">
      <c r="H402" s="27" t="s">
        <v>517</v>
      </c>
      <c r="I402" s="27" t="s">
        <v>124</v>
      </c>
      <c r="J402" s="27" t="s">
        <v>46</v>
      </c>
      <c r="K402" s="28">
        <v>45950</v>
      </c>
      <c r="L402" s="28">
        <v>45954</v>
      </c>
      <c r="M402" s="27" t="s">
        <v>126</v>
      </c>
      <c r="N402" s="27" t="s">
        <v>58</v>
      </c>
      <c r="O402" s="28">
        <v>27465</v>
      </c>
      <c r="P402" s="27" t="s">
        <v>27</v>
      </c>
      <c r="Q402" s="27" t="s">
        <v>28</v>
      </c>
      <c r="R402" s="27" t="s">
        <v>39</v>
      </c>
      <c r="S402" s="27" t="s">
        <v>49</v>
      </c>
      <c r="T402" s="27">
        <v>6</v>
      </c>
      <c r="U402" s="27">
        <v>55000</v>
      </c>
      <c r="V402" s="27">
        <v>5</v>
      </c>
      <c r="W402" s="27">
        <v>313500</v>
      </c>
      <c r="X402" s="27">
        <v>4</v>
      </c>
      <c r="Y402" s="27" t="s">
        <v>60</v>
      </c>
      <c r="Z402" s="27" t="s">
        <v>50</v>
      </c>
      <c r="AA402" s="27" t="s">
        <v>128</v>
      </c>
      <c r="AB402" s="27">
        <v>9804498139</v>
      </c>
      <c r="AC402" s="21" t="s">
        <v>34</v>
      </c>
    </row>
    <row r="403" spans="8:29" ht="29.5" thickBot="1" x14ac:dyDescent="0.4">
      <c r="H403" s="30" t="s">
        <v>518</v>
      </c>
      <c r="I403" s="30" t="s">
        <v>55</v>
      </c>
      <c r="J403" s="30" t="s">
        <v>125</v>
      </c>
      <c r="K403" s="31">
        <v>46043</v>
      </c>
      <c r="L403" s="31">
        <v>46047</v>
      </c>
      <c r="M403" s="30" t="s">
        <v>57</v>
      </c>
      <c r="N403" s="30" t="s">
        <v>58</v>
      </c>
      <c r="O403" s="31">
        <v>30390</v>
      </c>
      <c r="P403" s="30" t="s">
        <v>27</v>
      </c>
      <c r="Q403" s="30" t="s">
        <v>28</v>
      </c>
      <c r="R403" s="30" t="s">
        <v>83</v>
      </c>
      <c r="S403" s="30" t="s">
        <v>127</v>
      </c>
      <c r="T403" s="30">
        <v>16</v>
      </c>
      <c r="U403" s="30">
        <v>20</v>
      </c>
      <c r="V403" s="30">
        <v>5</v>
      </c>
      <c r="W403" s="30">
        <v>304</v>
      </c>
      <c r="X403" s="30">
        <v>1</v>
      </c>
      <c r="Y403" s="30" t="s">
        <v>60</v>
      </c>
      <c r="Z403" s="30" t="s">
        <v>42</v>
      </c>
      <c r="AA403" s="30" t="s">
        <v>61</v>
      </c>
      <c r="AB403" s="30">
        <v>9798643580</v>
      </c>
      <c r="AC403" s="22" t="s">
        <v>34</v>
      </c>
    </row>
    <row r="404" spans="8:29" ht="15" thickBot="1" x14ac:dyDescent="0.4">
      <c r="H404" s="27" t="s">
        <v>519</v>
      </c>
      <c r="I404" s="27" t="s">
        <v>23</v>
      </c>
      <c r="J404" s="27" t="s">
        <v>24</v>
      </c>
      <c r="K404" s="28">
        <v>45682</v>
      </c>
      <c r="L404" s="28">
        <v>45685</v>
      </c>
      <c r="M404" s="27" t="s">
        <v>25</v>
      </c>
      <c r="N404" s="27" t="s">
        <v>26</v>
      </c>
      <c r="O404" s="28">
        <v>27870</v>
      </c>
      <c r="P404" s="27" t="s">
        <v>147</v>
      </c>
      <c r="Q404" s="27" t="s">
        <v>148</v>
      </c>
      <c r="R404" s="27" t="s">
        <v>29</v>
      </c>
      <c r="S404" s="27" t="s">
        <v>30</v>
      </c>
      <c r="T404" s="27">
        <v>11</v>
      </c>
      <c r="U404" s="27">
        <v>2200</v>
      </c>
      <c r="V404" s="27">
        <v>15</v>
      </c>
      <c r="W404" s="27">
        <v>20570</v>
      </c>
      <c r="X404" s="27">
        <v>1</v>
      </c>
      <c r="Y404" s="27" t="s">
        <v>41</v>
      </c>
      <c r="Z404" s="27" t="s">
        <v>80</v>
      </c>
      <c r="AA404" s="27" t="s">
        <v>43</v>
      </c>
      <c r="AB404" s="27">
        <v>9809823278</v>
      </c>
      <c r="AC404" s="27" t="s">
        <v>53</v>
      </c>
    </row>
    <row r="405" spans="8:29" ht="15" thickBot="1" x14ac:dyDescent="0.4">
      <c r="H405" s="30" t="s">
        <v>520</v>
      </c>
      <c r="I405" s="30" t="s">
        <v>72</v>
      </c>
      <c r="J405" s="30" t="s">
        <v>125</v>
      </c>
      <c r="K405" s="31">
        <v>45716</v>
      </c>
      <c r="L405" s="31">
        <v>45718</v>
      </c>
      <c r="M405" s="30" t="s">
        <v>73</v>
      </c>
      <c r="N405" s="30" t="s">
        <v>26</v>
      </c>
      <c r="O405" s="31">
        <v>31454</v>
      </c>
      <c r="P405" s="30" t="s">
        <v>79</v>
      </c>
      <c r="Q405" s="30" t="s">
        <v>75</v>
      </c>
      <c r="R405" s="30" t="s">
        <v>83</v>
      </c>
      <c r="S405" s="30" t="s">
        <v>127</v>
      </c>
      <c r="T405" s="30">
        <v>19</v>
      </c>
      <c r="U405" s="30">
        <v>20</v>
      </c>
      <c r="V405" s="30">
        <v>5</v>
      </c>
      <c r="W405" s="30">
        <v>361</v>
      </c>
      <c r="X405" s="30">
        <v>4</v>
      </c>
      <c r="Y405" s="30" t="s">
        <v>65</v>
      </c>
      <c r="Z405" s="30" t="s">
        <v>32</v>
      </c>
      <c r="AA405" s="30" t="s">
        <v>93</v>
      </c>
      <c r="AB405" s="30">
        <v>9177767854</v>
      </c>
      <c r="AC405" s="30" t="s">
        <v>52</v>
      </c>
    </row>
    <row r="406" spans="8:29" ht="15" thickBot="1" x14ac:dyDescent="0.4">
      <c r="H406" s="27" t="s">
        <v>521</v>
      </c>
      <c r="I406" s="27" t="s">
        <v>72</v>
      </c>
      <c r="J406" s="27" t="s">
        <v>56</v>
      </c>
      <c r="K406" s="28">
        <v>45828</v>
      </c>
      <c r="L406" s="28">
        <v>45829</v>
      </c>
      <c r="M406" s="27" t="s">
        <v>73</v>
      </c>
      <c r="N406" s="27" t="s">
        <v>26</v>
      </c>
      <c r="O406" s="28">
        <v>28570</v>
      </c>
      <c r="P406" s="27" t="s">
        <v>79</v>
      </c>
      <c r="Q406" s="27" t="s">
        <v>75</v>
      </c>
      <c r="R406" s="27" t="s">
        <v>39</v>
      </c>
      <c r="S406" s="27" t="s">
        <v>59</v>
      </c>
      <c r="T406" s="27">
        <v>20</v>
      </c>
      <c r="U406" s="27">
        <v>1200</v>
      </c>
      <c r="V406" s="27">
        <v>15</v>
      </c>
      <c r="W406" s="27">
        <v>20400</v>
      </c>
      <c r="X406" s="27">
        <v>4</v>
      </c>
      <c r="Y406" s="27" t="s">
        <v>60</v>
      </c>
      <c r="Z406" s="27" t="s">
        <v>32</v>
      </c>
      <c r="AA406" s="27" t="s">
        <v>93</v>
      </c>
      <c r="AB406" s="27">
        <v>9643440006</v>
      </c>
      <c r="AC406" s="27" t="s">
        <v>52</v>
      </c>
    </row>
    <row r="407" spans="8:29" ht="15" thickBot="1" x14ac:dyDescent="0.4">
      <c r="H407" s="30" t="s">
        <v>522</v>
      </c>
      <c r="I407" s="30" t="s">
        <v>45</v>
      </c>
      <c r="J407" s="30" t="s">
        <v>125</v>
      </c>
      <c r="K407" s="31">
        <v>45805</v>
      </c>
      <c r="L407" s="31">
        <v>45814</v>
      </c>
      <c r="M407" s="30" t="s">
        <v>101</v>
      </c>
      <c r="N407" s="30" t="s">
        <v>26</v>
      </c>
      <c r="O407" s="31">
        <v>35258</v>
      </c>
      <c r="P407" s="30" t="s">
        <v>27</v>
      </c>
      <c r="Q407" s="30" t="s">
        <v>28</v>
      </c>
      <c r="R407" s="30" t="s">
        <v>83</v>
      </c>
      <c r="S407" s="30" t="s">
        <v>127</v>
      </c>
      <c r="T407" s="30">
        <v>13</v>
      </c>
      <c r="U407" s="30">
        <v>20</v>
      </c>
      <c r="V407" s="30">
        <v>15</v>
      </c>
      <c r="W407" s="30">
        <v>221</v>
      </c>
      <c r="X407" s="30">
        <v>4</v>
      </c>
      <c r="Y407" s="30" t="s">
        <v>31</v>
      </c>
      <c r="Z407" s="30" t="s">
        <v>32</v>
      </c>
      <c r="AA407" s="30" t="s">
        <v>51</v>
      </c>
      <c r="AB407" s="30">
        <v>9673698825</v>
      </c>
      <c r="AC407" s="30" t="s">
        <v>52</v>
      </c>
    </row>
    <row r="408" spans="8:29" ht="15" thickBot="1" x14ac:dyDescent="0.4">
      <c r="H408" s="27" t="s">
        <v>523</v>
      </c>
      <c r="I408" s="27" t="s">
        <v>134</v>
      </c>
      <c r="J408" s="27" t="s">
        <v>56</v>
      </c>
      <c r="K408" s="28">
        <v>45660</v>
      </c>
      <c r="L408" s="28">
        <v>45665</v>
      </c>
      <c r="M408" s="27" t="s">
        <v>135</v>
      </c>
      <c r="N408" s="27" t="s">
        <v>26</v>
      </c>
      <c r="O408" s="28">
        <v>33940</v>
      </c>
      <c r="P408" s="27" t="s">
        <v>37</v>
      </c>
      <c r="Q408" s="27" t="s">
        <v>38</v>
      </c>
      <c r="R408" s="27" t="s">
        <v>39</v>
      </c>
      <c r="S408" s="27" t="s">
        <v>59</v>
      </c>
      <c r="T408" s="27">
        <v>12</v>
      </c>
      <c r="U408" s="27">
        <v>1200</v>
      </c>
      <c r="V408" s="27">
        <v>10</v>
      </c>
      <c r="W408" s="27">
        <v>12960</v>
      </c>
      <c r="X408" s="27">
        <v>3</v>
      </c>
      <c r="Y408" s="27" t="s">
        <v>41</v>
      </c>
      <c r="Z408" s="27" t="s">
        <v>32</v>
      </c>
      <c r="AA408" s="27" t="s">
        <v>136</v>
      </c>
      <c r="AB408" s="27">
        <v>9706238784</v>
      </c>
      <c r="AC408" s="27" t="s">
        <v>52</v>
      </c>
    </row>
    <row r="409" spans="8:29" ht="15" thickBot="1" x14ac:dyDescent="0.4">
      <c r="H409" s="30" t="s">
        <v>524</v>
      </c>
      <c r="I409" s="30" t="s">
        <v>72</v>
      </c>
      <c r="J409" s="30" t="s">
        <v>105</v>
      </c>
      <c r="K409" s="31">
        <v>45685</v>
      </c>
      <c r="L409" s="31">
        <v>45686</v>
      </c>
      <c r="M409" s="30" t="s">
        <v>73</v>
      </c>
      <c r="N409" s="30" t="s">
        <v>26</v>
      </c>
      <c r="O409" s="31">
        <v>35147</v>
      </c>
      <c r="P409" s="30" t="s">
        <v>147</v>
      </c>
      <c r="Q409" s="30" t="s">
        <v>148</v>
      </c>
      <c r="R409" s="30" t="s">
        <v>29</v>
      </c>
      <c r="S409" s="30" t="s">
        <v>107</v>
      </c>
      <c r="T409" s="30">
        <v>6</v>
      </c>
      <c r="U409" s="30">
        <v>8500</v>
      </c>
      <c r="V409" s="30">
        <v>5</v>
      </c>
      <c r="W409" s="30">
        <v>48450</v>
      </c>
      <c r="X409" s="30">
        <v>5</v>
      </c>
      <c r="Y409" s="30" t="s">
        <v>31</v>
      </c>
      <c r="Z409" s="30" t="s">
        <v>80</v>
      </c>
      <c r="AA409" s="30" t="s">
        <v>93</v>
      </c>
      <c r="AB409" s="30">
        <v>9132959877</v>
      </c>
      <c r="AC409" s="30" t="s">
        <v>53</v>
      </c>
    </row>
    <row r="410" spans="8:29" ht="15" thickBot="1" x14ac:dyDescent="0.4">
      <c r="H410" s="27" t="s">
        <v>525</v>
      </c>
      <c r="I410" s="27" t="s">
        <v>23</v>
      </c>
      <c r="J410" s="27" t="s">
        <v>105</v>
      </c>
      <c r="K410" s="28">
        <v>46071</v>
      </c>
      <c r="L410" s="28">
        <v>46079</v>
      </c>
      <c r="M410" s="27" t="s">
        <v>25</v>
      </c>
      <c r="N410" s="27" t="s">
        <v>26</v>
      </c>
      <c r="O410" s="28">
        <v>34508</v>
      </c>
      <c r="P410" s="27" t="s">
        <v>91</v>
      </c>
      <c r="Q410" s="27" t="s">
        <v>75</v>
      </c>
      <c r="R410" s="27" t="s">
        <v>29</v>
      </c>
      <c r="S410" s="27" t="s">
        <v>107</v>
      </c>
      <c r="T410" s="27">
        <v>15</v>
      </c>
      <c r="U410" s="27">
        <v>8500</v>
      </c>
      <c r="V410" s="27">
        <v>10</v>
      </c>
      <c r="W410" s="27">
        <v>114750</v>
      </c>
      <c r="X410" s="27">
        <v>1</v>
      </c>
      <c r="Y410" s="27" t="s">
        <v>31</v>
      </c>
      <c r="Z410" s="27" t="s">
        <v>80</v>
      </c>
      <c r="AA410" s="27" t="s">
        <v>43</v>
      </c>
      <c r="AB410" s="27">
        <v>9295011645</v>
      </c>
      <c r="AC410" s="21" t="s">
        <v>34</v>
      </c>
    </row>
    <row r="411" spans="8:29" ht="15" thickBot="1" x14ac:dyDescent="0.4">
      <c r="H411" s="30" t="s">
        <v>526</v>
      </c>
      <c r="I411" s="30" t="s">
        <v>87</v>
      </c>
      <c r="J411" s="30" t="s">
        <v>36</v>
      </c>
      <c r="K411" s="31">
        <v>45872</v>
      </c>
      <c r="L411" s="31">
        <v>45884</v>
      </c>
      <c r="M411" s="30" t="s">
        <v>88</v>
      </c>
      <c r="N411" s="30" t="s">
        <v>58</v>
      </c>
      <c r="O411" s="31">
        <v>29253</v>
      </c>
      <c r="P411" s="30" t="s">
        <v>27</v>
      </c>
      <c r="Q411" s="30" t="s">
        <v>28</v>
      </c>
      <c r="R411" s="30" t="s">
        <v>39</v>
      </c>
      <c r="S411" s="30" t="s">
        <v>40</v>
      </c>
      <c r="T411" s="30">
        <v>19</v>
      </c>
      <c r="U411" s="30">
        <v>12000</v>
      </c>
      <c r="V411" s="30">
        <v>20</v>
      </c>
      <c r="W411" s="30">
        <v>182400</v>
      </c>
      <c r="X411" s="30">
        <v>5</v>
      </c>
      <c r="Y411" s="30" t="s">
        <v>31</v>
      </c>
      <c r="Z411" s="30" t="s">
        <v>80</v>
      </c>
      <c r="AA411" s="30" t="s">
        <v>89</v>
      </c>
      <c r="AB411" s="30">
        <v>9677606427</v>
      </c>
      <c r="AC411" s="22" t="s">
        <v>34</v>
      </c>
    </row>
    <row r="412" spans="8:29" ht="15" thickBot="1" x14ac:dyDescent="0.4">
      <c r="H412" s="27" t="s">
        <v>527</v>
      </c>
      <c r="I412" s="27" t="s">
        <v>63</v>
      </c>
      <c r="J412" s="27" t="s">
        <v>112</v>
      </c>
      <c r="K412" s="28">
        <v>45672</v>
      </c>
      <c r="L412" s="28">
        <v>45675</v>
      </c>
      <c r="M412" s="27" t="s">
        <v>110</v>
      </c>
      <c r="N412" s="27" t="s">
        <v>58</v>
      </c>
      <c r="O412" s="28">
        <v>33109</v>
      </c>
      <c r="P412" s="27" t="s">
        <v>37</v>
      </c>
      <c r="Q412" s="27" t="s">
        <v>38</v>
      </c>
      <c r="R412" s="27" t="s">
        <v>39</v>
      </c>
      <c r="S412" s="27" t="s">
        <v>114</v>
      </c>
      <c r="T412" s="27">
        <v>5</v>
      </c>
      <c r="U412" s="27">
        <v>700</v>
      </c>
      <c r="V412" s="27">
        <v>0</v>
      </c>
      <c r="W412" s="27">
        <v>3500</v>
      </c>
      <c r="X412" s="27">
        <v>2</v>
      </c>
      <c r="Y412" s="27" t="s">
        <v>60</v>
      </c>
      <c r="Z412" s="27" t="s">
        <v>50</v>
      </c>
      <c r="AA412" s="27" t="s">
        <v>66</v>
      </c>
      <c r="AB412" s="27">
        <v>9161631566</v>
      </c>
      <c r="AC412" s="27" t="s">
        <v>53</v>
      </c>
    </row>
    <row r="413" spans="8:29" ht="15" thickBot="1" x14ac:dyDescent="0.4">
      <c r="H413" s="30" t="s">
        <v>528</v>
      </c>
      <c r="I413" s="30" t="s">
        <v>63</v>
      </c>
      <c r="J413" s="30" t="s">
        <v>36</v>
      </c>
      <c r="K413" s="31">
        <v>45688</v>
      </c>
      <c r="L413" s="31">
        <v>45692</v>
      </c>
      <c r="M413" s="30" t="s">
        <v>110</v>
      </c>
      <c r="N413" s="30" t="s">
        <v>58</v>
      </c>
      <c r="O413" s="31">
        <v>28834</v>
      </c>
      <c r="P413" s="30" t="s">
        <v>147</v>
      </c>
      <c r="Q413" s="30" t="s">
        <v>148</v>
      </c>
      <c r="R413" s="30" t="s">
        <v>39</v>
      </c>
      <c r="S413" s="30" t="s">
        <v>40</v>
      </c>
      <c r="T413" s="30">
        <v>19</v>
      </c>
      <c r="U413" s="30">
        <v>12000</v>
      </c>
      <c r="V413" s="30">
        <v>0</v>
      </c>
      <c r="W413" s="30">
        <v>228000</v>
      </c>
      <c r="X413" s="30">
        <v>4</v>
      </c>
      <c r="Y413" s="30" t="s">
        <v>65</v>
      </c>
      <c r="Z413" s="30" t="s">
        <v>50</v>
      </c>
      <c r="AA413" s="30" t="s">
        <v>66</v>
      </c>
      <c r="AB413" s="30">
        <v>9136906750</v>
      </c>
      <c r="AC413" s="30" t="s">
        <v>52</v>
      </c>
    </row>
    <row r="414" spans="8:29" ht="29.5" thickBot="1" x14ac:dyDescent="0.4">
      <c r="H414" s="27" t="s">
        <v>529</v>
      </c>
      <c r="I414" s="27" t="s">
        <v>156</v>
      </c>
      <c r="J414" s="27" t="s">
        <v>112</v>
      </c>
      <c r="K414" s="27"/>
      <c r="L414" s="28">
        <v>45964</v>
      </c>
      <c r="M414" s="27" t="s">
        <v>106</v>
      </c>
      <c r="N414" s="27" t="s">
        <v>58</v>
      </c>
      <c r="O414" s="28">
        <v>29099</v>
      </c>
      <c r="P414" s="27" t="s">
        <v>48</v>
      </c>
      <c r="Q414" s="27" t="s">
        <v>28</v>
      </c>
      <c r="R414" s="27" t="s">
        <v>39</v>
      </c>
      <c r="S414" s="27" t="s">
        <v>114</v>
      </c>
      <c r="T414" s="27">
        <v>12</v>
      </c>
      <c r="U414" s="27">
        <v>700</v>
      </c>
      <c r="V414" s="27">
        <v>15</v>
      </c>
      <c r="W414" s="27">
        <v>7140</v>
      </c>
      <c r="X414" s="27">
        <v>3</v>
      </c>
      <c r="Y414" s="27" t="s">
        <v>60</v>
      </c>
      <c r="Z414" s="27" t="s">
        <v>32</v>
      </c>
      <c r="AA414" s="27" t="s">
        <v>158</v>
      </c>
      <c r="AB414" s="27">
        <v>9485286324</v>
      </c>
      <c r="AC414" s="21" t="s">
        <v>34</v>
      </c>
    </row>
    <row r="415" spans="8:29" ht="15" thickBot="1" x14ac:dyDescent="0.4">
      <c r="H415" s="30" t="s">
        <v>530</v>
      </c>
      <c r="I415" s="30" t="s">
        <v>23</v>
      </c>
      <c r="J415" s="30" t="s">
        <v>56</v>
      </c>
      <c r="K415" s="31">
        <v>45790</v>
      </c>
      <c r="L415" s="31">
        <v>45798</v>
      </c>
      <c r="M415" s="30" t="s">
        <v>25</v>
      </c>
      <c r="N415" s="30" t="s">
        <v>26</v>
      </c>
      <c r="O415" s="31">
        <v>36989</v>
      </c>
      <c r="P415" s="30" t="s">
        <v>37</v>
      </c>
      <c r="Q415" s="30" t="s">
        <v>38</v>
      </c>
      <c r="R415" s="30" t="s">
        <v>39</v>
      </c>
      <c r="S415" s="30" t="s">
        <v>59</v>
      </c>
      <c r="T415" s="30">
        <v>16</v>
      </c>
      <c r="U415" s="30">
        <v>1200</v>
      </c>
      <c r="V415" s="30">
        <v>20</v>
      </c>
      <c r="W415" s="30">
        <v>15360</v>
      </c>
      <c r="X415" s="30">
        <v>1</v>
      </c>
      <c r="Y415" s="30" t="s">
        <v>31</v>
      </c>
      <c r="Z415" s="30" t="s">
        <v>42</v>
      </c>
      <c r="AA415" s="30" t="s">
        <v>43</v>
      </c>
      <c r="AB415" s="30">
        <v>9414633966</v>
      </c>
      <c r="AC415" s="30" t="s">
        <v>52</v>
      </c>
    </row>
    <row r="416" spans="8:29" ht="29.5" thickBot="1" x14ac:dyDescent="0.4">
      <c r="H416" s="27" t="s">
        <v>531</v>
      </c>
      <c r="I416" s="27" t="s">
        <v>55</v>
      </c>
      <c r="J416" s="27" t="s">
        <v>105</v>
      </c>
      <c r="K416" s="28">
        <v>46018</v>
      </c>
      <c r="L416" s="28">
        <v>46026</v>
      </c>
      <c r="M416" s="27" t="s">
        <v>57</v>
      </c>
      <c r="N416" s="27" t="s">
        <v>58</v>
      </c>
      <c r="O416" s="28">
        <v>30317</v>
      </c>
      <c r="P416" s="27" t="s">
        <v>27</v>
      </c>
      <c r="Q416" s="27" t="s">
        <v>28</v>
      </c>
      <c r="R416" s="27" t="s">
        <v>29</v>
      </c>
      <c r="S416" s="27" t="s">
        <v>107</v>
      </c>
      <c r="T416" s="27">
        <v>10</v>
      </c>
      <c r="U416" s="27">
        <v>8500</v>
      </c>
      <c r="V416" s="27">
        <v>5</v>
      </c>
      <c r="W416" s="27">
        <v>80750</v>
      </c>
      <c r="X416" s="27">
        <v>5</v>
      </c>
      <c r="Y416" s="27" t="s">
        <v>41</v>
      </c>
      <c r="Z416" s="27" t="s">
        <v>32</v>
      </c>
      <c r="AA416" s="27" t="s">
        <v>61</v>
      </c>
      <c r="AB416" s="27">
        <v>9833735234</v>
      </c>
      <c r="AC416" s="21" t="s">
        <v>34</v>
      </c>
    </row>
    <row r="417" spans="8:29" ht="15" thickBot="1" x14ac:dyDescent="0.4">
      <c r="H417" s="30" t="s">
        <v>532</v>
      </c>
      <c r="I417" s="30" t="s">
        <v>23</v>
      </c>
      <c r="J417" s="30" t="s">
        <v>125</v>
      </c>
      <c r="K417" s="31">
        <v>45699</v>
      </c>
      <c r="L417" s="31">
        <v>45709</v>
      </c>
      <c r="M417" s="30" t="s">
        <v>25</v>
      </c>
      <c r="N417" s="30" t="s">
        <v>26</v>
      </c>
      <c r="O417" s="31">
        <v>32729</v>
      </c>
      <c r="P417" s="30" t="s">
        <v>91</v>
      </c>
      <c r="Q417" s="30" t="s">
        <v>75</v>
      </c>
      <c r="R417" s="30" t="s">
        <v>83</v>
      </c>
      <c r="S417" s="30" t="s">
        <v>127</v>
      </c>
      <c r="T417" s="30">
        <v>18</v>
      </c>
      <c r="U417" s="30">
        <v>20</v>
      </c>
      <c r="V417" s="30">
        <v>20</v>
      </c>
      <c r="W417" s="30">
        <v>288</v>
      </c>
      <c r="X417" s="30">
        <v>1</v>
      </c>
      <c r="Y417" s="30" t="s">
        <v>65</v>
      </c>
      <c r="Z417" s="30" t="s">
        <v>32</v>
      </c>
      <c r="AA417" s="30" t="s">
        <v>43</v>
      </c>
      <c r="AB417" s="30">
        <v>9523689108</v>
      </c>
      <c r="AC417" s="30" t="s">
        <v>52</v>
      </c>
    </row>
    <row r="418" spans="8:29" ht="29.5" thickBot="1" x14ac:dyDescent="0.4">
      <c r="H418" s="27" t="s">
        <v>533</v>
      </c>
      <c r="I418" s="27" t="s">
        <v>55</v>
      </c>
      <c r="J418" s="27" t="s">
        <v>105</v>
      </c>
      <c r="K418" s="28">
        <v>46094</v>
      </c>
      <c r="L418" s="28">
        <v>46100</v>
      </c>
      <c r="M418" s="27" t="s">
        <v>57</v>
      </c>
      <c r="N418" s="27" t="s">
        <v>58</v>
      </c>
      <c r="O418" s="28">
        <v>34264</v>
      </c>
      <c r="P418" s="27" t="s">
        <v>74</v>
      </c>
      <c r="Q418" s="27" t="s">
        <v>75</v>
      </c>
      <c r="R418" s="27" t="s">
        <v>29</v>
      </c>
      <c r="S418" s="27" t="s">
        <v>107</v>
      </c>
      <c r="T418" s="27">
        <v>9</v>
      </c>
      <c r="U418" s="27">
        <v>8500</v>
      </c>
      <c r="V418" s="27">
        <v>0</v>
      </c>
      <c r="W418" s="27">
        <v>76500</v>
      </c>
      <c r="X418" s="27">
        <v>2</v>
      </c>
      <c r="Y418" s="27" t="s">
        <v>60</v>
      </c>
      <c r="Z418" s="27" t="s">
        <v>32</v>
      </c>
      <c r="AA418" s="27" t="s">
        <v>61</v>
      </c>
      <c r="AB418" s="27">
        <v>9812909831</v>
      </c>
      <c r="AC418" s="27" t="s">
        <v>52</v>
      </c>
    </row>
    <row r="419" spans="8:29" ht="15" thickBot="1" x14ac:dyDescent="0.4">
      <c r="H419" s="30" t="s">
        <v>534</v>
      </c>
      <c r="I419" s="30" t="s">
        <v>23</v>
      </c>
      <c r="J419" s="30" t="s">
        <v>105</v>
      </c>
      <c r="K419" s="31">
        <v>45931</v>
      </c>
      <c r="L419" s="31">
        <v>45942</v>
      </c>
      <c r="M419" s="30" t="s">
        <v>25</v>
      </c>
      <c r="N419" s="30" t="s">
        <v>26</v>
      </c>
      <c r="O419" s="31">
        <v>36651</v>
      </c>
      <c r="P419" s="30" t="s">
        <v>74</v>
      </c>
      <c r="Q419" s="30" t="s">
        <v>75</v>
      </c>
      <c r="R419" s="30" t="s">
        <v>29</v>
      </c>
      <c r="S419" s="30" t="s">
        <v>107</v>
      </c>
      <c r="T419" s="30">
        <v>8</v>
      </c>
      <c r="U419" s="30">
        <v>8500</v>
      </c>
      <c r="V419" s="30">
        <v>10</v>
      </c>
      <c r="W419" s="30">
        <v>61200</v>
      </c>
      <c r="X419" s="30">
        <v>4</v>
      </c>
      <c r="Y419" s="30" t="s">
        <v>31</v>
      </c>
      <c r="Z419" s="30" t="s">
        <v>80</v>
      </c>
      <c r="AA419" s="30" t="s">
        <v>43</v>
      </c>
      <c r="AB419" s="30">
        <v>9106290987</v>
      </c>
      <c r="AC419" s="30" t="s">
        <v>53</v>
      </c>
    </row>
    <row r="420" spans="8:29" ht="15" thickBot="1" x14ac:dyDescent="0.4">
      <c r="H420" s="27" t="s">
        <v>535</v>
      </c>
      <c r="I420" s="27" t="s">
        <v>45</v>
      </c>
      <c r="J420" s="27" t="s">
        <v>125</v>
      </c>
      <c r="K420" s="28">
        <v>46048</v>
      </c>
      <c r="L420" s="28">
        <v>46054</v>
      </c>
      <c r="M420" s="27" t="s">
        <v>101</v>
      </c>
      <c r="N420" s="27" t="s">
        <v>26</v>
      </c>
      <c r="O420" s="28">
        <v>30730</v>
      </c>
      <c r="P420" s="27" t="s">
        <v>79</v>
      </c>
      <c r="Q420" s="27" t="s">
        <v>75</v>
      </c>
      <c r="R420" s="27" t="s">
        <v>83</v>
      </c>
      <c r="S420" s="27" t="s">
        <v>127</v>
      </c>
      <c r="T420" s="27">
        <v>3</v>
      </c>
      <c r="U420" s="27">
        <v>20</v>
      </c>
      <c r="V420" s="27">
        <v>10</v>
      </c>
      <c r="W420" s="27">
        <v>54</v>
      </c>
      <c r="X420" s="27">
        <v>3</v>
      </c>
      <c r="Y420" s="27" t="s">
        <v>60</v>
      </c>
      <c r="Z420" s="27" t="s">
        <v>96</v>
      </c>
      <c r="AA420" s="27" t="s">
        <v>51</v>
      </c>
      <c r="AB420" s="27">
        <v>9767727724</v>
      </c>
      <c r="AC420" s="27" t="s">
        <v>52</v>
      </c>
    </row>
    <row r="421" spans="8:29" ht="15" thickBot="1" x14ac:dyDescent="0.4">
      <c r="H421" s="30" t="s">
        <v>536</v>
      </c>
      <c r="I421" s="30" t="s">
        <v>104</v>
      </c>
      <c r="J421" s="30" t="s">
        <v>105</v>
      </c>
      <c r="K421" s="31">
        <v>45840</v>
      </c>
      <c r="L421" s="31">
        <v>45850</v>
      </c>
      <c r="M421" s="30" t="s">
        <v>166</v>
      </c>
      <c r="N421" s="30" t="s">
        <v>26</v>
      </c>
      <c r="O421" s="31">
        <v>33402</v>
      </c>
      <c r="P421" s="30" t="s">
        <v>147</v>
      </c>
      <c r="Q421" s="30" t="s">
        <v>148</v>
      </c>
      <c r="R421" s="30" t="s">
        <v>29</v>
      </c>
      <c r="S421" s="30" t="s">
        <v>107</v>
      </c>
      <c r="T421" s="30">
        <v>18</v>
      </c>
      <c r="U421" s="30">
        <v>8500</v>
      </c>
      <c r="V421" s="30">
        <v>10</v>
      </c>
      <c r="W421" s="30">
        <v>137700</v>
      </c>
      <c r="X421" s="30">
        <v>4</v>
      </c>
      <c r="Y421" s="30" t="s">
        <v>31</v>
      </c>
      <c r="Z421" s="30" t="s">
        <v>42</v>
      </c>
      <c r="AA421" s="30" t="s">
        <v>108</v>
      </c>
      <c r="AB421" s="30">
        <v>9865401727</v>
      </c>
      <c r="AC421" s="30" t="s">
        <v>53</v>
      </c>
    </row>
    <row r="422" spans="8:29" ht="15" thickBot="1" x14ac:dyDescent="0.4">
      <c r="H422" s="27" t="s">
        <v>537</v>
      </c>
      <c r="I422" s="27" t="s">
        <v>45</v>
      </c>
      <c r="J422" s="27" t="s">
        <v>138</v>
      </c>
      <c r="K422" s="28">
        <v>45935</v>
      </c>
      <c r="L422" s="28">
        <v>45939</v>
      </c>
      <c r="M422" s="27" t="s">
        <v>101</v>
      </c>
      <c r="N422" s="27" t="s">
        <v>26</v>
      </c>
      <c r="O422" s="28">
        <v>35204</v>
      </c>
      <c r="P422" s="27" t="s">
        <v>79</v>
      </c>
      <c r="Q422" s="27" t="s">
        <v>75</v>
      </c>
      <c r="R422" s="27" t="s">
        <v>83</v>
      </c>
      <c r="S422" s="27" t="s">
        <v>139</v>
      </c>
      <c r="T422" s="27">
        <v>5</v>
      </c>
      <c r="U422" s="27">
        <v>45</v>
      </c>
      <c r="V422" s="27">
        <v>10</v>
      </c>
      <c r="W422" s="27">
        <v>202.5</v>
      </c>
      <c r="X422" s="27">
        <v>3</v>
      </c>
      <c r="Y422" s="27" t="s">
        <v>31</v>
      </c>
      <c r="Z422" s="27" t="s">
        <v>80</v>
      </c>
      <c r="AA422" s="27" t="s">
        <v>51</v>
      </c>
      <c r="AB422" s="27">
        <v>9603848571</v>
      </c>
      <c r="AC422" s="27" t="s">
        <v>52</v>
      </c>
    </row>
    <row r="423" spans="8:29" ht="29.5" thickBot="1" x14ac:dyDescent="0.4">
      <c r="H423" s="30" t="s">
        <v>538</v>
      </c>
      <c r="I423" s="30" t="s">
        <v>55</v>
      </c>
      <c r="J423" s="30" t="s">
        <v>138</v>
      </c>
      <c r="K423" s="31">
        <v>45807</v>
      </c>
      <c r="L423" s="31">
        <v>45810</v>
      </c>
      <c r="M423" s="30" t="s">
        <v>57</v>
      </c>
      <c r="N423" s="30" t="s">
        <v>58</v>
      </c>
      <c r="O423" s="31">
        <v>33747</v>
      </c>
      <c r="P423" s="30" t="s">
        <v>74</v>
      </c>
      <c r="Q423" s="30" t="s">
        <v>75</v>
      </c>
      <c r="R423" s="30" t="s">
        <v>83</v>
      </c>
      <c r="S423" s="30" t="s">
        <v>139</v>
      </c>
      <c r="T423" s="30">
        <v>2</v>
      </c>
      <c r="U423" s="30">
        <v>45</v>
      </c>
      <c r="V423" s="30">
        <v>20</v>
      </c>
      <c r="W423" s="30">
        <v>72</v>
      </c>
      <c r="X423" s="30">
        <v>5</v>
      </c>
      <c r="Y423" s="30" t="s">
        <v>65</v>
      </c>
      <c r="Z423" s="30" t="s">
        <v>50</v>
      </c>
      <c r="AA423" s="30" t="s">
        <v>61</v>
      </c>
      <c r="AB423" s="30">
        <v>9101231789</v>
      </c>
      <c r="AC423" s="30" t="s">
        <v>53</v>
      </c>
    </row>
    <row r="424" spans="8:29" ht="15" thickBot="1" x14ac:dyDescent="0.4">
      <c r="H424" s="27" t="s">
        <v>539</v>
      </c>
      <c r="I424" s="27" t="s">
        <v>72</v>
      </c>
      <c r="J424" s="27" t="s">
        <v>138</v>
      </c>
      <c r="K424" s="28">
        <v>45684</v>
      </c>
      <c r="L424" s="28">
        <v>45694</v>
      </c>
      <c r="M424" s="27" t="s">
        <v>73</v>
      </c>
      <c r="N424" s="27" t="s">
        <v>26</v>
      </c>
      <c r="O424" s="28">
        <v>32309</v>
      </c>
      <c r="P424" s="27" t="s">
        <v>27</v>
      </c>
      <c r="Q424" s="27" t="s">
        <v>28</v>
      </c>
      <c r="R424" s="27" t="s">
        <v>83</v>
      </c>
      <c r="S424" s="27" t="s">
        <v>139</v>
      </c>
      <c r="T424" s="27">
        <v>18</v>
      </c>
      <c r="U424" s="27">
        <v>45</v>
      </c>
      <c r="V424" s="27">
        <v>10</v>
      </c>
      <c r="W424" s="27">
        <v>729</v>
      </c>
      <c r="X424" s="27">
        <v>2</v>
      </c>
      <c r="Y424" s="27" t="s">
        <v>41</v>
      </c>
      <c r="Z424" s="27" t="s">
        <v>80</v>
      </c>
      <c r="AA424" s="27" t="s">
        <v>93</v>
      </c>
      <c r="AB424" s="27">
        <v>9485017802</v>
      </c>
      <c r="AC424" s="27" t="s">
        <v>52</v>
      </c>
    </row>
    <row r="425" spans="8:29" ht="15" thickBot="1" x14ac:dyDescent="0.4">
      <c r="H425" s="30" t="s">
        <v>540</v>
      </c>
      <c r="I425" s="30" t="s">
        <v>87</v>
      </c>
      <c r="J425" s="30" t="s">
        <v>56</v>
      </c>
      <c r="K425" s="31">
        <v>46015</v>
      </c>
      <c r="L425" s="31">
        <v>46023</v>
      </c>
      <c r="M425" s="30" t="s">
        <v>88</v>
      </c>
      <c r="N425" s="30" t="s">
        <v>58</v>
      </c>
      <c r="O425" s="31">
        <v>34172</v>
      </c>
      <c r="P425" s="30" t="s">
        <v>147</v>
      </c>
      <c r="Q425" s="30" t="s">
        <v>148</v>
      </c>
      <c r="R425" s="30" t="s">
        <v>39</v>
      </c>
      <c r="S425" s="30" t="s">
        <v>59</v>
      </c>
      <c r="T425" s="30">
        <v>13</v>
      </c>
      <c r="U425" s="30">
        <v>1200</v>
      </c>
      <c r="V425" s="30">
        <v>5</v>
      </c>
      <c r="W425" s="30">
        <v>14820</v>
      </c>
      <c r="X425" s="30">
        <v>4</v>
      </c>
      <c r="Y425" s="30" t="s">
        <v>60</v>
      </c>
      <c r="Z425" s="30" t="s">
        <v>80</v>
      </c>
      <c r="AA425" s="30" t="s">
        <v>89</v>
      </c>
      <c r="AB425" s="30">
        <v>9815464650</v>
      </c>
      <c r="AC425" s="22" t="s">
        <v>34</v>
      </c>
    </row>
    <row r="426" spans="8:29" ht="15" thickBot="1" x14ac:dyDescent="0.4">
      <c r="H426" s="27" t="s">
        <v>541</v>
      </c>
      <c r="I426" s="27" t="s">
        <v>23</v>
      </c>
      <c r="J426" s="27" t="s">
        <v>125</v>
      </c>
      <c r="K426" s="28">
        <v>46153</v>
      </c>
      <c r="L426" s="28">
        <v>46159</v>
      </c>
      <c r="M426" s="27" t="s">
        <v>25</v>
      </c>
      <c r="N426" s="27" t="s">
        <v>26</v>
      </c>
      <c r="O426" s="28">
        <v>38020</v>
      </c>
      <c r="P426" s="27" t="s">
        <v>27</v>
      </c>
      <c r="Q426" s="27" t="s">
        <v>28</v>
      </c>
      <c r="R426" s="27" t="s">
        <v>83</v>
      </c>
      <c r="S426" s="27" t="s">
        <v>127</v>
      </c>
      <c r="T426" s="27">
        <v>14</v>
      </c>
      <c r="U426" s="27">
        <v>20</v>
      </c>
      <c r="V426" s="27">
        <v>20</v>
      </c>
      <c r="W426" s="27">
        <v>224</v>
      </c>
      <c r="X426" s="27">
        <v>5</v>
      </c>
      <c r="Y426" s="27" t="s">
        <v>65</v>
      </c>
      <c r="Z426" s="27" t="s">
        <v>42</v>
      </c>
      <c r="AA426" s="27" t="s">
        <v>43</v>
      </c>
      <c r="AB426" s="27">
        <v>9860715839</v>
      </c>
      <c r="AC426" s="27" t="s">
        <v>52</v>
      </c>
    </row>
    <row r="427" spans="8:29" ht="15" thickBot="1" x14ac:dyDescent="0.4">
      <c r="H427" s="30" t="s">
        <v>542</v>
      </c>
      <c r="I427" s="30" t="s">
        <v>72</v>
      </c>
      <c r="J427" s="30" t="s">
        <v>68</v>
      </c>
      <c r="K427" s="31">
        <v>46064</v>
      </c>
      <c r="L427" s="31">
        <v>46076</v>
      </c>
      <c r="M427" s="30" t="s">
        <v>73</v>
      </c>
      <c r="N427" s="30" t="s">
        <v>26</v>
      </c>
      <c r="O427" s="31">
        <v>28847</v>
      </c>
      <c r="P427" s="30" t="s">
        <v>27</v>
      </c>
      <c r="Q427" s="30" t="s">
        <v>28</v>
      </c>
      <c r="R427" s="30" t="s">
        <v>29</v>
      </c>
      <c r="S427" s="30" t="s">
        <v>70</v>
      </c>
      <c r="T427" s="30">
        <v>16</v>
      </c>
      <c r="U427" s="30">
        <v>3500</v>
      </c>
      <c r="V427" s="30">
        <v>15</v>
      </c>
      <c r="W427" s="30">
        <v>47600</v>
      </c>
      <c r="X427" s="30">
        <v>3</v>
      </c>
      <c r="Y427" s="30" t="s">
        <v>65</v>
      </c>
      <c r="Z427" s="30" t="s">
        <v>50</v>
      </c>
      <c r="AA427" s="30" t="s">
        <v>93</v>
      </c>
      <c r="AB427" s="30">
        <v>9207561051</v>
      </c>
      <c r="AC427" s="30" t="s">
        <v>53</v>
      </c>
    </row>
    <row r="428" spans="8:29" ht="15" thickBot="1" x14ac:dyDescent="0.4">
      <c r="H428" s="27" t="s">
        <v>543</v>
      </c>
      <c r="I428" s="27" t="s">
        <v>134</v>
      </c>
      <c r="J428" s="27" t="s">
        <v>125</v>
      </c>
      <c r="K428" s="28">
        <v>45704</v>
      </c>
      <c r="L428" s="28">
        <v>45712</v>
      </c>
      <c r="M428" s="27" t="s">
        <v>135</v>
      </c>
      <c r="N428" s="27" t="s">
        <v>26</v>
      </c>
      <c r="O428" s="28">
        <v>34257</v>
      </c>
      <c r="P428" s="27" t="s">
        <v>48</v>
      </c>
      <c r="Q428" s="27" t="s">
        <v>28</v>
      </c>
      <c r="R428" s="27" t="s">
        <v>83</v>
      </c>
      <c r="S428" s="27" t="s">
        <v>127</v>
      </c>
      <c r="T428" s="27">
        <v>20</v>
      </c>
      <c r="U428" s="27">
        <v>20</v>
      </c>
      <c r="V428" s="27">
        <v>15</v>
      </c>
      <c r="W428" s="27">
        <v>340</v>
      </c>
      <c r="X428" s="27">
        <v>1</v>
      </c>
      <c r="Y428" s="27" t="s">
        <v>41</v>
      </c>
      <c r="Z428" s="27" t="s">
        <v>50</v>
      </c>
      <c r="AA428" s="27" t="s">
        <v>136</v>
      </c>
      <c r="AB428" s="27">
        <v>9159894508</v>
      </c>
      <c r="AC428" s="27" t="s">
        <v>53</v>
      </c>
    </row>
    <row r="429" spans="8:29" ht="15" thickBot="1" x14ac:dyDescent="0.4">
      <c r="H429" s="30" t="s">
        <v>544</v>
      </c>
      <c r="I429" s="30" t="s">
        <v>104</v>
      </c>
      <c r="J429" s="30" t="s">
        <v>46</v>
      </c>
      <c r="K429" s="31">
        <v>45756</v>
      </c>
      <c r="L429" s="31">
        <v>45761</v>
      </c>
      <c r="M429" s="30" t="s">
        <v>166</v>
      </c>
      <c r="N429" s="30" t="s">
        <v>26</v>
      </c>
      <c r="O429" s="31">
        <v>29201</v>
      </c>
      <c r="P429" s="30" t="s">
        <v>91</v>
      </c>
      <c r="Q429" s="30" t="s">
        <v>75</v>
      </c>
      <c r="R429" s="30" t="s">
        <v>39</v>
      </c>
      <c r="S429" s="30" t="s">
        <v>49</v>
      </c>
      <c r="T429" s="30">
        <v>1</v>
      </c>
      <c r="U429" s="30">
        <v>55000</v>
      </c>
      <c r="V429" s="30">
        <v>15</v>
      </c>
      <c r="W429" s="30">
        <v>46750</v>
      </c>
      <c r="X429" s="30">
        <v>2</v>
      </c>
      <c r="Y429" s="30" t="s">
        <v>65</v>
      </c>
      <c r="Z429" s="30" t="s">
        <v>80</v>
      </c>
      <c r="AA429" s="30" t="s">
        <v>108</v>
      </c>
      <c r="AB429" s="30">
        <v>9531465024</v>
      </c>
      <c r="AC429" s="30" t="s">
        <v>53</v>
      </c>
    </row>
    <row r="430" spans="8:29" ht="15" thickBot="1" x14ac:dyDescent="0.4">
      <c r="H430" s="27" t="s">
        <v>545</v>
      </c>
      <c r="I430" s="27" t="s">
        <v>72</v>
      </c>
      <c r="J430" s="27" t="s">
        <v>82</v>
      </c>
      <c r="K430" s="28">
        <v>45672</v>
      </c>
      <c r="L430" s="28">
        <v>45677</v>
      </c>
      <c r="M430" s="27" t="s">
        <v>73</v>
      </c>
      <c r="N430" s="27" t="s">
        <v>26</v>
      </c>
      <c r="O430" s="28">
        <v>37400</v>
      </c>
      <c r="P430" s="27" t="s">
        <v>91</v>
      </c>
      <c r="Q430" s="27" t="s">
        <v>75</v>
      </c>
      <c r="R430" s="27" t="s">
        <v>83</v>
      </c>
      <c r="S430" s="27" t="s">
        <v>84</v>
      </c>
      <c r="T430" s="27">
        <v>15</v>
      </c>
      <c r="U430" s="27">
        <v>60</v>
      </c>
      <c r="V430" s="27">
        <v>5</v>
      </c>
      <c r="W430" s="27">
        <v>855</v>
      </c>
      <c r="X430" s="27">
        <v>4</v>
      </c>
      <c r="Y430" s="27" t="s">
        <v>41</v>
      </c>
      <c r="Z430" s="27" t="s">
        <v>50</v>
      </c>
      <c r="AA430" s="27" t="s">
        <v>93</v>
      </c>
      <c r="AB430" s="27">
        <v>9158813608</v>
      </c>
      <c r="AC430" s="21" t="s">
        <v>34</v>
      </c>
    </row>
    <row r="431" spans="8:29" ht="15" thickBot="1" x14ac:dyDescent="0.4">
      <c r="H431" s="30" t="s">
        <v>546</v>
      </c>
      <c r="I431" s="30" t="s">
        <v>63</v>
      </c>
      <c r="J431" s="30" t="s">
        <v>112</v>
      </c>
      <c r="K431" s="31">
        <v>46108</v>
      </c>
      <c r="L431" s="31">
        <v>46114</v>
      </c>
      <c r="M431" s="30" t="s">
        <v>110</v>
      </c>
      <c r="N431" s="30" t="s">
        <v>58</v>
      </c>
      <c r="O431" s="31">
        <v>27828</v>
      </c>
      <c r="P431" s="30" t="s">
        <v>74</v>
      </c>
      <c r="Q431" s="30" t="s">
        <v>75</v>
      </c>
      <c r="R431" s="30" t="s">
        <v>39</v>
      </c>
      <c r="S431" s="30" t="s">
        <v>114</v>
      </c>
      <c r="T431" s="30">
        <v>15</v>
      </c>
      <c r="U431" s="30">
        <v>700</v>
      </c>
      <c r="V431" s="30">
        <v>0</v>
      </c>
      <c r="W431" s="30">
        <v>10500</v>
      </c>
      <c r="X431" s="30">
        <v>5</v>
      </c>
      <c r="Y431" s="30" t="s">
        <v>41</v>
      </c>
      <c r="Z431" s="30" t="s">
        <v>80</v>
      </c>
      <c r="AA431" s="30" t="s">
        <v>66</v>
      </c>
      <c r="AB431" s="30">
        <v>9308461700</v>
      </c>
      <c r="AC431" s="22" t="s">
        <v>34</v>
      </c>
    </row>
    <row r="432" spans="8:29" ht="15" thickBot="1" x14ac:dyDescent="0.4">
      <c r="H432" s="27" t="s">
        <v>547</v>
      </c>
      <c r="I432" s="27" t="s">
        <v>124</v>
      </c>
      <c r="J432" s="27" t="s">
        <v>36</v>
      </c>
      <c r="K432" s="28">
        <v>46027</v>
      </c>
      <c r="L432" s="28">
        <v>46031</v>
      </c>
      <c r="M432" s="27" t="s">
        <v>126</v>
      </c>
      <c r="N432" s="27" t="s">
        <v>58</v>
      </c>
      <c r="O432" s="28">
        <v>29484</v>
      </c>
      <c r="P432" s="27" t="s">
        <v>147</v>
      </c>
      <c r="Q432" s="27" t="s">
        <v>148</v>
      </c>
      <c r="R432" s="27" t="s">
        <v>39</v>
      </c>
      <c r="S432" s="27" t="s">
        <v>40</v>
      </c>
      <c r="T432" s="27">
        <v>13</v>
      </c>
      <c r="U432" s="27">
        <v>12000</v>
      </c>
      <c r="V432" s="27">
        <v>10</v>
      </c>
      <c r="W432" s="27">
        <v>140400</v>
      </c>
      <c r="X432" s="27">
        <v>1</v>
      </c>
      <c r="Y432" s="27" t="s">
        <v>31</v>
      </c>
      <c r="Z432" s="27" t="s">
        <v>96</v>
      </c>
      <c r="AA432" s="27" t="s">
        <v>128</v>
      </c>
      <c r="AB432" s="27">
        <v>9882279049</v>
      </c>
      <c r="AC432" s="27" t="s">
        <v>53</v>
      </c>
    </row>
    <row r="433" spans="8:29" ht="15" thickBot="1" x14ac:dyDescent="0.4">
      <c r="H433" s="30" t="s">
        <v>548</v>
      </c>
      <c r="I433" s="30" t="s">
        <v>63</v>
      </c>
      <c r="J433" s="30" t="s">
        <v>36</v>
      </c>
      <c r="K433" s="31">
        <v>46129</v>
      </c>
      <c r="L433" s="31">
        <v>46141</v>
      </c>
      <c r="M433" s="30" t="s">
        <v>110</v>
      </c>
      <c r="N433" s="30" t="s">
        <v>58</v>
      </c>
      <c r="O433" s="31">
        <v>32318</v>
      </c>
      <c r="P433" s="30" t="s">
        <v>27</v>
      </c>
      <c r="Q433" s="30" t="s">
        <v>28</v>
      </c>
      <c r="R433" s="30" t="s">
        <v>39</v>
      </c>
      <c r="S433" s="30" t="s">
        <v>40</v>
      </c>
      <c r="T433" s="30">
        <v>12</v>
      </c>
      <c r="U433" s="30">
        <v>12000</v>
      </c>
      <c r="V433" s="30">
        <v>20</v>
      </c>
      <c r="W433" s="30">
        <v>115200</v>
      </c>
      <c r="X433" s="30">
        <v>2</v>
      </c>
      <c r="Y433" s="30" t="s">
        <v>31</v>
      </c>
      <c r="Z433" s="30" t="s">
        <v>32</v>
      </c>
      <c r="AA433" s="30" t="s">
        <v>66</v>
      </c>
      <c r="AB433" s="30">
        <v>9961801338</v>
      </c>
      <c r="AC433" s="22" t="s">
        <v>34</v>
      </c>
    </row>
    <row r="434" spans="8:29" ht="15" thickBot="1" x14ac:dyDescent="0.4">
      <c r="H434" s="27" t="s">
        <v>549</v>
      </c>
      <c r="I434" s="27" t="s">
        <v>63</v>
      </c>
      <c r="J434" s="27" t="s">
        <v>138</v>
      </c>
      <c r="K434" s="28">
        <v>45741</v>
      </c>
      <c r="L434" s="28">
        <v>45745</v>
      </c>
      <c r="M434" s="27" t="s">
        <v>110</v>
      </c>
      <c r="N434" s="27" t="s">
        <v>58</v>
      </c>
      <c r="O434" s="28">
        <v>37783</v>
      </c>
      <c r="P434" s="27" t="s">
        <v>74</v>
      </c>
      <c r="Q434" s="27" t="s">
        <v>75</v>
      </c>
      <c r="R434" s="27" t="s">
        <v>83</v>
      </c>
      <c r="S434" s="27" t="s">
        <v>139</v>
      </c>
      <c r="T434" s="27">
        <v>10</v>
      </c>
      <c r="U434" s="27">
        <v>45</v>
      </c>
      <c r="V434" s="27">
        <v>0</v>
      </c>
      <c r="W434" s="27">
        <v>450</v>
      </c>
      <c r="X434" s="27">
        <v>5</v>
      </c>
      <c r="Y434" s="27" t="s">
        <v>60</v>
      </c>
      <c r="Z434" s="27" t="s">
        <v>80</v>
      </c>
      <c r="AA434" s="27" t="s">
        <v>66</v>
      </c>
      <c r="AB434" s="27">
        <v>9853525026</v>
      </c>
      <c r="AC434" s="27" t="s">
        <v>53</v>
      </c>
    </row>
    <row r="435" spans="8:29" ht="15" thickBot="1" x14ac:dyDescent="0.4">
      <c r="H435" s="30" t="s">
        <v>550</v>
      </c>
      <c r="I435" s="30" t="s">
        <v>87</v>
      </c>
      <c r="J435" s="30" t="s">
        <v>56</v>
      </c>
      <c r="K435" s="31">
        <v>45774</v>
      </c>
      <c r="L435" s="31">
        <v>45786</v>
      </c>
      <c r="M435" s="30" t="s">
        <v>88</v>
      </c>
      <c r="N435" s="30" t="s">
        <v>58</v>
      </c>
      <c r="O435" s="31">
        <v>29930</v>
      </c>
      <c r="P435" s="30" t="s">
        <v>74</v>
      </c>
      <c r="Q435" s="30" t="s">
        <v>75</v>
      </c>
      <c r="R435" s="30" t="s">
        <v>39</v>
      </c>
      <c r="S435" s="30" t="s">
        <v>59</v>
      </c>
      <c r="T435" s="30">
        <v>20</v>
      </c>
      <c r="U435" s="30">
        <v>1200</v>
      </c>
      <c r="V435" s="30">
        <v>20</v>
      </c>
      <c r="W435" s="30">
        <v>19200</v>
      </c>
      <c r="X435" s="30">
        <v>5</v>
      </c>
      <c r="Y435" s="30" t="s">
        <v>41</v>
      </c>
      <c r="Z435" s="30" t="s">
        <v>50</v>
      </c>
      <c r="AA435" s="30" t="s">
        <v>89</v>
      </c>
      <c r="AB435" s="30">
        <v>9209649485</v>
      </c>
      <c r="AC435" s="30" t="s">
        <v>53</v>
      </c>
    </row>
    <row r="436" spans="8:29" ht="29.5" thickBot="1" x14ac:dyDescent="0.4">
      <c r="H436" s="27" t="s">
        <v>551</v>
      </c>
      <c r="I436" s="27" t="s">
        <v>55</v>
      </c>
      <c r="J436" s="27" t="s">
        <v>56</v>
      </c>
      <c r="K436" s="28">
        <v>45919</v>
      </c>
      <c r="L436" s="28">
        <v>45926</v>
      </c>
      <c r="M436" s="27" t="s">
        <v>57</v>
      </c>
      <c r="N436" s="27" t="s">
        <v>58</v>
      </c>
      <c r="O436" s="28">
        <v>27449</v>
      </c>
      <c r="P436" s="27" t="s">
        <v>79</v>
      </c>
      <c r="Q436" s="27" t="s">
        <v>75</v>
      </c>
      <c r="R436" s="27" t="s">
        <v>39</v>
      </c>
      <c r="S436" s="27" t="s">
        <v>59</v>
      </c>
      <c r="T436" s="27">
        <v>8</v>
      </c>
      <c r="U436" s="27">
        <v>1200</v>
      </c>
      <c r="V436" s="27">
        <v>10</v>
      </c>
      <c r="W436" s="27">
        <v>8640</v>
      </c>
      <c r="X436" s="27">
        <v>4</v>
      </c>
      <c r="Y436" s="27" t="s">
        <v>41</v>
      </c>
      <c r="Z436" s="27" t="s">
        <v>50</v>
      </c>
      <c r="AA436" s="27" t="s">
        <v>61</v>
      </c>
      <c r="AB436" s="27">
        <v>9712905525</v>
      </c>
      <c r="AC436" s="21" t="s">
        <v>34</v>
      </c>
    </row>
    <row r="437" spans="8:29" ht="15" thickBot="1" x14ac:dyDescent="0.4">
      <c r="H437" s="30" t="s">
        <v>552</v>
      </c>
      <c r="I437" s="30" t="s">
        <v>87</v>
      </c>
      <c r="J437" s="30" t="s">
        <v>56</v>
      </c>
      <c r="K437" s="31">
        <v>45795</v>
      </c>
      <c r="L437" s="31">
        <v>45797</v>
      </c>
      <c r="M437" s="30" t="s">
        <v>88</v>
      </c>
      <c r="N437" s="30" t="s">
        <v>58</v>
      </c>
      <c r="O437" s="31">
        <v>28395</v>
      </c>
      <c r="P437" s="30" t="s">
        <v>121</v>
      </c>
      <c r="Q437" s="30" t="s">
        <v>38</v>
      </c>
      <c r="R437" s="30" t="s">
        <v>39</v>
      </c>
      <c r="S437" s="30" t="s">
        <v>59</v>
      </c>
      <c r="T437" s="30">
        <v>8</v>
      </c>
      <c r="U437" s="30">
        <v>1200</v>
      </c>
      <c r="V437" s="30">
        <v>10</v>
      </c>
      <c r="W437" s="30">
        <v>8640</v>
      </c>
      <c r="X437" s="30">
        <v>5</v>
      </c>
      <c r="Y437" s="30" t="s">
        <v>60</v>
      </c>
      <c r="Z437" s="30" t="s">
        <v>42</v>
      </c>
      <c r="AA437" s="30" t="s">
        <v>89</v>
      </c>
      <c r="AB437" s="30">
        <v>9812472447</v>
      </c>
      <c r="AC437" s="30" t="s">
        <v>53</v>
      </c>
    </row>
    <row r="438" spans="8:29" ht="29.5" thickBot="1" x14ac:dyDescent="0.4">
      <c r="H438" s="27" t="s">
        <v>553</v>
      </c>
      <c r="I438" s="27" t="s">
        <v>156</v>
      </c>
      <c r="J438" s="27" t="s">
        <v>24</v>
      </c>
      <c r="K438" s="28">
        <v>46020</v>
      </c>
      <c r="L438" s="28">
        <v>46021</v>
      </c>
      <c r="M438" s="27" t="s">
        <v>106</v>
      </c>
      <c r="N438" s="27" t="s">
        <v>58</v>
      </c>
      <c r="O438" s="28">
        <v>32136</v>
      </c>
      <c r="P438" s="27" t="s">
        <v>121</v>
      </c>
      <c r="Q438" s="27" t="s">
        <v>38</v>
      </c>
      <c r="R438" s="27" t="s">
        <v>29</v>
      </c>
      <c r="S438" s="27" t="s">
        <v>30</v>
      </c>
      <c r="T438" s="27">
        <v>9</v>
      </c>
      <c r="U438" s="27">
        <v>2200</v>
      </c>
      <c r="V438" s="27">
        <v>20</v>
      </c>
      <c r="W438" s="27">
        <v>15840</v>
      </c>
      <c r="X438" s="27">
        <v>1</v>
      </c>
      <c r="Y438" s="27" t="s">
        <v>41</v>
      </c>
      <c r="Z438" s="27" t="s">
        <v>80</v>
      </c>
      <c r="AA438" s="27" t="s">
        <v>158</v>
      </c>
      <c r="AB438" s="27">
        <v>9281127052</v>
      </c>
      <c r="AC438" s="21" t="s">
        <v>34</v>
      </c>
    </row>
    <row r="439" spans="8:29" ht="15" thickBot="1" x14ac:dyDescent="0.4">
      <c r="H439" s="30" t="s">
        <v>554</v>
      </c>
      <c r="I439" s="30" t="s">
        <v>87</v>
      </c>
      <c r="J439" s="30" t="s">
        <v>125</v>
      </c>
      <c r="K439" s="31">
        <v>45669</v>
      </c>
      <c r="L439" s="31">
        <v>45673</v>
      </c>
      <c r="M439" s="30" t="s">
        <v>88</v>
      </c>
      <c r="N439" s="30" t="s">
        <v>58</v>
      </c>
      <c r="O439" s="31">
        <v>36973</v>
      </c>
      <c r="P439" s="30" t="s">
        <v>147</v>
      </c>
      <c r="Q439" s="30" t="s">
        <v>148</v>
      </c>
      <c r="R439" s="30" t="s">
        <v>83</v>
      </c>
      <c r="S439" s="30" t="s">
        <v>127</v>
      </c>
      <c r="T439" s="30">
        <v>8</v>
      </c>
      <c r="U439" s="30">
        <v>20</v>
      </c>
      <c r="V439" s="30">
        <v>20</v>
      </c>
      <c r="W439" s="30">
        <v>128</v>
      </c>
      <c r="X439" s="30">
        <v>4</v>
      </c>
      <c r="Y439" s="30" t="s">
        <v>31</v>
      </c>
      <c r="Z439" s="30" t="s">
        <v>32</v>
      </c>
      <c r="AA439" s="30" t="s">
        <v>89</v>
      </c>
      <c r="AB439" s="30">
        <v>9346312555</v>
      </c>
      <c r="AC439" s="30" t="s">
        <v>53</v>
      </c>
    </row>
    <row r="440" spans="8:29" ht="15" thickBot="1" x14ac:dyDescent="0.4">
      <c r="H440" s="27" t="s">
        <v>555</v>
      </c>
      <c r="I440" s="27" t="s">
        <v>124</v>
      </c>
      <c r="J440" s="27" t="s">
        <v>46</v>
      </c>
      <c r="K440" s="28">
        <v>46035</v>
      </c>
      <c r="L440" s="28">
        <v>46044</v>
      </c>
      <c r="M440" s="27" t="s">
        <v>126</v>
      </c>
      <c r="N440" s="27" t="s">
        <v>58</v>
      </c>
      <c r="O440" s="28">
        <v>30216</v>
      </c>
      <c r="P440" s="27" t="s">
        <v>79</v>
      </c>
      <c r="Q440" s="27" t="s">
        <v>75</v>
      </c>
      <c r="R440" s="27" t="s">
        <v>39</v>
      </c>
      <c r="S440" s="27" t="s">
        <v>49</v>
      </c>
      <c r="T440" s="27">
        <v>5</v>
      </c>
      <c r="U440" s="27">
        <v>55000</v>
      </c>
      <c r="V440" s="27">
        <v>0</v>
      </c>
      <c r="W440" s="27">
        <v>275000</v>
      </c>
      <c r="X440" s="27">
        <v>1</v>
      </c>
      <c r="Y440" s="27" t="s">
        <v>60</v>
      </c>
      <c r="Z440" s="27" t="s">
        <v>80</v>
      </c>
      <c r="AA440" s="27" t="s">
        <v>128</v>
      </c>
      <c r="AB440" s="27">
        <v>9443786067</v>
      </c>
      <c r="AC440" s="21" t="s">
        <v>34</v>
      </c>
    </row>
    <row r="441" spans="8:29" ht="15" thickBot="1" x14ac:dyDescent="0.4">
      <c r="H441" s="30" t="s">
        <v>556</v>
      </c>
      <c r="I441" s="30" t="s">
        <v>72</v>
      </c>
      <c r="J441" s="30" t="s">
        <v>56</v>
      </c>
      <c r="K441" s="31">
        <v>46096</v>
      </c>
      <c r="L441" s="31">
        <v>46099</v>
      </c>
      <c r="M441" s="30" t="s">
        <v>73</v>
      </c>
      <c r="N441" s="30" t="s">
        <v>26</v>
      </c>
      <c r="O441" s="31">
        <v>31670</v>
      </c>
      <c r="P441" s="30" t="s">
        <v>74</v>
      </c>
      <c r="Q441" s="30" t="s">
        <v>75</v>
      </c>
      <c r="R441" s="30" t="s">
        <v>39</v>
      </c>
      <c r="S441" s="30" t="s">
        <v>59</v>
      </c>
      <c r="T441" s="30">
        <v>13</v>
      </c>
      <c r="U441" s="30">
        <v>1200</v>
      </c>
      <c r="V441" s="30">
        <v>5</v>
      </c>
      <c r="W441" s="30">
        <v>14820</v>
      </c>
      <c r="X441" s="30">
        <v>2</v>
      </c>
      <c r="Y441" s="30" t="s">
        <v>60</v>
      </c>
      <c r="Z441" s="30" t="s">
        <v>32</v>
      </c>
      <c r="AA441" s="30" t="s">
        <v>93</v>
      </c>
      <c r="AB441" s="30">
        <v>9452540528</v>
      </c>
      <c r="AC441" s="30" t="s">
        <v>53</v>
      </c>
    </row>
    <row r="442" spans="8:29" ht="15" thickBot="1" x14ac:dyDescent="0.4">
      <c r="H442" s="27" t="s">
        <v>557</v>
      </c>
      <c r="I442" s="27" t="s">
        <v>63</v>
      </c>
      <c r="J442" s="27" t="s">
        <v>105</v>
      </c>
      <c r="K442" s="28">
        <v>45986</v>
      </c>
      <c r="L442" s="28">
        <v>45991</v>
      </c>
      <c r="M442" s="27" t="s">
        <v>110</v>
      </c>
      <c r="N442" s="27" t="s">
        <v>58</v>
      </c>
      <c r="O442" s="28">
        <v>37602</v>
      </c>
      <c r="P442" s="27" t="s">
        <v>121</v>
      </c>
      <c r="Q442" s="27" t="s">
        <v>38</v>
      </c>
      <c r="R442" s="27" t="s">
        <v>29</v>
      </c>
      <c r="S442" s="27" t="s">
        <v>107</v>
      </c>
      <c r="T442" s="27">
        <v>13</v>
      </c>
      <c r="U442" s="27">
        <v>8500</v>
      </c>
      <c r="V442" s="27">
        <v>20</v>
      </c>
      <c r="W442" s="27">
        <v>88400</v>
      </c>
      <c r="X442" s="27">
        <v>5</v>
      </c>
      <c r="Y442" s="27" t="s">
        <v>31</v>
      </c>
      <c r="Z442" s="27" t="s">
        <v>42</v>
      </c>
      <c r="AA442" s="27" t="s">
        <v>66</v>
      </c>
      <c r="AB442" s="27">
        <v>9750918728</v>
      </c>
      <c r="AC442" s="27" t="s">
        <v>52</v>
      </c>
    </row>
    <row r="443" spans="8:29" ht="29.5" thickBot="1" x14ac:dyDescent="0.4">
      <c r="H443" s="30" t="s">
        <v>558</v>
      </c>
      <c r="I443" s="30" t="s">
        <v>55</v>
      </c>
      <c r="J443" s="30" t="s">
        <v>82</v>
      </c>
      <c r="K443" s="31">
        <v>45692</v>
      </c>
      <c r="L443" s="31">
        <v>45703</v>
      </c>
      <c r="M443" s="30" t="s">
        <v>57</v>
      </c>
      <c r="N443" s="30" t="s">
        <v>58</v>
      </c>
      <c r="O443" s="31">
        <v>36053</v>
      </c>
      <c r="P443" s="30" t="s">
        <v>79</v>
      </c>
      <c r="Q443" s="30" t="s">
        <v>75</v>
      </c>
      <c r="R443" s="30" t="s">
        <v>83</v>
      </c>
      <c r="S443" s="30" t="s">
        <v>84</v>
      </c>
      <c r="T443" s="30">
        <v>14</v>
      </c>
      <c r="U443" s="30">
        <v>60</v>
      </c>
      <c r="V443" s="30">
        <v>10</v>
      </c>
      <c r="W443" s="30">
        <v>756</v>
      </c>
      <c r="X443" s="30">
        <v>1</v>
      </c>
      <c r="Y443" s="30" t="s">
        <v>31</v>
      </c>
      <c r="Z443" s="30" t="s">
        <v>50</v>
      </c>
      <c r="AA443" s="30" t="s">
        <v>61</v>
      </c>
      <c r="AB443" s="30">
        <v>9375975834</v>
      </c>
      <c r="AC443" s="30" t="s">
        <v>53</v>
      </c>
    </row>
    <row r="444" spans="8:29" ht="15" thickBot="1" x14ac:dyDescent="0.4">
      <c r="H444" s="27" t="s">
        <v>559</v>
      </c>
      <c r="I444" s="27" t="s">
        <v>134</v>
      </c>
      <c r="J444" s="27" t="s">
        <v>24</v>
      </c>
      <c r="K444" s="28">
        <v>45775</v>
      </c>
      <c r="L444" s="28">
        <v>45776</v>
      </c>
      <c r="M444" s="27" t="s">
        <v>135</v>
      </c>
      <c r="N444" s="27" t="s">
        <v>26</v>
      </c>
      <c r="O444" s="28">
        <v>31337</v>
      </c>
      <c r="P444" s="27" t="s">
        <v>48</v>
      </c>
      <c r="Q444" s="27" t="s">
        <v>28</v>
      </c>
      <c r="R444" s="27" t="s">
        <v>29</v>
      </c>
      <c r="S444" s="27" t="s">
        <v>30</v>
      </c>
      <c r="T444" s="27">
        <v>15</v>
      </c>
      <c r="U444" s="27">
        <v>2200</v>
      </c>
      <c r="V444" s="27">
        <v>0</v>
      </c>
      <c r="W444" s="27">
        <v>33000</v>
      </c>
      <c r="X444" s="27">
        <v>1</v>
      </c>
      <c r="Y444" s="27" t="s">
        <v>31</v>
      </c>
      <c r="Z444" s="27" t="s">
        <v>50</v>
      </c>
      <c r="AA444" s="27" t="s">
        <v>136</v>
      </c>
      <c r="AB444" s="27">
        <v>9497321112</v>
      </c>
      <c r="AC444" s="21" t="s">
        <v>34</v>
      </c>
    </row>
    <row r="445" spans="8:29" ht="15" thickBot="1" x14ac:dyDescent="0.4">
      <c r="H445" s="30" t="s">
        <v>560</v>
      </c>
      <c r="I445" s="30" t="s">
        <v>63</v>
      </c>
      <c r="J445" s="30" t="s">
        <v>82</v>
      </c>
      <c r="K445" s="31">
        <v>45896</v>
      </c>
      <c r="L445" s="31">
        <v>45898</v>
      </c>
      <c r="M445" s="30" t="s">
        <v>110</v>
      </c>
      <c r="N445" s="30" t="s">
        <v>58</v>
      </c>
      <c r="O445" s="31">
        <v>34926</v>
      </c>
      <c r="P445" s="30" t="s">
        <v>121</v>
      </c>
      <c r="Q445" s="30" t="s">
        <v>38</v>
      </c>
      <c r="R445" s="30" t="s">
        <v>83</v>
      </c>
      <c r="S445" s="30" t="s">
        <v>84</v>
      </c>
      <c r="T445" s="30">
        <v>19</v>
      </c>
      <c r="U445" s="30">
        <v>60</v>
      </c>
      <c r="V445" s="30">
        <v>20</v>
      </c>
      <c r="W445" s="30">
        <v>912</v>
      </c>
      <c r="X445" s="30">
        <v>3</v>
      </c>
      <c r="Y445" s="30" t="s">
        <v>31</v>
      </c>
      <c r="Z445" s="30" t="s">
        <v>96</v>
      </c>
      <c r="AA445" s="30" t="s">
        <v>66</v>
      </c>
      <c r="AB445" s="30">
        <v>9828749888</v>
      </c>
      <c r="AC445" s="30" t="s">
        <v>52</v>
      </c>
    </row>
    <row r="446" spans="8:29" ht="15" thickBot="1" x14ac:dyDescent="0.4">
      <c r="H446" s="27" t="s">
        <v>561</v>
      </c>
      <c r="I446" s="27" t="s">
        <v>45</v>
      </c>
      <c r="J446" s="27" t="s">
        <v>138</v>
      </c>
      <c r="K446" s="28">
        <v>45942</v>
      </c>
      <c r="L446" s="28">
        <v>45953</v>
      </c>
      <c r="M446" s="27" t="s">
        <v>101</v>
      </c>
      <c r="N446" s="27" t="s">
        <v>26</v>
      </c>
      <c r="O446" s="28">
        <v>31286</v>
      </c>
      <c r="P446" s="27" t="s">
        <v>121</v>
      </c>
      <c r="Q446" s="27" t="s">
        <v>38</v>
      </c>
      <c r="R446" s="27" t="s">
        <v>83</v>
      </c>
      <c r="S446" s="27" t="s">
        <v>139</v>
      </c>
      <c r="T446" s="27">
        <v>13</v>
      </c>
      <c r="U446" s="27">
        <v>45</v>
      </c>
      <c r="V446" s="27">
        <v>15</v>
      </c>
      <c r="W446" s="27">
        <v>497.25</v>
      </c>
      <c r="X446" s="27">
        <v>2</v>
      </c>
      <c r="Y446" s="27" t="s">
        <v>31</v>
      </c>
      <c r="Z446" s="27" t="s">
        <v>42</v>
      </c>
      <c r="AA446" s="27" t="s">
        <v>51</v>
      </c>
      <c r="AB446" s="27">
        <v>9814267382</v>
      </c>
      <c r="AC446" s="21" t="s">
        <v>34</v>
      </c>
    </row>
    <row r="447" spans="8:29" ht="15" thickBot="1" x14ac:dyDescent="0.4">
      <c r="H447" s="30" t="s">
        <v>562</v>
      </c>
      <c r="I447" s="30" t="s">
        <v>134</v>
      </c>
      <c r="J447" s="30" t="s">
        <v>36</v>
      </c>
      <c r="K447" s="31">
        <v>46036</v>
      </c>
      <c r="L447" s="31">
        <v>46046</v>
      </c>
      <c r="M447" s="30" t="s">
        <v>135</v>
      </c>
      <c r="N447" s="30" t="s">
        <v>26</v>
      </c>
      <c r="O447" s="31">
        <v>27550</v>
      </c>
      <c r="P447" s="30" t="s">
        <v>74</v>
      </c>
      <c r="Q447" s="30" t="s">
        <v>75</v>
      </c>
      <c r="R447" s="30" t="s">
        <v>39</v>
      </c>
      <c r="S447" s="30" t="s">
        <v>40</v>
      </c>
      <c r="T447" s="30">
        <v>7</v>
      </c>
      <c r="U447" s="30">
        <v>12000</v>
      </c>
      <c r="V447" s="30">
        <v>5</v>
      </c>
      <c r="W447" s="30">
        <v>79800</v>
      </c>
      <c r="X447" s="30">
        <v>4</v>
      </c>
      <c r="Y447" s="30" t="s">
        <v>60</v>
      </c>
      <c r="Z447" s="30" t="s">
        <v>96</v>
      </c>
      <c r="AA447" s="30" t="s">
        <v>136</v>
      </c>
      <c r="AB447" s="30">
        <v>9937007439</v>
      </c>
      <c r="AC447" s="30" t="s">
        <v>53</v>
      </c>
    </row>
    <row r="448" spans="8:29" ht="29.5" thickBot="1" x14ac:dyDescent="0.4">
      <c r="H448" s="27" t="s">
        <v>563</v>
      </c>
      <c r="I448" s="27" t="s">
        <v>156</v>
      </c>
      <c r="J448" s="27" t="s">
        <v>125</v>
      </c>
      <c r="K448" s="23">
        <v>46152</v>
      </c>
      <c r="L448" s="27"/>
      <c r="M448" s="27" t="s">
        <v>106</v>
      </c>
      <c r="N448" s="27" t="s">
        <v>58</v>
      </c>
      <c r="O448" s="28">
        <v>35514</v>
      </c>
      <c r="P448" s="27" t="s">
        <v>147</v>
      </c>
      <c r="Q448" s="27" t="s">
        <v>148</v>
      </c>
      <c r="R448" s="27" t="s">
        <v>83</v>
      </c>
      <c r="S448" s="27" t="s">
        <v>127</v>
      </c>
      <c r="T448" s="27">
        <v>8</v>
      </c>
      <c r="U448" s="27">
        <v>20</v>
      </c>
      <c r="V448" s="27">
        <v>0</v>
      </c>
      <c r="W448" s="27">
        <v>160</v>
      </c>
      <c r="X448" s="27">
        <v>4</v>
      </c>
      <c r="Y448" s="27" t="s">
        <v>60</v>
      </c>
      <c r="Z448" s="27" t="s">
        <v>50</v>
      </c>
      <c r="AA448" s="27" t="s">
        <v>158</v>
      </c>
      <c r="AB448" s="27">
        <v>9657513435</v>
      </c>
      <c r="AC448" s="27" t="s">
        <v>52</v>
      </c>
    </row>
    <row r="449" spans="8:29" ht="15" thickBot="1" x14ac:dyDescent="0.4">
      <c r="H449" s="30" t="s">
        <v>564</v>
      </c>
      <c r="I449" s="30" t="s">
        <v>23</v>
      </c>
      <c r="J449" s="30" t="s">
        <v>68</v>
      </c>
      <c r="K449" s="31">
        <v>45689</v>
      </c>
      <c r="L449" s="31">
        <v>45694</v>
      </c>
      <c r="M449" s="30" t="s">
        <v>25</v>
      </c>
      <c r="N449" s="30" t="s">
        <v>26</v>
      </c>
      <c r="O449" s="31">
        <v>35538</v>
      </c>
      <c r="P449" s="30" t="s">
        <v>147</v>
      </c>
      <c r="Q449" s="30" t="s">
        <v>148</v>
      </c>
      <c r="R449" s="30" t="s">
        <v>29</v>
      </c>
      <c r="S449" s="30" t="s">
        <v>70</v>
      </c>
      <c r="T449" s="30">
        <v>16</v>
      </c>
      <c r="U449" s="30">
        <v>3500</v>
      </c>
      <c r="V449" s="30">
        <v>5</v>
      </c>
      <c r="W449" s="30">
        <v>53200</v>
      </c>
      <c r="X449" s="30">
        <v>1</v>
      </c>
      <c r="Y449" s="30" t="s">
        <v>60</v>
      </c>
      <c r="Z449" s="30" t="s">
        <v>50</v>
      </c>
      <c r="AA449" s="30" t="s">
        <v>43</v>
      </c>
      <c r="AB449" s="30">
        <v>9999406260</v>
      </c>
      <c r="AC449" s="30" t="s">
        <v>53</v>
      </c>
    </row>
    <row r="450" spans="8:29" ht="29.5" thickBot="1" x14ac:dyDescent="0.4">
      <c r="H450" s="27" t="s">
        <v>565</v>
      </c>
      <c r="I450" s="27" t="s">
        <v>156</v>
      </c>
      <c r="J450" s="27" t="s">
        <v>105</v>
      </c>
      <c r="K450" s="28">
        <v>45710</v>
      </c>
      <c r="L450" s="28">
        <v>45720</v>
      </c>
      <c r="M450" s="27" t="s">
        <v>106</v>
      </c>
      <c r="N450" s="27" t="s">
        <v>58</v>
      </c>
      <c r="O450" s="28">
        <v>36308</v>
      </c>
      <c r="P450" s="27" t="s">
        <v>74</v>
      </c>
      <c r="Q450" s="27" t="s">
        <v>75</v>
      </c>
      <c r="R450" s="27" t="s">
        <v>29</v>
      </c>
      <c r="S450" s="27" t="s">
        <v>107</v>
      </c>
      <c r="T450" s="27">
        <v>12</v>
      </c>
      <c r="U450" s="27">
        <v>8500</v>
      </c>
      <c r="V450" s="27">
        <v>10</v>
      </c>
      <c r="W450" s="27">
        <v>91800</v>
      </c>
      <c r="X450" s="27">
        <v>3</v>
      </c>
      <c r="Y450" s="27" t="s">
        <v>60</v>
      </c>
      <c r="Z450" s="27" t="s">
        <v>32</v>
      </c>
      <c r="AA450" s="27" t="s">
        <v>158</v>
      </c>
      <c r="AB450" s="27">
        <v>9233727886</v>
      </c>
      <c r="AC450" s="21" t="s">
        <v>34</v>
      </c>
    </row>
    <row r="451" spans="8:29" ht="15" thickBot="1" x14ac:dyDescent="0.4">
      <c r="H451" s="30" t="s">
        <v>566</v>
      </c>
      <c r="I451" s="30" t="s">
        <v>23</v>
      </c>
      <c r="J451" s="30" t="s">
        <v>82</v>
      </c>
      <c r="K451" s="31">
        <v>45765</v>
      </c>
      <c r="L451" s="31">
        <v>45767</v>
      </c>
      <c r="M451" s="30" t="s">
        <v>25</v>
      </c>
      <c r="N451" s="30" t="s">
        <v>26</v>
      </c>
      <c r="O451" s="31">
        <v>30492</v>
      </c>
      <c r="P451" s="30" t="s">
        <v>91</v>
      </c>
      <c r="Q451" s="30" t="s">
        <v>75</v>
      </c>
      <c r="R451" s="30" t="s">
        <v>83</v>
      </c>
      <c r="S451" s="30" t="s">
        <v>84</v>
      </c>
      <c r="T451" s="30">
        <v>1</v>
      </c>
      <c r="U451" s="30">
        <v>60</v>
      </c>
      <c r="V451" s="30">
        <v>20</v>
      </c>
      <c r="W451" s="30">
        <v>48</v>
      </c>
      <c r="X451" s="30">
        <v>2</v>
      </c>
      <c r="Y451" s="30" t="s">
        <v>60</v>
      </c>
      <c r="Z451" s="30" t="s">
        <v>96</v>
      </c>
      <c r="AA451" s="30" t="s">
        <v>43</v>
      </c>
      <c r="AB451" s="30">
        <v>9831688801</v>
      </c>
      <c r="AC451" s="22" t="s">
        <v>34</v>
      </c>
    </row>
    <row r="452" spans="8:29" ht="15" thickBot="1" x14ac:dyDescent="0.4">
      <c r="H452" s="27" t="s">
        <v>567</v>
      </c>
      <c r="I452" s="27" t="s">
        <v>87</v>
      </c>
      <c r="J452" s="27" t="s">
        <v>82</v>
      </c>
      <c r="K452" s="28">
        <v>45967</v>
      </c>
      <c r="L452" s="28">
        <v>45972</v>
      </c>
      <c r="M452" s="27" t="s">
        <v>88</v>
      </c>
      <c r="N452" s="27" t="s">
        <v>58</v>
      </c>
      <c r="O452" s="28">
        <v>33995</v>
      </c>
      <c r="P452" s="27" t="s">
        <v>27</v>
      </c>
      <c r="Q452" s="27" t="s">
        <v>28</v>
      </c>
      <c r="R452" s="27" t="s">
        <v>83</v>
      </c>
      <c r="S452" s="27" t="s">
        <v>84</v>
      </c>
      <c r="T452" s="27">
        <v>3</v>
      </c>
      <c r="U452" s="27">
        <v>60</v>
      </c>
      <c r="V452" s="27">
        <v>15</v>
      </c>
      <c r="W452" s="27">
        <v>153</v>
      </c>
      <c r="X452" s="27">
        <v>4</v>
      </c>
      <c r="Y452" s="27" t="s">
        <v>60</v>
      </c>
      <c r="Z452" s="27" t="s">
        <v>32</v>
      </c>
      <c r="AA452" s="27" t="s">
        <v>89</v>
      </c>
      <c r="AB452" s="27">
        <v>9982849508</v>
      </c>
      <c r="AC452" s="21" t="s">
        <v>34</v>
      </c>
    </row>
    <row r="453" spans="8:29" ht="15" thickBot="1" x14ac:dyDescent="0.4">
      <c r="H453" s="30" t="s">
        <v>568</v>
      </c>
      <c r="I453" s="30" t="s">
        <v>72</v>
      </c>
      <c r="J453" s="30" t="s">
        <v>112</v>
      </c>
      <c r="K453" s="31">
        <v>45736</v>
      </c>
      <c r="L453" s="31">
        <v>45741</v>
      </c>
      <c r="M453" s="30" t="s">
        <v>73</v>
      </c>
      <c r="N453" s="30" t="s">
        <v>26</v>
      </c>
      <c r="O453" s="31">
        <v>28917</v>
      </c>
      <c r="P453" s="30" t="s">
        <v>147</v>
      </c>
      <c r="Q453" s="30" t="s">
        <v>148</v>
      </c>
      <c r="R453" s="30" t="s">
        <v>39</v>
      </c>
      <c r="S453" s="30" t="s">
        <v>114</v>
      </c>
      <c r="T453" s="30">
        <v>10</v>
      </c>
      <c r="U453" s="30">
        <v>700</v>
      </c>
      <c r="V453" s="30">
        <v>15</v>
      </c>
      <c r="W453" s="30">
        <v>5950</v>
      </c>
      <c r="X453" s="30">
        <v>3</v>
      </c>
      <c r="Y453" s="30" t="s">
        <v>41</v>
      </c>
      <c r="Z453" s="30" t="s">
        <v>32</v>
      </c>
      <c r="AA453" s="30" t="s">
        <v>93</v>
      </c>
      <c r="AB453" s="30">
        <v>9288309246</v>
      </c>
      <c r="AC453" s="30" t="s">
        <v>52</v>
      </c>
    </row>
    <row r="454" spans="8:29" ht="15" thickBot="1" x14ac:dyDescent="0.4">
      <c r="H454" s="27" t="s">
        <v>569</v>
      </c>
      <c r="I454" s="27" t="s">
        <v>63</v>
      </c>
      <c r="J454" s="27" t="s">
        <v>125</v>
      </c>
      <c r="K454" s="28">
        <v>45952</v>
      </c>
      <c r="L454" s="28">
        <v>45955</v>
      </c>
      <c r="M454" s="27" t="s">
        <v>110</v>
      </c>
      <c r="N454" s="27" t="s">
        <v>58</v>
      </c>
      <c r="O454" s="28">
        <v>28016</v>
      </c>
      <c r="P454" s="27" t="s">
        <v>91</v>
      </c>
      <c r="Q454" s="27" t="s">
        <v>75</v>
      </c>
      <c r="R454" s="27" t="s">
        <v>83</v>
      </c>
      <c r="S454" s="27" t="s">
        <v>127</v>
      </c>
      <c r="T454" s="27">
        <v>2</v>
      </c>
      <c r="U454" s="27">
        <v>20</v>
      </c>
      <c r="V454" s="27">
        <v>10</v>
      </c>
      <c r="W454" s="27">
        <v>36</v>
      </c>
      <c r="X454" s="27">
        <v>2</v>
      </c>
      <c r="Y454" s="27" t="s">
        <v>65</v>
      </c>
      <c r="Z454" s="27" t="s">
        <v>50</v>
      </c>
      <c r="AA454" s="27" t="s">
        <v>66</v>
      </c>
      <c r="AB454" s="27">
        <v>9808476235</v>
      </c>
      <c r="AC454" s="21" t="s">
        <v>34</v>
      </c>
    </row>
    <row r="455" spans="8:29" ht="15" thickBot="1" x14ac:dyDescent="0.4">
      <c r="H455" s="30" t="s">
        <v>570</v>
      </c>
      <c r="I455" s="30" t="s">
        <v>63</v>
      </c>
      <c r="J455" s="30" t="s">
        <v>125</v>
      </c>
      <c r="K455" s="31">
        <v>46022</v>
      </c>
      <c r="L455" s="31">
        <v>46027</v>
      </c>
      <c r="M455" s="30" t="s">
        <v>110</v>
      </c>
      <c r="N455" s="30" t="s">
        <v>58</v>
      </c>
      <c r="O455" s="31">
        <v>33446</v>
      </c>
      <c r="P455" s="30" t="s">
        <v>37</v>
      </c>
      <c r="Q455" s="30" t="s">
        <v>38</v>
      </c>
      <c r="R455" s="30" t="s">
        <v>83</v>
      </c>
      <c r="S455" s="30" t="s">
        <v>127</v>
      </c>
      <c r="T455" s="30">
        <v>14</v>
      </c>
      <c r="U455" s="30">
        <v>20</v>
      </c>
      <c r="V455" s="30">
        <v>20</v>
      </c>
      <c r="W455" s="30">
        <v>224</v>
      </c>
      <c r="X455" s="30">
        <v>5</v>
      </c>
      <c r="Y455" s="30" t="s">
        <v>31</v>
      </c>
      <c r="Z455" s="30" t="s">
        <v>96</v>
      </c>
      <c r="AA455" s="30" t="s">
        <v>66</v>
      </c>
      <c r="AB455" s="30">
        <v>9869056117</v>
      </c>
      <c r="AC455" s="30" t="s">
        <v>52</v>
      </c>
    </row>
    <row r="456" spans="8:29" ht="29.5" thickBot="1" x14ac:dyDescent="0.4">
      <c r="H456" s="27" t="s">
        <v>571</v>
      </c>
      <c r="I456" s="27" t="s">
        <v>156</v>
      </c>
      <c r="J456" s="27" t="s">
        <v>68</v>
      </c>
      <c r="K456" s="28">
        <v>45829</v>
      </c>
      <c r="L456" s="28">
        <v>45833</v>
      </c>
      <c r="M456" s="27" t="s">
        <v>106</v>
      </c>
      <c r="N456" s="27" t="s">
        <v>58</v>
      </c>
      <c r="O456" s="28">
        <v>32075</v>
      </c>
      <c r="P456" s="27" t="s">
        <v>91</v>
      </c>
      <c r="Q456" s="27" t="s">
        <v>75</v>
      </c>
      <c r="R456" s="27" t="s">
        <v>29</v>
      </c>
      <c r="S456" s="27" t="s">
        <v>70</v>
      </c>
      <c r="T456" s="27">
        <v>4</v>
      </c>
      <c r="U456" s="27">
        <v>3500</v>
      </c>
      <c r="V456" s="27">
        <v>0</v>
      </c>
      <c r="W456" s="27">
        <v>14000</v>
      </c>
      <c r="X456" s="27">
        <v>2</v>
      </c>
      <c r="Y456" s="27" t="s">
        <v>65</v>
      </c>
      <c r="Z456" s="27" t="s">
        <v>32</v>
      </c>
      <c r="AA456" s="27" t="s">
        <v>158</v>
      </c>
      <c r="AB456" s="27">
        <v>9734229772</v>
      </c>
      <c r="AC456" s="27" t="s">
        <v>53</v>
      </c>
    </row>
    <row r="457" spans="8:29" ht="15" thickBot="1" x14ac:dyDescent="0.4">
      <c r="H457" s="30" t="s">
        <v>572</v>
      </c>
      <c r="I457" s="30" t="s">
        <v>63</v>
      </c>
      <c r="J457" s="30" t="s">
        <v>68</v>
      </c>
      <c r="K457" s="31">
        <v>45812</v>
      </c>
      <c r="L457" s="31">
        <v>45813</v>
      </c>
      <c r="M457" s="30" t="s">
        <v>110</v>
      </c>
      <c r="N457" s="30" t="s">
        <v>58</v>
      </c>
      <c r="O457" s="31">
        <v>30629</v>
      </c>
      <c r="P457" s="30" t="s">
        <v>121</v>
      </c>
      <c r="Q457" s="30" t="s">
        <v>38</v>
      </c>
      <c r="R457" s="30" t="s">
        <v>29</v>
      </c>
      <c r="S457" s="30" t="s">
        <v>70</v>
      </c>
      <c r="T457" s="30">
        <v>9</v>
      </c>
      <c r="U457" s="30">
        <v>3500</v>
      </c>
      <c r="V457" s="30">
        <v>5</v>
      </c>
      <c r="W457" s="30">
        <v>29925</v>
      </c>
      <c r="X457" s="30">
        <v>3</v>
      </c>
      <c r="Y457" s="30" t="s">
        <v>60</v>
      </c>
      <c r="Z457" s="30" t="s">
        <v>50</v>
      </c>
      <c r="AA457" s="30" t="s">
        <v>66</v>
      </c>
      <c r="AB457" s="30">
        <v>9791617906</v>
      </c>
      <c r="AC457" s="22" t="s">
        <v>34</v>
      </c>
    </row>
    <row r="458" spans="8:29" ht="15" thickBot="1" x14ac:dyDescent="0.4">
      <c r="H458" s="27" t="s">
        <v>573</v>
      </c>
      <c r="I458" s="27" t="s">
        <v>87</v>
      </c>
      <c r="J458" s="27" t="s">
        <v>82</v>
      </c>
      <c r="K458" s="28">
        <v>45807</v>
      </c>
      <c r="L458" s="28">
        <v>45811</v>
      </c>
      <c r="M458" s="27" t="s">
        <v>88</v>
      </c>
      <c r="N458" s="27" t="s">
        <v>58</v>
      </c>
      <c r="O458" s="28">
        <v>30678</v>
      </c>
      <c r="P458" s="27" t="s">
        <v>74</v>
      </c>
      <c r="Q458" s="27" t="s">
        <v>75</v>
      </c>
      <c r="R458" s="27" t="s">
        <v>83</v>
      </c>
      <c r="S458" s="27" t="s">
        <v>84</v>
      </c>
      <c r="T458" s="27">
        <v>9</v>
      </c>
      <c r="U458" s="27">
        <v>60</v>
      </c>
      <c r="V458" s="27">
        <v>0</v>
      </c>
      <c r="W458" s="27">
        <v>540</v>
      </c>
      <c r="X458" s="27">
        <v>3</v>
      </c>
      <c r="Y458" s="27" t="s">
        <v>65</v>
      </c>
      <c r="Z458" s="27" t="s">
        <v>32</v>
      </c>
      <c r="AA458" s="27" t="s">
        <v>89</v>
      </c>
      <c r="AB458" s="27">
        <v>9286316823</v>
      </c>
      <c r="AC458" s="27" t="s">
        <v>52</v>
      </c>
    </row>
    <row r="459" spans="8:29" ht="15" thickBot="1" x14ac:dyDescent="0.4">
      <c r="H459" s="30" t="s">
        <v>574</v>
      </c>
      <c r="I459" s="30" t="s">
        <v>104</v>
      </c>
      <c r="J459" s="30" t="s">
        <v>56</v>
      </c>
      <c r="K459" s="31">
        <v>45779</v>
      </c>
      <c r="L459" s="31">
        <v>45780</v>
      </c>
      <c r="M459" s="30" t="s">
        <v>166</v>
      </c>
      <c r="N459" s="30" t="s">
        <v>26</v>
      </c>
      <c r="O459" s="31">
        <v>33862</v>
      </c>
      <c r="P459" s="30" t="s">
        <v>91</v>
      </c>
      <c r="Q459" s="30" t="s">
        <v>75</v>
      </c>
      <c r="R459" s="30" t="s">
        <v>39</v>
      </c>
      <c r="S459" s="30" t="s">
        <v>59</v>
      </c>
      <c r="T459" s="30">
        <v>4</v>
      </c>
      <c r="U459" s="30">
        <v>1200</v>
      </c>
      <c r="V459" s="30">
        <v>0</v>
      </c>
      <c r="W459" s="30">
        <v>4800</v>
      </c>
      <c r="X459" s="30">
        <v>1</v>
      </c>
      <c r="Y459" s="30" t="s">
        <v>41</v>
      </c>
      <c r="Z459" s="30" t="s">
        <v>50</v>
      </c>
      <c r="AA459" s="30" t="s">
        <v>108</v>
      </c>
      <c r="AB459" s="30">
        <v>9810569252</v>
      </c>
      <c r="AC459" s="22" t="s">
        <v>34</v>
      </c>
    </row>
    <row r="460" spans="8:29" ht="15" thickBot="1" x14ac:dyDescent="0.4">
      <c r="H460" s="27" t="s">
        <v>575</v>
      </c>
      <c r="I460" s="27" t="s">
        <v>45</v>
      </c>
      <c r="J460" s="27" t="s">
        <v>46</v>
      </c>
      <c r="K460" s="28">
        <v>45691</v>
      </c>
      <c r="L460" s="28">
        <v>45701</v>
      </c>
      <c r="M460" s="27" t="s">
        <v>101</v>
      </c>
      <c r="N460" s="27" t="s">
        <v>26</v>
      </c>
      <c r="O460" s="28">
        <v>36381</v>
      </c>
      <c r="P460" s="27" t="s">
        <v>27</v>
      </c>
      <c r="Q460" s="27" t="s">
        <v>28</v>
      </c>
      <c r="R460" s="27" t="s">
        <v>39</v>
      </c>
      <c r="S460" s="27" t="s">
        <v>49</v>
      </c>
      <c r="T460" s="27">
        <v>10</v>
      </c>
      <c r="U460" s="27">
        <v>55000</v>
      </c>
      <c r="V460" s="27">
        <v>5</v>
      </c>
      <c r="W460" s="27">
        <v>522500</v>
      </c>
      <c r="X460" s="27">
        <v>5</v>
      </c>
      <c r="Y460" s="27" t="s">
        <v>65</v>
      </c>
      <c r="Z460" s="27" t="s">
        <v>80</v>
      </c>
      <c r="AA460" s="27" t="s">
        <v>51</v>
      </c>
      <c r="AB460" s="27">
        <v>9771745925</v>
      </c>
      <c r="AC460" s="21" t="s">
        <v>34</v>
      </c>
    </row>
    <row r="461" spans="8:29" ht="15" thickBot="1" x14ac:dyDescent="0.4">
      <c r="H461" s="30" t="s">
        <v>576</v>
      </c>
      <c r="I461" s="30" t="s">
        <v>124</v>
      </c>
      <c r="J461" s="30" t="s">
        <v>138</v>
      </c>
      <c r="K461" s="31">
        <v>45837</v>
      </c>
      <c r="L461" s="31">
        <v>45844</v>
      </c>
      <c r="M461" s="30" t="s">
        <v>126</v>
      </c>
      <c r="N461" s="30" t="s">
        <v>58</v>
      </c>
      <c r="O461" s="31">
        <v>32931</v>
      </c>
      <c r="P461" s="30" t="s">
        <v>27</v>
      </c>
      <c r="Q461" s="30" t="s">
        <v>28</v>
      </c>
      <c r="R461" s="30" t="s">
        <v>83</v>
      </c>
      <c r="S461" s="30" t="s">
        <v>139</v>
      </c>
      <c r="T461" s="30">
        <v>20</v>
      </c>
      <c r="U461" s="30">
        <v>45</v>
      </c>
      <c r="V461" s="30">
        <v>15</v>
      </c>
      <c r="W461" s="30">
        <v>765</v>
      </c>
      <c r="X461" s="30">
        <v>2</v>
      </c>
      <c r="Y461" s="30" t="s">
        <v>60</v>
      </c>
      <c r="Z461" s="30" t="s">
        <v>32</v>
      </c>
      <c r="AA461" s="30" t="s">
        <v>128</v>
      </c>
      <c r="AB461" s="30">
        <v>9820683063</v>
      </c>
      <c r="AC461" s="30" t="s">
        <v>53</v>
      </c>
    </row>
    <row r="462" spans="8:29" ht="15" thickBot="1" x14ac:dyDescent="0.4">
      <c r="H462" s="27" t="s">
        <v>577</v>
      </c>
      <c r="I462" s="27" t="s">
        <v>23</v>
      </c>
      <c r="J462" s="27" t="s">
        <v>125</v>
      </c>
      <c r="K462" s="28">
        <v>46065</v>
      </c>
      <c r="L462" s="28">
        <v>46075</v>
      </c>
      <c r="M462" s="27" t="s">
        <v>25</v>
      </c>
      <c r="N462" s="27" t="s">
        <v>26</v>
      </c>
      <c r="O462" s="28">
        <v>34420</v>
      </c>
      <c r="P462" s="27" t="s">
        <v>74</v>
      </c>
      <c r="Q462" s="27" t="s">
        <v>75</v>
      </c>
      <c r="R462" s="27" t="s">
        <v>83</v>
      </c>
      <c r="S462" s="27" t="s">
        <v>127</v>
      </c>
      <c r="T462" s="27">
        <v>9</v>
      </c>
      <c r="U462" s="27">
        <v>20</v>
      </c>
      <c r="V462" s="27">
        <v>20</v>
      </c>
      <c r="W462" s="27">
        <v>144</v>
      </c>
      <c r="X462" s="27">
        <v>3</v>
      </c>
      <c r="Y462" s="27" t="s">
        <v>60</v>
      </c>
      <c r="Z462" s="27" t="s">
        <v>50</v>
      </c>
      <c r="AA462" s="27" t="s">
        <v>43</v>
      </c>
      <c r="AB462" s="27">
        <v>9292891941</v>
      </c>
      <c r="AC462" s="21" t="s">
        <v>34</v>
      </c>
    </row>
    <row r="463" spans="8:29" ht="15" thickBot="1" x14ac:dyDescent="0.4">
      <c r="H463" s="30" t="s">
        <v>578</v>
      </c>
      <c r="I463" s="30" t="s">
        <v>23</v>
      </c>
      <c r="J463" s="30" t="s">
        <v>46</v>
      </c>
      <c r="K463" s="31">
        <v>45719</v>
      </c>
      <c r="L463" s="31">
        <v>45730</v>
      </c>
      <c r="M463" s="30" t="s">
        <v>25</v>
      </c>
      <c r="N463" s="30" t="s">
        <v>26</v>
      </c>
      <c r="O463" s="31">
        <v>29383</v>
      </c>
      <c r="P463" s="30" t="s">
        <v>79</v>
      </c>
      <c r="Q463" s="30" t="s">
        <v>75</v>
      </c>
      <c r="R463" s="30" t="s">
        <v>39</v>
      </c>
      <c r="S463" s="30" t="s">
        <v>49</v>
      </c>
      <c r="T463" s="30">
        <v>8</v>
      </c>
      <c r="U463" s="30">
        <v>55000</v>
      </c>
      <c r="V463" s="30">
        <v>0</v>
      </c>
      <c r="W463" s="30">
        <v>440000</v>
      </c>
      <c r="X463" s="30">
        <v>4</v>
      </c>
      <c r="Y463" s="30" t="s">
        <v>31</v>
      </c>
      <c r="Z463" s="30" t="s">
        <v>80</v>
      </c>
      <c r="AA463" s="30" t="s">
        <v>43</v>
      </c>
      <c r="AB463" s="30">
        <v>9413789556</v>
      </c>
      <c r="AC463" s="22" t="s">
        <v>34</v>
      </c>
    </row>
    <row r="464" spans="8:29" ht="29.5" thickBot="1" x14ac:dyDescent="0.4">
      <c r="H464" s="27" t="s">
        <v>579</v>
      </c>
      <c r="I464" s="27" t="s">
        <v>156</v>
      </c>
      <c r="J464" s="27" t="s">
        <v>56</v>
      </c>
      <c r="K464" s="28">
        <v>46136</v>
      </c>
      <c r="L464" s="28">
        <v>46140</v>
      </c>
      <c r="M464" s="27" t="s">
        <v>106</v>
      </c>
      <c r="N464" s="27" t="s">
        <v>58</v>
      </c>
      <c r="O464" s="28">
        <v>36687</v>
      </c>
      <c r="P464" s="27" t="s">
        <v>91</v>
      </c>
      <c r="Q464" s="27" t="s">
        <v>75</v>
      </c>
      <c r="R464" s="27" t="s">
        <v>39</v>
      </c>
      <c r="S464" s="27" t="s">
        <v>59</v>
      </c>
      <c r="T464" s="27">
        <v>4</v>
      </c>
      <c r="U464" s="27">
        <v>1200</v>
      </c>
      <c r="V464" s="27">
        <v>10</v>
      </c>
      <c r="W464" s="27">
        <v>4320</v>
      </c>
      <c r="X464" s="27">
        <v>4</v>
      </c>
      <c r="Y464" s="27" t="s">
        <v>65</v>
      </c>
      <c r="Z464" s="27" t="s">
        <v>32</v>
      </c>
      <c r="AA464" s="29" t="s">
        <v>580</v>
      </c>
      <c r="AB464" s="27">
        <v>98765</v>
      </c>
      <c r="AC464" s="27" t="s">
        <v>53</v>
      </c>
    </row>
    <row r="465" spans="8:29" ht="29.5" thickBot="1" x14ac:dyDescent="0.4">
      <c r="H465" s="30" t="s">
        <v>581</v>
      </c>
      <c r="I465" s="30" t="s">
        <v>156</v>
      </c>
      <c r="J465" s="30" t="s">
        <v>105</v>
      </c>
      <c r="K465" s="31">
        <v>46145</v>
      </c>
      <c r="L465" s="31">
        <v>46155</v>
      </c>
      <c r="M465" s="30" t="s">
        <v>106</v>
      </c>
      <c r="N465" s="30" t="s">
        <v>58</v>
      </c>
      <c r="O465" s="31">
        <v>35906</v>
      </c>
      <c r="P465" s="30" t="s">
        <v>147</v>
      </c>
      <c r="Q465" s="30" t="s">
        <v>148</v>
      </c>
      <c r="R465" s="30" t="s">
        <v>29</v>
      </c>
      <c r="S465" s="30" t="s">
        <v>107</v>
      </c>
      <c r="T465" s="30">
        <v>14</v>
      </c>
      <c r="U465" s="30">
        <v>8500</v>
      </c>
      <c r="V465" s="30">
        <v>10</v>
      </c>
      <c r="W465" s="30">
        <v>107100</v>
      </c>
      <c r="X465" s="30">
        <v>4</v>
      </c>
      <c r="Y465" s="30" t="s">
        <v>31</v>
      </c>
      <c r="Z465" s="30" t="s">
        <v>32</v>
      </c>
      <c r="AA465" s="30" t="s">
        <v>158</v>
      </c>
      <c r="AB465" s="30">
        <v>9211936331</v>
      </c>
      <c r="AC465" s="22" t="s">
        <v>34</v>
      </c>
    </row>
    <row r="466" spans="8:29" ht="29.5" thickBot="1" x14ac:dyDescent="0.4">
      <c r="H466" s="27" t="s">
        <v>582</v>
      </c>
      <c r="I466" s="27" t="s">
        <v>55</v>
      </c>
      <c r="J466" s="27" t="s">
        <v>138</v>
      </c>
      <c r="K466" s="28">
        <v>45807</v>
      </c>
      <c r="L466" s="28">
        <v>45815</v>
      </c>
      <c r="M466" s="27" t="s">
        <v>57</v>
      </c>
      <c r="N466" s="27" t="s">
        <v>58</v>
      </c>
      <c r="O466" s="28">
        <v>30812</v>
      </c>
      <c r="P466" s="27" t="s">
        <v>27</v>
      </c>
      <c r="Q466" s="27" t="s">
        <v>28</v>
      </c>
      <c r="R466" s="27" t="s">
        <v>83</v>
      </c>
      <c r="S466" s="27" t="s">
        <v>139</v>
      </c>
      <c r="T466" s="27">
        <v>1</v>
      </c>
      <c r="U466" s="27">
        <v>45</v>
      </c>
      <c r="V466" s="27">
        <v>0</v>
      </c>
      <c r="W466" s="27">
        <v>45</v>
      </c>
      <c r="X466" s="27">
        <v>3</v>
      </c>
      <c r="Y466" s="27" t="s">
        <v>65</v>
      </c>
      <c r="Z466" s="27" t="s">
        <v>96</v>
      </c>
      <c r="AA466" s="27" t="s">
        <v>61</v>
      </c>
      <c r="AB466" s="27">
        <v>9167291747</v>
      </c>
      <c r="AC466" s="27" t="s">
        <v>53</v>
      </c>
    </row>
    <row r="467" spans="8:29" ht="29.5" thickBot="1" x14ac:dyDescent="0.4">
      <c r="H467" s="30" t="s">
        <v>583</v>
      </c>
      <c r="I467" s="30" t="s">
        <v>55</v>
      </c>
      <c r="J467" s="30" t="s">
        <v>46</v>
      </c>
      <c r="K467" s="31">
        <v>45705</v>
      </c>
      <c r="L467" s="31">
        <v>45716</v>
      </c>
      <c r="M467" s="30" t="s">
        <v>57</v>
      </c>
      <c r="N467" s="30" t="s">
        <v>58</v>
      </c>
      <c r="O467" s="31">
        <v>31692</v>
      </c>
      <c r="P467" s="30" t="s">
        <v>37</v>
      </c>
      <c r="Q467" s="30" t="s">
        <v>38</v>
      </c>
      <c r="R467" s="30" t="s">
        <v>39</v>
      </c>
      <c r="S467" s="30" t="s">
        <v>49</v>
      </c>
      <c r="T467" s="30">
        <v>16</v>
      </c>
      <c r="U467" s="30">
        <v>55000</v>
      </c>
      <c r="V467" s="30">
        <v>15</v>
      </c>
      <c r="W467" s="30">
        <v>748000</v>
      </c>
      <c r="X467" s="30">
        <v>1</v>
      </c>
      <c r="Y467" s="30" t="s">
        <v>60</v>
      </c>
      <c r="Z467" s="30" t="s">
        <v>96</v>
      </c>
      <c r="AA467" s="30" t="s">
        <v>61</v>
      </c>
      <c r="AB467" s="30">
        <v>9637283597</v>
      </c>
      <c r="AC467" s="30" t="s">
        <v>53</v>
      </c>
    </row>
    <row r="468" spans="8:29" ht="15" thickBot="1" x14ac:dyDescent="0.4">
      <c r="H468" s="27" t="s">
        <v>584</v>
      </c>
      <c r="I468" s="27" t="s">
        <v>45</v>
      </c>
      <c r="J468" s="27" t="s">
        <v>112</v>
      </c>
      <c r="K468" s="28">
        <v>46103</v>
      </c>
      <c r="L468" s="28">
        <v>46110</v>
      </c>
      <c r="M468" s="27" t="s">
        <v>101</v>
      </c>
      <c r="N468" s="27" t="s">
        <v>26</v>
      </c>
      <c r="O468" s="28">
        <v>37926</v>
      </c>
      <c r="P468" s="27" t="s">
        <v>91</v>
      </c>
      <c r="Q468" s="27" t="s">
        <v>75</v>
      </c>
      <c r="R468" s="27" t="s">
        <v>39</v>
      </c>
      <c r="S468" s="27" t="s">
        <v>114</v>
      </c>
      <c r="T468" s="27">
        <v>8</v>
      </c>
      <c r="U468" s="27">
        <v>700</v>
      </c>
      <c r="V468" s="27">
        <v>0</v>
      </c>
      <c r="W468" s="27">
        <v>5600</v>
      </c>
      <c r="X468" s="27">
        <v>3</v>
      </c>
      <c r="Y468" s="27" t="s">
        <v>31</v>
      </c>
      <c r="Z468" s="27" t="s">
        <v>42</v>
      </c>
      <c r="AA468" s="27" t="s">
        <v>51</v>
      </c>
      <c r="AB468" s="27">
        <v>9514269002</v>
      </c>
      <c r="AC468" s="21" t="s">
        <v>34</v>
      </c>
    </row>
    <row r="469" spans="8:29" ht="15" thickBot="1" x14ac:dyDescent="0.4">
      <c r="H469" s="30" t="s">
        <v>585</v>
      </c>
      <c r="I469" s="30" t="s">
        <v>134</v>
      </c>
      <c r="J469" s="30" t="s">
        <v>56</v>
      </c>
      <c r="K469" s="31">
        <v>46114</v>
      </c>
      <c r="L469" s="31">
        <v>46125</v>
      </c>
      <c r="M469" s="30" t="s">
        <v>135</v>
      </c>
      <c r="N469" s="30" t="s">
        <v>26</v>
      </c>
      <c r="O469" s="31">
        <v>37782</v>
      </c>
      <c r="P469" s="30" t="s">
        <v>91</v>
      </c>
      <c r="Q469" s="30" t="s">
        <v>75</v>
      </c>
      <c r="R469" s="30" t="s">
        <v>39</v>
      </c>
      <c r="S469" s="30" t="s">
        <v>59</v>
      </c>
      <c r="T469" s="30">
        <v>3</v>
      </c>
      <c r="U469" s="30">
        <v>1200</v>
      </c>
      <c r="V469" s="30">
        <v>0</v>
      </c>
      <c r="W469" s="30">
        <v>3600</v>
      </c>
      <c r="X469" s="30">
        <v>1</v>
      </c>
      <c r="Y469" s="30" t="s">
        <v>60</v>
      </c>
      <c r="Z469" s="30" t="s">
        <v>42</v>
      </c>
      <c r="AA469" s="30" t="s">
        <v>136</v>
      </c>
      <c r="AB469" s="30">
        <v>9778908233</v>
      </c>
      <c r="AC469" s="30" t="s">
        <v>53</v>
      </c>
    </row>
    <row r="470" spans="8:29" ht="29.5" thickBot="1" x14ac:dyDescent="0.4">
      <c r="H470" s="27" t="s">
        <v>586</v>
      </c>
      <c r="I470" s="27" t="s">
        <v>55</v>
      </c>
      <c r="J470" s="27" t="s">
        <v>68</v>
      </c>
      <c r="K470" s="28">
        <v>45706</v>
      </c>
      <c r="L470" s="28">
        <v>45714</v>
      </c>
      <c r="M470" s="27" t="s">
        <v>57</v>
      </c>
      <c r="N470" s="27" t="s">
        <v>58</v>
      </c>
      <c r="O470" s="28">
        <v>32959</v>
      </c>
      <c r="P470" s="27" t="s">
        <v>147</v>
      </c>
      <c r="Q470" s="27" t="s">
        <v>148</v>
      </c>
      <c r="R470" s="27" t="s">
        <v>29</v>
      </c>
      <c r="S470" s="27" t="s">
        <v>70</v>
      </c>
      <c r="T470" s="27">
        <v>7</v>
      </c>
      <c r="U470" s="27">
        <v>3500</v>
      </c>
      <c r="V470" s="27">
        <v>15</v>
      </c>
      <c r="W470" s="27">
        <v>20825</v>
      </c>
      <c r="X470" s="27">
        <v>4</v>
      </c>
      <c r="Y470" s="27" t="s">
        <v>60</v>
      </c>
      <c r="Z470" s="27" t="s">
        <v>50</v>
      </c>
      <c r="AA470" s="27" t="s">
        <v>61</v>
      </c>
      <c r="AB470" s="27">
        <v>9981118755</v>
      </c>
      <c r="AC470" s="27" t="s">
        <v>52</v>
      </c>
    </row>
    <row r="471" spans="8:29" ht="15" thickBot="1" x14ac:dyDescent="0.4">
      <c r="H471" s="30" t="s">
        <v>587</v>
      </c>
      <c r="I471" s="30" t="s">
        <v>45</v>
      </c>
      <c r="J471" s="30" t="s">
        <v>46</v>
      </c>
      <c r="K471" s="31">
        <v>46110</v>
      </c>
      <c r="L471" s="31">
        <v>46116</v>
      </c>
      <c r="M471" s="30" t="s">
        <v>101</v>
      </c>
      <c r="N471" s="30" t="s">
        <v>26</v>
      </c>
      <c r="O471" s="31">
        <v>37769</v>
      </c>
      <c r="P471" s="30" t="s">
        <v>79</v>
      </c>
      <c r="Q471" s="30" t="s">
        <v>75</v>
      </c>
      <c r="R471" s="30" t="s">
        <v>39</v>
      </c>
      <c r="S471" s="30" t="s">
        <v>49</v>
      </c>
      <c r="T471" s="30">
        <v>9</v>
      </c>
      <c r="U471" s="30">
        <v>55000</v>
      </c>
      <c r="V471" s="30">
        <v>15</v>
      </c>
      <c r="W471" s="30">
        <v>420750</v>
      </c>
      <c r="X471" s="30">
        <v>3</v>
      </c>
      <c r="Y471" s="30" t="s">
        <v>65</v>
      </c>
      <c r="Z471" s="30" t="s">
        <v>32</v>
      </c>
      <c r="AA471" s="30" t="s">
        <v>51</v>
      </c>
      <c r="AB471" s="30">
        <v>9887896743</v>
      </c>
      <c r="AC471" s="30" t="s">
        <v>53</v>
      </c>
    </row>
    <row r="472" spans="8:29" ht="29.5" thickBot="1" x14ac:dyDescent="0.4">
      <c r="H472" s="27" t="s">
        <v>588</v>
      </c>
      <c r="I472" s="27" t="s">
        <v>156</v>
      </c>
      <c r="J472" s="27" t="s">
        <v>36</v>
      </c>
      <c r="K472" s="28">
        <v>45992</v>
      </c>
      <c r="L472" s="28">
        <v>45993</v>
      </c>
      <c r="M472" s="27" t="s">
        <v>106</v>
      </c>
      <c r="N472" s="27" t="s">
        <v>58</v>
      </c>
      <c r="O472" s="28">
        <v>34006</v>
      </c>
      <c r="P472" s="27" t="s">
        <v>48</v>
      </c>
      <c r="Q472" s="27" t="s">
        <v>28</v>
      </c>
      <c r="R472" s="27" t="s">
        <v>39</v>
      </c>
      <c r="S472" s="27" t="s">
        <v>40</v>
      </c>
      <c r="T472" s="27">
        <v>12</v>
      </c>
      <c r="U472" s="27">
        <v>12000</v>
      </c>
      <c r="V472" s="27">
        <v>0</v>
      </c>
      <c r="W472" s="27">
        <v>144000</v>
      </c>
      <c r="X472" s="27">
        <v>3</v>
      </c>
      <c r="Y472" s="27" t="s">
        <v>60</v>
      </c>
      <c r="Z472" s="27" t="s">
        <v>96</v>
      </c>
      <c r="AA472" s="27" t="s">
        <v>158</v>
      </c>
      <c r="AB472" s="27">
        <v>9585330043</v>
      </c>
      <c r="AC472" s="27" t="s">
        <v>53</v>
      </c>
    </row>
    <row r="473" spans="8:29" ht="15" thickBot="1" x14ac:dyDescent="0.4">
      <c r="H473" s="30" t="s">
        <v>589</v>
      </c>
      <c r="I473" s="30" t="s">
        <v>72</v>
      </c>
      <c r="J473" s="30" t="s">
        <v>82</v>
      </c>
      <c r="K473" s="31">
        <v>45781</v>
      </c>
      <c r="L473" s="31">
        <v>45788</v>
      </c>
      <c r="M473" s="30" t="s">
        <v>73</v>
      </c>
      <c r="N473" s="30" t="s">
        <v>26</v>
      </c>
      <c r="O473" s="31">
        <v>27639</v>
      </c>
      <c r="P473" s="30" t="s">
        <v>91</v>
      </c>
      <c r="Q473" s="30" t="s">
        <v>75</v>
      </c>
      <c r="R473" s="30" t="s">
        <v>83</v>
      </c>
      <c r="S473" s="30" t="s">
        <v>84</v>
      </c>
      <c r="T473" s="30">
        <v>7</v>
      </c>
      <c r="U473" s="30">
        <v>60</v>
      </c>
      <c r="V473" s="30">
        <v>10</v>
      </c>
      <c r="W473" s="30">
        <v>378</v>
      </c>
      <c r="X473" s="30">
        <v>4</v>
      </c>
      <c r="Y473" s="30" t="s">
        <v>31</v>
      </c>
      <c r="Z473" s="30" t="s">
        <v>42</v>
      </c>
      <c r="AA473" s="30" t="s">
        <v>93</v>
      </c>
      <c r="AB473" s="30">
        <v>9423719975</v>
      </c>
      <c r="AC473" s="30" t="s">
        <v>53</v>
      </c>
    </row>
    <row r="474" spans="8:29" ht="15" thickBot="1" x14ac:dyDescent="0.4">
      <c r="H474" s="27" t="s">
        <v>590</v>
      </c>
      <c r="I474" s="27" t="s">
        <v>124</v>
      </c>
      <c r="J474" s="27" t="s">
        <v>24</v>
      </c>
      <c r="K474" s="28">
        <v>45892</v>
      </c>
      <c r="L474" s="28">
        <v>45900</v>
      </c>
      <c r="M474" s="27" t="s">
        <v>126</v>
      </c>
      <c r="N474" s="27" t="s">
        <v>58</v>
      </c>
      <c r="O474" s="28">
        <v>34586</v>
      </c>
      <c r="P474" s="27" t="s">
        <v>74</v>
      </c>
      <c r="Q474" s="27" t="s">
        <v>75</v>
      </c>
      <c r="R474" s="27" t="s">
        <v>29</v>
      </c>
      <c r="S474" s="27" t="s">
        <v>30</v>
      </c>
      <c r="T474" s="27">
        <v>17</v>
      </c>
      <c r="U474" s="27">
        <v>2200</v>
      </c>
      <c r="V474" s="27">
        <v>15</v>
      </c>
      <c r="W474" s="27">
        <v>31790</v>
      </c>
      <c r="X474" s="27">
        <v>3</v>
      </c>
      <c r="Y474" s="27" t="s">
        <v>65</v>
      </c>
      <c r="Z474" s="27" t="s">
        <v>96</v>
      </c>
      <c r="AA474" s="27" t="s">
        <v>128</v>
      </c>
      <c r="AB474" s="27">
        <v>9270746961</v>
      </c>
      <c r="AC474" s="27" t="s">
        <v>52</v>
      </c>
    </row>
    <row r="475" spans="8:29" ht="29.5" thickBot="1" x14ac:dyDescent="0.4">
      <c r="H475" s="30" t="s">
        <v>591</v>
      </c>
      <c r="I475" s="30" t="s">
        <v>156</v>
      </c>
      <c r="J475" s="30" t="s">
        <v>112</v>
      </c>
      <c r="K475" s="31">
        <v>45988</v>
      </c>
      <c r="L475" s="31">
        <v>45997</v>
      </c>
      <c r="M475" s="30" t="s">
        <v>106</v>
      </c>
      <c r="N475" s="30" t="s">
        <v>58</v>
      </c>
      <c r="O475" s="31">
        <v>33884</v>
      </c>
      <c r="P475" s="30" t="s">
        <v>48</v>
      </c>
      <c r="Q475" s="30" t="s">
        <v>28</v>
      </c>
      <c r="R475" s="30" t="s">
        <v>39</v>
      </c>
      <c r="S475" s="30" t="s">
        <v>114</v>
      </c>
      <c r="T475" s="30">
        <v>17</v>
      </c>
      <c r="U475" s="30">
        <v>700</v>
      </c>
      <c r="V475" s="30">
        <v>10</v>
      </c>
      <c r="W475" s="30">
        <v>10710</v>
      </c>
      <c r="X475" s="30">
        <v>2</v>
      </c>
      <c r="Y475" s="30" t="s">
        <v>31</v>
      </c>
      <c r="Z475" s="30" t="s">
        <v>50</v>
      </c>
      <c r="AA475" s="30" t="s">
        <v>158</v>
      </c>
      <c r="AB475" s="30">
        <v>9333162025</v>
      </c>
      <c r="AC475" s="30" t="s">
        <v>52</v>
      </c>
    </row>
    <row r="476" spans="8:29" ht="29.5" thickBot="1" x14ac:dyDescent="0.4">
      <c r="H476" s="27" t="s">
        <v>592</v>
      </c>
      <c r="I476" s="27" t="s">
        <v>156</v>
      </c>
      <c r="J476" s="27" t="s">
        <v>46</v>
      </c>
      <c r="K476" s="28">
        <v>45806</v>
      </c>
      <c r="L476" s="28">
        <v>45809</v>
      </c>
      <c r="M476" s="27" t="s">
        <v>106</v>
      </c>
      <c r="N476" s="27" t="s">
        <v>58</v>
      </c>
      <c r="O476" s="28">
        <v>37454</v>
      </c>
      <c r="P476" s="27" t="s">
        <v>37</v>
      </c>
      <c r="Q476" s="27" t="s">
        <v>38</v>
      </c>
      <c r="R476" s="27" t="s">
        <v>39</v>
      </c>
      <c r="S476" s="27" t="s">
        <v>49</v>
      </c>
      <c r="T476" s="27">
        <v>19</v>
      </c>
      <c r="U476" s="27">
        <v>55000</v>
      </c>
      <c r="V476" s="27">
        <v>20</v>
      </c>
      <c r="W476" s="27">
        <v>836000</v>
      </c>
      <c r="X476" s="27">
        <v>5</v>
      </c>
      <c r="Y476" s="27" t="s">
        <v>41</v>
      </c>
      <c r="Z476" s="27" t="s">
        <v>50</v>
      </c>
      <c r="AA476" s="27" t="s">
        <v>158</v>
      </c>
      <c r="AB476" s="27">
        <v>9247023285</v>
      </c>
      <c r="AC476" s="21" t="s">
        <v>34</v>
      </c>
    </row>
    <row r="477" spans="8:29" ht="15" thickBot="1" x14ac:dyDescent="0.4">
      <c r="H477" s="30" t="s">
        <v>593</v>
      </c>
      <c r="I477" s="30" t="s">
        <v>87</v>
      </c>
      <c r="J477" s="30" t="s">
        <v>82</v>
      </c>
      <c r="K477" s="31">
        <v>45912</v>
      </c>
      <c r="L477" s="31">
        <v>45919</v>
      </c>
      <c r="M477" s="30" t="s">
        <v>88</v>
      </c>
      <c r="N477" s="30" t="s">
        <v>58</v>
      </c>
      <c r="O477" s="31">
        <v>36925</v>
      </c>
      <c r="P477" s="30" t="s">
        <v>37</v>
      </c>
      <c r="Q477" s="30" t="s">
        <v>38</v>
      </c>
      <c r="R477" s="30" t="s">
        <v>83</v>
      </c>
      <c r="S477" s="30" t="s">
        <v>84</v>
      </c>
      <c r="T477" s="30">
        <v>1</v>
      </c>
      <c r="U477" s="30">
        <v>60</v>
      </c>
      <c r="V477" s="30">
        <v>10</v>
      </c>
      <c r="W477" s="30">
        <v>54</v>
      </c>
      <c r="X477" s="30">
        <v>4</v>
      </c>
      <c r="Y477" s="22" t="s">
        <v>41</v>
      </c>
      <c r="Z477" s="30"/>
      <c r="AA477" s="32" t="s">
        <v>594</v>
      </c>
      <c r="AB477" s="30">
        <v>9448658297</v>
      </c>
      <c r="AC477" s="30" t="s">
        <v>53</v>
      </c>
    </row>
    <row r="478" spans="8:29" ht="29.5" thickBot="1" x14ac:dyDescent="0.4">
      <c r="H478" s="27" t="s">
        <v>595</v>
      </c>
      <c r="I478" s="27" t="s">
        <v>55</v>
      </c>
      <c r="J478" s="27" t="s">
        <v>68</v>
      </c>
      <c r="K478" s="28">
        <v>46085</v>
      </c>
      <c r="L478" s="28">
        <v>46092</v>
      </c>
      <c r="M478" s="27" t="s">
        <v>57</v>
      </c>
      <c r="N478" s="27" t="s">
        <v>58</v>
      </c>
      <c r="O478" s="28">
        <v>33047</v>
      </c>
      <c r="P478" s="27" t="s">
        <v>27</v>
      </c>
      <c r="Q478" s="27" t="s">
        <v>28</v>
      </c>
      <c r="R478" s="27" t="s">
        <v>29</v>
      </c>
      <c r="S478" s="27" t="s">
        <v>70</v>
      </c>
      <c r="T478" s="27">
        <v>16</v>
      </c>
      <c r="U478" s="27">
        <v>3500</v>
      </c>
      <c r="V478" s="27">
        <v>0</v>
      </c>
      <c r="W478" s="27">
        <v>56000</v>
      </c>
      <c r="X478" s="27">
        <v>4</v>
      </c>
      <c r="Y478" s="27" t="s">
        <v>41</v>
      </c>
      <c r="Z478" s="27" t="s">
        <v>32</v>
      </c>
      <c r="AA478" s="27" t="s">
        <v>61</v>
      </c>
      <c r="AB478" s="27">
        <v>9906748486</v>
      </c>
      <c r="AC478" s="27" t="s">
        <v>52</v>
      </c>
    </row>
    <row r="479" spans="8:29" ht="15" thickBot="1" x14ac:dyDescent="0.4">
      <c r="H479" s="30" t="s">
        <v>596</v>
      </c>
      <c r="I479" s="30" t="s">
        <v>87</v>
      </c>
      <c r="J479" s="30" t="s">
        <v>125</v>
      </c>
      <c r="K479" s="31">
        <v>45681</v>
      </c>
      <c r="L479" s="31">
        <v>45693</v>
      </c>
      <c r="M479" s="30" t="s">
        <v>88</v>
      </c>
      <c r="N479" s="30" t="s">
        <v>58</v>
      </c>
      <c r="O479" s="31">
        <v>28623</v>
      </c>
      <c r="P479" s="30" t="s">
        <v>79</v>
      </c>
      <c r="Q479" s="30" t="s">
        <v>75</v>
      </c>
      <c r="R479" s="30" t="s">
        <v>83</v>
      </c>
      <c r="S479" s="30" t="s">
        <v>127</v>
      </c>
      <c r="T479" s="30">
        <v>14</v>
      </c>
      <c r="U479" s="30">
        <v>20</v>
      </c>
      <c r="V479" s="30">
        <v>10</v>
      </c>
      <c r="W479" s="30">
        <v>252</v>
      </c>
      <c r="X479" s="30">
        <v>1</v>
      </c>
      <c r="Y479" s="30" t="s">
        <v>41</v>
      </c>
      <c r="Z479" s="30" t="s">
        <v>50</v>
      </c>
      <c r="AA479" s="30" t="s">
        <v>89</v>
      </c>
      <c r="AB479" s="30">
        <v>9365182725</v>
      </c>
      <c r="AC479" s="30" t="s">
        <v>52</v>
      </c>
    </row>
    <row r="480" spans="8:29" ht="29.5" thickBot="1" x14ac:dyDescent="0.4">
      <c r="H480" s="27" t="s">
        <v>597</v>
      </c>
      <c r="I480" s="27" t="s">
        <v>55</v>
      </c>
      <c r="J480" s="27" t="s">
        <v>24</v>
      </c>
      <c r="K480" s="28">
        <v>46004</v>
      </c>
      <c r="L480" s="28">
        <v>46005</v>
      </c>
      <c r="M480" s="27" t="s">
        <v>57</v>
      </c>
      <c r="N480" s="27" t="s">
        <v>58</v>
      </c>
      <c r="O480" s="28">
        <v>36729</v>
      </c>
      <c r="P480" s="27" t="s">
        <v>48</v>
      </c>
      <c r="Q480" s="27" t="s">
        <v>28</v>
      </c>
      <c r="R480" s="27" t="s">
        <v>29</v>
      </c>
      <c r="S480" s="27" t="s">
        <v>30</v>
      </c>
      <c r="T480" s="27">
        <v>11</v>
      </c>
      <c r="U480" s="27">
        <v>2200</v>
      </c>
      <c r="V480" s="27">
        <v>15</v>
      </c>
      <c r="W480" s="27">
        <v>20570</v>
      </c>
      <c r="X480" s="27">
        <v>4</v>
      </c>
      <c r="Y480" s="27" t="s">
        <v>41</v>
      </c>
      <c r="Z480" s="27" t="s">
        <v>42</v>
      </c>
      <c r="AA480" s="27" t="s">
        <v>61</v>
      </c>
      <c r="AB480" s="27">
        <v>9937119494</v>
      </c>
      <c r="AC480" s="27" t="s">
        <v>53</v>
      </c>
    </row>
    <row r="481" spans="8:29" ht="15" thickBot="1" x14ac:dyDescent="0.4">
      <c r="H481" s="30" t="s">
        <v>598</v>
      </c>
      <c r="I481" s="30" t="s">
        <v>63</v>
      </c>
      <c r="J481" s="30" t="s">
        <v>46</v>
      </c>
      <c r="K481" s="31">
        <v>45870</v>
      </c>
      <c r="L481" s="31">
        <v>45878</v>
      </c>
      <c r="M481" s="30" t="s">
        <v>110</v>
      </c>
      <c r="N481" s="30" t="s">
        <v>58</v>
      </c>
      <c r="O481" s="31">
        <v>31126</v>
      </c>
      <c r="P481" s="30" t="s">
        <v>121</v>
      </c>
      <c r="Q481" s="30" t="s">
        <v>38</v>
      </c>
      <c r="R481" s="30" t="s">
        <v>39</v>
      </c>
      <c r="S481" s="30" t="s">
        <v>49</v>
      </c>
      <c r="T481" s="30">
        <v>2</v>
      </c>
      <c r="U481" s="30">
        <v>55000</v>
      </c>
      <c r="V481" s="30">
        <v>0</v>
      </c>
      <c r="W481" s="30">
        <v>110000</v>
      </c>
      <c r="X481" s="30">
        <v>4</v>
      </c>
      <c r="Y481" s="30" t="s">
        <v>41</v>
      </c>
      <c r="Z481" s="30" t="s">
        <v>42</v>
      </c>
      <c r="AA481" s="30" t="s">
        <v>66</v>
      </c>
      <c r="AB481" s="30">
        <v>9828015293</v>
      </c>
      <c r="AC481" s="30" t="s">
        <v>53</v>
      </c>
    </row>
    <row r="482" spans="8:29" ht="15" thickBot="1" x14ac:dyDescent="0.4">
      <c r="H482" s="27" t="s">
        <v>599</v>
      </c>
      <c r="I482" s="27" t="s">
        <v>45</v>
      </c>
      <c r="J482" s="27" t="s">
        <v>24</v>
      </c>
      <c r="K482" s="28">
        <v>45658</v>
      </c>
      <c r="L482" s="28">
        <v>45664</v>
      </c>
      <c r="M482" s="27" t="s">
        <v>101</v>
      </c>
      <c r="N482" s="27" t="s">
        <v>26</v>
      </c>
      <c r="O482" s="28">
        <v>32181</v>
      </c>
      <c r="P482" s="27" t="s">
        <v>79</v>
      </c>
      <c r="Q482" s="27" t="s">
        <v>75</v>
      </c>
      <c r="R482" s="27" t="s">
        <v>29</v>
      </c>
      <c r="S482" s="27" t="s">
        <v>30</v>
      </c>
      <c r="T482" s="27">
        <v>7</v>
      </c>
      <c r="U482" s="27">
        <v>2200</v>
      </c>
      <c r="V482" s="27">
        <v>5</v>
      </c>
      <c r="W482" s="27">
        <v>14630</v>
      </c>
      <c r="X482" s="27">
        <v>4</v>
      </c>
      <c r="Y482" s="27" t="s">
        <v>60</v>
      </c>
      <c r="Z482" s="27" t="s">
        <v>80</v>
      </c>
      <c r="AA482" s="27" t="s">
        <v>51</v>
      </c>
      <c r="AB482" s="27">
        <v>9864206250</v>
      </c>
      <c r="AC482" s="27" t="s">
        <v>53</v>
      </c>
    </row>
    <row r="483" spans="8:29" ht="15" thickBot="1" x14ac:dyDescent="0.4">
      <c r="H483" s="30" t="s">
        <v>600</v>
      </c>
      <c r="I483" s="30" t="s">
        <v>23</v>
      </c>
      <c r="J483" s="30" t="s">
        <v>138</v>
      </c>
      <c r="K483" s="31">
        <v>45755</v>
      </c>
      <c r="L483" s="31">
        <v>45759</v>
      </c>
      <c r="M483" s="30" t="s">
        <v>25</v>
      </c>
      <c r="N483" s="30" t="s">
        <v>26</v>
      </c>
      <c r="O483" s="31">
        <v>35546</v>
      </c>
      <c r="P483" s="30" t="s">
        <v>91</v>
      </c>
      <c r="Q483" s="30" t="s">
        <v>75</v>
      </c>
      <c r="R483" s="30" t="s">
        <v>83</v>
      </c>
      <c r="S483" s="30" t="s">
        <v>139</v>
      </c>
      <c r="T483" s="30">
        <v>11</v>
      </c>
      <c r="U483" s="30">
        <v>45</v>
      </c>
      <c r="V483" s="30">
        <v>15</v>
      </c>
      <c r="W483" s="30">
        <v>420.75</v>
      </c>
      <c r="X483" s="30">
        <v>4</v>
      </c>
      <c r="Y483" s="30" t="s">
        <v>60</v>
      </c>
      <c r="Z483" s="30" t="s">
        <v>50</v>
      </c>
      <c r="AA483" s="30" t="s">
        <v>43</v>
      </c>
      <c r="AB483" s="30">
        <v>9519293104</v>
      </c>
      <c r="AC483" s="30" t="s">
        <v>52</v>
      </c>
    </row>
    <row r="484" spans="8:29" ht="15" thickBot="1" x14ac:dyDescent="0.4">
      <c r="H484" s="27" t="s">
        <v>601</v>
      </c>
      <c r="I484" s="27" t="s">
        <v>72</v>
      </c>
      <c r="J484" s="27" t="s">
        <v>82</v>
      </c>
      <c r="K484" s="28">
        <v>45767</v>
      </c>
      <c r="L484" s="28">
        <v>45777</v>
      </c>
      <c r="M484" s="27" t="s">
        <v>73</v>
      </c>
      <c r="N484" s="27" t="s">
        <v>26</v>
      </c>
      <c r="O484" s="28">
        <v>37033</v>
      </c>
      <c r="P484" s="27" t="s">
        <v>74</v>
      </c>
      <c r="Q484" s="27" t="s">
        <v>75</v>
      </c>
      <c r="R484" s="27" t="s">
        <v>83</v>
      </c>
      <c r="S484" s="27" t="s">
        <v>84</v>
      </c>
      <c r="T484" s="27">
        <v>16</v>
      </c>
      <c r="U484" s="27">
        <v>60</v>
      </c>
      <c r="V484" s="27">
        <v>5</v>
      </c>
      <c r="W484" s="27">
        <v>912</v>
      </c>
      <c r="X484" s="27">
        <v>2</v>
      </c>
      <c r="Y484" s="27" t="s">
        <v>31</v>
      </c>
      <c r="Z484" s="27" t="s">
        <v>80</v>
      </c>
      <c r="AA484" s="27" t="s">
        <v>93</v>
      </c>
      <c r="AB484" s="27">
        <v>9296075245</v>
      </c>
      <c r="AC484" s="27" t="s">
        <v>53</v>
      </c>
    </row>
    <row r="485" spans="8:29" ht="29.5" thickBot="1" x14ac:dyDescent="0.4">
      <c r="H485" s="30" t="s">
        <v>602</v>
      </c>
      <c r="I485" s="30" t="s">
        <v>156</v>
      </c>
      <c r="J485" s="30" t="s">
        <v>46</v>
      </c>
      <c r="K485" s="31">
        <v>45963</v>
      </c>
      <c r="L485" s="31">
        <v>45965</v>
      </c>
      <c r="M485" s="30" t="s">
        <v>106</v>
      </c>
      <c r="N485" s="30" t="s">
        <v>58</v>
      </c>
      <c r="O485" s="31">
        <v>30121</v>
      </c>
      <c r="P485" s="30" t="s">
        <v>79</v>
      </c>
      <c r="Q485" s="30" t="s">
        <v>75</v>
      </c>
      <c r="R485" s="30" t="s">
        <v>39</v>
      </c>
      <c r="S485" s="30" t="s">
        <v>49</v>
      </c>
      <c r="T485" s="30">
        <v>18</v>
      </c>
      <c r="U485" s="30">
        <v>55000</v>
      </c>
      <c r="V485" s="30">
        <v>0</v>
      </c>
      <c r="W485" s="30">
        <v>990000</v>
      </c>
      <c r="X485" s="30">
        <v>5</v>
      </c>
      <c r="Y485" s="30" t="s">
        <v>41</v>
      </c>
      <c r="Z485" s="30" t="s">
        <v>42</v>
      </c>
      <c r="AA485" s="30" t="s">
        <v>158</v>
      </c>
      <c r="AB485" s="30">
        <v>9316770206</v>
      </c>
      <c r="AC485" s="30" t="s">
        <v>52</v>
      </c>
    </row>
    <row r="486" spans="8:29" ht="15" thickBot="1" x14ac:dyDescent="0.4">
      <c r="H486" s="27" t="s">
        <v>603</v>
      </c>
      <c r="I486" s="27" t="s">
        <v>23</v>
      </c>
      <c r="J486" s="27" t="s">
        <v>56</v>
      </c>
      <c r="K486" s="28">
        <v>45948</v>
      </c>
      <c r="L486" s="28">
        <v>45952</v>
      </c>
      <c r="M486" s="27" t="s">
        <v>25</v>
      </c>
      <c r="N486" s="27" t="s">
        <v>26</v>
      </c>
      <c r="O486" s="28">
        <v>36334</v>
      </c>
      <c r="P486" s="27" t="s">
        <v>48</v>
      </c>
      <c r="Q486" s="27" t="s">
        <v>28</v>
      </c>
      <c r="R486" s="27" t="s">
        <v>39</v>
      </c>
      <c r="S486" s="27" t="s">
        <v>59</v>
      </c>
      <c r="T486" s="27">
        <v>17</v>
      </c>
      <c r="U486" s="27">
        <v>1200</v>
      </c>
      <c r="V486" s="27">
        <v>5</v>
      </c>
      <c r="W486" s="27">
        <v>19380</v>
      </c>
      <c r="X486" s="27">
        <v>1</v>
      </c>
      <c r="Y486" s="27" t="s">
        <v>41</v>
      </c>
      <c r="Z486" s="27" t="s">
        <v>32</v>
      </c>
      <c r="AA486" s="27" t="s">
        <v>43</v>
      </c>
      <c r="AB486" s="27">
        <v>9706553861</v>
      </c>
      <c r="AC486" s="27" t="s">
        <v>52</v>
      </c>
    </row>
    <row r="487" spans="8:29" ht="15" thickBot="1" x14ac:dyDescent="0.4">
      <c r="H487" s="30" t="s">
        <v>604</v>
      </c>
      <c r="I487" s="30" t="s">
        <v>45</v>
      </c>
      <c r="J487" s="30" t="s">
        <v>46</v>
      </c>
      <c r="K487" s="31">
        <v>45774</v>
      </c>
      <c r="L487" s="31">
        <v>45782</v>
      </c>
      <c r="M487" s="30" t="s">
        <v>101</v>
      </c>
      <c r="N487" s="30" t="s">
        <v>26</v>
      </c>
      <c r="O487" s="31">
        <v>36924</v>
      </c>
      <c r="P487" s="30" t="s">
        <v>79</v>
      </c>
      <c r="Q487" s="30" t="s">
        <v>75</v>
      </c>
      <c r="R487" s="30" t="s">
        <v>39</v>
      </c>
      <c r="S487" s="30" t="s">
        <v>49</v>
      </c>
      <c r="T487" s="30">
        <v>11</v>
      </c>
      <c r="U487" s="30">
        <v>55000</v>
      </c>
      <c r="V487" s="30">
        <v>0</v>
      </c>
      <c r="W487" s="30">
        <v>605000</v>
      </c>
      <c r="X487" s="30">
        <v>2</v>
      </c>
      <c r="Y487" s="30" t="s">
        <v>31</v>
      </c>
      <c r="Z487" s="30" t="s">
        <v>50</v>
      </c>
      <c r="AA487" s="30" t="s">
        <v>51</v>
      </c>
      <c r="AB487" s="30">
        <v>9524904662</v>
      </c>
      <c r="AC487" s="30" t="s">
        <v>52</v>
      </c>
    </row>
    <row r="488" spans="8:29" ht="15" thickBot="1" x14ac:dyDescent="0.4">
      <c r="H488" s="27" t="s">
        <v>605</v>
      </c>
      <c r="I488" s="27" t="s">
        <v>134</v>
      </c>
      <c r="J488" s="27" t="s">
        <v>112</v>
      </c>
      <c r="K488" s="28">
        <v>45799</v>
      </c>
      <c r="L488" s="28">
        <v>45808</v>
      </c>
      <c r="M488" s="27" t="s">
        <v>135</v>
      </c>
      <c r="N488" s="27" t="s">
        <v>26</v>
      </c>
      <c r="O488" s="28">
        <v>36200</v>
      </c>
      <c r="P488" s="27" t="s">
        <v>37</v>
      </c>
      <c r="Q488" s="27" t="s">
        <v>38</v>
      </c>
      <c r="R488" s="27" t="s">
        <v>39</v>
      </c>
      <c r="S488" s="27" t="s">
        <v>114</v>
      </c>
      <c r="T488" s="27">
        <v>20</v>
      </c>
      <c r="U488" s="27">
        <v>700</v>
      </c>
      <c r="V488" s="27">
        <v>20</v>
      </c>
      <c r="W488" s="27">
        <v>11200</v>
      </c>
      <c r="X488" s="27">
        <v>5</v>
      </c>
      <c r="Y488" s="27" t="s">
        <v>41</v>
      </c>
      <c r="Z488" s="27" t="s">
        <v>50</v>
      </c>
      <c r="AA488" s="27" t="s">
        <v>136</v>
      </c>
      <c r="AB488" s="27">
        <v>9577624596</v>
      </c>
      <c r="AC488" s="21" t="s">
        <v>34</v>
      </c>
    </row>
    <row r="489" spans="8:29" ht="29.5" thickBot="1" x14ac:dyDescent="0.4">
      <c r="H489" s="30" t="s">
        <v>606</v>
      </c>
      <c r="I489" s="30" t="s">
        <v>55</v>
      </c>
      <c r="J489" s="30" t="s">
        <v>125</v>
      </c>
      <c r="K489" s="31">
        <v>46050</v>
      </c>
      <c r="L489" s="31">
        <v>46061</v>
      </c>
      <c r="M489" s="30" t="s">
        <v>57</v>
      </c>
      <c r="N489" s="30" t="s">
        <v>58</v>
      </c>
      <c r="O489" s="31">
        <v>32269</v>
      </c>
      <c r="P489" s="30" t="s">
        <v>37</v>
      </c>
      <c r="Q489" s="30" t="s">
        <v>38</v>
      </c>
      <c r="R489" s="30" t="s">
        <v>83</v>
      </c>
      <c r="S489" s="30" t="s">
        <v>127</v>
      </c>
      <c r="T489" s="30">
        <v>5</v>
      </c>
      <c r="U489" s="30">
        <v>20</v>
      </c>
      <c r="V489" s="30">
        <v>5</v>
      </c>
      <c r="W489" s="30">
        <v>95</v>
      </c>
      <c r="X489" s="30">
        <v>4</v>
      </c>
      <c r="Y489" s="30" t="s">
        <v>31</v>
      </c>
      <c r="Z489" s="30" t="s">
        <v>42</v>
      </c>
      <c r="AA489" s="30" t="s">
        <v>61</v>
      </c>
      <c r="AB489" s="30">
        <v>9898452436</v>
      </c>
      <c r="AC489" s="30" t="s">
        <v>53</v>
      </c>
    </row>
    <row r="490" spans="8:29" ht="29.5" thickBot="1" x14ac:dyDescent="0.4">
      <c r="H490" s="27" t="s">
        <v>607</v>
      </c>
      <c r="I490" s="27" t="s">
        <v>156</v>
      </c>
      <c r="J490" s="27" t="s">
        <v>46</v>
      </c>
      <c r="K490" s="28">
        <v>45692</v>
      </c>
      <c r="L490" s="28">
        <v>45699</v>
      </c>
      <c r="M490" s="27" t="s">
        <v>106</v>
      </c>
      <c r="N490" s="27" t="s">
        <v>58</v>
      </c>
      <c r="O490" s="28">
        <v>27437</v>
      </c>
      <c r="P490" s="27" t="s">
        <v>74</v>
      </c>
      <c r="Q490" s="27" t="s">
        <v>75</v>
      </c>
      <c r="R490" s="27" t="s">
        <v>39</v>
      </c>
      <c r="S490" s="27" t="s">
        <v>49</v>
      </c>
      <c r="T490" s="27">
        <v>13</v>
      </c>
      <c r="U490" s="27">
        <v>55000</v>
      </c>
      <c r="V490" s="27">
        <v>5</v>
      </c>
      <c r="W490" s="27">
        <v>679250</v>
      </c>
      <c r="X490" s="27">
        <v>1</v>
      </c>
      <c r="Y490" s="27" t="s">
        <v>41</v>
      </c>
      <c r="Z490" s="27" t="s">
        <v>42</v>
      </c>
      <c r="AA490" s="27" t="s">
        <v>158</v>
      </c>
      <c r="AB490" s="27">
        <v>9960757012</v>
      </c>
      <c r="AC490" s="27" t="s">
        <v>52</v>
      </c>
    </row>
    <row r="491" spans="8:29" ht="15" thickBot="1" x14ac:dyDescent="0.4">
      <c r="H491" s="30" t="s">
        <v>608</v>
      </c>
      <c r="I491" s="30" t="s">
        <v>87</v>
      </c>
      <c r="J491" s="30" t="s">
        <v>46</v>
      </c>
      <c r="K491" s="31">
        <v>45766</v>
      </c>
      <c r="L491" s="31">
        <v>45767</v>
      </c>
      <c r="M491" s="30" t="s">
        <v>88</v>
      </c>
      <c r="N491" s="30" t="s">
        <v>58</v>
      </c>
      <c r="O491" s="31">
        <v>37987</v>
      </c>
      <c r="P491" s="30" t="s">
        <v>147</v>
      </c>
      <c r="Q491" s="30" t="s">
        <v>148</v>
      </c>
      <c r="R491" s="30" t="s">
        <v>39</v>
      </c>
      <c r="S491" s="30" t="s">
        <v>49</v>
      </c>
      <c r="T491" s="30">
        <v>12</v>
      </c>
      <c r="U491" s="30">
        <v>55000</v>
      </c>
      <c r="V491" s="30">
        <v>5</v>
      </c>
      <c r="W491" s="30">
        <v>627000</v>
      </c>
      <c r="X491" s="30">
        <v>1</v>
      </c>
      <c r="Y491" s="30" t="s">
        <v>41</v>
      </c>
      <c r="Z491" s="30" t="s">
        <v>80</v>
      </c>
      <c r="AA491" s="30" t="s">
        <v>89</v>
      </c>
      <c r="AB491" s="30">
        <v>9331268182</v>
      </c>
      <c r="AC491" s="30" t="s">
        <v>53</v>
      </c>
    </row>
    <row r="492" spans="8:29" ht="15" thickBot="1" x14ac:dyDescent="0.4">
      <c r="H492" s="27" t="s">
        <v>609</v>
      </c>
      <c r="I492" s="27" t="s">
        <v>45</v>
      </c>
      <c r="J492" s="27" t="s">
        <v>138</v>
      </c>
      <c r="K492" s="28">
        <v>45678</v>
      </c>
      <c r="L492" s="28">
        <v>45685</v>
      </c>
      <c r="M492" s="27" t="s">
        <v>101</v>
      </c>
      <c r="N492" s="27" t="s">
        <v>26</v>
      </c>
      <c r="O492" s="28">
        <v>37126</v>
      </c>
      <c r="P492" s="27" t="s">
        <v>74</v>
      </c>
      <c r="Q492" s="27" t="s">
        <v>75</v>
      </c>
      <c r="R492" s="27" t="s">
        <v>83</v>
      </c>
      <c r="S492" s="27" t="s">
        <v>139</v>
      </c>
      <c r="T492" s="27">
        <v>16</v>
      </c>
      <c r="U492" s="27">
        <v>45</v>
      </c>
      <c r="V492" s="27">
        <v>20</v>
      </c>
      <c r="W492" s="27">
        <v>576</v>
      </c>
      <c r="X492" s="27">
        <v>2</v>
      </c>
      <c r="Y492" s="27" t="s">
        <v>31</v>
      </c>
      <c r="Z492" s="27" t="s">
        <v>42</v>
      </c>
      <c r="AA492" s="27" t="s">
        <v>51</v>
      </c>
      <c r="AB492" s="27">
        <v>9135996862</v>
      </c>
      <c r="AC492" s="27" t="s">
        <v>52</v>
      </c>
    </row>
    <row r="493" spans="8:29" ht="15" thickBot="1" x14ac:dyDescent="0.4">
      <c r="H493" s="30" t="s">
        <v>610</v>
      </c>
      <c r="I493" s="30" t="s">
        <v>23</v>
      </c>
      <c r="J493" s="30" t="s">
        <v>56</v>
      </c>
      <c r="K493" s="31">
        <v>45918</v>
      </c>
      <c r="L493" s="31">
        <v>45927</v>
      </c>
      <c r="M493" s="30" t="s">
        <v>25</v>
      </c>
      <c r="N493" s="30" t="s">
        <v>26</v>
      </c>
      <c r="O493" s="31">
        <v>35818</v>
      </c>
      <c r="P493" s="30" t="s">
        <v>48</v>
      </c>
      <c r="Q493" s="30" t="s">
        <v>28</v>
      </c>
      <c r="R493" s="30" t="s">
        <v>39</v>
      </c>
      <c r="S493" s="30" t="s">
        <v>59</v>
      </c>
      <c r="T493" s="30">
        <v>5</v>
      </c>
      <c r="U493" s="30">
        <v>1200</v>
      </c>
      <c r="V493" s="30">
        <v>10</v>
      </c>
      <c r="W493" s="30">
        <v>5400</v>
      </c>
      <c r="X493" s="30">
        <v>1</v>
      </c>
      <c r="Y493" s="30" t="s">
        <v>31</v>
      </c>
      <c r="Z493" s="30"/>
      <c r="AA493" s="32" t="s">
        <v>611</v>
      </c>
      <c r="AB493" s="30">
        <v>9540813143</v>
      </c>
      <c r="AC493" s="22" t="s">
        <v>34</v>
      </c>
    </row>
    <row r="494" spans="8:29" ht="15" thickBot="1" x14ac:dyDescent="0.4">
      <c r="H494" s="27" t="s">
        <v>612</v>
      </c>
      <c r="I494" s="27" t="s">
        <v>104</v>
      </c>
      <c r="J494" s="27" t="s">
        <v>138</v>
      </c>
      <c r="K494" s="28">
        <v>45949</v>
      </c>
      <c r="L494" s="28">
        <v>45950</v>
      </c>
      <c r="M494" s="27" t="s">
        <v>166</v>
      </c>
      <c r="N494" s="27" t="s">
        <v>26</v>
      </c>
      <c r="O494" s="28">
        <v>38135</v>
      </c>
      <c r="P494" s="27" t="s">
        <v>147</v>
      </c>
      <c r="Q494" s="27" t="s">
        <v>148</v>
      </c>
      <c r="R494" s="27" t="s">
        <v>83</v>
      </c>
      <c r="S494" s="27" t="s">
        <v>139</v>
      </c>
      <c r="T494" s="27">
        <v>2</v>
      </c>
      <c r="U494" s="27">
        <v>45</v>
      </c>
      <c r="V494" s="27">
        <v>10</v>
      </c>
      <c r="W494" s="27">
        <v>81</v>
      </c>
      <c r="X494" s="27">
        <v>4</v>
      </c>
      <c r="Y494" s="27" t="s">
        <v>65</v>
      </c>
      <c r="Z494" s="27" t="s">
        <v>42</v>
      </c>
      <c r="AA494" s="27" t="s">
        <v>108</v>
      </c>
      <c r="AB494" s="27">
        <v>9910913552</v>
      </c>
      <c r="AC494" s="27" t="s">
        <v>52</v>
      </c>
    </row>
    <row r="495" spans="8:29" ht="15" thickBot="1" x14ac:dyDescent="0.4">
      <c r="H495" s="30" t="s">
        <v>613</v>
      </c>
      <c r="I495" s="30" t="s">
        <v>87</v>
      </c>
      <c r="J495" s="30" t="s">
        <v>36</v>
      </c>
      <c r="K495" s="31">
        <v>46034</v>
      </c>
      <c r="L495" s="31">
        <v>46040</v>
      </c>
      <c r="M495" s="30" t="s">
        <v>88</v>
      </c>
      <c r="N495" s="30" t="s">
        <v>58</v>
      </c>
      <c r="O495" s="31">
        <v>31112</v>
      </c>
      <c r="P495" s="30" t="s">
        <v>91</v>
      </c>
      <c r="Q495" s="30" t="s">
        <v>75</v>
      </c>
      <c r="R495" s="30" t="s">
        <v>39</v>
      </c>
      <c r="S495" s="30" t="s">
        <v>40</v>
      </c>
      <c r="T495" s="30">
        <v>3</v>
      </c>
      <c r="U495" s="30">
        <v>12000</v>
      </c>
      <c r="V495" s="30">
        <v>0</v>
      </c>
      <c r="W495" s="30">
        <v>36000</v>
      </c>
      <c r="X495" s="30">
        <v>2</v>
      </c>
      <c r="Y495" s="30" t="s">
        <v>65</v>
      </c>
      <c r="Z495" s="30" t="s">
        <v>96</v>
      </c>
      <c r="AA495" s="30" t="s">
        <v>89</v>
      </c>
      <c r="AB495" s="30">
        <v>9282751683</v>
      </c>
      <c r="AC495" s="30" t="s">
        <v>52</v>
      </c>
    </row>
    <row r="496" spans="8:29" ht="15" thickBot="1" x14ac:dyDescent="0.4">
      <c r="H496" s="27" t="s">
        <v>614</v>
      </c>
      <c r="I496" s="27" t="s">
        <v>23</v>
      </c>
      <c r="J496" s="27" t="s">
        <v>36</v>
      </c>
      <c r="K496" s="28">
        <v>45683</v>
      </c>
      <c r="L496" s="28">
        <v>45689</v>
      </c>
      <c r="M496" s="27" t="s">
        <v>25</v>
      </c>
      <c r="N496" s="27" t="s">
        <v>26</v>
      </c>
      <c r="O496" s="28">
        <v>31661</v>
      </c>
      <c r="P496" s="27" t="s">
        <v>48</v>
      </c>
      <c r="Q496" s="27" t="s">
        <v>28</v>
      </c>
      <c r="R496" s="27" t="s">
        <v>39</v>
      </c>
      <c r="S496" s="27" t="s">
        <v>40</v>
      </c>
      <c r="T496" s="27">
        <v>3</v>
      </c>
      <c r="U496" s="27">
        <v>12000</v>
      </c>
      <c r="V496" s="27">
        <v>20</v>
      </c>
      <c r="W496" s="27">
        <v>28800</v>
      </c>
      <c r="X496" s="27">
        <v>3</v>
      </c>
      <c r="Y496" s="27" t="s">
        <v>65</v>
      </c>
      <c r="Z496" s="27" t="s">
        <v>80</v>
      </c>
      <c r="AA496" s="27" t="s">
        <v>43</v>
      </c>
      <c r="AB496" s="27">
        <v>9939332058</v>
      </c>
      <c r="AC496" s="21" t="s">
        <v>34</v>
      </c>
    </row>
    <row r="497" spans="8:29" ht="15" thickBot="1" x14ac:dyDescent="0.4">
      <c r="H497" s="30" t="s">
        <v>615</v>
      </c>
      <c r="I497" s="30" t="s">
        <v>87</v>
      </c>
      <c r="J497" s="30" t="s">
        <v>105</v>
      </c>
      <c r="K497" s="31">
        <v>46119</v>
      </c>
      <c r="L497" s="31">
        <v>46120</v>
      </c>
      <c r="M497" s="30" t="s">
        <v>88</v>
      </c>
      <c r="N497" s="30" t="s">
        <v>58</v>
      </c>
      <c r="O497" s="31">
        <v>29819</v>
      </c>
      <c r="P497" s="30" t="s">
        <v>147</v>
      </c>
      <c r="Q497" s="30" t="s">
        <v>148</v>
      </c>
      <c r="R497" s="30" t="s">
        <v>29</v>
      </c>
      <c r="S497" s="30" t="s">
        <v>107</v>
      </c>
      <c r="T497" s="30">
        <v>9</v>
      </c>
      <c r="U497" s="30">
        <v>8500</v>
      </c>
      <c r="V497" s="30">
        <v>15</v>
      </c>
      <c r="W497" s="30">
        <v>65025</v>
      </c>
      <c r="X497" s="30">
        <v>5</v>
      </c>
      <c r="Y497" s="30" t="s">
        <v>31</v>
      </c>
      <c r="Z497" s="30" t="s">
        <v>42</v>
      </c>
      <c r="AA497" s="30" t="s">
        <v>89</v>
      </c>
      <c r="AB497" s="30">
        <v>9780626473</v>
      </c>
      <c r="AC497" s="30" t="s">
        <v>52</v>
      </c>
    </row>
    <row r="498" spans="8:29" ht="29.5" thickBot="1" x14ac:dyDescent="0.4">
      <c r="H498" s="27" t="s">
        <v>616</v>
      </c>
      <c r="I498" s="27" t="s">
        <v>55</v>
      </c>
      <c r="J498" s="27" t="s">
        <v>112</v>
      </c>
      <c r="K498" s="28">
        <v>45834</v>
      </c>
      <c r="L498" s="28">
        <v>45844</v>
      </c>
      <c r="M498" s="27" t="s">
        <v>617</v>
      </c>
      <c r="N498" s="27" t="s">
        <v>58</v>
      </c>
      <c r="O498" s="28">
        <v>33717</v>
      </c>
      <c r="P498" s="27" t="s">
        <v>147</v>
      </c>
      <c r="Q498" s="27" t="s">
        <v>148</v>
      </c>
      <c r="R498" s="27" t="s">
        <v>39</v>
      </c>
      <c r="S498" s="27" t="s">
        <v>114</v>
      </c>
      <c r="T498" s="27">
        <v>17</v>
      </c>
      <c r="U498" s="27">
        <v>700</v>
      </c>
      <c r="V498" s="27">
        <v>0</v>
      </c>
      <c r="W498" s="27">
        <v>11900</v>
      </c>
      <c r="X498" s="27">
        <v>2</v>
      </c>
      <c r="Y498" s="27" t="s">
        <v>31</v>
      </c>
      <c r="Z498" s="27" t="s">
        <v>50</v>
      </c>
      <c r="AA498" s="27" t="s">
        <v>61</v>
      </c>
      <c r="AB498" s="27">
        <v>9347298020</v>
      </c>
      <c r="AC498" s="27" t="s">
        <v>53</v>
      </c>
    </row>
    <row r="499" spans="8:29" ht="15" thickBot="1" x14ac:dyDescent="0.4">
      <c r="H499" s="30" t="s">
        <v>618</v>
      </c>
      <c r="I499" s="30" t="s">
        <v>23</v>
      </c>
      <c r="J499" s="30" t="s">
        <v>112</v>
      </c>
      <c r="K499" s="31">
        <v>45846</v>
      </c>
      <c r="L499" s="31">
        <v>45856</v>
      </c>
      <c r="M499" s="30" t="s">
        <v>25</v>
      </c>
      <c r="N499" s="30" t="s">
        <v>26</v>
      </c>
      <c r="O499" s="31">
        <v>33422</v>
      </c>
      <c r="P499" s="30" t="s">
        <v>27</v>
      </c>
      <c r="Q499" s="30" t="s">
        <v>28</v>
      </c>
      <c r="R499" s="30" t="s">
        <v>39</v>
      </c>
      <c r="S499" s="30" t="s">
        <v>114</v>
      </c>
      <c r="T499" s="30">
        <v>20</v>
      </c>
      <c r="U499" s="30">
        <v>700</v>
      </c>
      <c r="V499" s="30">
        <v>5</v>
      </c>
      <c r="W499" s="30">
        <v>13300</v>
      </c>
      <c r="X499" s="30">
        <v>2</v>
      </c>
      <c r="Y499" s="30" t="s">
        <v>65</v>
      </c>
      <c r="Z499" s="30" t="s">
        <v>32</v>
      </c>
      <c r="AA499" s="30" t="s">
        <v>43</v>
      </c>
      <c r="AB499" s="30">
        <v>9345328522</v>
      </c>
      <c r="AC499" s="22" t="s">
        <v>34</v>
      </c>
    </row>
    <row r="500" spans="8:29" ht="29.5" thickBot="1" x14ac:dyDescent="0.4">
      <c r="H500" s="27" t="s">
        <v>619</v>
      </c>
      <c r="I500" s="27" t="s">
        <v>156</v>
      </c>
      <c r="J500" s="27" t="s">
        <v>56</v>
      </c>
      <c r="K500" s="28">
        <v>46092</v>
      </c>
      <c r="L500" s="28">
        <v>46102</v>
      </c>
      <c r="M500" s="27" t="s">
        <v>106</v>
      </c>
      <c r="N500" s="27" t="s">
        <v>58</v>
      </c>
      <c r="O500" s="28">
        <v>28526</v>
      </c>
      <c r="P500" s="27" t="s">
        <v>91</v>
      </c>
      <c r="Q500" s="27" t="s">
        <v>75</v>
      </c>
      <c r="R500" s="27" t="s">
        <v>39</v>
      </c>
      <c r="S500" s="27" t="s">
        <v>59</v>
      </c>
      <c r="T500" s="27">
        <v>13</v>
      </c>
      <c r="U500" s="27">
        <v>1200</v>
      </c>
      <c r="V500" s="27">
        <v>20</v>
      </c>
      <c r="W500" s="27">
        <v>12480</v>
      </c>
      <c r="X500" s="27">
        <v>5</v>
      </c>
      <c r="Y500" s="27" t="s">
        <v>60</v>
      </c>
      <c r="Z500" s="27" t="s">
        <v>80</v>
      </c>
      <c r="AA500" s="27" t="s">
        <v>158</v>
      </c>
      <c r="AB500" s="27">
        <v>9160310438</v>
      </c>
      <c r="AC500" s="21" t="s">
        <v>34</v>
      </c>
    </row>
    <row r="501" spans="8:29" ht="15" thickBot="1" x14ac:dyDescent="0.4">
      <c r="H501" s="30" t="s">
        <v>620</v>
      </c>
      <c r="I501" s="30" t="s">
        <v>72</v>
      </c>
      <c r="J501" s="30" t="s">
        <v>46</v>
      </c>
      <c r="K501" s="31">
        <v>46104</v>
      </c>
      <c r="L501" s="31">
        <v>46110</v>
      </c>
      <c r="M501" s="30" t="s">
        <v>73</v>
      </c>
      <c r="N501" s="30" t="s">
        <v>26</v>
      </c>
      <c r="O501" s="31">
        <v>36359</v>
      </c>
      <c r="P501" s="30" t="s">
        <v>121</v>
      </c>
      <c r="Q501" s="30" t="s">
        <v>38</v>
      </c>
      <c r="R501" s="30" t="s">
        <v>39</v>
      </c>
      <c r="S501" s="30" t="s">
        <v>49</v>
      </c>
      <c r="T501" s="30">
        <v>20</v>
      </c>
      <c r="U501" s="30">
        <v>55000</v>
      </c>
      <c r="V501" s="30">
        <v>10</v>
      </c>
      <c r="W501" s="30">
        <v>990000</v>
      </c>
      <c r="X501" s="30">
        <v>1</v>
      </c>
      <c r="Y501" s="30" t="s">
        <v>65</v>
      </c>
      <c r="Z501" s="30" t="s">
        <v>32</v>
      </c>
      <c r="AA501" s="30" t="s">
        <v>93</v>
      </c>
      <c r="AB501" s="30">
        <v>9343776153</v>
      </c>
      <c r="AC501" s="30" t="s">
        <v>52</v>
      </c>
    </row>
    <row r="502" spans="8:29" ht="15" thickBot="1" x14ac:dyDescent="0.4">
      <c r="H502" s="27" t="s">
        <v>621</v>
      </c>
      <c r="I502" s="27" t="s">
        <v>134</v>
      </c>
      <c r="J502" s="27" t="s">
        <v>56</v>
      </c>
      <c r="K502" s="28">
        <v>45961</v>
      </c>
      <c r="L502" s="28">
        <v>45966</v>
      </c>
      <c r="M502" s="27" t="s">
        <v>135</v>
      </c>
      <c r="N502" s="27" t="s">
        <v>26</v>
      </c>
      <c r="O502" s="28">
        <v>32236</v>
      </c>
      <c r="P502" s="27" t="s">
        <v>147</v>
      </c>
      <c r="Q502" s="27" t="s">
        <v>148</v>
      </c>
      <c r="R502" s="27" t="s">
        <v>39</v>
      </c>
      <c r="S502" s="27" t="s">
        <v>59</v>
      </c>
      <c r="T502" s="27">
        <v>8</v>
      </c>
      <c r="U502" s="27">
        <v>1200</v>
      </c>
      <c r="V502" s="27">
        <v>0</v>
      </c>
      <c r="W502" s="27">
        <v>9600</v>
      </c>
      <c r="X502" s="27">
        <v>2</v>
      </c>
      <c r="Y502" s="27" t="s">
        <v>41</v>
      </c>
      <c r="Z502" s="27" t="s">
        <v>96</v>
      </c>
      <c r="AA502" s="27" t="s">
        <v>136</v>
      </c>
      <c r="AB502" s="27">
        <v>9458599727</v>
      </c>
      <c r="AC502" s="21" t="s">
        <v>34</v>
      </c>
    </row>
    <row r="503" spans="8:29" ht="15" thickBot="1" x14ac:dyDescent="0.4">
      <c r="H503" s="30" t="s">
        <v>622</v>
      </c>
      <c r="I503" s="30" t="s">
        <v>45</v>
      </c>
      <c r="J503" s="30" t="s">
        <v>125</v>
      </c>
      <c r="K503" s="31">
        <v>46147</v>
      </c>
      <c r="L503" s="31">
        <v>46151</v>
      </c>
      <c r="M503" s="30" t="s">
        <v>101</v>
      </c>
      <c r="N503" s="30" t="s">
        <v>26</v>
      </c>
      <c r="O503" s="31">
        <v>28805</v>
      </c>
      <c r="P503" s="30" t="s">
        <v>147</v>
      </c>
      <c r="Q503" s="30" t="s">
        <v>148</v>
      </c>
      <c r="R503" s="30" t="s">
        <v>83</v>
      </c>
      <c r="S503" s="30" t="s">
        <v>127</v>
      </c>
      <c r="T503" s="30">
        <v>18</v>
      </c>
      <c r="U503" s="30">
        <v>20</v>
      </c>
      <c r="V503" s="30">
        <v>10</v>
      </c>
      <c r="W503" s="30">
        <v>324</v>
      </c>
      <c r="X503" s="30">
        <v>5</v>
      </c>
      <c r="Y503" s="30" t="s">
        <v>60</v>
      </c>
      <c r="Z503" s="30"/>
      <c r="AA503" s="32" t="s">
        <v>623</v>
      </c>
      <c r="AB503" s="30">
        <v>9218660140</v>
      </c>
      <c r="AC503" s="30" t="s">
        <v>52</v>
      </c>
    </row>
    <row r="504" spans="8:29" ht="15" thickBot="1" x14ac:dyDescent="0.4">
      <c r="H504" s="27" t="s">
        <v>624</v>
      </c>
      <c r="I504" s="27" t="s">
        <v>104</v>
      </c>
      <c r="J504" s="27" t="s">
        <v>36</v>
      </c>
      <c r="K504" s="28">
        <v>45711</v>
      </c>
      <c r="L504" s="28">
        <v>45723</v>
      </c>
      <c r="M504" s="27" t="s">
        <v>166</v>
      </c>
      <c r="N504" s="27" t="s">
        <v>26</v>
      </c>
      <c r="O504" s="28">
        <v>34426</v>
      </c>
      <c r="P504" s="27" t="s">
        <v>79</v>
      </c>
      <c r="Q504" s="27" t="s">
        <v>75</v>
      </c>
      <c r="R504" s="27" t="s">
        <v>39</v>
      </c>
      <c r="S504" s="27" t="s">
        <v>40</v>
      </c>
      <c r="T504" s="27">
        <v>11</v>
      </c>
      <c r="U504" s="27">
        <v>12000</v>
      </c>
      <c r="V504" s="27">
        <v>10</v>
      </c>
      <c r="W504" s="27">
        <v>118800</v>
      </c>
      <c r="X504" s="27">
        <v>1</v>
      </c>
      <c r="Y504" s="27" t="s">
        <v>60</v>
      </c>
      <c r="Z504" s="27" t="s">
        <v>42</v>
      </c>
      <c r="AA504" s="27" t="s">
        <v>108</v>
      </c>
      <c r="AB504" s="27">
        <v>9341979199</v>
      </c>
      <c r="AC504" s="27" t="s">
        <v>53</v>
      </c>
    </row>
    <row r="505" spans="8:29" ht="29.5" thickBot="1" x14ac:dyDescent="0.4">
      <c r="H505" s="30" t="s">
        <v>625</v>
      </c>
      <c r="I505" s="30" t="s">
        <v>156</v>
      </c>
      <c r="J505" s="30" t="s">
        <v>105</v>
      </c>
      <c r="K505" s="31">
        <v>45672</v>
      </c>
      <c r="L505" s="31">
        <v>45674</v>
      </c>
      <c r="M505" s="30" t="s">
        <v>106</v>
      </c>
      <c r="N505" s="30" t="s">
        <v>58</v>
      </c>
      <c r="O505" s="31">
        <v>34098</v>
      </c>
      <c r="P505" s="30" t="s">
        <v>27</v>
      </c>
      <c r="Q505" s="30" t="s">
        <v>28</v>
      </c>
      <c r="R505" s="30" t="s">
        <v>29</v>
      </c>
      <c r="S505" s="30" t="s">
        <v>107</v>
      </c>
      <c r="T505" s="30">
        <v>2</v>
      </c>
      <c r="U505" s="30">
        <v>8500</v>
      </c>
      <c r="V505" s="30">
        <v>5</v>
      </c>
      <c r="W505" s="30">
        <v>16150</v>
      </c>
      <c r="X505" s="30">
        <v>1</v>
      </c>
      <c r="Y505" s="30" t="s">
        <v>60</v>
      </c>
      <c r="Z505" s="30" t="s">
        <v>50</v>
      </c>
      <c r="AA505" s="30" t="s">
        <v>158</v>
      </c>
      <c r="AB505" s="30">
        <v>9823080381</v>
      </c>
      <c r="AC505" s="22" t="s">
        <v>34</v>
      </c>
    </row>
    <row r="506" spans="8:29" ht="15" thickBot="1" x14ac:dyDescent="0.4">
      <c r="H506" s="27" t="s">
        <v>626</v>
      </c>
      <c r="I506" s="27" t="s">
        <v>72</v>
      </c>
      <c r="J506" s="27" t="s">
        <v>24</v>
      </c>
      <c r="K506" s="28">
        <v>45746</v>
      </c>
      <c r="L506" s="28">
        <v>45755</v>
      </c>
      <c r="M506" s="27" t="s">
        <v>73</v>
      </c>
      <c r="N506" s="27" t="s">
        <v>26</v>
      </c>
      <c r="O506" s="28">
        <v>34526</v>
      </c>
      <c r="P506" s="27" t="s">
        <v>79</v>
      </c>
      <c r="Q506" s="27" t="s">
        <v>75</v>
      </c>
      <c r="R506" s="27" t="s">
        <v>29</v>
      </c>
      <c r="S506" s="27" t="s">
        <v>30</v>
      </c>
      <c r="T506" s="27">
        <v>7</v>
      </c>
      <c r="U506" s="27">
        <v>2200</v>
      </c>
      <c r="V506" s="27">
        <v>0</v>
      </c>
      <c r="W506" s="27">
        <v>15400</v>
      </c>
      <c r="X506" s="27">
        <v>5</v>
      </c>
      <c r="Y506" s="27" t="s">
        <v>41</v>
      </c>
      <c r="Z506" s="27" t="s">
        <v>32</v>
      </c>
      <c r="AA506" s="27" t="s">
        <v>93</v>
      </c>
      <c r="AB506" s="27">
        <v>9981183477</v>
      </c>
      <c r="AC506" s="27" t="s">
        <v>52</v>
      </c>
    </row>
    <row r="507" spans="8:29" ht="15" thickBot="1" x14ac:dyDescent="0.4">
      <c r="H507" s="30" t="s">
        <v>627</v>
      </c>
      <c r="I507" s="30" t="s">
        <v>63</v>
      </c>
      <c r="J507" s="30" t="s">
        <v>105</v>
      </c>
      <c r="K507" s="31">
        <v>46136</v>
      </c>
      <c r="L507" s="31">
        <v>46144</v>
      </c>
      <c r="M507" s="30" t="s">
        <v>110</v>
      </c>
      <c r="N507" s="30" t="s">
        <v>58</v>
      </c>
      <c r="O507" s="31">
        <v>30304</v>
      </c>
      <c r="P507" s="30" t="s">
        <v>37</v>
      </c>
      <c r="Q507" s="30" t="s">
        <v>38</v>
      </c>
      <c r="R507" s="30" t="s">
        <v>29</v>
      </c>
      <c r="S507" s="30" t="s">
        <v>107</v>
      </c>
      <c r="T507" s="30">
        <v>20</v>
      </c>
      <c r="U507" s="30">
        <v>8500</v>
      </c>
      <c r="V507" s="30">
        <v>0</v>
      </c>
      <c r="W507" s="30">
        <v>170000</v>
      </c>
      <c r="X507" s="30">
        <v>3</v>
      </c>
      <c r="Y507" s="30" t="s">
        <v>41</v>
      </c>
      <c r="Z507" s="30" t="s">
        <v>42</v>
      </c>
      <c r="AA507" s="30" t="s">
        <v>66</v>
      </c>
      <c r="AB507" s="30">
        <v>9281596011</v>
      </c>
      <c r="AC507" s="22" t="s">
        <v>34</v>
      </c>
    </row>
    <row r="508" spans="8:29" ht="15" thickBot="1" x14ac:dyDescent="0.4">
      <c r="H508" s="27" t="s">
        <v>628</v>
      </c>
      <c r="I508" s="27" t="s">
        <v>87</v>
      </c>
      <c r="J508" s="27" t="s">
        <v>56</v>
      </c>
      <c r="K508" s="28">
        <v>45858</v>
      </c>
      <c r="L508" s="28">
        <v>45867</v>
      </c>
      <c r="M508" s="27" t="s">
        <v>88</v>
      </c>
      <c r="N508" s="27" t="s">
        <v>58</v>
      </c>
      <c r="O508" s="28">
        <v>37197</v>
      </c>
      <c r="P508" s="27" t="s">
        <v>27</v>
      </c>
      <c r="Q508" s="27" t="s">
        <v>28</v>
      </c>
      <c r="R508" s="27" t="s">
        <v>39</v>
      </c>
      <c r="S508" s="27" t="s">
        <v>59</v>
      </c>
      <c r="T508" s="27">
        <v>11</v>
      </c>
      <c r="U508" s="27">
        <v>1200</v>
      </c>
      <c r="V508" s="27">
        <v>5</v>
      </c>
      <c r="W508" s="27">
        <v>12540</v>
      </c>
      <c r="X508" s="27">
        <v>2</v>
      </c>
      <c r="Y508" s="27" t="s">
        <v>31</v>
      </c>
      <c r="Z508" s="27" t="s">
        <v>32</v>
      </c>
      <c r="AA508" s="27" t="s">
        <v>89</v>
      </c>
      <c r="AB508" s="27">
        <v>9211734022</v>
      </c>
      <c r="AC508" s="27" t="s">
        <v>52</v>
      </c>
    </row>
    <row r="509" spans="8:29" ht="15" thickBot="1" x14ac:dyDescent="0.4">
      <c r="H509" s="30" t="s">
        <v>629</v>
      </c>
      <c r="I509" s="30" t="s">
        <v>63</v>
      </c>
      <c r="J509" s="30" t="s">
        <v>112</v>
      </c>
      <c r="K509" s="31">
        <v>45867</v>
      </c>
      <c r="L509" s="31">
        <v>45870</v>
      </c>
      <c r="M509" s="30" t="s">
        <v>110</v>
      </c>
      <c r="N509" s="30" t="s">
        <v>58</v>
      </c>
      <c r="O509" s="31">
        <v>37182</v>
      </c>
      <c r="P509" s="30" t="s">
        <v>91</v>
      </c>
      <c r="Q509" s="30" t="s">
        <v>75</v>
      </c>
      <c r="R509" s="30" t="s">
        <v>39</v>
      </c>
      <c r="S509" s="30" t="s">
        <v>114</v>
      </c>
      <c r="T509" s="30">
        <v>14</v>
      </c>
      <c r="U509" s="30">
        <v>700</v>
      </c>
      <c r="V509" s="30">
        <v>0</v>
      </c>
      <c r="W509" s="30">
        <v>9800</v>
      </c>
      <c r="X509" s="30">
        <v>2</v>
      </c>
      <c r="Y509" s="30" t="s">
        <v>60</v>
      </c>
      <c r="Z509" s="30" t="s">
        <v>96</v>
      </c>
      <c r="AA509" s="30" t="s">
        <v>66</v>
      </c>
      <c r="AB509" s="30">
        <v>9447151666</v>
      </c>
      <c r="AC509" s="30" t="s">
        <v>53</v>
      </c>
    </row>
    <row r="510" spans="8:29" ht="29.5" thickBot="1" x14ac:dyDescent="0.4">
      <c r="H510" s="27" t="s">
        <v>630</v>
      </c>
      <c r="I510" s="27" t="s">
        <v>55</v>
      </c>
      <c r="J510" s="27" t="s">
        <v>56</v>
      </c>
      <c r="K510" s="28">
        <v>45951</v>
      </c>
      <c r="L510" s="28">
        <v>45962</v>
      </c>
      <c r="M510" s="27" t="s">
        <v>57</v>
      </c>
      <c r="N510" s="27" t="s">
        <v>58</v>
      </c>
      <c r="O510" s="28">
        <v>36881</v>
      </c>
      <c r="P510" s="27" t="s">
        <v>79</v>
      </c>
      <c r="Q510" s="27" t="s">
        <v>75</v>
      </c>
      <c r="R510" s="27" t="s">
        <v>39</v>
      </c>
      <c r="S510" s="27" t="s">
        <v>59</v>
      </c>
      <c r="T510" s="27">
        <v>16</v>
      </c>
      <c r="U510" s="27">
        <v>1200</v>
      </c>
      <c r="V510" s="27">
        <v>15</v>
      </c>
      <c r="W510" s="27">
        <v>16320</v>
      </c>
      <c r="X510" s="27">
        <v>4</v>
      </c>
      <c r="Y510" s="27" t="s">
        <v>31</v>
      </c>
      <c r="Z510" s="27" t="s">
        <v>96</v>
      </c>
      <c r="AA510" s="27" t="s">
        <v>61</v>
      </c>
      <c r="AB510" s="27">
        <v>9345342793</v>
      </c>
      <c r="AC510" s="27" t="s">
        <v>52</v>
      </c>
    </row>
    <row r="511" spans="8:29" ht="15" thickBot="1" x14ac:dyDescent="0.4">
      <c r="H511" s="30" t="s">
        <v>631</v>
      </c>
      <c r="I511" s="30" t="s">
        <v>104</v>
      </c>
      <c r="J511" s="30" t="s">
        <v>24</v>
      </c>
      <c r="K511" s="31">
        <v>46098</v>
      </c>
      <c r="L511" s="31">
        <v>46110</v>
      </c>
      <c r="M511" s="30" t="s">
        <v>166</v>
      </c>
      <c r="N511" s="30" t="s">
        <v>26</v>
      </c>
      <c r="O511" s="31">
        <v>30367</v>
      </c>
      <c r="P511" s="30" t="s">
        <v>121</v>
      </c>
      <c r="Q511" s="30" t="s">
        <v>38</v>
      </c>
      <c r="R511" s="30" t="s">
        <v>29</v>
      </c>
      <c r="S511" s="30" t="s">
        <v>30</v>
      </c>
      <c r="T511" s="30">
        <v>20</v>
      </c>
      <c r="U511" s="30">
        <v>2200</v>
      </c>
      <c r="V511" s="30">
        <v>0</v>
      </c>
      <c r="W511" s="30">
        <v>44000</v>
      </c>
      <c r="X511" s="30">
        <v>5</v>
      </c>
      <c r="Y511" s="30" t="s">
        <v>31</v>
      </c>
      <c r="Z511" s="30" t="s">
        <v>32</v>
      </c>
      <c r="AA511" s="30" t="s">
        <v>108</v>
      </c>
      <c r="AB511" s="30">
        <v>9329668173</v>
      </c>
      <c r="AC511" s="30" t="s">
        <v>53</v>
      </c>
    </row>
    <row r="512" spans="8:29" ht="15" thickBot="1" x14ac:dyDescent="0.4">
      <c r="H512" s="27" t="s">
        <v>632</v>
      </c>
      <c r="I512" s="27" t="s">
        <v>63</v>
      </c>
      <c r="J512" s="27" t="s">
        <v>36</v>
      </c>
      <c r="K512" s="28">
        <v>45711</v>
      </c>
      <c r="L512" s="28">
        <v>45723</v>
      </c>
      <c r="M512" s="27" t="s">
        <v>110</v>
      </c>
      <c r="N512" s="27" t="s">
        <v>58</v>
      </c>
      <c r="O512" s="28">
        <v>32307</v>
      </c>
      <c r="P512" s="27" t="s">
        <v>121</v>
      </c>
      <c r="Q512" s="27" t="s">
        <v>38</v>
      </c>
      <c r="R512" s="27" t="s">
        <v>39</v>
      </c>
      <c r="S512" s="27" t="s">
        <v>40</v>
      </c>
      <c r="T512" s="27">
        <v>12</v>
      </c>
      <c r="U512" s="27">
        <v>12000</v>
      </c>
      <c r="V512" s="27">
        <v>15</v>
      </c>
      <c r="W512" s="27">
        <v>122400</v>
      </c>
      <c r="X512" s="27">
        <v>5</v>
      </c>
      <c r="Y512" s="27" t="s">
        <v>31</v>
      </c>
      <c r="Z512" s="27" t="s">
        <v>96</v>
      </c>
      <c r="AA512" s="27" t="s">
        <v>66</v>
      </c>
      <c r="AB512" s="27">
        <v>9294740227</v>
      </c>
      <c r="AC512" s="21" t="s">
        <v>34</v>
      </c>
    </row>
    <row r="513" spans="8:29" ht="15" thickBot="1" x14ac:dyDescent="0.4">
      <c r="H513" s="30" t="s">
        <v>633</v>
      </c>
      <c r="I513" s="30" t="s">
        <v>124</v>
      </c>
      <c r="J513" s="30" t="s">
        <v>56</v>
      </c>
      <c r="K513" s="31">
        <v>46002</v>
      </c>
      <c r="L513" s="31">
        <v>46011</v>
      </c>
      <c r="M513" s="30" t="s">
        <v>126</v>
      </c>
      <c r="N513" s="30" t="s">
        <v>58</v>
      </c>
      <c r="O513" s="31">
        <v>33807</v>
      </c>
      <c r="P513" s="30" t="s">
        <v>37</v>
      </c>
      <c r="Q513" s="30" t="s">
        <v>38</v>
      </c>
      <c r="R513" s="30" t="s">
        <v>39</v>
      </c>
      <c r="S513" s="30" t="s">
        <v>59</v>
      </c>
      <c r="T513" s="30">
        <v>3</v>
      </c>
      <c r="U513" s="30">
        <v>1200</v>
      </c>
      <c r="V513" s="30">
        <v>20</v>
      </c>
      <c r="W513" s="30">
        <v>2880</v>
      </c>
      <c r="X513" s="30">
        <v>2</v>
      </c>
      <c r="Y513" s="30" t="s">
        <v>41</v>
      </c>
      <c r="Z513" s="30" t="s">
        <v>80</v>
      </c>
      <c r="AA513" s="30" t="s">
        <v>298</v>
      </c>
      <c r="AB513" s="30">
        <v>9549426303</v>
      </c>
      <c r="AC513" s="30" t="s">
        <v>52</v>
      </c>
    </row>
    <row r="514" spans="8:29" ht="15" thickBot="1" x14ac:dyDescent="0.4">
      <c r="H514" s="27" t="s">
        <v>634</v>
      </c>
      <c r="I514" s="27" t="s">
        <v>72</v>
      </c>
      <c r="J514" s="27" t="s">
        <v>46</v>
      </c>
      <c r="K514" s="28">
        <v>45842</v>
      </c>
      <c r="L514" s="28">
        <v>45843</v>
      </c>
      <c r="M514" s="27" t="s">
        <v>73</v>
      </c>
      <c r="N514" s="27" t="s">
        <v>26</v>
      </c>
      <c r="O514" s="28">
        <v>29079</v>
      </c>
      <c r="P514" s="27" t="s">
        <v>74</v>
      </c>
      <c r="Q514" s="27" t="s">
        <v>75</v>
      </c>
      <c r="R514" s="27" t="s">
        <v>39</v>
      </c>
      <c r="S514" s="27" t="s">
        <v>635</v>
      </c>
      <c r="T514" s="27">
        <v>6</v>
      </c>
      <c r="U514" s="27">
        <v>55000</v>
      </c>
      <c r="V514" s="27">
        <v>20</v>
      </c>
      <c r="W514" s="27">
        <v>264000</v>
      </c>
      <c r="X514" s="27">
        <v>3</v>
      </c>
      <c r="Y514" s="27" t="s">
        <v>31</v>
      </c>
      <c r="Z514" s="27" t="s">
        <v>96</v>
      </c>
      <c r="AA514" s="27" t="s">
        <v>93</v>
      </c>
      <c r="AB514" s="27">
        <v>9374249303</v>
      </c>
      <c r="AC514" s="21" t="s">
        <v>34</v>
      </c>
    </row>
    <row r="515" spans="8:29" ht="15" thickBot="1" x14ac:dyDescent="0.4">
      <c r="H515" s="33" t="s">
        <v>636</v>
      </c>
      <c r="I515" s="33" t="s">
        <v>72</v>
      </c>
      <c r="J515" s="33" t="s">
        <v>68</v>
      </c>
      <c r="K515" s="34">
        <v>45916</v>
      </c>
      <c r="L515" s="34">
        <v>45923</v>
      </c>
      <c r="M515" s="33" t="s">
        <v>73</v>
      </c>
      <c r="N515" s="33" t="s">
        <v>26</v>
      </c>
      <c r="O515" s="34">
        <v>28088</v>
      </c>
      <c r="P515" s="33" t="s">
        <v>48</v>
      </c>
      <c r="Q515" s="33" t="s">
        <v>28</v>
      </c>
      <c r="R515" s="33" t="s">
        <v>29</v>
      </c>
      <c r="S515" s="33" t="s">
        <v>70</v>
      </c>
      <c r="T515" s="33">
        <v>20</v>
      </c>
      <c r="U515" s="33">
        <v>3500</v>
      </c>
      <c r="V515" s="33">
        <v>0</v>
      </c>
      <c r="W515" s="33">
        <v>70000</v>
      </c>
      <c r="X515" s="33">
        <v>1</v>
      </c>
      <c r="Y515" s="33" t="s">
        <v>41</v>
      </c>
      <c r="Z515" s="33" t="s">
        <v>96</v>
      </c>
      <c r="AA515" s="33" t="s">
        <v>93</v>
      </c>
      <c r="AB515" s="33">
        <v>9810334941</v>
      </c>
      <c r="AC515" s="33" t="s">
        <v>52</v>
      </c>
    </row>
  </sheetData>
  <mergeCells count="1">
    <mergeCell ref="B2:F2"/>
  </mergeCells>
  <hyperlinks>
    <hyperlink ref="AA16" r:id="rId1" display="mailto:KAvya.nair@company.com" xr:uid="{F7C02470-188B-4934-A0C9-85A651B4C1ED}"/>
    <hyperlink ref="AA19" r:id="rId2" display="mailto:kavya.nair@company.com" xr:uid="{8FF7954F-ED99-483E-AD0F-803D862F0BD1}"/>
    <hyperlink ref="AA23" r:id="rId3" display="mailto:priYa.patel@company.com" xr:uid="{3A1A64CA-8E1D-451D-9E74-668396AAD47E}"/>
    <hyperlink ref="AA25" r:id="rId4" display="mailto:PRiya.patel@company.com" xr:uid="{A2FA7625-05F0-40C2-B3C9-8EF39191DBEA}"/>
    <hyperlink ref="AA29" r:id="rId5" display="mailto:rOhit.singh@company.com" xr:uid="{5147E26E-785E-479E-BBB0-E81A781CA03B}"/>
    <hyperlink ref="AA30" r:id="rId6" display="mailto:kavya.nair@company.com" xr:uid="{0CCCF080-D855-467C-B5A9-6DEC39950A07}"/>
    <hyperlink ref="AA34" r:id="rId7" display="mailto:arjun.Rao@company.com" xr:uid="{081F246E-8AB0-4E82-98E3-FAC38142981B}"/>
    <hyperlink ref="AA75" r:id="rId8" display="mailto:Vikas.mehta@company.com" xr:uid="{871E1ACC-42CF-4098-8481-FBB9D38E3E43}"/>
    <hyperlink ref="AA86" r:id="rId9" display="mailto:Anita.gupta@company.com" xr:uid="{65FD9715-96F2-47C0-8E5E-52E0669E609A}"/>
    <hyperlink ref="AA308" r:id="rId10" display="mailto:Pooja.shah@company.com" xr:uid="{F9DE6CAD-AD64-4837-B70A-966CA186ADE4}"/>
    <hyperlink ref="AA464" r:id="rId11" display="mailto:amit.SHarma@company.com" xr:uid="{0396E33F-B326-43FB-B28D-21410553C1FD}"/>
    <hyperlink ref="AA477" r:id="rId12" display="mailto:rohit.sinGh@company.com" xr:uid="{6A3CCB54-3205-4CB1-A92B-2AFBA4755027}"/>
    <hyperlink ref="AA493" r:id="rId13" display="mailto:kavya.Nair@company.com" xr:uid="{2C688552-86C7-472A-8160-A64477065A0A}"/>
    <hyperlink ref="AA503" r:id="rId14" display="mailto:pOOja.shah@company.com" xr:uid="{B6C406AB-C435-4D59-9F30-15EA5FB53B6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53D8-5F50-4A72-969A-CF37163D30A5}">
  <dimension ref="A1:V519"/>
  <sheetViews>
    <sheetView workbookViewId="0">
      <selection activeCell="K17" sqref="K17"/>
    </sheetView>
  </sheetViews>
  <sheetFormatPr defaultRowHeight="14.5" x14ac:dyDescent="0.35"/>
  <cols>
    <col min="1" max="1" width="9.54296875" bestFit="1" customWidth="1"/>
    <col min="2" max="2" width="11.6328125" bestFit="1" customWidth="1"/>
    <col min="3" max="3" width="10" bestFit="1" customWidth="1"/>
    <col min="4" max="4" width="10.1796875" bestFit="1" customWidth="1"/>
    <col min="5" max="5" width="12.36328125" bestFit="1" customWidth="1"/>
    <col min="6" max="6" width="14.81640625" bestFit="1" customWidth="1"/>
    <col min="7" max="7" width="6.90625" bestFit="1" customWidth="1"/>
    <col min="8" max="8" width="10.08984375" bestFit="1" customWidth="1"/>
    <col min="9" max="9" width="10.453125" bestFit="1" customWidth="1"/>
    <col min="10" max="10" width="6.54296875" bestFit="1" customWidth="1"/>
    <col min="11" max="11" width="15" bestFit="1" customWidth="1"/>
    <col min="12" max="12" width="13.1796875" bestFit="1" customWidth="1"/>
    <col min="13" max="13" width="8" bestFit="1" customWidth="1"/>
    <col min="14" max="14" width="9.453125" bestFit="1" customWidth="1"/>
    <col min="15" max="15" width="10.7265625" bestFit="1" customWidth="1"/>
    <col min="16" max="16" width="7.81640625" bestFit="1" customWidth="1"/>
    <col min="17" max="17" width="6.1796875" bestFit="1" customWidth="1"/>
    <col min="18" max="18" width="13.6328125" bestFit="1" customWidth="1"/>
    <col min="19" max="19" width="11.08984375" bestFit="1" customWidth="1"/>
    <col min="20" max="20" width="24.36328125" customWidth="1"/>
    <col min="21" max="21" width="10.81640625" bestFit="1" customWidth="1"/>
    <col min="22" max="22" width="11.6328125" bestFit="1" customWidth="1"/>
  </cols>
  <sheetData>
    <row r="1" spans="1:10" ht="15" thickBot="1" x14ac:dyDescent="0.4"/>
    <row r="2" spans="1:10" ht="21.5" thickBot="1" x14ac:dyDescent="0.55000000000000004">
      <c r="A2" s="81"/>
      <c r="B2" s="82"/>
      <c r="C2" s="83" t="s">
        <v>667</v>
      </c>
      <c r="D2" s="83"/>
      <c r="E2" s="83"/>
      <c r="F2" s="83"/>
      <c r="G2" s="83"/>
      <c r="H2" s="83"/>
      <c r="I2" s="84"/>
      <c r="J2" s="74"/>
    </row>
    <row r="3" spans="1:10" x14ac:dyDescent="0.35">
      <c r="A3" s="75"/>
      <c r="J3" s="76"/>
    </row>
    <row r="4" spans="1:10" x14ac:dyDescent="0.35">
      <c r="A4" s="75"/>
      <c r="J4" s="76"/>
    </row>
    <row r="5" spans="1:10" x14ac:dyDescent="0.35">
      <c r="A5" s="75"/>
      <c r="J5" s="76"/>
    </row>
    <row r="6" spans="1:10" x14ac:dyDescent="0.35">
      <c r="A6" s="77"/>
      <c r="B6" s="67" t="s">
        <v>665</v>
      </c>
      <c r="C6" s="41"/>
      <c r="E6" s="110" t="s">
        <v>668</v>
      </c>
      <c r="F6" s="110"/>
      <c r="I6" s="110" t="s">
        <v>669</v>
      </c>
      <c r="J6" s="114"/>
    </row>
    <row r="7" spans="1:10" x14ac:dyDescent="0.35">
      <c r="A7" s="117">
        <f>AVERAGE($P$20:$P$519)</f>
        <v>69531.875</v>
      </c>
      <c r="B7" s="118"/>
      <c r="C7" s="118"/>
      <c r="E7" s="119">
        <f>MEDIAN($P$20:$P$519)</f>
        <v>10475</v>
      </c>
      <c r="F7" s="119"/>
      <c r="I7" s="120">
        <f>MAX($P$20:$P$519)</f>
        <v>1045000</v>
      </c>
      <c r="J7" s="121"/>
    </row>
    <row r="8" spans="1:10" x14ac:dyDescent="0.35">
      <c r="A8" s="75"/>
      <c r="J8" s="76"/>
    </row>
    <row r="9" spans="1:10" x14ac:dyDescent="0.35">
      <c r="A9" s="75"/>
      <c r="J9" s="76"/>
    </row>
    <row r="10" spans="1:10" x14ac:dyDescent="0.35">
      <c r="A10" s="109" t="s">
        <v>670</v>
      </c>
      <c r="B10" s="110"/>
      <c r="C10" s="110"/>
      <c r="E10" s="110" t="s">
        <v>671</v>
      </c>
      <c r="F10" s="110"/>
      <c r="I10" s="110" t="s">
        <v>672</v>
      </c>
      <c r="J10" s="114"/>
    </row>
    <row r="11" spans="1:10" x14ac:dyDescent="0.35">
      <c r="A11" s="111">
        <f>MIN($P$20:$P$519)</f>
        <v>19</v>
      </c>
      <c r="B11" s="112"/>
      <c r="C11" s="112"/>
      <c r="E11" s="113">
        <f>_xlfn.STDEV.S($P$20:$P$519)</f>
        <v>167151.44592393315</v>
      </c>
      <c r="F11" s="113"/>
      <c r="I11" s="115">
        <f>_xlfn.PERCENTILE.INC($P$20:$P$519,0.9)</f>
        <v>163880.00000000015</v>
      </c>
      <c r="J11" s="116"/>
    </row>
    <row r="12" spans="1:10" x14ac:dyDescent="0.35">
      <c r="A12" s="75"/>
      <c r="J12" s="76"/>
    </row>
    <row r="13" spans="1:10" x14ac:dyDescent="0.35">
      <c r="A13" s="75"/>
      <c r="J13" s="76"/>
    </row>
    <row r="14" spans="1:10" x14ac:dyDescent="0.35">
      <c r="A14" s="75"/>
      <c r="J14" s="76"/>
    </row>
    <row r="15" spans="1:10" ht="15" thickBot="1" x14ac:dyDescent="0.4">
      <c r="A15" s="78"/>
      <c r="B15" s="79"/>
      <c r="C15" s="79"/>
      <c r="D15" s="79"/>
      <c r="E15" s="79"/>
      <c r="F15" s="79"/>
      <c r="G15" s="79"/>
      <c r="H15" s="79"/>
      <c r="I15" s="79"/>
      <c r="J15" s="80"/>
    </row>
    <row r="18" spans="1:22" ht="15" thickBot="1" x14ac:dyDescent="0.4"/>
    <row r="19" spans="1:22" ht="15" thickBot="1" x14ac:dyDescent="0.4">
      <c r="A19" s="25" t="s">
        <v>0</v>
      </c>
      <c r="B19" s="25" t="s">
        <v>1</v>
      </c>
      <c r="C19" s="25" t="s">
        <v>2</v>
      </c>
      <c r="D19" s="25" t="s">
        <v>3</v>
      </c>
      <c r="E19" s="25" t="s">
        <v>4</v>
      </c>
      <c r="F19" s="25" t="s">
        <v>5</v>
      </c>
      <c r="G19" s="25" t="s">
        <v>6</v>
      </c>
      <c r="H19" s="25" t="s">
        <v>7</v>
      </c>
      <c r="I19" s="25" t="s">
        <v>8</v>
      </c>
      <c r="J19" s="25" t="s">
        <v>9</v>
      </c>
      <c r="K19" s="25" t="s">
        <v>10</v>
      </c>
      <c r="L19" s="25" t="s">
        <v>11</v>
      </c>
      <c r="M19" s="25" t="s">
        <v>12</v>
      </c>
      <c r="N19" s="25" t="s">
        <v>13</v>
      </c>
      <c r="O19" s="25" t="s">
        <v>14</v>
      </c>
      <c r="P19" s="25" t="s">
        <v>15</v>
      </c>
      <c r="Q19" s="25" t="s">
        <v>16</v>
      </c>
      <c r="R19" s="25" t="s">
        <v>17</v>
      </c>
      <c r="S19" s="25" t="s">
        <v>18</v>
      </c>
      <c r="T19" s="25" t="s">
        <v>19</v>
      </c>
      <c r="U19" s="25" t="s">
        <v>20</v>
      </c>
      <c r="V19" s="20" t="s">
        <v>21</v>
      </c>
    </row>
    <row r="20" spans="1:22" ht="15.5" thickTop="1" thickBot="1" x14ac:dyDescent="0.4">
      <c r="A20" s="27" t="s">
        <v>22</v>
      </c>
      <c r="B20" s="27" t="s">
        <v>23</v>
      </c>
      <c r="C20" s="27" t="s">
        <v>24</v>
      </c>
      <c r="D20" s="28">
        <v>45918</v>
      </c>
      <c r="E20" s="28">
        <v>45922</v>
      </c>
      <c r="F20" s="27" t="s">
        <v>25</v>
      </c>
      <c r="G20" s="27" t="s">
        <v>26</v>
      </c>
      <c r="H20" s="28">
        <v>27973</v>
      </c>
      <c r="I20" s="27" t="s">
        <v>27</v>
      </c>
      <c r="J20" s="27" t="s">
        <v>28</v>
      </c>
      <c r="K20" s="27" t="s">
        <v>29</v>
      </c>
      <c r="L20" s="27" t="s">
        <v>30</v>
      </c>
      <c r="M20" s="27">
        <v>4</v>
      </c>
      <c r="N20" s="27">
        <v>2200</v>
      </c>
      <c r="O20" s="27">
        <v>10</v>
      </c>
      <c r="P20" s="27">
        <v>7920</v>
      </c>
      <c r="Q20" s="27">
        <v>4</v>
      </c>
      <c r="R20" s="27" t="s">
        <v>31</v>
      </c>
      <c r="S20" s="27" t="s">
        <v>32</v>
      </c>
      <c r="T20" s="29" t="s">
        <v>33</v>
      </c>
      <c r="U20" s="27">
        <v>9431429797</v>
      </c>
      <c r="V20" s="21" t="s">
        <v>34</v>
      </c>
    </row>
    <row r="21" spans="1:22" ht="15" thickBot="1" x14ac:dyDescent="0.4">
      <c r="A21" s="30" t="s">
        <v>35</v>
      </c>
      <c r="B21" s="30" t="s">
        <v>23</v>
      </c>
      <c r="C21" s="30" t="s">
        <v>36</v>
      </c>
      <c r="D21" s="31">
        <v>45774</v>
      </c>
      <c r="E21" s="31">
        <v>45781</v>
      </c>
      <c r="F21" s="30" t="s">
        <v>25</v>
      </c>
      <c r="G21" s="30" t="s">
        <v>26</v>
      </c>
      <c r="H21" s="31">
        <v>36815</v>
      </c>
      <c r="I21" s="30" t="s">
        <v>37</v>
      </c>
      <c r="J21" s="30" t="s">
        <v>38</v>
      </c>
      <c r="K21" s="30" t="s">
        <v>39</v>
      </c>
      <c r="L21" s="30" t="s">
        <v>40</v>
      </c>
      <c r="M21" s="30">
        <v>17</v>
      </c>
      <c r="N21" s="30">
        <v>12000</v>
      </c>
      <c r="O21" s="30">
        <v>10</v>
      </c>
      <c r="P21" s="30">
        <v>183600</v>
      </c>
      <c r="Q21" s="30">
        <v>1</v>
      </c>
      <c r="R21" s="30" t="s">
        <v>41</v>
      </c>
      <c r="S21" s="30" t="s">
        <v>42</v>
      </c>
      <c r="T21" s="30" t="s">
        <v>43</v>
      </c>
      <c r="U21" s="30">
        <v>9129865339</v>
      </c>
      <c r="V21" s="22" t="s">
        <v>34</v>
      </c>
    </row>
    <row r="22" spans="1:22" ht="15" thickBot="1" x14ac:dyDescent="0.4">
      <c r="A22" s="27" t="s">
        <v>44</v>
      </c>
      <c r="B22" s="27" t="s">
        <v>45</v>
      </c>
      <c r="C22" s="27" t="s">
        <v>46</v>
      </c>
      <c r="D22" s="28">
        <v>45903</v>
      </c>
      <c r="E22" s="28">
        <v>45914</v>
      </c>
      <c r="F22" s="27" t="s">
        <v>47</v>
      </c>
      <c r="G22" s="27" t="s">
        <v>26</v>
      </c>
      <c r="H22" s="28">
        <v>34593</v>
      </c>
      <c r="I22" s="27" t="s">
        <v>48</v>
      </c>
      <c r="J22" s="27" t="s">
        <v>28</v>
      </c>
      <c r="K22" s="27" t="s">
        <v>39</v>
      </c>
      <c r="L22" s="27" t="s">
        <v>49</v>
      </c>
      <c r="M22" s="27">
        <v>5</v>
      </c>
      <c r="N22" s="27">
        <v>55000</v>
      </c>
      <c r="O22" s="27">
        <v>5</v>
      </c>
      <c r="P22" s="27">
        <v>261250</v>
      </c>
      <c r="Q22" s="27">
        <v>3</v>
      </c>
      <c r="R22" s="27" t="s">
        <v>41</v>
      </c>
      <c r="S22" s="27" t="s">
        <v>50</v>
      </c>
      <c r="T22" s="27" t="s">
        <v>51</v>
      </c>
      <c r="U22" s="27">
        <v>9380975626</v>
      </c>
      <c r="V22" s="27" t="s">
        <v>52</v>
      </c>
    </row>
    <row r="23" spans="1:22" ht="15" thickBot="1" x14ac:dyDescent="0.4">
      <c r="A23" s="30" t="s">
        <v>35</v>
      </c>
      <c r="B23" s="30" t="s">
        <v>23</v>
      </c>
      <c r="C23" s="30" t="s">
        <v>24</v>
      </c>
      <c r="D23" s="31">
        <v>46102</v>
      </c>
      <c r="E23" s="31">
        <v>46114</v>
      </c>
      <c r="F23" s="30" t="s">
        <v>25</v>
      </c>
      <c r="G23" s="30" t="s">
        <v>26</v>
      </c>
      <c r="H23" s="31">
        <v>38053</v>
      </c>
      <c r="I23" s="30" t="s">
        <v>48</v>
      </c>
      <c r="J23" s="30" t="s">
        <v>28</v>
      </c>
      <c r="K23" s="30" t="s">
        <v>29</v>
      </c>
      <c r="L23" s="30" t="s">
        <v>30</v>
      </c>
      <c r="M23" s="30">
        <v>5</v>
      </c>
      <c r="N23" s="30">
        <v>2200</v>
      </c>
      <c r="O23" s="30">
        <v>5</v>
      </c>
      <c r="P23" s="30">
        <v>10450</v>
      </c>
      <c r="Q23" s="30">
        <v>5</v>
      </c>
      <c r="R23" s="30" t="s">
        <v>41</v>
      </c>
      <c r="S23" s="30" t="s">
        <v>50</v>
      </c>
      <c r="T23" s="32" t="s">
        <v>43</v>
      </c>
      <c r="U23" s="30">
        <v>9600261125</v>
      </c>
      <c r="V23" s="30" t="s">
        <v>53</v>
      </c>
    </row>
    <row r="24" spans="1:22" ht="15" thickBot="1" x14ac:dyDescent="0.4">
      <c r="A24" s="27" t="s">
        <v>54</v>
      </c>
      <c r="B24" s="27" t="s">
        <v>55</v>
      </c>
      <c r="C24" s="27" t="s">
        <v>56</v>
      </c>
      <c r="D24" s="28">
        <v>45927</v>
      </c>
      <c r="E24" s="28">
        <v>45937</v>
      </c>
      <c r="F24" s="27" t="s">
        <v>57</v>
      </c>
      <c r="G24" s="27" t="s">
        <v>58</v>
      </c>
      <c r="H24" s="28">
        <v>27863</v>
      </c>
      <c r="I24" s="27" t="s">
        <v>37</v>
      </c>
      <c r="J24" s="27" t="s">
        <v>38</v>
      </c>
      <c r="K24" s="27" t="s">
        <v>39</v>
      </c>
      <c r="L24" s="27" t="s">
        <v>59</v>
      </c>
      <c r="M24" s="27">
        <v>8</v>
      </c>
      <c r="N24" s="27">
        <v>1200</v>
      </c>
      <c r="O24" s="27">
        <v>5</v>
      </c>
      <c r="P24" s="27">
        <v>9120</v>
      </c>
      <c r="Q24" s="27">
        <v>2</v>
      </c>
      <c r="R24" s="27" t="s">
        <v>60</v>
      </c>
      <c r="S24" s="27" t="s">
        <v>50</v>
      </c>
      <c r="T24" s="27" t="s">
        <v>61</v>
      </c>
      <c r="U24" s="27">
        <v>9724635978</v>
      </c>
      <c r="V24" s="27" t="s">
        <v>52</v>
      </c>
    </row>
    <row r="25" spans="1:22" ht="15" thickBot="1" x14ac:dyDescent="0.4">
      <c r="A25" s="30" t="s">
        <v>62</v>
      </c>
      <c r="B25" s="30" t="s">
        <v>63</v>
      </c>
      <c r="C25" s="30" t="s">
        <v>24</v>
      </c>
      <c r="D25" s="31">
        <v>46026</v>
      </c>
      <c r="E25" s="31">
        <v>46034</v>
      </c>
      <c r="F25" s="30" t="s">
        <v>64</v>
      </c>
      <c r="G25" s="30" t="s">
        <v>58</v>
      </c>
      <c r="H25" s="31">
        <v>32180</v>
      </c>
      <c r="I25" s="30" t="s">
        <v>27</v>
      </c>
      <c r="J25" s="30" t="s">
        <v>28</v>
      </c>
      <c r="K25" s="30" t="s">
        <v>29</v>
      </c>
      <c r="L25" s="30" t="s">
        <v>30</v>
      </c>
      <c r="M25" s="30">
        <v>4</v>
      </c>
      <c r="N25" s="30">
        <v>2200</v>
      </c>
      <c r="O25" s="30">
        <v>0</v>
      </c>
      <c r="P25" s="30">
        <v>8800</v>
      </c>
      <c r="Q25" s="30">
        <v>1</v>
      </c>
      <c r="R25" s="30" t="s">
        <v>65</v>
      </c>
      <c r="S25" s="30" t="s">
        <v>32</v>
      </c>
      <c r="T25" s="30" t="s">
        <v>66</v>
      </c>
      <c r="U25" s="30">
        <v>9780584905</v>
      </c>
      <c r="V25" s="22" t="s">
        <v>34</v>
      </c>
    </row>
    <row r="26" spans="1:22" ht="15" thickBot="1" x14ac:dyDescent="0.4">
      <c r="A26" s="27" t="s">
        <v>67</v>
      </c>
      <c r="B26" s="27" t="s">
        <v>23</v>
      </c>
      <c r="C26" s="27" t="s">
        <v>68</v>
      </c>
      <c r="D26" s="27" t="s">
        <v>69</v>
      </c>
      <c r="E26" s="28">
        <v>46078</v>
      </c>
      <c r="F26" s="27" t="s">
        <v>25</v>
      </c>
      <c r="G26" s="27" t="s">
        <v>26</v>
      </c>
      <c r="H26" s="28">
        <v>37700</v>
      </c>
      <c r="I26" s="27" t="s">
        <v>27</v>
      </c>
      <c r="J26" s="27" t="s">
        <v>28</v>
      </c>
      <c r="K26" s="27" t="s">
        <v>29</v>
      </c>
      <c r="L26" s="27" t="s">
        <v>70</v>
      </c>
      <c r="M26" s="27">
        <v>2</v>
      </c>
      <c r="N26" s="27">
        <v>3500</v>
      </c>
      <c r="O26" s="27">
        <v>5</v>
      </c>
      <c r="P26" s="27">
        <v>6650</v>
      </c>
      <c r="Q26" s="27">
        <v>1</v>
      </c>
      <c r="R26" s="27" t="s">
        <v>65</v>
      </c>
      <c r="S26" s="27" t="s">
        <v>32</v>
      </c>
      <c r="T26" s="27" t="s">
        <v>43</v>
      </c>
      <c r="U26" s="27">
        <v>9958252176</v>
      </c>
      <c r="V26" s="21" t="s">
        <v>34</v>
      </c>
    </row>
    <row r="27" spans="1:22" ht="15" thickBot="1" x14ac:dyDescent="0.4">
      <c r="A27" s="30" t="s">
        <v>71</v>
      </c>
      <c r="B27" s="30" t="s">
        <v>72</v>
      </c>
      <c r="C27" s="30" t="s">
        <v>36</v>
      </c>
      <c r="D27" s="31">
        <v>45760</v>
      </c>
      <c r="E27" s="31">
        <v>45766</v>
      </c>
      <c r="F27" s="30" t="s">
        <v>73</v>
      </c>
      <c r="G27" s="30" t="s">
        <v>26</v>
      </c>
      <c r="H27" s="31">
        <v>34765</v>
      </c>
      <c r="I27" s="30" t="s">
        <v>74</v>
      </c>
      <c r="J27" s="30" t="s">
        <v>75</v>
      </c>
      <c r="K27" s="30" t="s">
        <v>39</v>
      </c>
      <c r="L27" s="30" t="s">
        <v>40</v>
      </c>
      <c r="M27" s="30">
        <v>14</v>
      </c>
      <c r="N27" s="30">
        <v>12000</v>
      </c>
      <c r="O27" s="30">
        <v>15</v>
      </c>
      <c r="P27" s="30">
        <v>142800</v>
      </c>
      <c r="Q27" s="30">
        <v>4</v>
      </c>
      <c r="R27" s="30" t="s">
        <v>41</v>
      </c>
      <c r="S27" s="30" t="s">
        <v>32</v>
      </c>
      <c r="T27" s="32" t="s">
        <v>76</v>
      </c>
      <c r="U27" s="30">
        <v>9705521654</v>
      </c>
      <c r="V27" s="22" t="s">
        <v>34</v>
      </c>
    </row>
    <row r="28" spans="1:22" ht="15" thickBot="1" x14ac:dyDescent="0.4">
      <c r="A28" s="27" t="s">
        <v>77</v>
      </c>
      <c r="B28" s="27" t="s">
        <v>23</v>
      </c>
      <c r="C28" s="27" t="s">
        <v>36</v>
      </c>
      <c r="D28" s="28">
        <v>46053</v>
      </c>
      <c r="E28" s="28">
        <v>46055</v>
      </c>
      <c r="F28" s="27" t="s">
        <v>78</v>
      </c>
      <c r="G28" s="27" t="s">
        <v>26</v>
      </c>
      <c r="H28" s="28">
        <v>35526</v>
      </c>
      <c r="I28" s="27" t="s">
        <v>79</v>
      </c>
      <c r="J28" s="27" t="s">
        <v>75</v>
      </c>
      <c r="K28" s="27" t="s">
        <v>39</v>
      </c>
      <c r="L28" s="27" t="s">
        <v>40</v>
      </c>
      <c r="M28" s="27">
        <v>4</v>
      </c>
      <c r="N28" s="27">
        <v>12000</v>
      </c>
      <c r="O28" s="27">
        <v>15</v>
      </c>
      <c r="P28" s="27">
        <v>40800</v>
      </c>
      <c r="Q28" s="27">
        <v>4</v>
      </c>
      <c r="R28" s="27" t="s">
        <v>65</v>
      </c>
      <c r="S28" s="27" t="s">
        <v>80</v>
      </c>
      <c r="T28" s="27" t="s">
        <v>43</v>
      </c>
      <c r="U28" s="27">
        <v>9588041011</v>
      </c>
      <c r="V28" s="21" t="s">
        <v>34</v>
      </c>
    </row>
    <row r="29" spans="1:22" ht="15" thickBot="1" x14ac:dyDescent="0.4">
      <c r="A29" s="30" t="s">
        <v>81</v>
      </c>
      <c r="B29" s="30" t="s">
        <v>72</v>
      </c>
      <c r="C29" s="30" t="s">
        <v>82</v>
      </c>
      <c r="D29" s="31">
        <v>45741</v>
      </c>
      <c r="E29" s="31">
        <v>45743</v>
      </c>
      <c r="F29" s="30" t="s">
        <v>73</v>
      </c>
      <c r="G29" s="30" t="s">
        <v>26</v>
      </c>
      <c r="H29" s="31">
        <v>32880</v>
      </c>
      <c r="I29" s="30" t="s">
        <v>74</v>
      </c>
      <c r="J29" s="30" t="s">
        <v>75</v>
      </c>
      <c r="K29" s="30" t="s">
        <v>83</v>
      </c>
      <c r="L29" s="30" t="s">
        <v>84</v>
      </c>
      <c r="M29" s="30">
        <v>6</v>
      </c>
      <c r="N29" s="30">
        <v>60</v>
      </c>
      <c r="O29" s="30">
        <v>0</v>
      </c>
      <c r="P29" s="30">
        <v>360</v>
      </c>
      <c r="Q29" s="30">
        <v>4</v>
      </c>
      <c r="R29" s="30" t="s">
        <v>60</v>
      </c>
      <c r="S29" s="30" t="s">
        <v>80</v>
      </c>
      <c r="T29" s="32" t="s">
        <v>85</v>
      </c>
      <c r="U29" s="30">
        <v>9340540608</v>
      </c>
      <c r="V29" s="22" t="s">
        <v>34</v>
      </c>
    </row>
    <row r="30" spans="1:22" ht="15" thickBot="1" x14ac:dyDescent="0.4">
      <c r="A30" s="27" t="s">
        <v>86</v>
      </c>
      <c r="B30" s="27" t="s">
        <v>87</v>
      </c>
      <c r="C30" s="27" t="s">
        <v>24</v>
      </c>
      <c r="D30" s="28">
        <v>45919</v>
      </c>
      <c r="E30" s="28">
        <v>45923</v>
      </c>
      <c r="F30" s="27" t="s">
        <v>88</v>
      </c>
      <c r="G30" s="27" t="s">
        <v>58</v>
      </c>
      <c r="H30" s="28">
        <v>30081</v>
      </c>
      <c r="I30" s="27" t="s">
        <v>37</v>
      </c>
      <c r="J30" s="27" t="s">
        <v>38</v>
      </c>
      <c r="K30" s="27" t="s">
        <v>29</v>
      </c>
      <c r="L30" s="27" t="s">
        <v>30</v>
      </c>
      <c r="M30" s="27">
        <v>-3</v>
      </c>
      <c r="N30" s="27">
        <v>2200</v>
      </c>
      <c r="O30" s="27">
        <v>0</v>
      </c>
      <c r="P30" s="27">
        <v>35200</v>
      </c>
      <c r="Q30" s="27">
        <v>2</v>
      </c>
      <c r="R30" s="27" t="s">
        <v>60</v>
      </c>
      <c r="S30" s="27" t="s">
        <v>42</v>
      </c>
      <c r="T30" s="27" t="s">
        <v>89</v>
      </c>
      <c r="U30" s="27">
        <v>9521710321</v>
      </c>
      <c r="V30" s="27" t="s">
        <v>52</v>
      </c>
    </row>
    <row r="31" spans="1:22" ht="15" thickBot="1" x14ac:dyDescent="0.4">
      <c r="A31" s="30" t="s">
        <v>90</v>
      </c>
      <c r="B31" s="30" t="s">
        <v>23</v>
      </c>
      <c r="C31" s="30" t="s">
        <v>68</v>
      </c>
      <c r="D31" s="31">
        <v>45724</v>
      </c>
      <c r="E31" s="31">
        <v>45731</v>
      </c>
      <c r="F31" s="30" t="s">
        <v>25</v>
      </c>
      <c r="G31" s="30" t="s">
        <v>26</v>
      </c>
      <c r="H31" s="31">
        <v>29974</v>
      </c>
      <c r="I31" s="30" t="s">
        <v>91</v>
      </c>
      <c r="J31" s="30" t="s">
        <v>75</v>
      </c>
      <c r="K31" s="30" t="s">
        <v>29</v>
      </c>
      <c r="L31" s="30" t="s">
        <v>70</v>
      </c>
      <c r="M31" s="30">
        <v>10</v>
      </c>
      <c r="N31" s="30">
        <v>3500</v>
      </c>
      <c r="O31" s="30">
        <v>5</v>
      </c>
      <c r="P31" s="30">
        <v>33250</v>
      </c>
      <c r="Q31" s="30">
        <v>5</v>
      </c>
      <c r="R31" s="30" t="s">
        <v>60</v>
      </c>
      <c r="S31" s="30" t="s">
        <v>50</v>
      </c>
      <c r="T31" s="30" t="s">
        <v>43</v>
      </c>
      <c r="U31" s="30">
        <v>9123535241</v>
      </c>
      <c r="V31" s="30" t="s">
        <v>53</v>
      </c>
    </row>
    <row r="32" spans="1:22" ht="15" thickBot="1" x14ac:dyDescent="0.4">
      <c r="A32" s="27" t="s">
        <v>92</v>
      </c>
      <c r="B32" s="27" t="s">
        <v>72</v>
      </c>
      <c r="C32" s="27" t="s">
        <v>24</v>
      </c>
      <c r="D32" s="28">
        <v>45667</v>
      </c>
      <c r="E32" s="28">
        <v>45672</v>
      </c>
      <c r="F32" s="27" t="s">
        <v>73</v>
      </c>
      <c r="G32" s="27" t="s">
        <v>26</v>
      </c>
      <c r="H32" s="28">
        <v>33791</v>
      </c>
      <c r="I32" s="27" t="s">
        <v>79</v>
      </c>
      <c r="J32" s="27" t="s">
        <v>75</v>
      </c>
      <c r="K32" s="27" t="s">
        <v>29</v>
      </c>
      <c r="L32" s="27" t="s">
        <v>30</v>
      </c>
      <c r="M32" s="27">
        <v>15</v>
      </c>
      <c r="N32" s="27">
        <v>2200</v>
      </c>
      <c r="O32" s="27">
        <v>10</v>
      </c>
      <c r="P32" s="27">
        <v>29700</v>
      </c>
      <c r="Q32" s="27">
        <v>1</v>
      </c>
      <c r="R32" s="27" t="s">
        <v>65</v>
      </c>
      <c r="S32" s="27" t="s">
        <v>80</v>
      </c>
      <c r="T32" s="27" t="s">
        <v>93</v>
      </c>
      <c r="U32" s="27">
        <v>9367316892</v>
      </c>
      <c r="V32" s="27" t="s">
        <v>52</v>
      </c>
    </row>
    <row r="33" spans="1:22" ht="15" thickBot="1" x14ac:dyDescent="0.4">
      <c r="A33" s="30" t="s">
        <v>94</v>
      </c>
      <c r="B33" s="30" t="s">
        <v>87</v>
      </c>
      <c r="C33" s="30" t="s">
        <v>24</v>
      </c>
      <c r="D33" s="31">
        <v>45725</v>
      </c>
      <c r="E33" s="31">
        <v>45729</v>
      </c>
      <c r="F33" s="30" t="s">
        <v>95</v>
      </c>
      <c r="G33" s="30" t="s">
        <v>58</v>
      </c>
      <c r="H33" s="31">
        <v>37334</v>
      </c>
      <c r="I33" s="30" t="s">
        <v>74</v>
      </c>
      <c r="J33" s="30" t="s">
        <v>75</v>
      </c>
      <c r="K33" s="30" t="s">
        <v>29</v>
      </c>
      <c r="L33" s="30" t="s">
        <v>30</v>
      </c>
      <c r="M33" s="30">
        <v>17</v>
      </c>
      <c r="N33" s="30">
        <v>2200</v>
      </c>
      <c r="O33" s="30">
        <v>5</v>
      </c>
      <c r="P33" s="30">
        <v>35530</v>
      </c>
      <c r="Q33" s="30">
        <v>1</v>
      </c>
      <c r="R33" s="30" t="s">
        <v>31</v>
      </c>
      <c r="S33" s="30" t="s">
        <v>96</v>
      </c>
      <c r="T33" s="32" t="s">
        <v>97</v>
      </c>
      <c r="U33" s="30">
        <v>9778489803</v>
      </c>
      <c r="V33" s="22" t="s">
        <v>34</v>
      </c>
    </row>
    <row r="34" spans="1:22" ht="15" thickBot="1" x14ac:dyDescent="0.4">
      <c r="A34" s="27" t="s">
        <v>98</v>
      </c>
      <c r="B34" s="27" t="s">
        <v>23</v>
      </c>
      <c r="C34" s="27" t="s">
        <v>68</v>
      </c>
      <c r="D34" s="28">
        <v>45864</v>
      </c>
      <c r="E34" s="28">
        <v>45876</v>
      </c>
      <c r="F34" s="27" t="s">
        <v>99</v>
      </c>
      <c r="G34" s="27" t="s">
        <v>26</v>
      </c>
      <c r="H34" s="28">
        <v>36908</v>
      </c>
      <c r="I34" s="27" t="s">
        <v>74</v>
      </c>
      <c r="J34" s="27" t="s">
        <v>75</v>
      </c>
      <c r="K34" s="27" t="s">
        <v>29</v>
      </c>
      <c r="L34" s="27" t="s">
        <v>70</v>
      </c>
      <c r="M34" s="27">
        <v>15</v>
      </c>
      <c r="N34" s="27">
        <v>3500</v>
      </c>
      <c r="O34" s="27">
        <v>15</v>
      </c>
      <c r="P34" s="27">
        <v>44625</v>
      </c>
      <c r="Q34" s="27">
        <v>2</v>
      </c>
      <c r="R34" s="27" t="s">
        <v>31</v>
      </c>
      <c r="S34" s="27" t="s">
        <v>80</v>
      </c>
      <c r="T34" s="29" t="s">
        <v>43</v>
      </c>
      <c r="U34" s="27">
        <v>9582960180</v>
      </c>
      <c r="V34" s="27" t="s">
        <v>53</v>
      </c>
    </row>
    <row r="35" spans="1:22" ht="15" thickBot="1" x14ac:dyDescent="0.4">
      <c r="A35" s="30" t="s">
        <v>100</v>
      </c>
      <c r="B35" s="30" t="s">
        <v>45</v>
      </c>
      <c r="C35" s="30" t="s">
        <v>56</v>
      </c>
      <c r="D35" s="31">
        <v>46120</v>
      </c>
      <c r="E35" s="31">
        <v>46123</v>
      </c>
      <c r="F35" s="30" t="s">
        <v>101</v>
      </c>
      <c r="G35" s="30" t="s">
        <v>26</v>
      </c>
      <c r="H35" s="31">
        <v>37357</v>
      </c>
      <c r="I35" s="30" t="s">
        <v>27</v>
      </c>
      <c r="J35" s="30" t="s">
        <v>28</v>
      </c>
      <c r="K35" s="30" t="s">
        <v>39</v>
      </c>
      <c r="L35" s="30" t="s">
        <v>59</v>
      </c>
      <c r="M35" s="30">
        <v>3</v>
      </c>
      <c r="N35" s="30">
        <v>1200</v>
      </c>
      <c r="O35" s="30">
        <v>5</v>
      </c>
      <c r="P35" s="30">
        <v>3420</v>
      </c>
      <c r="Q35" s="30">
        <v>5</v>
      </c>
      <c r="R35" s="30" t="s">
        <v>65</v>
      </c>
      <c r="S35" s="30" t="s">
        <v>32</v>
      </c>
      <c r="T35" s="30" t="s">
        <v>102</v>
      </c>
      <c r="U35" s="30">
        <v>9611394005</v>
      </c>
      <c r="V35" s="22" t="s">
        <v>34</v>
      </c>
    </row>
    <row r="36" spans="1:22" ht="15" thickBot="1" x14ac:dyDescent="0.4">
      <c r="A36" s="27" t="s">
        <v>103</v>
      </c>
      <c r="B36" s="27" t="s">
        <v>104</v>
      </c>
      <c r="C36" s="27" t="s">
        <v>105</v>
      </c>
      <c r="D36" s="28">
        <v>46075</v>
      </c>
      <c r="E36" s="28">
        <v>46084</v>
      </c>
      <c r="F36" s="27" t="s">
        <v>106</v>
      </c>
      <c r="G36" s="27" t="s">
        <v>26</v>
      </c>
      <c r="H36" s="28">
        <v>37272</v>
      </c>
      <c r="I36" s="27" t="s">
        <v>79</v>
      </c>
      <c r="J36" s="27" t="s">
        <v>75</v>
      </c>
      <c r="K36" s="27" t="s">
        <v>29</v>
      </c>
      <c r="L36" s="27" t="s">
        <v>107</v>
      </c>
      <c r="M36" s="27">
        <v>13</v>
      </c>
      <c r="N36" s="27">
        <v>8500</v>
      </c>
      <c r="O36" s="27">
        <v>20</v>
      </c>
      <c r="P36" s="27">
        <v>88400</v>
      </c>
      <c r="Q36" s="27">
        <v>4</v>
      </c>
      <c r="R36" s="27" t="s">
        <v>60</v>
      </c>
      <c r="S36" s="27" t="s">
        <v>42</v>
      </c>
      <c r="T36" s="27" t="s">
        <v>108</v>
      </c>
      <c r="U36" s="27">
        <v>9692599404</v>
      </c>
      <c r="V36" s="27" t="s">
        <v>52</v>
      </c>
    </row>
    <row r="37" spans="1:22" ht="15" thickBot="1" x14ac:dyDescent="0.4">
      <c r="A37" s="30" t="s">
        <v>109</v>
      </c>
      <c r="B37" s="30" t="s">
        <v>63</v>
      </c>
      <c r="C37" s="30" t="s">
        <v>105</v>
      </c>
      <c r="D37" s="31">
        <v>46081</v>
      </c>
      <c r="E37" s="31">
        <v>46086</v>
      </c>
      <c r="F37" s="30" t="s">
        <v>110</v>
      </c>
      <c r="G37" s="30" t="s">
        <v>58</v>
      </c>
      <c r="H37" s="31">
        <v>32790</v>
      </c>
      <c r="I37" s="30" t="s">
        <v>91</v>
      </c>
      <c r="J37" s="30" t="s">
        <v>75</v>
      </c>
      <c r="K37" s="30" t="s">
        <v>29</v>
      </c>
      <c r="L37" s="30" t="s">
        <v>107</v>
      </c>
      <c r="M37" s="30">
        <v>4</v>
      </c>
      <c r="N37" s="30">
        <v>8500</v>
      </c>
      <c r="O37" s="30">
        <v>20</v>
      </c>
      <c r="P37" s="30">
        <v>27200</v>
      </c>
      <c r="Q37" s="30">
        <v>5</v>
      </c>
      <c r="R37" s="30" t="s">
        <v>60</v>
      </c>
      <c r="S37" s="30" t="s">
        <v>50</v>
      </c>
      <c r="T37" s="30" t="s">
        <v>66</v>
      </c>
      <c r="U37" s="30">
        <v>9426119622</v>
      </c>
      <c r="V37" s="30" t="s">
        <v>52</v>
      </c>
    </row>
    <row r="38" spans="1:22" ht="15" thickBot="1" x14ac:dyDescent="0.4">
      <c r="A38" s="27" t="s">
        <v>111</v>
      </c>
      <c r="B38" s="27" t="s">
        <v>63</v>
      </c>
      <c r="C38" s="27" t="s">
        <v>112</v>
      </c>
      <c r="D38" s="28">
        <v>45992</v>
      </c>
      <c r="E38" s="28">
        <v>45995</v>
      </c>
      <c r="F38" s="27" t="s">
        <v>113</v>
      </c>
      <c r="G38" s="27" t="s">
        <v>58</v>
      </c>
      <c r="H38" s="28">
        <v>33539</v>
      </c>
      <c r="I38" s="27" t="s">
        <v>74</v>
      </c>
      <c r="J38" s="27" t="s">
        <v>75</v>
      </c>
      <c r="K38" s="27" t="s">
        <v>39</v>
      </c>
      <c r="L38" s="27" t="s">
        <v>114</v>
      </c>
      <c r="M38" s="27">
        <v>9</v>
      </c>
      <c r="N38" s="27">
        <v>700</v>
      </c>
      <c r="O38" s="27">
        <v>5</v>
      </c>
      <c r="P38" s="27">
        <v>5985</v>
      </c>
      <c r="Q38" s="27">
        <v>3</v>
      </c>
      <c r="R38" s="27" t="s">
        <v>65</v>
      </c>
      <c r="S38" s="27" t="s">
        <v>32</v>
      </c>
      <c r="T38" s="29" t="s">
        <v>115</v>
      </c>
      <c r="U38" s="27">
        <v>9184436009</v>
      </c>
      <c r="V38" s="27" t="s">
        <v>52</v>
      </c>
    </row>
    <row r="39" spans="1:22" ht="15" thickBot="1" x14ac:dyDescent="0.4">
      <c r="A39" s="30" t="s">
        <v>116</v>
      </c>
      <c r="B39" s="30" t="s">
        <v>23</v>
      </c>
      <c r="C39" s="30" t="s">
        <v>46</v>
      </c>
      <c r="D39" s="31">
        <v>45833</v>
      </c>
      <c r="E39" s="31">
        <v>45841</v>
      </c>
      <c r="F39" s="30" t="s">
        <v>25</v>
      </c>
      <c r="G39" s="30" t="s">
        <v>26</v>
      </c>
      <c r="H39" s="31">
        <v>32933</v>
      </c>
      <c r="I39" s="30" t="s">
        <v>91</v>
      </c>
      <c r="J39" s="30" t="s">
        <v>75</v>
      </c>
      <c r="K39" s="30" t="s">
        <v>39</v>
      </c>
      <c r="L39" s="30" t="s">
        <v>49</v>
      </c>
      <c r="M39" s="30">
        <v>8</v>
      </c>
      <c r="N39" s="30">
        <v>55000</v>
      </c>
      <c r="O39" s="30">
        <v>20</v>
      </c>
      <c r="P39" s="30">
        <v>352000</v>
      </c>
      <c r="Q39" s="30">
        <v>1</v>
      </c>
      <c r="R39" s="30" t="s">
        <v>31</v>
      </c>
      <c r="S39" s="30" t="s">
        <v>96</v>
      </c>
      <c r="T39" s="30" t="s">
        <v>43</v>
      </c>
      <c r="U39" s="30">
        <v>9263774934</v>
      </c>
      <c r="V39" s="22" t="s">
        <v>34</v>
      </c>
    </row>
    <row r="40" spans="1:22" ht="15" thickBot="1" x14ac:dyDescent="0.4">
      <c r="A40" s="27" t="s">
        <v>117</v>
      </c>
      <c r="B40" s="27" t="s">
        <v>87</v>
      </c>
      <c r="C40" s="27" t="s">
        <v>112</v>
      </c>
      <c r="D40" s="28">
        <v>45773</v>
      </c>
      <c r="E40" s="28">
        <v>45782</v>
      </c>
      <c r="F40" s="27" t="s">
        <v>88</v>
      </c>
      <c r="G40" s="27" t="s">
        <v>58</v>
      </c>
      <c r="H40" s="28">
        <v>37455</v>
      </c>
      <c r="I40" s="27" t="s">
        <v>37</v>
      </c>
      <c r="J40" s="27" t="s">
        <v>38</v>
      </c>
      <c r="K40" s="27" t="s">
        <v>118</v>
      </c>
      <c r="L40" s="27" t="s">
        <v>114</v>
      </c>
      <c r="M40" s="27">
        <v>10</v>
      </c>
      <c r="N40" s="27">
        <v>700</v>
      </c>
      <c r="O40" s="27">
        <v>20</v>
      </c>
      <c r="P40" s="27">
        <v>5600</v>
      </c>
      <c r="Q40" s="27">
        <v>4</v>
      </c>
      <c r="R40" s="27" t="s">
        <v>60</v>
      </c>
      <c r="S40" s="27" t="s">
        <v>50</v>
      </c>
      <c r="T40" s="27" t="s">
        <v>89</v>
      </c>
      <c r="U40" s="27">
        <v>9473159572</v>
      </c>
      <c r="V40" s="27" t="s">
        <v>53</v>
      </c>
    </row>
    <row r="41" spans="1:22" ht="15" thickBot="1" x14ac:dyDescent="0.4">
      <c r="A41" s="30" t="s">
        <v>119</v>
      </c>
      <c r="B41" s="30" t="s">
        <v>23</v>
      </c>
      <c r="C41" s="30" t="s">
        <v>68</v>
      </c>
      <c r="D41" s="31">
        <v>45660</v>
      </c>
      <c r="E41" s="31">
        <v>45665</v>
      </c>
      <c r="F41" s="30" t="s">
        <v>78</v>
      </c>
      <c r="G41" s="30" t="s">
        <v>26</v>
      </c>
      <c r="H41" s="31">
        <v>38336</v>
      </c>
      <c r="I41" s="30" t="s">
        <v>48</v>
      </c>
      <c r="J41" s="30" t="s">
        <v>28</v>
      </c>
      <c r="K41" s="30" t="s">
        <v>29</v>
      </c>
      <c r="L41" s="30" t="s">
        <v>70</v>
      </c>
      <c r="M41" s="30">
        <v>1</v>
      </c>
      <c r="N41" s="30">
        <v>3500</v>
      </c>
      <c r="O41" s="30">
        <v>5</v>
      </c>
      <c r="P41" s="30">
        <v>3325</v>
      </c>
      <c r="Q41" s="30">
        <v>3</v>
      </c>
      <c r="R41" s="30" t="s">
        <v>65</v>
      </c>
      <c r="S41" s="30" t="s">
        <v>80</v>
      </c>
      <c r="T41" s="30" t="s">
        <v>43</v>
      </c>
      <c r="U41" s="30">
        <v>9660493688</v>
      </c>
      <c r="V41" s="30" t="s">
        <v>53</v>
      </c>
    </row>
    <row r="42" spans="1:22" ht="15" thickBot="1" x14ac:dyDescent="0.4">
      <c r="A42" s="27" t="s">
        <v>120</v>
      </c>
      <c r="B42" s="27" t="s">
        <v>72</v>
      </c>
      <c r="C42" s="27" t="s">
        <v>112</v>
      </c>
      <c r="D42" s="28">
        <v>45766</v>
      </c>
      <c r="E42" s="28">
        <v>45777</v>
      </c>
      <c r="F42" s="27" t="s">
        <v>73</v>
      </c>
      <c r="G42" s="27" t="s">
        <v>26</v>
      </c>
      <c r="H42" s="28">
        <v>30867</v>
      </c>
      <c r="I42" s="27" t="s">
        <v>121</v>
      </c>
      <c r="J42" s="27" t="s">
        <v>38</v>
      </c>
      <c r="K42" s="27" t="s">
        <v>39</v>
      </c>
      <c r="L42" s="27" t="s">
        <v>114</v>
      </c>
      <c r="M42" s="27">
        <v>19</v>
      </c>
      <c r="N42" s="27">
        <v>700</v>
      </c>
      <c r="O42" s="27">
        <v>15</v>
      </c>
      <c r="P42" s="27">
        <v>11305</v>
      </c>
      <c r="Q42" s="27">
        <v>3</v>
      </c>
      <c r="R42" s="27" t="s">
        <v>41</v>
      </c>
      <c r="S42" s="27" t="s">
        <v>96</v>
      </c>
      <c r="T42" s="27" t="s">
        <v>93</v>
      </c>
      <c r="U42" s="27">
        <v>9513325819</v>
      </c>
      <c r="V42" s="27" t="s">
        <v>52</v>
      </c>
    </row>
    <row r="43" spans="1:22" ht="15" thickBot="1" x14ac:dyDescent="0.4">
      <c r="A43" s="30" t="s">
        <v>122</v>
      </c>
      <c r="B43" s="30" t="s">
        <v>55</v>
      </c>
      <c r="C43" s="30" t="s">
        <v>46</v>
      </c>
      <c r="D43" s="31">
        <v>46013</v>
      </c>
      <c r="E43" s="31">
        <v>46023</v>
      </c>
      <c r="F43" s="30" t="s">
        <v>57</v>
      </c>
      <c r="G43" s="30" t="s">
        <v>58</v>
      </c>
      <c r="H43" s="31">
        <v>28546</v>
      </c>
      <c r="I43" s="30" t="s">
        <v>48</v>
      </c>
      <c r="J43" s="30" t="s">
        <v>28</v>
      </c>
      <c r="K43" s="30" t="s">
        <v>39</v>
      </c>
      <c r="L43" s="30" t="s">
        <v>49</v>
      </c>
      <c r="M43" s="30">
        <v>12</v>
      </c>
      <c r="N43" s="30">
        <v>55000</v>
      </c>
      <c r="O43" s="30">
        <v>0</v>
      </c>
      <c r="P43" s="30">
        <v>660000</v>
      </c>
      <c r="Q43" s="30">
        <v>1</v>
      </c>
      <c r="R43" s="30" t="s">
        <v>60</v>
      </c>
      <c r="S43" s="30" t="s">
        <v>42</v>
      </c>
      <c r="T43" s="30" t="s">
        <v>61</v>
      </c>
      <c r="U43" s="30">
        <v>9641063242</v>
      </c>
      <c r="V43" s="30" t="s">
        <v>52</v>
      </c>
    </row>
    <row r="44" spans="1:22" ht="15" thickBot="1" x14ac:dyDescent="0.4">
      <c r="A44" s="27" t="s">
        <v>123</v>
      </c>
      <c r="B44" s="27" t="s">
        <v>124</v>
      </c>
      <c r="C44" s="27" t="s">
        <v>125</v>
      </c>
      <c r="D44" s="28">
        <v>46121</v>
      </c>
      <c r="E44" s="28">
        <v>46132</v>
      </c>
      <c r="F44" s="27" t="s">
        <v>126</v>
      </c>
      <c r="G44" s="27" t="s">
        <v>58</v>
      </c>
      <c r="H44" s="28">
        <v>33453</v>
      </c>
      <c r="I44" s="27" t="s">
        <v>74</v>
      </c>
      <c r="J44" s="27" t="s">
        <v>75</v>
      </c>
      <c r="K44" s="27" t="s">
        <v>83</v>
      </c>
      <c r="L44" s="27" t="s">
        <v>127</v>
      </c>
      <c r="M44" s="27">
        <v>1</v>
      </c>
      <c r="N44" s="27">
        <v>20</v>
      </c>
      <c r="O44" s="27">
        <v>5</v>
      </c>
      <c r="P44" s="27">
        <v>19</v>
      </c>
      <c r="Q44" s="27">
        <v>5</v>
      </c>
      <c r="R44" s="27" t="s">
        <v>60</v>
      </c>
      <c r="S44" s="27" t="s">
        <v>32</v>
      </c>
      <c r="T44" s="27" t="s">
        <v>128</v>
      </c>
      <c r="U44" s="27">
        <v>9277372518</v>
      </c>
      <c r="V44" s="27" t="s">
        <v>53</v>
      </c>
    </row>
    <row r="45" spans="1:22" ht="15" thickBot="1" x14ac:dyDescent="0.4">
      <c r="A45" s="30" t="s">
        <v>129</v>
      </c>
      <c r="B45" s="30" t="s">
        <v>63</v>
      </c>
      <c r="C45" s="30" t="s">
        <v>125</v>
      </c>
      <c r="D45" s="31">
        <v>45832</v>
      </c>
      <c r="E45" s="31">
        <v>45840</v>
      </c>
      <c r="F45" s="30" t="s">
        <v>110</v>
      </c>
      <c r="G45" s="30" t="s">
        <v>58</v>
      </c>
      <c r="H45" s="31">
        <v>28470</v>
      </c>
      <c r="I45" s="30" t="s">
        <v>74</v>
      </c>
      <c r="J45" s="30" t="s">
        <v>75</v>
      </c>
      <c r="K45" s="30" t="s">
        <v>83</v>
      </c>
      <c r="L45" s="30" t="s">
        <v>127</v>
      </c>
      <c r="M45" s="30">
        <v>2</v>
      </c>
      <c r="N45" s="30">
        <v>20</v>
      </c>
      <c r="O45" s="30">
        <v>15</v>
      </c>
      <c r="P45" s="30">
        <v>34</v>
      </c>
      <c r="Q45" s="30">
        <v>1</v>
      </c>
      <c r="R45" s="30" t="s">
        <v>65</v>
      </c>
      <c r="S45" s="30" t="s">
        <v>32</v>
      </c>
      <c r="T45" s="30" t="s">
        <v>66</v>
      </c>
      <c r="U45" s="30">
        <v>9193154372</v>
      </c>
      <c r="V45" s="30" t="s">
        <v>52</v>
      </c>
    </row>
    <row r="46" spans="1:22" ht="15" thickBot="1" x14ac:dyDescent="0.4">
      <c r="A46" s="27" t="s">
        <v>130</v>
      </c>
      <c r="B46" s="27" t="s">
        <v>55</v>
      </c>
      <c r="C46" s="27" t="s">
        <v>68</v>
      </c>
      <c r="D46" s="28">
        <v>45799</v>
      </c>
      <c r="E46" s="28">
        <v>45802</v>
      </c>
      <c r="F46" s="27" t="s">
        <v>57</v>
      </c>
      <c r="G46" s="27" t="s">
        <v>58</v>
      </c>
      <c r="H46" s="28">
        <v>33642</v>
      </c>
      <c r="I46" s="27" t="s">
        <v>91</v>
      </c>
      <c r="J46" s="27" t="s">
        <v>75</v>
      </c>
      <c r="K46" s="27" t="s">
        <v>29</v>
      </c>
      <c r="L46" s="27" t="s">
        <v>70</v>
      </c>
      <c r="M46" s="27">
        <v>12</v>
      </c>
      <c r="N46" s="27">
        <v>3500</v>
      </c>
      <c r="O46" s="27">
        <v>15</v>
      </c>
      <c r="P46" s="27">
        <v>35700</v>
      </c>
      <c r="Q46" s="27">
        <v>4</v>
      </c>
      <c r="R46" s="27" t="s">
        <v>31</v>
      </c>
      <c r="S46" s="27" t="s">
        <v>42</v>
      </c>
      <c r="T46" s="27" t="s">
        <v>61</v>
      </c>
      <c r="U46" s="27">
        <v>9400073244</v>
      </c>
      <c r="V46" s="27" t="s">
        <v>53</v>
      </c>
    </row>
    <row r="47" spans="1:22" ht="15" thickBot="1" x14ac:dyDescent="0.4">
      <c r="A47" s="30" t="s">
        <v>131</v>
      </c>
      <c r="B47" s="30" t="s">
        <v>23</v>
      </c>
      <c r="C47" s="30" t="s">
        <v>56</v>
      </c>
      <c r="D47" s="31">
        <v>46094</v>
      </c>
      <c r="E47" s="31">
        <v>46101</v>
      </c>
      <c r="F47" s="30" t="s">
        <v>25</v>
      </c>
      <c r="G47" s="30" t="s">
        <v>26</v>
      </c>
      <c r="H47" s="31">
        <v>38143</v>
      </c>
      <c r="I47" s="30" t="s">
        <v>91</v>
      </c>
      <c r="J47" s="30" t="s">
        <v>75</v>
      </c>
      <c r="K47" s="30" t="s">
        <v>39</v>
      </c>
      <c r="L47" s="30" t="s">
        <v>59</v>
      </c>
      <c r="M47" s="30">
        <v>11</v>
      </c>
      <c r="N47" s="30">
        <v>1200</v>
      </c>
      <c r="O47" s="30">
        <v>0</v>
      </c>
      <c r="P47" s="30">
        <v>13200</v>
      </c>
      <c r="Q47" s="30">
        <v>2</v>
      </c>
      <c r="R47" s="30" t="s">
        <v>65</v>
      </c>
      <c r="S47" s="30" t="s">
        <v>96</v>
      </c>
      <c r="T47" s="30" t="s">
        <v>43</v>
      </c>
      <c r="U47" s="30">
        <v>9771556720</v>
      </c>
      <c r="V47" s="22" t="s">
        <v>34</v>
      </c>
    </row>
    <row r="48" spans="1:22" ht="15" thickBot="1" x14ac:dyDescent="0.4">
      <c r="A48" s="27" t="s">
        <v>132</v>
      </c>
      <c r="B48" s="27" t="s">
        <v>87</v>
      </c>
      <c r="C48" s="27" t="s">
        <v>105</v>
      </c>
      <c r="D48" s="28">
        <v>45908</v>
      </c>
      <c r="E48" s="28">
        <v>45920</v>
      </c>
      <c r="F48" s="27" t="s">
        <v>88</v>
      </c>
      <c r="G48" s="27" t="s">
        <v>58</v>
      </c>
      <c r="H48" s="28">
        <v>37114</v>
      </c>
      <c r="I48" s="27" t="s">
        <v>79</v>
      </c>
      <c r="J48" s="27" t="s">
        <v>75</v>
      </c>
      <c r="K48" s="27" t="s">
        <v>29</v>
      </c>
      <c r="L48" s="27" t="s">
        <v>107</v>
      </c>
      <c r="M48" s="27">
        <v>6</v>
      </c>
      <c r="N48" s="27">
        <v>8500</v>
      </c>
      <c r="O48" s="27">
        <v>65</v>
      </c>
      <c r="P48" s="27">
        <v>51000</v>
      </c>
      <c r="Q48" s="27">
        <v>1</v>
      </c>
      <c r="R48" s="27" t="s">
        <v>60</v>
      </c>
      <c r="S48" s="27" t="s">
        <v>50</v>
      </c>
      <c r="T48" s="27" t="s">
        <v>89</v>
      </c>
      <c r="U48" s="27">
        <v>9127480734</v>
      </c>
      <c r="V48" s="21" t="s">
        <v>34</v>
      </c>
    </row>
    <row r="49" spans="1:22" ht="15" thickBot="1" x14ac:dyDescent="0.4">
      <c r="A49" s="30" t="s">
        <v>133</v>
      </c>
      <c r="B49" s="30" t="s">
        <v>134</v>
      </c>
      <c r="C49" s="30" t="s">
        <v>82</v>
      </c>
      <c r="D49" s="31">
        <v>46033</v>
      </c>
      <c r="E49" s="31">
        <v>46038</v>
      </c>
      <c r="F49" s="30" t="s">
        <v>135</v>
      </c>
      <c r="G49" s="30" t="s">
        <v>26</v>
      </c>
      <c r="H49" s="31">
        <v>29680</v>
      </c>
      <c r="I49" s="30" t="s">
        <v>79</v>
      </c>
      <c r="J49" s="30" t="s">
        <v>75</v>
      </c>
      <c r="K49" s="30" t="s">
        <v>83</v>
      </c>
      <c r="L49" s="30" t="s">
        <v>84</v>
      </c>
      <c r="M49" s="30">
        <v>2</v>
      </c>
      <c r="N49" s="30">
        <v>60</v>
      </c>
      <c r="O49" s="30">
        <v>5</v>
      </c>
      <c r="P49" s="30">
        <v>114</v>
      </c>
      <c r="Q49" s="30">
        <v>3</v>
      </c>
      <c r="R49" s="30" t="s">
        <v>31</v>
      </c>
      <c r="S49" s="30" t="s">
        <v>96</v>
      </c>
      <c r="T49" s="30" t="s">
        <v>136</v>
      </c>
      <c r="U49" s="30">
        <v>9512997042</v>
      </c>
      <c r="V49" s="30" t="s">
        <v>53</v>
      </c>
    </row>
    <row r="50" spans="1:22" ht="15" thickBot="1" x14ac:dyDescent="0.4">
      <c r="A50" s="27" t="s">
        <v>137</v>
      </c>
      <c r="B50" s="27" t="s">
        <v>23</v>
      </c>
      <c r="C50" s="27" t="s">
        <v>138</v>
      </c>
      <c r="D50" s="28">
        <v>45824</v>
      </c>
      <c r="E50" s="28">
        <v>45834</v>
      </c>
      <c r="F50" s="27" t="s">
        <v>25</v>
      </c>
      <c r="G50" s="27" t="s">
        <v>26</v>
      </c>
      <c r="H50" s="28">
        <v>35248</v>
      </c>
      <c r="I50" s="27" t="s">
        <v>48</v>
      </c>
      <c r="J50" s="27" t="s">
        <v>28</v>
      </c>
      <c r="K50" s="27" t="s">
        <v>83</v>
      </c>
      <c r="L50" s="27" t="s">
        <v>139</v>
      </c>
      <c r="M50" s="27">
        <v>19</v>
      </c>
      <c r="N50" s="27">
        <v>45</v>
      </c>
      <c r="O50" s="27">
        <v>20</v>
      </c>
      <c r="P50" s="27">
        <v>684</v>
      </c>
      <c r="Q50" s="27">
        <v>4</v>
      </c>
      <c r="R50" s="27" t="s">
        <v>41</v>
      </c>
      <c r="S50" s="27" t="s">
        <v>50</v>
      </c>
      <c r="T50" s="27" t="s">
        <v>43</v>
      </c>
      <c r="U50" s="27">
        <v>9372748661</v>
      </c>
      <c r="V50" s="27" t="s">
        <v>53</v>
      </c>
    </row>
    <row r="51" spans="1:22" ht="15" thickBot="1" x14ac:dyDescent="0.4">
      <c r="A51" s="30" t="s">
        <v>140</v>
      </c>
      <c r="B51" s="30" t="s">
        <v>72</v>
      </c>
      <c r="C51" s="30" t="s">
        <v>36</v>
      </c>
      <c r="D51" s="31">
        <v>45839</v>
      </c>
      <c r="E51" s="31">
        <v>45851</v>
      </c>
      <c r="F51" s="30" t="s">
        <v>73</v>
      </c>
      <c r="G51" s="30" t="s">
        <v>26</v>
      </c>
      <c r="H51" s="31">
        <v>28079</v>
      </c>
      <c r="I51" s="30" t="s">
        <v>91</v>
      </c>
      <c r="J51" s="30" t="s">
        <v>75</v>
      </c>
      <c r="K51" s="30" t="s">
        <v>39</v>
      </c>
      <c r="L51" s="30" t="s">
        <v>40</v>
      </c>
      <c r="M51" s="30">
        <v>11</v>
      </c>
      <c r="N51" s="30">
        <v>12000</v>
      </c>
      <c r="O51" s="30">
        <v>0</v>
      </c>
      <c r="P51" s="30">
        <v>132000</v>
      </c>
      <c r="Q51" s="30">
        <v>3</v>
      </c>
      <c r="R51" s="30" t="s">
        <v>65</v>
      </c>
      <c r="S51" s="30" t="s">
        <v>32</v>
      </c>
      <c r="T51" s="30" t="s">
        <v>93</v>
      </c>
      <c r="U51" s="30">
        <v>9570437805</v>
      </c>
      <c r="V51" s="30" t="s">
        <v>52</v>
      </c>
    </row>
    <row r="52" spans="1:22" ht="15" thickBot="1" x14ac:dyDescent="0.4">
      <c r="A52" s="27" t="s">
        <v>141</v>
      </c>
      <c r="B52" s="27" t="s">
        <v>134</v>
      </c>
      <c r="C52" s="27" t="s">
        <v>24</v>
      </c>
      <c r="D52" s="28">
        <v>45723</v>
      </c>
      <c r="E52" s="28">
        <v>45731</v>
      </c>
      <c r="F52" s="27" t="s">
        <v>135</v>
      </c>
      <c r="G52" s="27" t="s">
        <v>26</v>
      </c>
      <c r="H52" s="28">
        <v>32444</v>
      </c>
      <c r="I52" s="27" t="s">
        <v>48</v>
      </c>
      <c r="J52" s="27" t="s">
        <v>28</v>
      </c>
      <c r="K52" s="27" t="s">
        <v>29</v>
      </c>
      <c r="L52" s="27" t="s">
        <v>30</v>
      </c>
      <c r="M52" s="27">
        <v>20</v>
      </c>
      <c r="N52" s="27">
        <v>2200</v>
      </c>
      <c r="O52" s="27">
        <v>5</v>
      </c>
      <c r="P52" s="27">
        <v>41800</v>
      </c>
      <c r="Q52" s="27">
        <v>1</v>
      </c>
      <c r="R52" s="27" t="s">
        <v>31</v>
      </c>
      <c r="S52" s="27" t="s">
        <v>42</v>
      </c>
      <c r="T52" s="27" t="s">
        <v>136</v>
      </c>
      <c r="U52" s="27">
        <v>9310669113</v>
      </c>
      <c r="V52" s="27" t="s">
        <v>52</v>
      </c>
    </row>
    <row r="53" spans="1:22" ht="15" thickBot="1" x14ac:dyDescent="0.4">
      <c r="A53" s="30" t="s">
        <v>142</v>
      </c>
      <c r="B53" s="30" t="s">
        <v>63</v>
      </c>
      <c r="C53" s="30" t="s">
        <v>125</v>
      </c>
      <c r="D53" s="31">
        <v>45832</v>
      </c>
      <c r="E53" s="31">
        <v>45842</v>
      </c>
      <c r="F53" s="30" t="s">
        <v>110</v>
      </c>
      <c r="G53" s="30" t="s">
        <v>58</v>
      </c>
      <c r="H53" s="31">
        <v>38161</v>
      </c>
      <c r="I53" s="30" t="s">
        <v>91</v>
      </c>
      <c r="J53" s="30" t="s">
        <v>75</v>
      </c>
      <c r="K53" s="30" t="s">
        <v>83</v>
      </c>
      <c r="L53" s="30" t="s">
        <v>127</v>
      </c>
      <c r="M53" s="30">
        <v>3</v>
      </c>
      <c r="N53" s="30">
        <v>20</v>
      </c>
      <c r="O53" s="30">
        <v>0</v>
      </c>
      <c r="P53" s="30">
        <v>60</v>
      </c>
      <c r="Q53" s="30">
        <v>2</v>
      </c>
      <c r="R53" s="30" t="s">
        <v>60</v>
      </c>
      <c r="S53" s="30" t="s">
        <v>32</v>
      </c>
      <c r="T53" s="30" t="s">
        <v>143</v>
      </c>
      <c r="U53" s="30">
        <v>9437132894</v>
      </c>
      <c r="V53" s="30" t="s">
        <v>53</v>
      </c>
    </row>
    <row r="54" spans="1:22" ht="15" thickBot="1" x14ac:dyDescent="0.4">
      <c r="A54" s="27" t="s">
        <v>144</v>
      </c>
      <c r="B54" s="27" t="s">
        <v>87</v>
      </c>
      <c r="C54" s="27" t="s">
        <v>138</v>
      </c>
      <c r="D54" s="28">
        <v>45939</v>
      </c>
      <c r="E54" s="28">
        <v>45949</v>
      </c>
      <c r="F54" s="27" t="s">
        <v>88</v>
      </c>
      <c r="G54" s="27" t="s">
        <v>58</v>
      </c>
      <c r="H54" s="28">
        <v>35177</v>
      </c>
      <c r="I54" s="27" t="s">
        <v>79</v>
      </c>
      <c r="J54" s="27" t="s">
        <v>75</v>
      </c>
      <c r="K54" s="27" t="s">
        <v>83</v>
      </c>
      <c r="L54" s="27" t="s">
        <v>139</v>
      </c>
      <c r="M54" s="27">
        <v>18</v>
      </c>
      <c r="N54" s="27">
        <v>45</v>
      </c>
      <c r="O54" s="27">
        <v>20</v>
      </c>
      <c r="P54" s="27">
        <v>648</v>
      </c>
      <c r="Q54" s="27">
        <v>4</v>
      </c>
      <c r="R54" s="27" t="s">
        <v>41</v>
      </c>
      <c r="S54" s="27" t="s">
        <v>32</v>
      </c>
      <c r="T54" s="27" t="s">
        <v>89</v>
      </c>
      <c r="U54" s="27">
        <v>9762437243</v>
      </c>
      <c r="V54" s="27" t="s">
        <v>53</v>
      </c>
    </row>
    <row r="55" spans="1:22" ht="15" thickBot="1" x14ac:dyDescent="0.4">
      <c r="A55" s="30" t="s">
        <v>145</v>
      </c>
      <c r="B55" s="30" t="s">
        <v>87</v>
      </c>
      <c r="C55" s="30" t="s">
        <v>56</v>
      </c>
      <c r="D55" s="31">
        <v>45980</v>
      </c>
      <c r="E55" s="31">
        <v>45987</v>
      </c>
      <c r="F55" s="30" t="s">
        <v>88</v>
      </c>
      <c r="G55" s="30" t="s">
        <v>58</v>
      </c>
      <c r="H55" s="31">
        <v>29043</v>
      </c>
      <c r="I55" s="30" t="s">
        <v>48</v>
      </c>
      <c r="J55" s="30" t="s">
        <v>28</v>
      </c>
      <c r="K55" s="30" t="s">
        <v>39</v>
      </c>
      <c r="L55" s="30" t="s">
        <v>59</v>
      </c>
      <c r="M55" s="30">
        <v>4</v>
      </c>
      <c r="N55" s="30">
        <v>1200</v>
      </c>
      <c r="O55" s="30">
        <v>20</v>
      </c>
      <c r="P55" s="30">
        <v>3840</v>
      </c>
      <c r="Q55" s="30">
        <v>3</v>
      </c>
      <c r="R55" s="30" t="s">
        <v>41</v>
      </c>
      <c r="S55" s="30" t="s">
        <v>50</v>
      </c>
      <c r="T55" s="30" t="s">
        <v>89</v>
      </c>
      <c r="U55" s="30">
        <v>9149046970</v>
      </c>
      <c r="V55" s="22" t="s">
        <v>34</v>
      </c>
    </row>
    <row r="56" spans="1:22" ht="15" thickBot="1" x14ac:dyDescent="0.4">
      <c r="A56" s="27" t="s">
        <v>146</v>
      </c>
      <c r="B56" s="27" t="s">
        <v>55</v>
      </c>
      <c r="C56" s="27" t="s">
        <v>46</v>
      </c>
      <c r="D56" s="28">
        <v>45966</v>
      </c>
      <c r="E56" s="28">
        <v>45975</v>
      </c>
      <c r="F56" s="27" t="s">
        <v>57</v>
      </c>
      <c r="G56" s="27" t="s">
        <v>58</v>
      </c>
      <c r="H56" s="28">
        <v>29491</v>
      </c>
      <c r="I56" s="27" t="s">
        <v>147</v>
      </c>
      <c r="J56" s="27" t="s">
        <v>148</v>
      </c>
      <c r="K56" s="27" t="s">
        <v>39</v>
      </c>
      <c r="L56" s="27" t="s">
        <v>49</v>
      </c>
      <c r="M56" s="27">
        <v>10</v>
      </c>
      <c r="N56" s="27">
        <v>55000</v>
      </c>
      <c r="O56" s="27">
        <v>0</v>
      </c>
      <c r="P56" s="27">
        <v>550000</v>
      </c>
      <c r="Q56" s="27">
        <v>1</v>
      </c>
      <c r="R56" s="27" t="s">
        <v>65</v>
      </c>
      <c r="S56" s="27" t="s">
        <v>42</v>
      </c>
      <c r="T56" s="27" t="s">
        <v>61</v>
      </c>
      <c r="U56" s="27">
        <v>9869182901</v>
      </c>
      <c r="V56" s="27" t="s">
        <v>53</v>
      </c>
    </row>
    <row r="57" spans="1:22" ht="15" thickBot="1" x14ac:dyDescent="0.4">
      <c r="A57" s="30" t="s">
        <v>149</v>
      </c>
      <c r="B57" s="30" t="s">
        <v>134</v>
      </c>
      <c r="C57" s="30" t="s">
        <v>68</v>
      </c>
      <c r="D57" s="31">
        <v>46089</v>
      </c>
      <c r="E57" s="31">
        <v>46101</v>
      </c>
      <c r="F57" s="30" t="s">
        <v>135</v>
      </c>
      <c r="G57" s="30" t="s">
        <v>26</v>
      </c>
      <c r="H57" s="31">
        <v>29393</v>
      </c>
      <c r="I57" s="30" t="s">
        <v>37</v>
      </c>
      <c r="J57" s="30" t="s">
        <v>38</v>
      </c>
      <c r="K57" s="30" t="s">
        <v>29</v>
      </c>
      <c r="L57" s="30" t="s">
        <v>70</v>
      </c>
      <c r="M57" s="30">
        <v>20</v>
      </c>
      <c r="N57" s="30">
        <v>3500</v>
      </c>
      <c r="O57" s="30">
        <v>10</v>
      </c>
      <c r="P57" s="30">
        <v>63000</v>
      </c>
      <c r="Q57" s="30">
        <v>3</v>
      </c>
      <c r="R57" s="30" t="s">
        <v>60</v>
      </c>
      <c r="S57" s="30" t="s">
        <v>42</v>
      </c>
      <c r="T57" s="30" t="s">
        <v>136</v>
      </c>
      <c r="U57" s="30">
        <v>9283578533</v>
      </c>
      <c r="V57" s="30" t="s">
        <v>53</v>
      </c>
    </row>
    <row r="58" spans="1:22" ht="15" thickBot="1" x14ac:dyDescent="0.4">
      <c r="A58" s="27" t="s">
        <v>150</v>
      </c>
      <c r="B58" s="27" t="s">
        <v>23</v>
      </c>
      <c r="C58" s="27" t="s">
        <v>125</v>
      </c>
      <c r="D58" s="28">
        <v>45701</v>
      </c>
      <c r="E58" s="28">
        <v>45707</v>
      </c>
      <c r="F58" s="27" t="s">
        <v>25</v>
      </c>
      <c r="G58" s="27" t="s">
        <v>26</v>
      </c>
      <c r="H58" s="28">
        <v>29023</v>
      </c>
      <c r="I58" s="27" t="s">
        <v>79</v>
      </c>
      <c r="J58" s="27" t="s">
        <v>75</v>
      </c>
      <c r="K58" s="27" t="s">
        <v>83</v>
      </c>
      <c r="L58" s="27" t="s">
        <v>127</v>
      </c>
      <c r="M58" s="27">
        <v>5</v>
      </c>
      <c r="N58" s="27">
        <v>1200</v>
      </c>
      <c r="O58" s="27">
        <v>0</v>
      </c>
      <c r="P58" s="27">
        <v>100</v>
      </c>
      <c r="Q58" s="27">
        <v>1</v>
      </c>
      <c r="R58" s="27" t="s">
        <v>31</v>
      </c>
      <c r="S58" s="27" t="s">
        <v>42</v>
      </c>
      <c r="T58" s="27" t="s">
        <v>43</v>
      </c>
      <c r="U58" s="27">
        <v>9963005771</v>
      </c>
      <c r="V58" s="27" t="s">
        <v>53</v>
      </c>
    </row>
    <row r="59" spans="1:22" ht="15" thickBot="1" x14ac:dyDescent="0.4">
      <c r="A59" s="30" t="s">
        <v>151</v>
      </c>
      <c r="B59" s="30" t="s">
        <v>45</v>
      </c>
      <c r="C59" s="30" t="s">
        <v>105</v>
      </c>
      <c r="D59" s="31">
        <v>45935</v>
      </c>
      <c r="E59" s="31">
        <v>45945</v>
      </c>
      <c r="F59" s="30" t="s">
        <v>101</v>
      </c>
      <c r="G59" s="30" t="s">
        <v>26</v>
      </c>
      <c r="H59" s="31">
        <v>33773</v>
      </c>
      <c r="I59" s="30" t="s">
        <v>74</v>
      </c>
      <c r="J59" s="30" t="s">
        <v>75</v>
      </c>
      <c r="K59" s="30" t="s">
        <v>29</v>
      </c>
      <c r="L59" s="30" t="s">
        <v>107</v>
      </c>
      <c r="M59" s="30">
        <v>20</v>
      </c>
      <c r="N59" s="30">
        <v>8500</v>
      </c>
      <c r="O59" s="30">
        <v>0</v>
      </c>
      <c r="P59" s="30">
        <v>170000</v>
      </c>
      <c r="Q59" s="30">
        <v>1</v>
      </c>
      <c r="R59" s="30" t="s">
        <v>65</v>
      </c>
      <c r="S59" s="30" t="s">
        <v>80</v>
      </c>
      <c r="T59" s="30" t="s">
        <v>51</v>
      </c>
      <c r="U59" s="30">
        <v>9484632635</v>
      </c>
      <c r="V59" s="30" t="s">
        <v>53</v>
      </c>
    </row>
    <row r="60" spans="1:22" ht="15" thickBot="1" x14ac:dyDescent="0.4">
      <c r="A60" s="27" t="s">
        <v>152</v>
      </c>
      <c r="B60" s="27" t="s">
        <v>63</v>
      </c>
      <c r="C60" s="27" t="s">
        <v>82</v>
      </c>
      <c r="D60" s="28">
        <v>46063</v>
      </c>
      <c r="E60" s="28">
        <v>46065</v>
      </c>
      <c r="F60" s="27" t="s">
        <v>110</v>
      </c>
      <c r="G60" s="27" t="s">
        <v>58</v>
      </c>
      <c r="H60" s="28">
        <v>34491</v>
      </c>
      <c r="I60" s="27" t="s">
        <v>48</v>
      </c>
      <c r="J60" s="27" t="s">
        <v>28</v>
      </c>
      <c r="K60" s="27" t="s">
        <v>83</v>
      </c>
      <c r="L60" s="27" t="s">
        <v>84</v>
      </c>
      <c r="M60" s="27">
        <v>8</v>
      </c>
      <c r="N60" s="27">
        <v>60</v>
      </c>
      <c r="O60" s="27">
        <v>15</v>
      </c>
      <c r="P60" s="27">
        <v>408</v>
      </c>
      <c r="Q60" s="27">
        <v>5</v>
      </c>
      <c r="R60" s="27" t="s">
        <v>65</v>
      </c>
      <c r="S60" s="27" t="s">
        <v>42</v>
      </c>
      <c r="T60" s="27" t="s">
        <v>66</v>
      </c>
      <c r="U60" s="27">
        <v>9276319484</v>
      </c>
      <c r="V60" s="27" t="s">
        <v>52</v>
      </c>
    </row>
    <row r="61" spans="1:22" ht="15" thickBot="1" x14ac:dyDescent="0.4">
      <c r="A61" s="30" t="s">
        <v>153</v>
      </c>
      <c r="B61" s="30" t="s">
        <v>45</v>
      </c>
      <c r="C61" s="30" t="s">
        <v>68</v>
      </c>
      <c r="D61" s="31">
        <v>45812</v>
      </c>
      <c r="E61" s="31">
        <v>45824</v>
      </c>
      <c r="F61" s="30" t="s">
        <v>101</v>
      </c>
      <c r="G61" s="30" t="s">
        <v>26</v>
      </c>
      <c r="H61" s="31">
        <v>32408</v>
      </c>
      <c r="I61" s="30" t="s">
        <v>79</v>
      </c>
      <c r="J61" s="30" t="s">
        <v>75</v>
      </c>
      <c r="K61" s="30" t="s">
        <v>29</v>
      </c>
      <c r="L61" s="30" t="s">
        <v>70</v>
      </c>
      <c r="M61" s="30">
        <v>8</v>
      </c>
      <c r="N61" s="30">
        <v>3500</v>
      </c>
      <c r="O61" s="30">
        <v>5</v>
      </c>
      <c r="P61" s="30">
        <v>26600</v>
      </c>
      <c r="Q61" s="30">
        <v>1</v>
      </c>
      <c r="R61" s="30" t="s">
        <v>60</v>
      </c>
      <c r="S61" s="30" t="s">
        <v>80</v>
      </c>
      <c r="T61" s="30" t="s">
        <v>51</v>
      </c>
      <c r="U61" s="30">
        <v>9619034852</v>
      </c>
      <c r="V61" s="30" t="s">
        <v>52</v>
      </c>
    </row>
    <row r="62" spans="1:22" ht="15" thickBot="1" x14ac:dyDescent="0.4">
      <c r="A62" s="27" t="s">
        <v>154</v>
      </c>
      <c r="B62" s="27" t="s">
        <v>55</v>
      </c>
      <c r="C62" s="27" t="s">
        <v>105</v>
      </c>
      <c r="D62" s="28">
        <v>46061</v>
      </c>
      <c r="E62" s="28">
        <v>46067</v>
      </c>
      <c r="F62" s="27" t="s">
        <v>57</v>
      </c>
      <c r="G62" s="27" t="s">
        <v>58</v>
      </c>
      <c r="H62" s="28">
        <v>37086</v>
      </c>
      <c r="I62" s="27" t="s">
        <v>121</v>
      </c>
      <c r="J62" s="27" t="s">
        <v>38</v>
      </c>
      <c r="K62" s="27" t="s">
        <v>29</v>
      </c>
      <c r="L62" s="27" t="s">
        <v>107</v>
      </c>
      <c r="M62" s="27">
        <v>1</v>
      </c>
      <c r="N62" s="27">
        <v>8500</v>
      </c>
      <c r="O62" s="27">
        <v>0</v>
      </c>
      <c r="P62" s="27">
        <v>8500</v>
      </c>
      <c r="Q62" s="27">
        <v>2</v>
      </c>
      <c r="R62" s="27" t="s">
        <v>60</v>
      </c>
      <c r="S62" s="27" t="s">
        <v>80</v>
      </c>
      <c r="T62" s="27" t="s">
        <v>61</v>
      </c>
      <c r="U62" s="27">
        <v>9636416962</v>
      </c>
      <c r="V62" s="27" t="s">
        <v>52</v>
      </c>
    </row>
    <row r="63" spans="1:22" ht="29.5" thickBot="1" x14ac:dyDescent="0.4">
      <c r="A63" s="30" t="s">
        <v>155</v>
      </c>
      <c r="B63" s="30" t="s">
        <v>156</v>
      </c>
      <c r="C63" s="30" t="s">
        <v>138</v>
      </c>
      <c r="D63" s="31">
        <v>45746</v>
      </c>
      <c r="E63" s="31">
        <v>45747</v>
      </c>
      <c r="F63" s="30" t="s">
        <v>157</v>
      </c>
      <c r="G63" s="30" t="s">
        <v>58</v>
      </c>
      <c r="H63" s="31">
        <v>33459</v>
      </c>
      <c r="I63" s="30" t="s">
        <v>79</v>
      </c>
      <c r="J63" s="30" t="s">
        <v>75</v>
      </c>
      <c r="K63" s="30" t="s">
        <v>83</v>
      </c>
      <c r="L63" s="30" t="s">
        <v>139</v>
      </c>
      <c r="M63" s="30">
        <v>8</v>
      </c>
      <c r="N63" s="30">
        <v>45</v>
      </c>
      <c r="O63" s="30">
        <v>15</v>
      </c>
      <c r="P63" s="30">
        <v>306</v>
      </c>
      <c r="Q63" s="30">
        <v>2</v>
      </c>
      <c r="R63" s="30" t="s">
        <v>60</v>
      </c>
      <c r="S63" s="30" t="s">
        <v>50</v>
      </c>
      <c r="T63" s="30" t="s">
        <v>158</v>
      </c>
      <c r="U63" s="30">
        <v>9357133880</v>
      </c>
      <c r="V63" s="22" t="s">
        <v>34</v>
      </c>
    </row>
    <row r="64" spans="1:22" ht="15" thickBot="1" x14ac:dyDescent="0.4">
      <c r="A64" s="27" t="s">
        <v>159</v>
      </c>
      <c r="B64" s="27" t="s">
        <v>134</v>
      </c>
      <c r="C64" s="27" t="s">
        <v>24</v>
      </c>
      <c r="D64" s="28">
        <v>45772</v>
      </c>
      <c r="E64" s="28">
        <v>45775</v>
      </c>
      <c r="F64" s="27" t="s">
        <v>135</v>
      </c>
      <c r="G64" s="27" t="s">
        <v>26</v>
      </c>
      <c r="H64" s="28">
        <v>32437</v>
      </c>
      <c r="I64" s="27" t="s">
        <v>79</v>
      </c>
      <c r="J64" s="27" t="s">
        <v>75</v>
      </c>
      <c r="K64" s="27" t="s">
        <v>29</v>
      </c>
      <c r="L64" s="27" t="s">
        <v>30</v>
      </c>
      <c r="M64" s="27">
        <v>16</v>
      </c>
      <c r="N64" s="27">
        <v>2200</v>
      </c>
      <c r="O64" s="27">
        <v>5</v>
      </c>
      <c r="P64" s="27">
        <v>33440</v>
      </c>
      <c r="Q64" s="27">
        <v>5</v>
      </c>
      <c r="R64" s="27" t="s">
        <v>60</v>
      </c>
      <c r="S64" s="27" t="s">
        <v>50</v>
      </c>
      <c r="T64" s="27" t="s">
        <v>136</v>
      </c>
      <c r="U64" s="27">
        <v>9575210324</v>
      </c>
      <c r="V64" s="27" t="s">
        <v>53</v>
      </c>
    </row>
    <row r="65" spans="1:22" ht="15" thickBot="1" x14ac:dyDescent="0.4">
      <c r="A65" s="30" t="s">
        <v>160</v>
      </c>
      <c r="B65" s="30" t="s">
        <v>55</v>
      </c>
      <c r="C65" s="30" t="s">
        <v>68</v>
      </c>
      <c r="D65" s="31">
        <v>45943</v>
      </c>
      <c r="E65" s="31">
        <v>45953</v>
      </c>
      <c r="F65" s="30" t="s">
        <v>57</v>
      </c>
      <c r="G65" s="30" t="s">
        <v>58</v>
      </c>
      <c r="H65" s="31">
        <v>37579</v>
      </c>
      <c r="I65" s="30" t="s">
        <v>48</v>
      </c>
      <c r="J65" s="30" t="s">
        <v>28</v>
      </c>
      <c r="K65" s="30" t="s">
        <v>29</v>
      </c>
      <c r="L65" s="30" t="s">
        <v>70</v>
      </c>
      <c r="M65" s="30">
        <v>19</v>
      </c>
      <c r="N65" s="30">
        <v>3500</v>
      </c>
      <c r="O65" s="30">
        <v>20</v>
      </c>
      <c r="P65" s="30">
        <v>53200</v>
      </c>
      <c r="Q65" s="30">
        <v>3</v>
      </c>
      <c r="R65" s="30" t="s">
        <v>31</v>
      </c>
      <c r="S65" s="30" t="s">
        <v>96</v>
      </c>
      <c r="T65" s="30" t="s">
        <v>61</v>
      </c>
      <c r="U65" s="30">
        <v>9276080204</v>
      </c>
      <c r="V65" s="30" t="s">
        <v>53</v>
      </c>
    </row>
    <row r="66" spans="1:22" ht="15" thickBot="1" x14ac:dyDescent="0.4">
      <c r="A66" s="27" t="s">
        <v>161</v>
      </c>
      <c r="B66" s="27" t="s">
        <v>134</v>
      </c>
      <c r="C66" s="27" t="s">
        <v>112</v>
      </c>
      <c r="D66" s="28">
        <v>45941</v>
      </c>
      <c r="E66" s="28">
        <v>45944</v>
      </c>
      <c r="F66" s="27" t="s">
        <v>135</v>
      </c>
      <c r="G66" s="27" t="s">
        <v>26</v>
      </c>
      <c r="H66" s="28">
        <v>36713</v>
      </c>
      <c r="I66" s="27" t="s">
        <v>79</v>
      </c>
      <c r="J66" s="27" t="s">
        <v>75</v>
      </c>
      <c r="K66" s="27" t="s">
        <v>39</v>
      </c>
      <c r="L66" s="27" t="s">
        <v>114</v>
      </c>
      <c r="M66" s="27">
        <v>15</v>
      </c>
      <c r="N66" s="27">
        <v>700</v>
      </c>
      <c r="O66" s="27">
        <v>15</v>
      </c>
      <c r="P66" s="27">
        <v>8925</v>
      </c>
      <c r="Q66" s="27">
        <v>4</v>
      </c>
      <c r="R66" s="27" t="s">
        <v>65</v>
      </c>
      <c r="S66" s="27" t="s">
        <v>80</v>
      </c>
      <c r="T66" s="27" t="s">
        <v>162</v>
      </c>
      <c r="U66" s="27">
        <v>9856624471</v>
      </c>
      <c r="V66" s="21" t="s">
        <v>34</v>
      </c>
    </row>
    <row r="67" spans="1:22" ht="15" thickBot="1" x14ac:dyDescent="0.4">
      <c r="A67" s="30" t="s">
        <v>163</v>
      </c>
      <c r="B67" s="30" t="s">
        <v>134</v>
      </c>
      <c r="C67" s="30" t="s">
        <v>112</v>
      </c>
      <c r="D67" s="31">
        <v>45988</v>
      </c>
      <c r="E67" s="31">
        <v>45994</v>
      </c>
      <c r="F67" s="30" t="s">
        <v>135</v>
      </c>
      <c r="G67" s="30" t="s">
        <v>26</v>
      </c>
      <c r="H67" s="31">
        <v>36125</v>
      </c>
      <c r="I67" s="30" t="s">
        <v>121</v>
      </c>
      <c r="J67" s="30" t="s">
        <v>38</v>
      </c>
      <c r="K67" s="30" t="s">
        <v>39</v>
      </c>
      <c r="L67" s="30" t="s">
        <v>114</v>
      </c>
      <c r="M67" s="30">
        <v>19</v>
      </c>
      <c r="N67" s="30">
        <v>700</v>
      </c>
      <c r="O67" s="30">
        <v>20</v>
      </c>
      <c r="P67" s="30">
        <v>10640</v>
      </c>
      <c r="Q67" s="30">
        <v>1</v>
      </c>
      <c r="R67" s="30" t="s">
        <v>31</v>
      </c>
      <c r="S67" s="30" t="s">
        <v>80</v>
      </c>
      <c r="T67" s="30" t="s">
        <v>136</v>
      </c>
      <c r="U67" s="30">
        <v>9238141322</v>
      </c>
      <c r="V67" s="22" t="s">
        <v>34</v>
      </c>
    </row>
    <row r="68" spans="1:22" ht="15" thickBot="1" x14ac:dyDescent="0.4">
      <c r="A68" s="27" t="s">
        <v>164</v>
      </c>
      <c r="B68" s="27" t="s">
        <v>55</v>
      </c>
      <c r="C68" s="27" t="s">
        <v>36</v>
      </c>
      <c r="D68" s="23">
        <v>46131</v>
      </c>
      <c r="E68" s="27"/>
      <c r="F68" s="27" t="s">
        <v>57</v>
      </c>
      <c r="G68" s="27" t="s">
        <v>58</v>
      </c>
      <c r="H68" s="28">
        <v>35219</v>
      </c>
      <c r="I68" s="27" t="s">
        <v>37</v>
      </c>
      <c r="J68" s="27" t="s">
        <v>38</v>
      </c>
      <c r="K68" s="27" t="s">
        <v>39</v>
      </c>
      <c r="L68" s="27" t="s">
        <v>40</v>
      </c>
      <c r="M68" s="27">
        <v>19</v>
      </c>
      <c r="N68" s="27">
        <v>12000</v>
      </c>
      <c r="O68" s="27">
        <v>0</v>
      </c>
      <c r="P68" s="27">
        <v>228000</v>
      </c>
      <c r="Q68" s="27">
        <v>1</v>
      </c>
      <c r="R68" s="27" t="s">
        <v>41</v>
      </c>
      <c r="S68" s="27" t="s">
        <v>50</v>
      </c>
      <c r="T68" s="27" t="s">
        <v>61</v>
      </c>
      <c r="U68" s="27">
        <v>9890380030</v>
      </c>
      <c r="V68" s="21" t="s">
        <v>34</v>
      </c>
    </row>
    <row r="69" spans="1:22" ht="15" thickBot="1" x14ac:dyDescent="0.4">
      <c r="A69" s="30" t="s">
        <v>165</v>
      </c>
      <c r="B69" s="30" t="s">
        <v>104</v>
      </c>
      <c r="C69" s="30" t="s">
        <v>56</v>
      </c>
      <c r="D69" s="31">
        <v>46131</v>
      </c>
      <c r="E69" s="31">
        <v>46133</v>
      </c>
      <c r="F69" s="30" t="s">
        <v>166</v>
      </c>
      <c r="G69" s="30" t="s">
        <v>26</v>
      </c>
      <c r="H69" s="31">
        <v>31851</v>
      </c>
      <c r="I69" s="30" t="s">
        <v>79</v>
      </c>
      <c r="J69" s="30" t="s">
        <v>75</v>
      </c>
      <c r="K69" s="30" t="s">
        <v>39</v>
      </c>
      <c r="L69" s="30" t="s">
        <v>59</v>
      </c>
      <c r="M69" s="30">
        <v>6</v>
      </c>
      <c r="N69" s="30">
        <v>1200</v>
      </c>
      <c r="O69" s="30">
        <v>5</v>
      </c>
      <c r="P69" s="30">
        <v>6840</v>
      </c>
      <c r="Q69" s="30">
        <v>2</v>
      </c>
      <c r="R69" s="30" t="s">
        <v>31</v>
      </c>
      <c r="S69" s="30" t="s">
        <v>32</v>
      </c>
      <c r="T69" s="30" t="s">
        <v>108</v>
      </c>
      <c r="U69" s="30">
        <v>9495893170</v>
      </c>
      <c r="V69" s="30" t="s">
        <v>52</v>
      </c>
    </row>
    <row r="70" spans="1:22" ht="15" thickBot="1" x14ac:dyDescent="0.4">
      <c r="A70" s="27" t="s">
        <v>167</v>
      </c>
      <c r="B70" s="27" t="s">
        <v>45</v>
      </c>
      <c r="C70" s="27" t="s">
        <v>24</v>
      </c>
      <c r="D70" s="28">
        <v>45744</v>
      </c>
      <c r="E70" s="28">
        <v>45754</v>
      </c>
      <c r="F70" s="27" t="s">
        <v>168</v>
      </c>
      <c r="G70" s="27" t="s">
        <v>26</v>
      </c>
      <c r="H70" s="28">
        <v>28906</v>
      </c>
      <c r="I70" s="27" t="s">
        <v>48</v>
      </c>
      <c r="J70" s="27" t="s">
        <v>28</v>
      </c>
      <c r="K70" s="27" t="s">
        <v>29</v>
      </c>
      <c r="L70" s="27" t="s">
        <v>30</v>
      </c>
      <c r="M70" s="27">
        <v>7</v>
      </c>
      <c r="N70" s="27">
        <v>2200</v>
      </c>
      <c r="O70" s="27">
        <v>15</v>
      </c>
      <c r="P70" s="27">
        <v>13090</v>
      </c>
      <c r="Q70" s="27">
        <v>1</v>
      </c>
      <c r="R70" s="27" t="s">
        <v>65</v>
      </c>
      <c r="S70" s="27" t="s">
        <v>50</v>
      </c>
      <c r="T70" s="27" t="s">
        <v>51</v>
      </c>
      <c r="U70" s="27">
        <v>9485166307</v>
      </c>
      <c r="V70" s="21" t="s">
        <v>34</v>
      </c>
    </row>
    <row r="71" spans="1:22" ht="15" thickBot="1" x14ac:dyDescent="0.4">
      <c r="A71" s="30" t="s">
        <v>169</v>
      </c>
      <c r="B71" s="30" t="s">
        <v>72</v>
      </c>
      <c r="C71" s="30" t="s">
        <v>82</v>
      </c>
      <c r="D71" s="31">
        <v>45894</v>
      </c>
      <c r="E71" s="31">
        <v>45897</v>
      </c>
      <c r="F71" s="30" t="s">
        <v>73</v>
      </c>
      <c r="G71" s="30" t="s">
        <v>26</v>
      </c>
      <c r="H71" s="31">
        <v>36747</v>
      </c>
      <c r="I71" s="30" t="s">
        <v>121</v>
      </c>
      <c r="J71" s="30" t="s">
        <v>38</v>
      </c>
      <c r="K71" s="30" t="s">
        <v>83</v>
      </c>
      <c r="L71" s="30" t="s">
        <v>84</v>
      </c>
      <c r="M71" s="30">
        <v>8</v>
      </c>
      <c r="N71" s="30">
        <v>60</v>
      </c>
      <c r="O71" s="30">
        <v>10</v>
      </c>
      <c r="P71" s="30">
        <v>432</v>
      </c>
      <c r="Q71" s="30">
        <v>5</v>
      </c>
      <c r="R71" s="30" t="s">
        <v>60</v>
      </c>
      <c r="S71" s="30" t="s">
        <v>50</v>
      </c>
      <c r="T71" s="30" t="s">
        <v>93</v>
      </c>
      <c r="U71" s="30">
        <v>9924709648</v>
      </c>
      <c r="V71" s="30" t="s">
        <v>53</v>
      </c>
    </row>
    <row r="72" spans="1:22" ht="15" thickBot="1" x14ac:dyDescent="0.4">
      <c r="A72" s="27" t="s">
        <v>170</v>
      </c>
      <c r="B72" s="27" t="s">
        <v>124</v>
      </c>
      <c r="C72" s="27" t="s">
        <v>46</v>
      </c>
      <c r="D72" s="28">
        <v>45888</v>
      </c>
      <c r="E72" s="28">
        <v>45892</v>
      </c>
      <c r="F72" s="27" t="s">
        <v>126</v>
      </c>
      <c r="G72" s="27" t="s">
        <v>58</v>
      </c>
      <c r="H72" s="28">
        <v>27776</v>
      </c>
      <c r="I72" s="27" t="s">
        <v>147</v>
      </c>
      <c r="J72" s="27" t="s">
        <v>148</v>
      </c>
      <c r="K72" s="27" t="s">
        <v>39</v>
      </c>
      <c r="L72" s="27" t="s">
        <v>49</v>
      </c>
      <c r="M72" s="27">
        <v>12</v>
      </c>
      <c r="N72" s="27">
        <v>55000</v>
      </c>
      <c r="O72" s="27">
        <v>5</v>
      </c>
      <c r="P72" s="27">
        <v>627000</v>
      </c>
      <c r="Q72" s="27">
        <v>2</v>
      </c>
      <c r="R72" s="27" t="s">
        <v>65</v>
      </c>
      <c r="S72" s="27" t="s">
        <v>42</v>
      </c>
      <c r="T72" s="27" t="s">
        <v>128</v>
      </c>
      <c r="U72" s="27">
        <v>9350554626</v>
      </c>
      <c r="V72" s="27" t="s">
        <v>52</v>
      </c>
    </row>
    <row r="73" spans="1:22" ht="15" thickBot="1" x14ac:dyDescent="0.4">
      <c r="A73" s="30" t="s">
        <v>171</v>
      </c>
      <c r="B73" s="30" t="s">
        <v>23</v>
      </c>
      <c r="C73" s="30" t="s">
        <v>112</v>
      </c>
      <c r="D73" s="31">
        <v>45865</v>
      </c>
      <c r="E73" s="31">
        <v>45874</v>
      </c>
      <c r="F73" s="30" t="s">
        <v>25</v>
      </c>
      <c r="G73" s="30" t="s">
        <v>26</v>
      </c>
      <c r="H73" s="31">
        <v>27488</v>
      </c>
      <c r="I73" s="30" t="s">
        <v>121</v>
      </c>
      <c r="J73" s="30" t="s">
        <v>38</v>
      </c>
      <c r="K73" s="30" t="s">
        <v>39</v>
      </c>
      <c r="L73" s="30" t="s">
        <v>114</v>
      </c>
      <c r="M73" s="30">
        <v>3</v>
      </c>
      <c r="N73" s="30">
        <v>700</v>
      </c>
      <c r="O73" s="30">
        <v>0</v>
      </c>
      <c r="P73" s="30">
        <v>2100</v>
      </c>
      <c r="Q73" s="30">
        <v>3</v>
      </c>
      <c r="R73" s="30" t="s">
        <v>60</v>
      </c>
      <c r="S73" s="30" t="s">
        <v>96</v>
      </c>
      <c r="T73" s="30" t="s">
        <v>43</v>
      </c>
      <c r="U73" s="30">
        <v>9743295580</v>
      </c>
      <c r="V73" s="30" t="s">
        <v>53</v>
      </c>
    </row>
    <row r="74" spans="1:22" ht="15" thickBot="1" x14ac:dyDescent="0.4">
      <c r="A74" s="27" t="s">
        <v>172</v>
      </c>
      <c r="B74" s="27" t="s">
        <v>87</v>
      </c>
      <c r="C74" s="27" t="s">
        <v>82</v>
      </c>
      <c r="D74" s="28">
        <v>45709</v>
      </c>
      <c r="E74" s="28">
        <v>45714</v>
      </c>
      <c r="F74" s="27" t="s">
        <v>173</v>
      </c>
      <c r="G74" s="27" t="s">
        <v>58</v>
      </c>
      <c r="H74" s="28">
        <v>28105</v>
      </c>
      <c r="I74" s="27" t="s">
        <v>91</v>
      </c>
      <c r="J74" s="27" t="s">
        <v>75</v>
      </c>
      <c r="K74" s="27" t="s">
        <v>83</v>
      </c>
      <c r="L74" s="27" t="s">
        <v>84</v>
      </c>
      <c r="M74" s="27">
        <v>19</v>
      </c>
      <c r="N74" s="27">
        <v>60</v>
      </c>
      <c r="O74" s="27">
        <v>15</v>
      </c>
      <c r="P74" s="27">
        <v>969</v>
      </c>
      <c r="Q74" s="27">
        <v>4</v>
      </c>
      <c r="R74" s="27" t="s">
        <v>60</v>
      </c>
      <c r="S74" s="27" t="s">
        <v>42</v>
      </c>
      <c r="T74" s="27" t="s">
        <v>89</v>
      </c>
      <c r="U74" s="27">
        <v>9822926495</v>
      </c>
      <c r="V74" s="27" t="s">
        <v>53</v>
      </c>
    </row>
    <row r="75" spans="1:22" ht="29.5" thickBot="1" x14ac:dyDescent="0.4">
      <c r="A75" s="30" t="s">
        <v>174</v>
      </c>
      <c r="B75" s="30" t="s">
        <v>156</v>
      </c>
      <c r="C75" s="30" t="s">
        <v>82</v>
      </c>
      <c r="D75" s="31">
        <v>45879</v>
      </c>
      <c r="E75" s="31">
        <v>45880</v>
      </c>
      <c r="F75" s="30" t="s">
        <v>106</v>
      </c>
      <c r="G75" s="30" t="s">
        <v>58</v>
      </c>
      <c r="H75" s="31">
        <v>29192</v>
      </c>
      <c r="I75" s="30" t="s">
        <v>121</v>
      </c>
      <c r="J75" s="30" t="s">
        <v>38</v>
      </c>
      <c r="K75" s="30" t="s">
        <v>83</v>
      </c>
      <c r="L75" s="30" t="s">
        <v>84</v>
      </c>
      <c r="M75" s="30">
        <v>9</v>
      </c>
      <c r="N75" s="30">
        <v>60</v>
      </c>
      <c r="O75" s="30">
        <v>20</v>
      </c>
      <c r="P75" s="30">
        <v>432</v>
      </c>
      <c r="Q75" s="30">
        <v>1</v>
      </c>
      <c r="R75" s="30" t="s">
        <v>41</v>
      </c>
      <c r="S75" s="30" t="s">
        <v>80</v>
      </c>
      <c r="T75" s="30" t="s">
        <v>158</v>
      </c>
      <c r="U75" s="30">
        <v>9518298190</v>
      </c>
      <c r="V75" s="30" t="s">
        <v>52</v>
      </c>
    </row>
    <row r="76" spans="1:22" ht="15" thickBot="1" x14ac:dyDescent="0.4">
      <c r="A76" s="27" t="s">
        <v>175</v>
      </c>
      <c r="B76" s="27" t="s">
        <v>156</v>
      </c>
      <c r="C76" s="27" t="s">
        <v>112</v>
      </c>
      <c r="D76" s="28">
        <v>46105</v>
      </c>
      <c r="E76" s="28">
        <v>46111</v>
      </c>
      <c r="F76" s="27" t="s">
        <v>106</v>
      </c>
      <c r="G76" s="27" t="s">
        <v>58</v>
      </c>
      <c r="H76" s="28">
        <v>28851</v>
      </c>
      <c r="I76" s="27" t="s">
        <v>48</v>
      </c>
      <c r="J76" s="27" t="s">
        <v>28</v>
      </c>
      <c r="K76" s="27" t="s">
        <v>39</v>
      </c>
      <c r="L76" s="27" t="s">
        <v>114</v>
      </c>
      <c r="M76" s="27">
        <v>6</v>
      </c>
      <c r="N76" s="27">
        <v>700</v>
      </c>
      <c r="O76" s="27">
        <v>0</v>
      </c>
      <c r="P76" s="27">
        <v>4200</v>
      </c>
      <c r="Q76" s="27">
        <v>4</v>
      </c>
      <c r="R76" s="27" t="s">
        <v>65</v>
      </c>
      <c r="S76" s="27" t="s">
        <v>42</v>
      </c>
      <c r="T76" s="27" t="s">
        <v>176</v>
      </c>
      <c r="U76" s="27">
        <v>9366223547</v>
      </c>
      <c r="V76" s="27" t="s">
        <v>53</v>
      </c>
    </row>
    <row r="77" spans="1:22" ht="15" thickBot="1" x14ac:dyDescent="0.4">
      <c r="A77" s="30" t="s">
        <v>177</v>
      </c>
      <c r="B77" s="30" t="s">
        <v>87</v>
      </c>
      <c r="C77" s="30" t="s">
        <v>138</v>
      </c>
      <c r="D77" s="31">
        <v>46094</v>
      </c>
      <c r="E77" s="31">
        <v>46100</v>
      </c>
      <c r="F77" s="30" t="s">
        <v>88</v>
      </c>
      <c r="G77" s="30" t="s">
        <v>58</v>
      </c>
      <c r="H77" s="31">
        <v>27499</v>
      </c>
      <c r="I77" s="30" t="s">
        <v>37</v>
      </c>
      <c r="J77" s="30" t="s">
        <v>38</v>
      </c>
      <c r="K77" s="30" t="s">
        <v>83</v>
      </c>
      <c r="L77" s="30" t="s">
        <v>139</v>
      </c>
      <c r="M77" s="30">
        <v>18</v>
      </c>
      <c r="N77" s="30">
        <v>45</v>
      </c>
      <c r="O77" s="30">
        <v>5</v>
      </c>
      <c r="P77" s="30">
        <v>769.5</v>
      </c>
      <c r="Q77" s="30">
        <v>1</v>
      </c>
      <c r="R77" s="30" t="s">
        <v>60</v>
      </c>
      <c r="S77" s="30" t="s">
        <v>50</v>
      </c>
      <c r="T77" s="30" t="s">
        <v>89</v>
      </c>
      <c r="U77" s="30">
        <v>9701988524</v>
      </c>
      <c r="V77" s="30" t="s">
        <v>52</v>
      </c>
    </row>
    <row r="78" spans="1:22" ht="15" thickBot="1" x14ac:dyDescent="0.4">
      <c r="A78" s="27" t="s">
        <v>178</v>
      </c>
      <c r="B78" s="27" t="s">
        <v>63</v>
      </c>
      <c r="C78" s="27" t="s">
        <v>125</v>
      </c>
      <c r="D78" s="28">
        <v>45823</v>
      </c>
      <c r="E78" s="28">
        <v>45834</v>
      </c>
      <c r="F78" s="27" t="s">
        <v>110</v>
      </c>
      <c r="G78" s="27" t="s">
        <v>58</v>
      </c>
      <c r="H78" s="28">
        <v>32496</v>
      </c>
      <c r="I78" s="27" t="s">
        <v>121</v>
      </c>
      <c r="J78" s="27" t="s">
        <v>38</v>
      </c>
      <c r="K78" s="27" t="s">
        <v>83</v>
      </c>
      <c r="L78" s="27" t="s">
        <v>127</v>
      </c>
      <c r="M78" s="27">
        <v>8</v>
      </c>
      <c r="N78" s="27">
        <v>20</v>
      </c>
      <c r="O78" s="27">
        <v>5</v>
      </c>
      <c r="P78" s="27">
        <v>152</v>
      </c>
      <c r="Q78" s="27">
        <v>1</v>
      </c>
      <c r="R78" s="27" t="s">
        <v>60</v>
      </c>
      <c r="S78" s="27" t="s">
        <v>32</v>
      </c>
      <c r="T78" s="27" t="s">
        <v>66</v>
      </c>
      <c r="U78" s="27">
        <v>9836327649</v>
      </c>
      <c r="V78" s="21" t="s">
        <v>179</v>
      </c>
    </row>
    <row r="79" spans="1:22" ht="15" thickBot="1" x14ac:dyDescent="0.4">
      <c r="A79" s="30" t="s">
        <v>180</v>
      </c>
      <c r="B79" s="30" t="s">
        <v>124</v>
      </c>
      <c r="C79" s="30" t="s">
        <v>112</v>
      </c>
      <c r="D79" s="31">
        <v>45721</v>
      </c>
      <c r="E79" s="31">
        <v>45722</v>
      </c>
      <c r="F79" s="30" t="s">
        <v>126</v>
      </c>
      <c r="G79" s="30" t="s">
        <v>58</v>
      </c>
      <c r="H79" s="31">
        <v>28921</v>
      </c>
      <c r="I79" s="30" t="s">
        <v>121</v>
      </c>
      <c r="J79" s="30" t="s">
        <v>38</v>
      </c>
      <c r="K79" s="30" t="s">
        <v>39</v>
      </c>
      <c r="L79" s="30" t="s">
        <v>114</v>
      </c>
      <c r="M79" s="30">
        <v>8</v>
      </c>
      <c r="N79" s="30">
        <v>700</v>
      </c>
      <c r="O79" s="30">
        <v>10</v>
      </c>
      <c r="P79" s="30">
        <v>5040</v>
      </c>
      <c r="Q79" s="30">
        <v>1</v>
      </c>
      <c r="R79" s="30" t="s">
        <v>41</v>
      </c>
      <c r="S79" s="30" t="s">
        <v>50</v>
      </c>
      <c r="T79" s="32" t="s">
        <v>181</v>
      </c>
      <c r="U79" s="30">
        <v>9261800516</v>
      </c>
      <c r="V79" s="30" t="s">
        <v>53</v>
      </c>
    </row>
    <row r="80" spans="1:22" ht="15" thickBot="1" x14ac:dyDescent="0.4">
      <c r="A80" s="27" t="s">
        <v>182</v>
      </c>
      <c r="B80" s="27" t="s">
        <v>23</v>
      </c>
      <c r="C80" s="27" t="s">
        <v>125</v>
      </c>
      <c r="D80" s="28">
        <v>46121</v>
      </c>
      <c r="E80" s="28">
        <v>46131</v>
      </c>
      <c r="F80" s="27" t="s">
        <v>25</v>
      </c>
      <c r="G80" s="27" t="s">
        <v>26</v>
      </c>
      <c r="H80" s="28">
        <v>37972</v>
      </c>
      <c r="I80" s="27" t="s">
        <v>37</v>
      </c>
      <c r="J80" s="27" t="s">
        <v>38</v>
      </c>
      <c r="K80" s="27" t="s">
        <v>83</v>
      </c>
      <c r="L80" s="27" t="s">
        <v>127</v>
      </c>
      <c r="M80" s="27">
        <v>7</v>
      </c>
      <c r="N80" s="27">
        <v>20</v>
      </c>
      <c r="O80" s="27">
        <v>15</v>
      </c>
      <c r="P80" s="27">
        <v>119</v>
      </c>
      <c r="Q80" s="27">
        <v>5</v>
      </c>
      <c r="R80" s="27" t="s">
        <v>60</v>
      </c>
      <c r="S80" s="27" t="s">
        <v>42</v>
      </c>
      <c r="T80" s="27" t="s">
        <v>43</v>
      </c>
      <c r="U80" s="27">
        <v>9950802015</v>
      </c>
      <c r="V80" s="21" t="s">
        <v>34</v>
      </c>
    </row>
    <row r="81" spans="1:22" ht="15" thickBot="1" x14ac:dyDescent="0.4">
      <c r="A81" s="30" t="s">
        <v>183</v>
      </c>
      <c r="B81" s="30" t="s">
        <v>72</v>
      </c>
      <c r="C81" s="30" t="s">
        <v>125</v>
      </c>
      <c r="D81" s="31">
        <v>45885</v>
      </c>
      <c r="E81" s="31">
        <v>45894</v>
      </c>
      <c r="F81" s="30" t="s">
        <v>73</v>
      </c>
      <c r="G81" s="30" t="s">
        <v>26</v>
      </c>
      <c r="H81" s="31">
        <v>30777</v>
      </c>
      <c r="I81" s="30" t="s">
        <v>79</v>
      </c>
      <c r="J81" s="30" t="s">
        <v>75</v>
      </c>
      <c r="K81" s="30" t="s">
        <v>83</v>
      </c>
      <c r="L81" s="30" t="s">
        <v>127</v>
      </c>
      <c r="M81" s="30">
        <v>16</v>
      </c>
      <c r="N81" s="30">
        <v>20</v>
      </c>
      <c r="O81" s="30">
        <v>0</v>
      </c>
      <c r="P81" s="30">
        <v>320</v>
      </c>
      <c r="Q81" s="30">
        <v>5</v>
      </c>
      <c r="R81" s="30" t="s">
        <v>41</v>
      </c>
      <c r="S81" s="30" t="s">
        <v>50</v>
      </c>
      <c r="T81" s="30" t="s">
        <v>93</v>
      </c>
      <c r="U81" s="30">
        <v>9595183767</v>
      </c>
      <c r="V81" s="30" t="s">
        <v>52</v>
      </c>
    </row>
    <row r="82" spans="1:22" ht="15" thickBot="1" x14ac:dyDescent="0.4">
      <c r="A82" s="27" t="s">
        <v>184</v>
      </c>
      <c r="B82" s="27" t="s">
        <v>45</v>
      </c>
      <c r="C82" s="27" t="s">
        <v>138</v>
      </c>
      <c r="D82" s="28">
        <v>46155</v>
      </c>
      <c r="E82" s="28">
        <v>46162</v>
      </c>
      <c r="F82" s="27" t="s">
        <v>101</v>
      </c>
      <c r="G82" s="27" t="s">
        <v>26</v>
      </c>
      <c r="H82" s="28">
        <v>35168</v>
      </c>
      <c r="I82" s="27" t="s">
        <v>74</v>
      </c>
      <c r="J82" s="27" t="s">
        <v>75</v>
      </c>
      <c r="K82" s="27" t="s">
        <v>83</v>
      </c>
      <c r="L82" s="27" t="s">
        <v>139</v>
      </c>
      <c r="M82" s="27">
        <v>15</v>
      </c>
      <c r="N82" s="27">
        <v>45</v>
      </c>
      <c r="O82" s="27">
        <v>0</v>
      </c>
      <c r="P82" s="27">
        <v>675</v>
      </c>
      <c r="Q82" s="27">
        <v>4</v>
      </c>
      <c r="R82" s="27" t="s">
        <v>31</v>
      </c>
      <c r="S82" s="27" t="s">
        <v>50</v>
      </c>
      <c r="T82" s="27" t="s">
        <v>51</v>
      </c>
      <c r="U82" s="27">
        <v>9560201307</v>
      </c>
      <c r="V82" s="27" t="s">
        <v>53</v>
      </c>
    </row>
    <row r="83" spans="1:22" ht="15" thickBot="1" x14ac:dyDescent="0.4">
      <c r="A83" s="30" t="s">
        <v>185</v>
      </c>
      <c r="B83" s="30" t="s">
        <v>134</v>
      </c>
      <c r="C83" s="30" t="s">
        <v>112</v>
      </c>
      <c r="D83" s="31">
        <v>45717</v>
      </c>
      <c r="E83" s="31">
        <v>45721</v>
      </c>
      <c r="F83" s="30" t="s">
        <v>135</v>
      </c>
      <c r="G83" s="30" t="s">
        <v>26</v>
      </c>
      <c r="H83" s="31">
        <v>37872</v>
      </c>
      <c r="I83" s="30" t="s">
        <v>91</v>
      </c>
      <c r="J83" s="30" t="s">
        <v>75</v>
      </c>
      <c r="K83" s="30" t="s">
        <v>39</v>
      </c>
      <c r="L83" s="30" t="s">
        <v>114</v>
      </c>
      <c r="M83" s="30">
        <v>15</v>
      </c>
      <c r="N83" s="30">
        <v>700</v>
      </c>
      <c r="O83" s="30">
        <v>10</v>
      </c>
      <c r="P83" s="30">
        <v>9450</v>
      </c>
      <c r="Q83" s="30">
        <v>3</v>
      </c>
      <c r="R83" s="30" t="s">
        <v>41</v>
      </c>
      <c r="S83" s="30" t="s">
        <v>96</v>
      </c>
      <c r="T83" s="30" t="s">
        <v>136</v>
      </c>
      <c r="U83" s="30">
        <v>9826484650</v>
      </c>
      <c r="V83" s="22" t="s">
        <v>34</v>
      </c>
    </row>
    <row r="84" spans="1:22" ht="15" thickBot="1" x14ac:dyDescent="0.4">
      <c r="A84" s="27" t="s">
        <v>186</v>
      </c>
      <c r="B84" s="27" t="s">
        <v>45</v>
      </c>
      <c r="C84" s="27" t="s">
        <v>138</v>
      </c>
      <c r="D84" s="28">
        <v>45697</v>
      </c>
      <c r="E84" s="28">
        <v>45700</v>
      </c>
      <c r="F84" s="27" t="s">
        <v>101</v>
      </c>
      <c r="G84" s="27" t="s">
        <v>26</v>
      </c>
      <c r="H84" s="28">
        <v>33871</v>
      </c>
      <c r="I84" s="27" t="s">
        <v>147</v>
      </c>
      <c r="J84" s="27" t="s">
        <v>148</v>
      </c>
      <c r="K84" s="27" t="s">
        <v>83</v>
      </c>
      <c r="L84" s="27" t="s">
        <v>139</v>
      </c>
      <c r="M84" s="27">
        <v>3</v>
      </c>
      <c r="N84" s="27">
        <v>45</v>
      </c>
      <c r="O84" s="27">
        <v>15</v>
      </c>
      <c r="P84" s="27">
        <v>114.75</v>
      </c>
      <c r="Q84" s="27">
        <v>2</v>
      </c>
      <c r="R84" s="27" t="s">
        <v>65</v>
      </c>
      <c r="S84" s="27" t="s">
        <v>80</v>
      </c>
      <c r="T84" s="27" t="s">
        <v>51</v>
      </c>
      <c r="U84" s="27">
        <v>9219978007</v>
      </c>
      <c r="V84" s="27" t="s">
        <v>52</v>
      </c>
    </row>
    <row r="85" spans="1:22" ht="15" thickBot="1" x14ac:dyDescent="0.4">
      <c r="A85" s="30" t="s">
        <v>187</v>
      </c>
      <c r="B85" s="30" t="s">
        <v>72</v>
      </c>
      <c r="C85" s="30" t="s">
        <v>24</v>
      </c>
      <c r="D85" s="31">
        <v>46031</v>
      </c>
      <c r="E85" s="31">
        <v>46032</v>
      </c>
      <c r="F85" s="30" t="s">
        <v>73</v>
      </c>
      <c r="G85" s="30" t="s">
        <v>26</v>
      </c>
      <c r="H85" s="31">
        <v>31674</v>
      </c>
      <c r="I85" s="30" t="s">
        <v>147</v>
      </c>
      <c r="J85" s="30" t="s">
        <v>148</v>
      </c>
      <c r="K85" s="30" t="s">
        <v>29</v>
      </c>
      <c r="L85" s="30" t="s">
        <v>30</v>
      </c>
      <c r="M85" s="30">
        <v>7</v>
      </c>
      <c r="N85" s="30">
        <v>2200</v>
      </c>
      <c r="O85" s="30">
        <v>15</v>
      </c>
      <c r="P85" s="30">
        <v>13090</v>
      </c>
      <c r="Q85" s="30">
        <v>5</v>
      </c>
      <c r="R85" s="30" t="s">
        <v>65</v>
      </c>
      <c r="S85" s="30" t="s">
        <v>80</v>
      </c>
      <c r="T85" s="30" t="s">
        <v>93</v>
      </c>
      <c r="U85" s="30">
        <v>9662063276</v>
      </c>
      <c r="V85" s="22" t="s">
        <v>34</v>
      </c>
    </row>
    <row r="86" spans="1:22" ht="15" thickBot="1" x14ac:dyDescent="0.4">
      <c r="A86" s="27" t="s">
        <v>188</v>
      </c>
      <c r="B86" s="27" t="s">
        <v>23</v>
      </c>
      <c r="C86" s="27" t="s">
        <v>138</v>
      </c>
      <c r="D86" s="28">
        <v>45901</v>
      </c>
      <c r="E86" s="28">
        <v>45905</v>
      </c>
      <c r="F86" s="27" t="s">
        <v>25</v>
      </c>
      <c r="G86" s="27" t="s">
        <v>26</v>
      </c>
      <c r="H86" s="28">
        <v>31195</v>
      </c>
      <c r="I86" s="27" t="s">
        <v>37</v>
      </c>
      <c r="J86" s="27" t="s">
        <v>38</v>
      </c>
      <c r="K86" s="27" t="s">
        <v>83</v>
      </c>
      <c r="L86" s="27" t="s">
        <v>139</v>
      </c>
      <c r="M86" s="27">
        <v>19</v>
      </c>
      <c r="N86" s="27">
        <v>45</v>
      </c>
      <c r="O86" s="27">
        <v>10</v>
      </c>
      <c r="P86" s="27">
        <v>769.5</v>
      </c>
      <c r="Q86" s="27">
        <v>5</v>
      </c>
      <c r="R86" s="27" t="s">
        <v>60</v>
      </c>
      <c r="S86" s="27" t="s">
        <v>80</v>
      </c>
      <c r="T86" s="27" t="s">
        <v>43</v>
      </c>
      <c r="U86" s="27">
        <v>9190393639</v>
      </c>
      <c r="V86" s="27" t="s">
        <v>53</v>
      </c>
    </row>
    <row r="87" spans="1:22" ht="15" thickBot="1" x14ac:dyDescent="0.4">
      <c r="A87" s="30" t="s">
        <v>189</v>
      </c>
      <c r="B87" s="30" t="s">
        <v>134</v>
      </c>
      <c r="C87" s="30" t="s">
        <v>68</v>
      </c>
      <c r="D87" s="31">
        <v>46062</v>
      </c>
      <c r="E87" s="31">
        <v>46067</v>
      </c>
      <c r="F87" s="30" t="s">
        <v>135</v>
      </c>
      <c r="G87" s="30" t="s">
        <v>26</v>
      </c>
      <c r="H87" s="31">
        <v>29094</v>
      </c>
      <c r="I87" s="30" t="s">
        <v>27</v>
      </c>
      <c r="J87" s="30" t="s">
        <v>28</v>
      </c>
      <c r="K87" s="30" t="s">
        <v>29</v>
      </c>
      <c r="L87" s="30" t="s">
        <v>70</v>
      </c>
      <c r="M87" s="30">
        <v>7</v>
      </c>
      <c r="N87" s="30">
        <v>3500</v>
      </c>
      <c r="O87" s="30">
        <v>15</v>
      </c>
      <c r="P87" s="30">
        <v>20825</v>
      </c>
      <c r="Q87" s="30">
        <v>1</v>
      </c>
      <c r="R87" s="30" t="s">
        <v>31</v>
      </c>
      <c r="S87" s="30" t="s">
        <v>96</v>
      </c>
      <c r="T87" s="30" t="s">
        <v>136</v>
      </c>
      <c r="U87" s="30">
        <v>9106328582</v>
      </c>
      <c r="V87" s="30" t="s">
        <v>52</v>
      </c>
    </row>
    <row r="88" spans="1:22" ht="15" thickBot="1" x14ac:dyDescent="0.4">
      <c r="A88" s="27" t="s">
        <v>190</v>
      </c>
      <c r="B88" s="27" t="s">
        <v>45</v>
      </c>
      <c r="C88" s="27" t="s">
        <v>105</v>
      </c>
      <c r="D88" s="28">
        <v>46005</v>
      </c>
      <c r="E88" s="28">
        <v>46010</v>
      </c>
      <c r="F88" s="27" t="s">
        <v>101</v>
      </c>
      <c r="G88" s="27" t="s">
        <v>26</v>
      </c>
      <c r="H88" s="28">
        <v>28116</v>
      </c>
      <c r="I88" s="27" t="s">
        <v>121</v>
      </c>
      <c r="J88" s="27" t="s">
        <v>38</v>
      </c>
      <c r="K88" s="27" t="s">
        <v>29</v>
      </c>
      <c r="L88" s="27" t="s">
        <v>107</v>
      </c>
      <c r="M88" s="27">
        <v>7</v>
      </c>
      <c r="N88" s="27">
        <v>8500</v>
      </c>
      <c r="O88" s="27">
        <v>20</v>
      </c>
      <c r="P88" s="27">
        <v>47600</v>
      </c>
      <c r="Q88" s="27">
        <v>4</v>
      </c>
      <c r="R88" s="27" t="s">
        <v>41</v>
      </c>
      <c r="S88" s="27" t="s">
        <v>80</v>
      </c>
      <c r="T88" s="27" t="s">
        <v>51</v>
      </c>
      <c r="U88" s="27">
        <v>9264401015</v>
      </c>
      <c r="V88" s="21" t="s">
        <v>34</v>
      </c>
    </row>
    <row r="89" spans="1:22" ht="15" thickBot="1" x14ac:dyDescent="0.4">
      <c r="A89" s="30" t="s">
        <v>191</v>
      </c>
      <c r="B89" s="30" t="s">
        <v>23</v>
      </c>
      <c r="C89" s="30" t="s">
        <v>46</v>
      </c>
      <c r="D89" s="31">
        <v>45754</v>
      </c>
      <c r="E89" s="31">
        <v>45757</v>
      </c>
      <c r="F89" s="30" t="s">
        <v>25</v>
      </c>
      <c r="G89" s="30" t="s">
        <v>26</v>
      </c>
      <c r="H89" s="31">
        <v>36561</v>
      </c>
      <c r="I89" s="30" t="s">
        <v>48</v>
      </c>
      <c r="J89" s="30" t="s">
        <v>28</v>
      </c>
      <c r="K89" s="30" t="s">
        <v>39</v>
      </c>
      <c r="L89" s="30" t="s">
        <v>49</v>
      </c>
      <c r="M89" s="30">
        <v>16</v>
      </c>
      <c r="N89" s="30">
        <v>55000</v>
      </c>
      <c r="O89" s="30">
        <v>10</v>
      </c>
      <c r="P89" s="30">
        <v>792000</v>
      </c>
      <c r="Q89" s="30">
        <v>1</v>
      </c>
      <c r="R89" s="30" t="s">
        <v>60</v>
      </c>
      <c r="S89" s="30" t="s">
        <v>50</v>
      </c>
      <c r="T89" s="30" t="s">
        <v>43</v>
      </c>
      <c r="U89" s="30">
        <v>9959237375</v>
      </c>
      <c r="V89" s="22" t="s">
        <v>34</v>
      </c>
    </row>
    <row r="90" spans="1:22" ht="15" thickBot="1" x14ac:dyDescent="0.4">
      <c r="A90" s="27" t="s">
        <v>192</v>
      </c>
      <c r="B90" s="27" t="s">
        <v>104</v>
      </c>
      <c r="C90" s="27" t="s">
        <v>36</v>
      </c>
      <c r="D90" s="28">
        <v>46015</v>
      </c>
      <c r="E90" s="28">
        <v>46025</v>
      </c>
      <c r="F90" s="27" t="s">
        <v>166</v>
      </c>
      <c r="G90" s="27" t="s">
        <v>26</v>
      </c>
      <c r="H90" s="28">
        <v>31832</v>
      </c>
      <c r="I90" s="27" t="s">
        <v>74</v>
      </c>
      <c r="J90" s="27" t="s">
        <v>75</v>
      </c>
      <c r="K90" s="27" t="s">
        <v>39</v>
      </c>
      <c r="L90" s="27" t="s">
        <v>40</v>
      </c>
      <c r="M90" s="27">
        <v>2</v>
      </c>
      <c r="N90" s="27">
        <v>12000</v>
      </c>
      <c r="O90" s="27">
        <v>20</v>
      </c>
      <c r="P90" s="27">
        <v>19200</v>
      </c>
      <c r="Q90" s="27">
        <v>1</v>
      </c>
      <c r="R90" s="27" t="s">
        <v>31</v>
      </c>
      <c r="S90" s="27" t="s">
        <v>96</v>
      </c>
      <c r="T90" s="29" t="s">
        <v>193</v>
      </c>
      <c r="U90" s="27">
        <v>9561836580</v>
      </c>
      <c r="V90" s="27" t="s">
        <v>52</v>
      </c>
    </row>
    <row r="91" spans="1:22" ht="15" thickBot="1" x14ac:dyDescent="0.4">
      <c r="A91" s="30" t="s">
        <v>194</v>
      </c>
      <c r="B91" s="30" t="s">
        <v>87</v>
      </c>
      <c r="C91" s="30" t="s">
        <v>138</v>
      </c>
      <c r="D91" s="31">
        <v>45899</v>
      </c>
      <c r="E91" s="31">
        <v>45905</v>
      </c>
      <c r="F91" s="30" t="s">
        <v>88</v>
      </c>
      <c r="G91" s="30" t="s">
        <v>58</v>
      </c>
      <c r="H91" s="31">
        <v>30887</v>
      </c>
      <c r="I91" s="30" t="s">
        <v>48</v>
      </c>
      <c r="J91" s="30" t="s">
        <v>28</v>
      </c>
      <c r="K91" s="30" t="s">
        <v>83</v>
      </c>
      <c r="L91" s="30" t="s">
        <v>139</v>
      </c>
      <c r="M91" s="30">
        <v>4</v>
      </c>
      <c r="N91" s="30">
        <v>45</v>
      </c>
      <c r="O91" s="30">
        <v>5</v>
      </c>
      <c r="P91" s="30">
        <v>171</v>
      </c>
      <c r="Q91" s="30">
        <v>1</v>
      </c>
      <c r="R91" s="30" t="s">
        <v>60</v>
      </c>
      <c r="S91" s="30" t="s">
        <v>42</v>
      </c>
      <c r="T91" s="30" t="s">
        <v>89</v>
      </c>
      <c r="U91" s="30">
        <v>9512666401</v>
      </c>
      <c r="V91" s="30" t="s">
        <v>52</v>
      </c>
    </row>
    <row r="92" spans="1:22" ht="15" thickBot="1" x14ac:dyDescent="0.4">
      <c r="A92" s="27" t="s">
        <v>195</v>
      </c>
      <c r="B92" s="27" t="s">
        <v>23</v>
      </c>
      <c r="C92" s="27" t="s">
        <v>56</v>
      </c>
      <c r="D92" s="28">
        <v>46004</v>
      </c>
      <c r="E92" s="28">
        <v>46014</v>
      </c>
      <c r="F92" s="27" t="s">
        <v>25</v>
      </c>
      <c r="G92" s="27" t="s">
        <v>26</v>
      </c>
      <c r="H92" s="28">
        <v>29851</v>
      </c>
      <c r="I92" s="27" t="s">
        <v>121</v>
      </c>
      <c r="J92" s="27" t="s">
        <v>38</v>
      </c>
      <c r="K92" s="27" t="s">
        <v>39</v>
      </c>
      <c r="L92" s="27" t="s">
        <v>59</v>
      </c>
      <c r="M92" s="27">
        <v>1</v>
      </c>
      <c r="N92" s="27">
        <v>1200</v>
      </c>
      <c r="O92" s="27">
        <v>5</v>
      </c>
      <c r="P92" s="27">
        <v>1140</v>
      </c>
      <c r="Q92" s="27">
        <v>3</v>
      </c>
      <c r="R92" s="27" t="s">
        <v>65</v>
      </c>
      <c r="S92" s="27" t="s">
        <v>50</v>
      </c>
      <c r="T92" s="27" t="s">
        <v>43</v>
      </c>
      <c r="U92" s="27">
        <v>9808988530</v>
      </c>
      <c r="V92" s="27" t="s">
        <v>53</v>
      </c>
    </row>
    <row r="93" spans="1:22" ht="15" thickBot="1" x14ac:dyDescent="0.4">
      <c r="A93" s="30" t="s">
        <v>196</v>
      </c>
      <c r="B93" s="30" t="s">
        <v>45</v>
      </c>
      <c r="C93" s="30" t="s">
        <v>24</v>
      </c>
      <c r="D93" s="31">
        <v>46057</v>
      </c>
      <c r="E93" s="31">
        <v>46069</v>
      </c>
      <c r="F93" s="30" t="s">
        <v>101</v>
      </c>
      <c r="G93" s="30" t="s">
        <v>26</v>
      </c>
      <c r="H93" s="24">
        <v>29392</v>
      </c>
      <c r="I93" s="30"/>
      <c r="J93" s="30" t="s">
        <v>28</v>
      </c>
      <c r="K93" s="30" t="s">
        <v>29</v>
      </c>
      <c r="L93" s="30" t="s">
        <v>30</v>
      </c>
      <c r="M93" s="30">
        <v>1</v>
      </c>
      <c r="N93" s="30">
        <v>2200</v>
      </c>
      <c r="O93" s="30">
        <v>15</v>
      </c>
      <c r="P93" s="30">
        <v>1870</v>
      </c>
      <c r="Q93" s="30">
        <v>4</v>
      </c>
      <c r="R93" s="30" t="s">
        <v>60</v>
      </c>
      <c r="S93" s="30" t="s">
        <v>50</v>
      </c>
      <c r="T93" s="30" t="s">
        <v>51</v>
      </c>
      <c r="U93" s="30">
        <v>9286410494</v>
      </c>
      <c r="V93" s="22" t="s">
        <v>34</v>
      </c>
    </row>
    <row r="94" spans="1:22" ht="15" thickBot="1" x14ac:dyDescent="0.4">
      <c r="A94" s="27" t="s">
        <v>197</v>
      </c>
      <c r="B94" s="27" t="s">
        <v>87</v>
      </c>
      <c r="C94" s="27" t="s">
        <v>56</v>
      </c>
      <c r="D94" s="28">
        <v>46048</v>
      </c>
      <c r="E94" s="28">
        <v>46050</v>
      </c>
      <c r="F94" s="27" t="s">
        <v>88</v>
      </c>
      <c r="G94" s="27" t="s">
        <v>58</v>
      </c>
      <c r="H94" s="28">
        <v>30257</v>
      </c>
      <c r="I94" s="27" t="s">
        <v>79</v>
      </c>
      <c r="J94" s="27" t="s">
        <v>75</v>
      </c>
      <c r="K94" s="27" t="s">
        <v>39</v>
      </c>
      <c r="L94" s="27" t="s">
        <v>59</v>
      </c>
      <c r="M94" s="27">
        <v>3</v>
      </c>
      <c r="N94" s="27">
        <v>1200</v>
      </c>
      <c r="O94" s="27">
        <v>10</v>
      </c>
      <c r="P94" s="27">
        <v>3240</v>
      </c>
      <c r="Q94" s="27">
        <v>5</v>
      </c>
      <c r="R94" s="27" t="s">
        <v>31</v>
      </c>
      <c r="S94" s="27" t="s">
        <v>42</v>
      </c>
      <c r="T94" s="27" t="s">
        <v>89</v>
      </c>
      <c r="U94" s="27">
        <v>9311555196</v>
      </c>
      <c r="V94" s="21" t="s">
        <v>34</v>
      </c>
    </row>
    <row r="95" spans="1:22" ht="15" thickBot="1" x14ac:dyDescent="0.4">
      <c r="A95" s="30" t="s">
        <v>198</v>
      </c>
      <c r="B95" s="30" t="s">
        <v>23</v>
      </c>
      <c r="C95" s="30" t="s">
        <v>68</v>
      </c>
      <c r="D95" s="31">
        <v>45835</v>
      </c>
      <c r="E95" s="31">
        <v>45845</v>
      </c>
      <c r="F95" s="30" t="s">
        <v>25</v>
      </c>
      <c r="G95" s="30" t="s">
        <v>26</v>
      </c>
      <c r="H95" s="31">
        <v>29230</v>
      </c>
      <c r="I95" s="30" t="s">
        <v>48</v>
      </c>
      <c r="J95" s="30" t="s">
        <v>28</v>
      </c>
      <c r="K95" s="30" t="s">
        <v>29</v>
      </c>
      <c r="L95" s="30" t="s">
        <v>70</v>
      </c>
      <c r="M95" s="30">
        <v>10</v>
      </c>
      <c r="N95" s="30">
        <v>3500</v>
      </c>
      <c r="O95" s="30">
        <v>20</v>
      </c>
      <c r="P95" s="30">
        <v>28000</v>
      </c>
      <c r="Q95" s="30">
        <v>5</v>
      </c>
      <c r="R95" s="30" t="s">
        <v>60</v>
      </c>
      <c r="S95" s="30" t="s">
        <v>32</v>
      </c>
      <c r="T95" s="30" t="s">
        <v>43</v>
      </c>
      <c r="U95" s="30">
        <v>9101810266</v>
      </c>
      <c r="V95" s="22" t="s">
        <v>34</v>
      </c>
    </row>
    <row r="96" spans="1:22" ht="15" thickBot="1" x14ac:dyDescent="0.4">
      <c r="A96" s="27" t="s">
        <v>199</v>
      </c>
      <c r="B96" s="27" t="s">
        <v>63</v>
      </c>
      <c r="C96" s="27" t="s">
        <v>112</v>
      </c>
      <c r="D96" s="28">
        <v>46098</v>
      </c>
      <c r="E96" s="28">
        <v>46100</v>
      </c>
      <c r="F96" s="27" t="s">
        <v>110</v>
      </c>
      <c r="G96" s="27" t="s">
        <v>58</v>
      </c>
      <c r="H96" s="28">
        <v>29703</v>
      </c>
      <c r="I96" s="27" t="s">
        <v>37</v>
      </c>
      <c r="J96" s="27" t="s">
        <v>38</v>
      </c>
      <c r="K96" s="27" t="s">
        <v>39</v>
      </c>
      <c r="L96" s="27" t="s">
        <v>114</v>
      </c>
      <c r="M96" s="27">
        <v>18</v>
      </c>
      <c r="N96" s="27">
        <v>700</v>
      </c>
      <c r="O96" s="27">
        <v>5</v>
      </c>
      <c r="P96" s="27">
        <v>11970</v>
      </c>
      <c r="Q96" s="27">
        <v>3</v>
      </c>
      <c r="R96" s="27" t="s">
        <v>60</v>
      </c>
      <c r="S96" s="27" t="s">
        <v>80</v>
      </c>
      <c r="T96" s="27" t="s">
        <v>66</v>
      </c>
      <c r="U96" s="27">
        <v>9464556593</v>
      </c>
      <c r="V96" s="27" t="s">
        <v>53</v>
      </c>
    </row>
    <row r="97" spans="1:22" ht="15" thickBot="1" x14ac:dyDescent="0.4">
      <c r="A97" s="30" t="s">
        <v>200</v>
      </c>
      <c r="B97" s="30" t="s">
        <v>124</v>
      </c>
      <c r="C97" s="30" t="s">
        <v>112</v>
      </c>
      <c r="D97" s="31">
        <v>45817</v>
      </c>
      <c r="E97" s="31">
        <v>45826</v>
      </c>
      <c r="F97" s="30" t="s">
        <v>126</v>
      </c>
      <c r="G97" s="30" t="s">
        <v>58</v>
      </c>
      <c r="H97" s="31">
        <v>31118</v>
      </c>
      <c r="I97" s="30" t="s">
        <v>48</v>
      </c>
      <c r="J97" s="30" t="s">
        <v>28</v>
      </c>
      <c r="K97" s="30" t="s">
        <v>39</v>
      </c>
      <c r="L97" s="30" t="s">
        <v>114</v>
      </c>
      <c r="M97" s="30">
        <v>12</v>
      </c>
      <c r="N97" s="30">
        <v>700</v>
      </c>
      <c r="O97" s="30">
        <v>15</v>
      </c>
      <c r="P97" s="30">
        <v>7140</v>
      </c>
      <c r="Q97" s="30">
        <v>2</v>
      </c>
      <c r="R97" s="30" t="s">
        <v>65</v>
      </c>
      <c r="S97" s="30" t="s">
        <v>42</v>
      </c>
      <c r="T97" s="30" t="s">
        <v>128</v>
      </c>
      <c r="U97" s="30">
        <v>9338278358</v>
      </c>
      <c r="V97" s="22" t="s">
        <v>34</v>
      </c>
    </row>
    <row r="98" spans="1:22" ht="15" thickBot="1" x14ac:dyDescent="0.4">
      <c r="A98" s="27" t="s">
        <v>201</v>
      </c>
      <c r="B98" s="27" t="s">
        <v>55</v>
      </c>
      <c r="C98" s="27" t="s">
        <v>56</v>
      </c>
      <c r="D98" s="28">
        <v>45976</v>
      </c>
      <c r="E98" s="28">
        <v>45977</v>
      </c>
      <c r="F98" s="27" t="s">
        <v>57</v>
      </c>
      <c r="G98" s="27" t="s">
        <v>58</v>
      </c>
      <c r="H98" s="28">
        <v>36234</v>
      </c>
      <c r="I98" s="27" t="s">
        <v>74</v>
      </c>
      <c r="J98" s="27" t="s">
        <v>75</v>
      </c>
      <c r="K98" s="27" t="s">
        <v>39</v>
      </c>
      <c r="L98" s="27" t="s">
        <v>59</v>
      </c>
      <c r="M98" s="27">
        <v>8</v>
      </c>
      <c r="N98" s="27">
        <v>1200</v>
      </c>
      <c r="O98" s="27">
        <v>0</v>
      </c>
      <c r="P98" s="27">
        <v>9600</v>
      </c>
      <c r="Q98" s="27">
        <v>4</v>
      </c>
      <c r="R98" s="27" t="s">
        <v>60</v>
      </c>
      <c r="S98" s="27" t="s">
        <v>42</v>
      </c>
      <c r="T98" s="27" t="s">
        <v>61</v>
      </c>
      <c r="U98" s="27">
        <v>9621410770</v>
      </c>
      <c r="V98" s="27" t="s">
        <v>52</v>
      </c>
    </row>
    <row r="99" spans="1:22" ht="15" thickBot="1" x14ac:dyDescent="0.4">
      <c r="A99" s="30" t="s">
        <v>202</v>
      </c>
      <c r="B99" s="30" t="s">
        <v>87</v>
      </c>
      <c r="C99" s="30" t="s">
        <v>82</v>
      </c>
      <c r="D99" s="31">
        <v>45967</v>
      </c>
      <c r="E99" s="31">
        <v>45971</v>
      </c>
      <c r="F99" s="30" t="s">
        <v>88</v>
      </c>
      <c r="G99" s="30" t="s">
        <v>58</v>
      </c>
      <c r="H99" s="31">
        <v>30504</v>
      </c>
      <c r="I99" s="30" t="s">
        <v>79</v>
      </c>
      <c r="J99" s="30" t="s">
        <v>75</v>
      </c>
      <c r="K99" s="30" t="s">
        <v>83</v>
      </c>
      <c r="L99" s="30" t="s">
        <v>84</v>
      </c>
      <c r="M99" s="30">
        <v>2</v>
      </c>
      <c r="N99" s="30">
        <v>60</v>
      </c>
      <c r="O99" s="30">
        <v>0</v>
      </c>
      <c r="P99" s="30">
        <v>120</v>
      </c>
      <c r="Q99" s="30">
        <v>2</v>
      </c>
      <c r="R99" s="30" t="s">
        <v>65</v>
      </c>
      <c r="S99" s="30" t="s">
        <v>42</v>
      </c>
      <c r="T99" s="30" t="s">
        <v>89</v>
      </c>
      <c r="U99" s="30">
        <v>9981333189</v>
      </c>
      <c r="V99" s="22" t="s">
        <v>34</v>
      </c>
    </row>
    <row r="100" spans="1:22" ht="29.5" thickBot="1" x14ac:dyDescent="0.4">
      <c r="A100" s="27" t="s">
        <v>203</v>
      </c>
      <c r="B100" s="27" t="s">
        <v>156</v>
      </c>
      <c r="C100" s="27" t="s">
        <v>138</v>
      </c>
      <c r="D100" s="28">
        <v>45658</v>
      </c>
      <c r="E100" s="28">
        <v>45664</v>
      </c>
      <c r="F100" s="27" t="s">
        <v>106</v>
      </c>
      <c r="G100" s="27" t="s">
        <v>58</v>
      </c>
      <c r="H100" s="28">
        <v>32573</v>
      </c>
      <c r="I100" s="27" t="s">
        <v>79</v>
      </c>
      <c r="J100" s="27" t="s">
        <v>75</v>
      </c>
      <c r="K100" s="27" t="s">
        <v>83</v>
      </c>
      <c r="L100" s="27" t="s">
        <v>139</v>
      </c>
      <c r="M100" s="27">
        <v>10</v>
      </c>
      <c r="N100" s="27">
        <v>45</v>
      </c>
      <c r="O100" s="27">
        <v>15</v>
      </c>
      <c r="P100" s="27">
        <v>382.5</v>
      </c>
      <c r="Q100" s="27">
        <v>3</v>
      </c>
      <c r="R100" s="27" t="s">
        <v>41</v>
      </c>
      <c r="S100" s="27" t="s">
        <v>32</v>
      </c>
      <c r="T100" s="27" t="s">
        <v>158</v>
      </c>
      <c r="U100" s="27">
        <v>9723450355</v>
      </c>
      <c r="V100" s="27" t="s">
        <v>53</v>
      </c>
    </row>
    <row r="101" spans="1:22" ht="15" thickBot="1" x14ac:dyDescent="0.4">
      <c r="A101" s="30" t="s">
        <v>204</v>
      </c>
      <c r="B101" s="30" t="s">
        <v>124</v>
      </c>
      <c r="C101" s="30" t="s">
        <v>68</v>
      </c>
      <c r="D101" s="31">
        <v>46137</v>
      </c>
      <c r="E101" s="31">
        <v>46145</v>
      </c>
      <c r="F101" s="30" t="s">
        <v>126</v>
      </c>
      <c r="G101" s="30" t="s">
        <v>58</v>
      </c>
      <c r="H101" s="31">
        <v>30122</v>
      </c>
      <c r="I101" s="30" t="s">
        <v>147</v>
      </c>
      <c r="J101" s="30" t="s">
        <v>148</v>
      </c>
      <c r="K101" s="30" t="s">
        <v>29</v>
      </c>
      <c r="L101" s="30" t="s">
        <v>70</v>
      </c>
      <c r="M101" s="30">
        <v>12</v>
      </c>
      <c r="N101" s="30">
        <v>3500</v>
      </c>
      <c r="O101" s="30">
        <v>5</v>
      </c>
      <c r="P101" s="30">
        <v>39900</v>
      </c>
      <c r="Q101" s="30">
        <v>3</v>
      </c>
      <c r="R101" s="30" t="s">
        <v>41</v>
      </c>
      <c r="S101" s="30" t="s">
        <v>50</v>
      </c>
      <c r="T101" s="30" t="s">
        <v>128</v>
      </c>
      <c r="U101" s="30">
        <v>9886243907</v>
      </c>
      <c r="V101" s="30" t="s">
        <v>52</v>
      </c>
    </row>
    <row r="102" spans="1:22" ht="15" thickBot="1" x14ac:dyDescent="0.4">
      <c r="A102" s="27" t="s">
        <v>205</v>
      </c>
      <c r="B102" s="27" t="s">
        <v>87</v>
      </c>
      <c r="C102" s="27" t="s">
        <v>82</v>
      </c>
      <c r="D102" s="28">
        <v>45919</v>
      </c>
      <c r="E102" s="28">
        <v>45927</v>
      </c>
      <c r="F102" s="27" t="s">
        <v>88</v>
      </c>
      <c r="G102" s="27" t="s">
        <v>58</v>
      </c>
      <c r="H102" s="28">
        <v>37065</v>
      </c>
      <c r="I102" s="27" t="s">
        <v>74</v>
      </c>
      <c r="J102" s="27" t="s">
        <v>75</v>
      </c>
      <c r="K102" s="27" t="s">
        <v>83</v>
      </c>
      <c r="L102" s="27" t="s">
        <v>84</v>
      </c>
      <c r="M102" s="27">
        <v>2</v>
      </c>
      <c r="N102" s="27">
        <v>60</v>
      </c>
      <c r="O102" s="27">
        <v>15</v>
      </c>
      <c r="P102" s="27">
        <v>102</v>
      </c>
      <c r="Q102" s="27">
        <v>1</v>
      </c>
      <c r="R102" s="27" t="s">
        <v>65</v>
      </c>
      <c r="S102" s="27" t="s">
        <v>80</v>
      </c>
      <c r="T102" s="27" t="s">
        <v>89</v>
      </c>
      <c r="U102" s="27">
        <v>9473931904</v>
      </c>
      <c r="V102" s="21" t="s">
        <v>34</v>
      </c>
    </row>
    <row r="103" spans="1:22" ht="15" thickBot="1" x14ac:dyDescent="0.4">
      <c r="A103" s="30" t="s">
        <v>206</v>
      </c>
      <c r="B103" s="30" t="s">
        <v>87</v>
      </c>
      <c r="C103" s="30" t="s">
        <v>56</v>
      </c>
      <c r="D103" s="31">
        <v>45734</v>
      </c>
      <c r="E103" s="31">
        <v>45737</v>
      </c>
      <c r="F103" s="30" t="s">
        <v>88</v>
      </c>
      <c r="G103" s="30" t="s">
        <v>58</v>
      </c>
      <c r="H103" s="31">
        <v>30516</v>
      </c>
      <c r="I103" s="30" t="s">
        <v>27</v>
      </c>
      <c r="J103" s="30" t="s">
        <v>28</v>
      </c>
      <c r="K103" s="30" t="s">
        <v>39</v>
      </c>
      <c r="L103" s="30" t="s">
        <v>59</v>
      </c>
      <c r="M103" s="30">
        <v>18</v>
      </c>
      <c r="N103" s="30">
        <v>1200</v>
      </c>
      <c r="O103" s="30">
        <v>15</v>
      </c>
      <c r="P103" s="30">
        <v>18360</v>
      </c>
      <c r="Q103" s="30">
        <v>3</v>
      </c>
      <c r="R103" s="30" t="s">
        <v>60</v>
      </c>
      <c r="S103" s="30" t="s">
        <v>80</v>
      </c>
      <c r="T103" s="30" t="s">
        <v>89</v>
      </c>
      <c r="U103" s="30">
        <v>9287159610</v>
      </c>
      <c r="V103" s="30" t="s">
        <v>52</v>
      </c>
    </row>
    <row r="104" spans="1:22" ht="15" thickBot="1" x14ac:dyDescent="0.4">
      <c r="A104" s="27" t="s">
        <v>207</v>
      </c>
      <c r="B104" s="27" t="s">
        <v>23</v>
      </c>
      <c r="C104" s="27" t="s">
        <v>36</v>
      </c>
      <c r="D104" s="28">
        <v>45960</v>
      </c>
      <c r="E104" s="28">
        <v>45961</v>
      </c>
      <c r="F104" s="27" t="s">
        <v>25</v>
      </c>
      <c r="G104" s="27" t="s">
        <v>26</v>
      </c>
      <c r="H104" s="28">
        <v>34052</v>
      </c>
      <c r="I104" s="27" t="s">
        <v>74</v>
      </c>
      <c r="J104" s="27" t="s">
        <v>75</v>
      </c>
      <c r="K104" s="27" t="s">
        <v>39</v>
      </c>
      <c r="L104" s="27" t="s">
        <v>40</v>
      </c>
      <c r="M104" s="27">
        <v>18</v>
      </c>
      <c r="N104" s="27">
        <v>12000</v>
      </c>
      <c r="O104" s="27">
        <v>15</v>
      </c>
      <c r="P104" s="27">
        <v>183600</v>
      </c>
      <c r="Q104" s="27">
        <v>2</v>
      </c>
      <c r="R104" s="27" t="s">
        <v>31</v>
      </c>
      <c r="S104" s="27" t="s">
        <v>42</v>
      </c>
      <c r="T104" s="27" t="s">
        <v>43</v>
      </c>
      <c r="U104" s="27">
        <v>9876513858</v>
      </c>
      <c r="V104" s="21" t="s">
        <v>34</v>
      </c>
    </row>
    <row r="105" spans="1:22" ht="15" thickBot="1" x14ac:dyDescent="0.4">
      <c r="A105" s="30" t="s">
        <v>208</v>
      </c>
      <c r="B105" s="30" t="s">
        <v>63</v>
      </c>
      <c r="C105" s="30" t="s">
        <v>125</v>
      </c>
      <c r="D105" s="31">
        <v>45961</v>
      </c>
      <c r="E105" s="31">
        <v>45972</v>
      </c>
      <c r="F105" s="30" t="s">
        <v>110</v>
      </c>
      <c r="G105" s="30" t="s">
        <v>58</v>
      </c>
      <c r="H105" s="31">
        <v>34829</v>
      </c>
      <c r="I105" s="30" t="s">
        <v>91</v>
      </c>
      <c r="J105" s="30" t="s">
        <v>75</v>
      </c>
      <c r="K105" s="30" t="s">
        <v>83</v>
      </c>
      <c r="L105" s="30" t="s">
        <v>127</v>
      </c>
      <c r="M105" s="30">
        <v>7</v>
      </c>
      <c r="N105" s="30">
        <v>20</v>
      </c>
      <c r="O105" s="30">
        <v>0</v>
      </c>
      <c r="P105" s="30">
        <v>140</v>
      </c>
      <c r="Q105" s="30">
        <v>2</v>
      </c>
      <c r="R105" s="30" t="s">
        <v>60</v>
      </c>
      <c r="S105" s="30" t="s">
        <v>32</v>
      </c>
      <c r="T105" s="30" t="s">
        <v>66</v>
      </c>
      <c r="U105" s="30">
        <v>9237400853</v>
      </c>
      <c r="V105" s="30" t="s">
        <v>53</v>
      </c>
    </row>
    <row r="106" spans="1:22" ht="15" thickBot="1" x14ac:dyDescent="0.4">
      <c r="A106" s="27" t="s">
        <v>209</v>
      </c>
      <c r="B106" s="27" t="s">
        <v>134</v>
      </c>
      <c r="C106" s="27" t="s">
        <v>68</v>
      </c>
      <c r="D106" s="28">
        <v>45757</v>
      </c>
      <c r="E106" s="28">
        <v>45765</v>
      </c>
      <c r="F106" s="27" t="s">
        <v>135</v>
      </c>
      <c r="G106" s="27" t="s">
        <v>26</v>
      </c>
      <c r="H106" s="28">
        <v>36937</v>
      </c>
      <c r="I106" s="27" t="s">
        <v>79</v>
      </c>
      <c r="J106" s="27" t="s">
        <v>75</v>
      </c>
      <c r="K106" s="27" t="s">
        <v>29</v>
      </c>
      <c r="L106" s="27" t="s">
        <v>70</v>
      </c>
      <c r="M106" s="27">
        <v>20</v>
      </c>
      <c r="N106" s="27">
        <v>3500</v>
      </c>
      <c r="O106" s="27">
        <v>20</v>
      </c>
      <c r="P106" s="27">
        <v>56000</v>
      </c>
      <c r="Q106" s="27">
        <v>4</v>
      </c>
      <c r="R106" s="27" t="s">
        <v>60</v>
      </c>
      <c r="S106" s="27" t="s">
        <v>80</v>
      </c>
      <c r="T106" s="27" t="s">
        <v>136</v>
      </c>
      <c r="U106" s="27">
        <v>9599597595</v>
      </c>
      <c r="V106" s="27" t="s">
        <v>52</v>
      </c>
    </row>
    <row r="107" spans="1:22" ht="15" thickBot="1" x14ac:dyDescent="0.4">
      <c r="A107" s="30" t="s">
        <v>210</v>
      </c>
      <c r="B107" s="30" t="s">
        <v>72</v>
      </c>
      <c r="C107" s="30" t="s">
        <v>105</v>
      </c>
      <c r="D107" s="31">
        <v>46097</v>
      </c>
      <c r="E107" s="31">
        <v>46107</v>
      </c>
      <c r="F107" s="30" t="s">
        <v>73</v>
      </c>
      <c r="G107" s="30" t="s">
        <v>26</v>
      </c>
      <c r="H107" s="31">
        <v>36386</v>
      </c>
      <c r="I107" s="30" t="s">
        <v>91</v>
      </c>
      <c r="J107" s="30" t="s">
        <v>75</v>
      </c>
      <c r="K107" s="30" t="s">
        <v>29</v>
      </c>
      <c r="L107" s="30" t="s">
        <v>107</v>
      </c>
      <c r="M107" s="30">
        <v>8</v>
      </c>
      <c r="N107" s="30">
        <v>8500</v>
      </c>
      <c r="O107" s="30">
        <v>20</v>
      </c>
      <c r="P107" s="30">
        <v>54400</v>
      </c>
      <c r="Q107" s="30">
        <v>3</v>
      </c>
      <c r="R107" s="30" t="s">
        <v>60</v>
      </c>
      <c r="S107" s="30" t="s">
        <v>80</v>
      </c>
      <c r="T107" s="30" t="s">
        <v>93</v>
      </c>
      <c r="U107" s="30">
        <v>9230007509</v>
      </c>
      <c r="V107" s="30" t="s">
        <v>52</v>
      </c>
    </row>
    <row r="108" spans="1:22" ht="29.5" thickBot="1" x14ac:dyDescent="0.4">
      <c r="A108" s="27" t="s">
        <v>211</v>
      </c>
      <c r="B108" s="27" t="s">
        <v>156</v>
      </c>
      <c r="C108" s="27" t="s">
        <v>36</v>
      </c>
      <c r="D108" s="28">
        <v>45915</v>
      </c>
      <c r="E108" s="28">
        <v>45924</v>
      </c>
      <c r="F108" s="27" t="s">
        <v>106</v>
      </c>
      <c r="G108" s="27" t="s">
        <v>58</v>
      </c>
      <c r="H108" s="28">
        <v>37335</v>
      </c>
      <c r="I108" s="27" t="s">
        <v>91</v>
      </c>
      <c r="J108" s="27" t="s">
        <v>212</v>
      </c>
      <c r="K108" s="27" t="s">
        <v>39</v>
      </c>
      <c r="L108" s="27" t="s">
        <v>40</v>
      </c>
      <c r="M108" s="27">
        <v>6</v>
      </c>
      <c r="N108" s="27">
        <v>12000</v>
      </c>
      <c r="O108" s="27">
        <v>5</v>
      </c>
      <c r="P108" s="27">
        <v>68400</v>
      </c>
      <c r="Q108" s="27">
        <v>4</v>
      </c>
      <c r="R108" s="27" t="s">
        <v>41</v>
      </c>
      <c r="S108" s="27" t="s">
        <v>32</v>
      </c>
      <c r="T108" s="27" t="s">
        <v>158</v>
      </c>
      <c r="U108" s="27">
        <v>9823428025</v>
      </c>
      <c r="V108" s="21" t="s">
        <v>34</v>
      </c>
    </row>
    <row r="109" spans="1:22" ht="15" thickBot="1" x14ac:dyDescent="0.4">
      <c r="A109" s="30" t="s">
        <v>213</v>
      </c>
      <c r="B109" s="30" t="s">
        <v>23</v>
      </c>
      <c r="C109" s="30" t="s">
        <v>105</v>
      </c>
      <c r="D109" s="31">
        <v>46092</v>
      </c>
      <c r="E109" s="31">
        <v>46100</v>
      </c>
      <c r="F109" s="30" t="s">
        <v>25</v>
      </c>
      <c r="G109" s="30" t="s">
        <v>26</v>
      </c>
      <c r="H109" s="31">
        <v>33768</v>
      </c>
      <c r="I109" s="30" t="s">
        <v>79</v>
      </c>
      <c r="J109" s="30" t="s">
        <v>75</v>
      </c>
      <c r="K109" s="30" t="s">
        <v>29</v>
      </c>
      <c r="L109" s="30" t="s">
        <v>107</v>
      </c>
      <c r="M109" s="30">
        <v>15</v>
      </c>
      <c r="N109" s="30">
        <v>8500</v>
      </c>
      <c r="O109" s="30">
        <v>0</v>
      </c>
      <c r="P109" s="30">
        <v>127500</v>
      </c>
      <c r="Q109" s="30">
        <v>4</v>
      </c>
      <c r="R109" s="30" t="s">
        <v>41</v>
      </c>
      <c r="S109" s="30" t="s">
        <v>32</v>
      </c>
      <c r="T109" s="30" t="s">
        <v>43</v>
      </c>
      <c r="U109" s="30">
        <v>9505048912</v>
      </c>
      <c r="V109" s="30" t="s">
        <v>53</v>
      </c>
    </row>
    <row r="110" spans="1:22" ht="15" thickBot="1" x14ac:dyDescent="0.4">
      <c r="A110" s="27" t="s">
        <v>214</v>
      </c>
      <c r="B110" s="27" t="s">
        <v>45</v>
      </c>
      <c r="C110" s="27" t="s">
        <v>56</v>
      </c>
      <c r="D110" s="28">
        <v>45889</v>
      </c>
      <c r="E110" s="28">
        <v>45892</v>
      </c>
      <c r="F110" s="27" t="s">
        <v>101</v>
      </c>
      <c r="G110" s="27" t="s">
        <v>26</v>
      </c>
      <c r="H110" s="28">
        <v>35234</v>
      </c>
      <c r="I110" s="27" t="s">
        <v>121</v>
      </c>
      <c r="J110" s="27" t="s">
        <v>38</v>
      </c>
      <c r="K110" s="27" t="s">
        <v>39</v>
      </c>
      <c r="L110" s="27" t="s">
        <v>59</v>
      </c>
      <c r="M110" s="27">
        <v>5</v>
      </c>
      <c r="N110" s="27">
        <v>1200</v>
      </c>
      <c r="O110" s="27">
        <v>15</v>
      </c>
      <c r="P110" s="27">
        <v>5100</v>
      </c>
      <c r="Q110" s="27">
        <v>1</v>
      </c>
      <c r="R110" s="27" t="s">
        <v>41</v>
      </c>
      <c r="S110" s="27" t="s">
        <v>32</v>
      </c>
      <c r="T110" s="27" t="s">
        <v>51</v>
      </c>
      <c r="U110" s="27">
        <v>9508068393</v>
      </c>
      <c r="V110" s="27" t="s">
        <v>53</v>
      </c>
    </row>
    <row r="111" spans="1:22" ht="15" thickBot="1" x14ac:dyDescent="0.4">
      <c r="A111" s="30" t="s">
        <v>215</v>
      </c>
      <c r="B111" s="30" t="s">
        <v>45</v>
      </c>
      <c r="C111" s="30" t="s">
        <v>125</v>
      </c>
      <c r="D111" s="31">
        <v>45882</v>
      </c>
      <c r="E111" s="31">
        <v>45883</v>
      </c>
      <c r="F111" s="30" t="s">
        <v>101</v>
      </c>
      <c r="G111" s="30" t="s">
        <v>26</v>
      </c>
      <c r="H111" s="31">
        <v>30263</v>
      </c>
      <c r="I111" s="30" t="s">
        <v>27</v>
      </c>
      <c r="J111" s="30" t="s">
        <v>28</v>
      </c>
      <c r="K111" s="30" t="s">
        <v>83</v>
      </c>
      <c r="L111" s="30" t="s">
        <v>127</v>
      </c>
      <c r="M111" s="30">
        <v>4</v>
      </c>
      <c r="N111" s="30">
        <v>20</v>
      </c>
      <c r="O111" s="30">
        <v>0</v>
      </c>
      <c r="P111" s="30">
        <v>80</v>
      </c>
      <c r="Q111" s="30">
        <v>4</v>
      </c>
      <c r="R111" s="30" t="s">
        <v>41</v>
      </c>
      <c r="S111" s="30" t="s">
        <v>42</v>
      </c>
      <c r="T111" s="30" t="s">
        <v>51</v>
      </c>
      <c r="U111" s="30">
        <v>9785807771</v>
      </c>
      <c r="V111" s="22" t="s">
        <v>34</v>
      </c>
    </row>
    <row r="112" spans="1:22" ht="15" thickBot="1" x14ac:dyDescent="0.4">
      <c r="A112" s="27" t="s">
        <v>216</v>
      </c>
      <c r="B112" s="27" t="s">
        <v>23</v>
      </c>
      <c r="C112" s="27" t="s">
        <v>125</v>
      </c>
      <c r="D112" s="28">
        <v>45732</v>
      </c>
      <c r="E112" s="28">
        <v>45736</v>
      </c>
      <c r="F112" s="27" t="s">
        <v>25</v>
      </c>
      <c r="G112" s="27" t="s">
        <v>26</v>
      </c>
      <c r="H112" s="28">
        <v>30858</v>
      </c>
      <c r="I112" s="27" t="s">
        <v>48</v>
      </c>
      <c r="J112" s="27" t="s">
        <v>28</v>
      </c>
      <c r="K112" s="27" t="s">
        <v>83</v>
      </c>
      <c r="L112" s="27" t="s">
        <v>127</v>
      </c>
      <c r="M112" s="27">
        <v>10</v>
      </c>
      <c r="N112" s="27">
        <v>20</v>
      </c>
      <c r="O112" s="27">
        <v>0</v>
      </c>
      <c r="P112" s="27">
        <v>200</v>
      </c>
      <c r="Q112" s="27">
        <v>3</v>
      </c>
      <c r="R112" s="27" t="s">
        <v>31</v>
      </c>
      <c r="S112" s="27" t="s">
        <v>96</v>
      </c>
      <c r="T112" s="27" t="s">
        <v>43</v>
      </c>
      <c r="U112" s="27">
        <v>9215250979</v>
      </c>
      <c r="V112" s="27" t="s">
        <v>52</v>
      </c>
    </row>
    <row r="113" spans="1:22" ht="15" thickBot="1" x14ac:dyDescent="0.4">
      <c r="A113" s="30" t="s">
        <v>217</v>
      </c>
      <c r="B113" s="30" t="s">
        <v>104</v>
      </c>
      <c r="C113" s="30" t="s">
        <v>24</v>
      </c>
      <c r="D113" s="31">
        <v>45904</v>
      </c>
      <c r="E113" s="31">
        <v>45910</v>
      </c>
      <c r="F113" s="30" t="s">
        <v>166</v>
      </c>
      <c r="G113" s="30" t="s">
        <v>26</v>
      </c>
      <c r="H113" s="31">
        <v>34506</v>
      </c>
      <c r="I113" s="30" t="s">
        <v>37</v>
      </c>
      <c r="J113" s="30" t="s">
        <v>38</v>
      </c>
      <c r="K113" s="30" t="s">
        <v>29</v>
      </c>
      <c r="L113" s="30" t="s">
        <v>30</v>
      </c>
      <c r="M113" s="30">
        <v>18</v>
      </c>
      <c r="N113" s="30">
        <v>2200</v>
      </c>
      <c r="O113" s="30">
        <v>10</v>
      </c>
      <c r="P113" s="30">
        <v>35640</v>
      </c>
      <c r="Q113" s="30">
        <v>3</v>
      </c>
      <c r="R113" s="30" t="s">
        <v>31</v>
      </c>
      <c r="S113" s="30" t="s">
        <v>32</v>
      </c>
      <c r="T113" s="30" t="s">
        <v>108</v>
      </c>
      <c r="U113" s="30">
        <v>9845884906</v>
      </c>
      <c r="V113" s="30" t="s">
        <v>53</v>
      </c>
    </row>
    <row r="114" spans="1:22" ht="29.5" thickBot="1" x14ac:dyDescent="0.4">
      <c r="A114" s="27" t="s">
        <v>218</v>
      </c>
      <c r="B114" s="27" t="s">
        <v>156</v>
      </c>
      <c r="C114" s="27" t="s">
        <v>68</v>
      </c>
      <c r="D114" s="28">
        <v>45759</v>
      </c>
      <c r="E114" s="28">
        <v>45762</v>
      </c>
      <c r="F114" s="27" t="s">
        <v>106</v>
      </c>
      <c r="G114" s="27" t="s">
        <v>58</v>
      </c>
      <c r="H114" s="28">
        <v>33163</v>
      </c>
      <c r="I114" s="27" t="s">
        <v>37</v>
      </c>
      <c r="J114" s="27" t="s">
        <v>38</v>
      </c>
      <c r="K114" s="27" t="s">
        <v>29</v>
      </c>
      <c r="L114" s="27" t="s">
        <v>70</v>
      </c>
      <c r="M114" s="27">
        <v>7</v>
      </c>
      <c r="N114" s="27">
        <v>3500</v>
      </c>
      <c r="O114" s="27">
        <v>15</v>
      </c>
      <c r="P114" s="27">
        <v>20825</v>
      </c>
      <c r="Q114" s="27">
        <v>3</v>
      </c>
      <c r="R114" s="27" t="s">
        <v>41</v>
      </c>
      <c r="S114" s="27" t="s">
        <v>42</v>
      </c>
      <c r="T114" s="27" t="s">
        <v>158</v>
      </c>
      <c r="U114" s="27">
        <v>9393097397</v>
      </c>
      <c r="V114" s="21" t="s">
        <v>34</v>
      </c>
    </row>
    <row r="115" spans="1:22" ht="15" thickBot="1" x14ac:dyDescent="0.4">
      <c r="A115" s="30" t="s">
        <v>219</v>
      </c>
      <c r="B115" s="30" t="s">
        <v>72</v>
      </c>
      <c r="C115" s="30" t="s">
        <v>105</v>
      </c>
      <c r="D115" s="31">
        <v>46146</v>
      </c>
      <c r="E115" s="31">
        <v>46149</v>
      </c>
      <c r="F115" s="30" t="s">
        <v>73</v>
      </c>
      <c r="G115" s="30" t="s">
        <v>26</v>
      </c>
      <c r="H115" s="31">
        <v>31805</v>
      </c>
      <c r="I115" s="30" t="s">
        <v>147</v>
      </c>
      <c r="J115" s="30" t="s">
        <v>148</v>
      </c>
      <c r="K115" s="30" t="s">
        <v>29</v>
      </c>
      <c r="L115" s="30" t="s">
        <v>107</v>
      </c>
      <c r="M115" s="30">
        <v>19</v>
      </c>
      <c r="N115" s="30">
        <v>8500</v>
      </c>
      <c r="O115" s="30">
        <v>15</v>
      </c>
      <c r="P115" s="30">
        <v>137275</v>
      </c>
      <c r="Q115" s="30">
        <v>4</v>
      </c>
      <c r="R115" s="30" t="s">
        <v>60</v>
      </c>
      <c r="S115" s="30" t="s">
        <v>96</v>
      </c>
      <c r="T115" s="30" t="s">
        <v>93</v>
      </c>
      <c r="U115" s="30">
        <v>9958032109</v>
      </c>
      <c r="V115" s="30" t="s">
        <v>52</v>
      </c>
    </row>
    <row r="116" spans="1:22" ht="15" thickBot="1" x14ac:dyDescent="0.4">
      <c r="A116" s="27" t="s">
        <v>220</v>
      </c>
      <c r="B116" s="27" t="s">
        <v>134</v>
      </c>
      <c r="C116" s="27" t="s">
        <v>36</v>
      </c>
      <c r="D116" s="28">
        <v>46040</v>
      </c>
      <c r="E116" s="28">
        <v>46049</v>
      </c>
      <c r="F116" s="27" t="s">
        <v>135</v>
      </c>
      <c r="G116" s="27" t="s">
        <v>26</v>
      </c>
      <c r="H116" s="28">
        <v>30580</v>
      </c>
      <c r="I116" s="27" t="s">
        <v>91</v>
      </c>
      <c r="J116" s="27" t="s">
        <v>75</v>
      </c>
      <c r="K116" s="27" t="s">
        <v>39</v>
      </c>
      <c r="L116" s="27" t="s">
        <v>40</v>
      </c>
      <c r="M116" s="27">
        <v>13</v>
      </c>
      <c r="N116" s="27">
        <v>12000</v>
      </c>
      <c r="O116" s="27">
        <v>15</v>
      </c>
      <c r="P116" s="27">
        <v>132600</v>
      </c>
      <c r="Q116" s="27">
        <v>4</v>
      </c>
      <c r="R116" s="27" t="s">
        <v>31</v>
      </c>
      <c r="S116" s="27" t="s">
        <v>42</v>
      </c>
      <c r="T116" s="27" t="s">
        <v>136</v>
      </c>
      <c r="U116" s="27">
        <v>9755082957</v>
      </c>
      <c r="V116" s="21" t="s">
        <v>34</v>
      </c>
    </row>
    <row r="117" spans="1:22" ht="29.5" thickBot="1" x14ac:dyDescent="0.4">
      <c r="A117" s="30" t="s">
        <v>221</v>
      </c>
      <c r="B117" s="30" t="s">
        <v>156</v>
      </c>
      <c r="C117" s="30" t="s">
        <v>125</v>
      </c>
      <c r="D117" s="31">
        <v>46095</v>
      </c>
      <c r="E117" s="31">
        <v>46105</v>
      </c>
      <c r="F117" s="30" t="s">
        <v>106</v>
      </c>
      <c r="G117" s="30" t="s">
        <v>58</v>
      </c>
      <c r="H117" s="31">
        <v>32602</v>
      </c>
      <c r="I117" s="30" t="s">
        <v>79</v>
      </c>
      <c r="J117" s="30" t="s">
        <v>75</v>
      </c>
      <c r="K117" s="30" t="s">
        <v>83</v>
      </c>
      <c r="L117" s="30" t="s">
        <v>127</v>
      </c>
      <c r="M117" s="30">
        <v>7</v>
      </c>
      <c r="N117" s="30">
        <v>20</v>
      </c>
      <c r="O117" s="30">
        <v>0</v>
      </c>
      <c r="P117" s="30">
        <v>140</v>
      </c>
      <c r="Q117" s="30">
        <v>1</v>
      </c>
      <c r="R117" s="30" t="s">
        <v>60</v>
      </c>
      <c r="S117" s="30" t="s">
        <v>96</v>
      </c>
      <c r="T117" s="30" t="s">
        <v>158</v>
      </c>
      <c r="U117" s="30">
        <v>9872235856</v>
      </c>
      <c r="V117" s="30" t="s">
        <v>53</v>
      </c>
    </row>
    <row r="118" spans="1:22" ht="15" thickBot="1" x14ac:dyDescent="0.4">
      <c r="A118" s="27" t="s">
        <v>222</v>
      </c>
      <c r="B118" s="27" t="s">
        <v>104</v>
      </c>
      <c r="C118" s="27" t="s">
        <v>112</v>
      </c>
      <c r="D118" s="28">
        <v>45786</v>
      </c>
      <c r="E118" s="28">
        <v>45788</v>
      </c>
      <c r="F118" s="27" t="s">
        <v>166</v>
      </c>
      <c r="G118" s="27" t="s">
        <v>26</v>
      </c>
      <c r="H118" s="28">
        <v>32045</v>
      </c>
      <c r="I118" s="27" t="s">
        <v>37</v>
      </c>
      <c r="J118" s="27" t="s">
        <v>38</v>
      </c>
      <c r="K118" s="27" t="s">
        <v>39</v>
      </c>
      <c r="L118" s="27" t="s">
        <v>114</v>
      </c>
      <c r="M118" s="27">
        <v>5</v>
      </c>
      <c r="N118" s="27">
        <v>700</v>
      </c>
      <c r="O118" s="27">
        <v>15</v>
      </c>
      <c r="P118" s="27">
        <v>999999</v>
      </c>
      <c r="Q118" s="27">
        <v>4</v>
      </c>
      <c r="R118" s="27" t="s">
        <v>60</v>
      </c>
      <c r="S118" s="27" t="s">
        <v>32</v>
      </c>
      <c r="T118" s="27" t="s">
        <v>108</v>
      </c>
      <c r="U118" s="27">
        <v>9335138816</v>
      </c>
      <c r="V118" s="27" t="s">
        <v>52</v>
      </c>
    </row>
    <row r="119" spans="1:22" ht="15" thickBot="1" x14ac:dyDescent="0.4">
      <c r="A119" s="30" t="s">
        <v>223</v>
      </c>
      <c r="B119" s="30" t="s">
        <v>63</v>
      </c>
      <c r="C119" s="30" t="s">
        <v>138</v>
      </c>
      <c r="D119" s="31">
        <v>46149</v>
      </c>
      <c r="E119" s="31">
        <v>46152</v>
      </c>
      <c r="F119" s="30" t="s">
        <v>110</v>
      </c>
      <c r="G119" s="30" t="s">
        <v>58</v>
      </c>
      <c r="H119" s="31">
        <v>30170</v>
      </c>
      <c r="I119" s="30" t="s">
        <v>48</v>
      </c>
      <c r="J119" s="30" t="s">
        <v>28</v>
      </c>
      <c r="K119" s="30" t="s">
        <v>83</v>
      </c>
      <c r="L119" s="30" t="s">
        <v>139</v>
      </c>
      <c r="M119" s="30">
        <v>9</v>
      </c>
      <c r="N119" s="30">
        <v>45</v>
      </c>
      <c r="O119" s="30">
        <v>5</v>
      </c>
      <c r="P119" s="30">
        <v>384.75</v>
      </c>
      <c r="Q119" s="30">
        <v>3</v>
      </c>
      <c r="R119" s="30" t="s">
        <v>31</v>
      </c>
      <c r="S119" s="30" t="s">
        <v>32</v>
      </c>
      <c r="T119" s="30" t="s">
        <v>66</v>
      </c>
      <c r="U119" s="30">
        <v>9750365609</v>
      </c>
      <c r="V119" s="22" t="s">
        <v>34</v>
      </c>
    </row>
    <row r="120" spans="1:22" ht="15" thickBot="1" x14ac:dyDescent="0.4">
      <c r="A120" s="27" t="s">
        <v>224</v>
      </c>
      <c r="B120" s="27" t="s">
        <v>87</v>
      </c>
      <c r="C120" s="27" t="s">
        <v>82</v>
      </c>
      <c r="D120" s="28">
        <v>45768</v>
      </c>
      <c r="E120" s="28">
        <v>45776</v>
      </c>
      <c r="F120" s="27" t="s">
        <v>88</v>
      </c>
      <c r="G120" s="27" t="s">
        <v>58</v>
      </c>
      <c r="H120" s="28">
        <v>31610</v>
      </c>
      <c r="I120" s="27" t="s">
        <v>147</v>
      </c>
      <c r="J120" s="27" t="s">
        <v>148</v>
      </c>
      <c r="K120" s="27" t="s">
        <v>83</v>
      </c>
      <c r="L120" s="27" t="s">
        <v>84</v>
      </c>
      <c r="M120" s="27">
        <v>19</v>
      </c>
      <c r="N120" s="27">
        <v>60</v>
      </c>
      <c r="O120" s="27">
        <v>10</v>
      </c>
      <c r="P120" s="27">
        <v>1026</v>
      </c>
      <c r="Q120" s="27">
        <v>5</v>
      </c>
      <c r="R120" s="27" t="s">
        <v>41</v>
      </c>
      <c r="S120" s="27" t="s">
        <v>80</v>
      </c>
      <c r="T120" s="27" t="s">
        <v>89</v>
      </c>
      <c r="U120" s="27">
        <v>9736812737</v>
      </c>
      <c r="V120" s="21" t="s">
        <v>34</v>
      </c>
    </row>
    <row r="121" spans="1:22" ht="29.5" thickBot="1" x14ac:dyDescent="0.4">
      <c r="A121" s="30" t="s">
        <v>225</v>
      </c>
      <c r="B121" s="30" t="s">
        <v>156</v>
      </c>
      <c r="C121" s="30" t="s">
        <v>112</v>
      </c>
      <c r="D121" s="31">
        <v>46002</v>
      </c>
      <c r="E121" s="31">
        <v>46011</v>
      </c>
      <c r="F121" s="30" t="s">
        <v>106</v>
      </c>
      <c r="G121" s="30" t="s">
        <v>58</v>
      </c>
      <c r="H121" s="31">
        <v>31873</v>
      </c>
      <c r="I121" s="30" t="s">
        <v>91</v>
      </c>
      <c r="J121" s="30" t="s">
        <v>75</v>
      </c>
      <c r="K121" s="30" t="s">
        <v>39</v>
      </c>
      <c r="L121" s="30" t="s">
        <v>114</v>
      </c>
      <c r="M121" s="30">
        <v>4</v>
      </c>
      <c r="N121" s="30">
        <v>700</v>
      </c>
      <c r="O121" s="30">
        <v>5</v>
      </c>
      <c r="P121" s="30">
        <v>2660</v>
      </c>
      <c r="Q121" s="30">
        <v>3</v>
      </c>
      <c r="R121" s="30" t="s">
        <v>41</v>
      </c>
      <c r="S121" s="30" t="s">
        <v>50</v>
      </c>
      <c r="T121" s="30" t="s">
        <v>158</v>
      </c>
      <c r="U121" s="30">
        <v>9271420931</v>
      </c>
      <c r="V121" s="22" t="s">
        <v>34</v>
      </c>
    </row>
    <row r="122" spans="1:22" ht="29.5" thickBot="1" x14ac:dyDescent="0.4">
      <c r="A122" s="27" t="s">
        <v>226</v>
      </c>
      <c r="B122" s="27" t="s">
        <v>156</v>
      </c>
      <c r="C122" s="27" t="s">
        <v>68</v>
      </c>
      <c r="D122" s="28">
        <v>46149</v>
      </c>
      <c r="E122" s="28">
        <v>46157</v>
      </c>
      <c r="F122" s="27" t="s">
        <v>106</v>
      </c>
      <c r="G122" s="27" t="s">
        <v>58</v>
      </c>
      <c r="H122" s="28">
        <v>38042</v>
      </c>
      <c r="I122" s="27" t="s">
        <v>79</v>
      </c>
      <c r="J122" s="27" t="s">
        <v>75</v>
      </c>
      <c r="K122" s="27" t="s">
        <v>29</v>
      </c>
      <c r="L122" s="27" t="s">
        <v>70</v>
      </c>
      <c r="M122" s="27">
        <v>16</v>
      </c>
      <c r="N122" s="27">
        <v>3500</v>
      </c>
      <c r="O122" s="27">
        <v>0</v>
      </c>
      <c r="P122" s="27">
        <v>56000</v>
      </c>
      <c r="Q122" s="27">
        <v>2</v>
      </c>
      <c r="R122" s="27" t="s">
        <v>60</v>
      </c>
      <c r="S122" s="27" t="s">
        <v>42</v>
      </c>
      <c r="T122" s="27" t="s">
        <v>158</v>
      </c>
      <c r="U122" s="27">
        <v>9781411370</v>
      </c>
      <c r="V122" s="21" t="s">
        <v>34</v>
      </c>
    </row>
    <row r="123" spans="1:22" ht="15" thickBot="1" x14ac:dyDescent="0.4">
      <c r="A123" s="30" t="s">
        <v>227</v>
      </c>
      <c r="B123" s="30" t="s">
        <v>134</v>
      </c>
      <c r="C123" s="30" t="s">
        <v>138</v>
      </c>
      <c r="D123" s="31">
        <v>45670</v>
      </c>
      <c r="E123" s="31">
        <v>45677</v>
      </c>
      <c r="F123" s="30" t="s">
        <v>135</v>
      </c>
      <c r="G123" s="30" t="s">
        <v>26</v>
      </c>
      <c r="H123" s="31">
        <v>37005</v>
      </c>
      <c r="I123" s="30" t="s">
        <v>48</v>
      </c>
      <c r="J123" s="30" t="s">
        <v>28</v>
      </c>
      <c r="K123" s="30" t="s">
        <v>83</v>
      </c>
      <c r="L123" s="30" t="s">
        <v>139</v>
      </c>
      <c r="M123" s="30">
        <v>5</v>
      </c>
      <c r="N123" s="30">
        <v>45</v>
      </c>
      <c r="O123" s="30">
        <v>20</v>
      </c>
      <c r="P123" s="30">
        <v>180</v>
      </c>
      <c r="Q123" s="30">
        <v>3</v>
      </c>
      <c r="R123" s="30" t="s">
        <v>60</v>
      </c>
      <c r="S123" s="30" t="s">
        <v>32</v>
      </c>
      <c r="T123" s="30" t="s">
        <v>136</v>
      </c>
      <c r="U123" s="30">
        <v>9584152818</v>
      </c>
      <c r="V123" s="22" t="s">
        <v>34</v>
      </c>
    </row>
    <row r="124" spans="1:22" ht="15" thickBot="1" x14ac:dyDescent="0.4">
      <c r="A124" s="27" t="s">
        <v>228</v>
      </c>
      <c r="B124" s="27" t="s">
        <v>63</v>
      </c>
      <c r="C124" s="27" t="s">
        <v>125</v>
      </c>
      <c r="D124" s="28">
        <v>45733</v>
      </c>
      <c r="E124" s="28">
        <v>45734</v>
      </c>
      <c r="F124" s="27" t="s">
        <v>110</v>
      </c>
      <c r="G124" s="27" t="s">
        <v>58</v>
      </c>
      <c r="H124" s="28">
        <v>35247</v>
      </c>
      <c r="I124" s="27" t="s">
        <v>74</v>
      </c>
      <c r="J124" s="27" t="s">
        <v>75</v>
      </c>
      <c r="K124" s="27" t="s">
        <v>83</v>
      </c>
      <c r="L124" s="27" t="s">
        <v>127</v>
      </c>
      <c r="M124" s="27">
        <v>9</v>
      </c>
      <c r="N124" s="27">
        <v>20</v>
      </c>
      <c r="O124" s="27">
        <v>10</v>
      </c>
      <c r="P124" s="27">
        <v>162</v>
      </c>
      <c r="Q124" s="27">
        <v>4</v>
      </c>
      <c r="R124" s="27" t="s">
        <v>60</v>
      </c>
      <c r="S124" s="27" t="s">
        <v>32</v>
      </c>
      <c r="T124" s="27" t="s">
        <v>66</v>
      </c>
      <c r="U124" s="27">
        <v>9507986836</v>
      </c>
      <c r="V124" s="27" t="s">
        <v>52</v>
      </c>
    </row>
    <row r="125" spans="1:22" ht="15" thickBot="1" x14ac:dyDescent="0.4">
      <c r="A125" s="30" t="s">
        <v>229</v>
      </c>
      <c r="B125" s="30" t="s">
        <v>45</v>
      </c>
      <c r="C125" s="30" t="s">
        <v>56</v>
      </c>
      <c r="D125" s="31">
        <v>45713</v>
      </c>
      <c r="E125" s="31">
        <v>45717</v>
      </c>
      <c r="F125" s="30" t="s">
        <v>101</v>
      </c>
      <c r="G125" s="30" t="s">
        <v>26</v>
      </c>
      <c r="H125" s="31">
        <v>28892</v>
      </c>
      <c r="I125" s="30" t="s">
        <v>37</v>
      </c>
      <c r="J125" s="30" t="s">
        <v>38</v>
      </c>
      <c r="K125" s="30" t="s">
        <v>39</v>
      </c>
      <c r="L125" s="30" t="s">
        <v>59</v>
      </c>
      <c r="M125" s="30">
        <v>9</v>
      </c>
      <c r="N125" s="30">
        <v>1200</v>
      </c>
      <c r="O125" s="30">
        <v>5</v>
      </c>
      <c r="P125" s="30">
        <v>10260</v>
      </c>
      <c r="Q125" s="30">
        <v>3</v>
      </c>
      <c r="R125" s="30" t="s">
        <v>65</v>
      </c>
      <c r="S125" s="30" t="s">
        <v>32</v>
      </c>
      <c r="T125" s="30" t="s">
        <v>51</v>
      </c>
      <c r="U125" s="30">
        <v>9518249687</v>
      </c>
      <c r="V125" s="30" t="s">
        <v>52</v>
      </c>
    </row>
    <row r="126" spans="1:22" ht="15" thickBot="1" x14ac:dyDescent="0.4">
      <c r="A126" s="27" t="s">
        <v>230</v>
      </c>
      <c r="B126" s="27" t="s">
        <v>72</v>
      </c>
      <c r="C126" s="27" t="s">
        <v>68</v>
      </c>
      <c r="D126" s="28">
        <v>45714</v>
      </c>
      <c r="E126" s="28">
        <v>45715</v>
      </c>
      <c r="F126" s="27" t="s">
        <v>73</v>
      </c>
      <c r="G126" s="27" t="s">
        <v>26</v>
      </c>
      <c r="H126" s="28">
        <v>31393</v>
      </c>
      <c r="I126" s="27" t="s">
        <v>37</v>
      </c>
      <c r="J126" s="27" t="s">
        <v>38</v>
      </c>
      <c r="K126" s="27" t="s">
        <v>29</v>
      </c>
      <c r="L126" s="27" t="s">
        <v>70</v>
      </c>
      <c r="M126" s="27">
        <v>3</v>
      </c>
      <c r="N126" s="27">
        <v>3500</v>
      </c>
      <c r="O126" s="27">
        <v>10</v>
      </c>
      <c r="P126" s="27">
        <v>9450</v>
      </c>
      <c r="Q126" s="27">
        <v>2</v>
      </c>
      <c r="R126" s="27" t="s">
        <v>60</v>
      </c>
      <c r="S126" s="27" t="s">
        <v>96</v>
      </c>
      <c r="T126" s="27" t="s">
        <v>93</v>
      </c>
      <c r="U126" s="27">
        <v>9179328207</v>
      </c>
      <c r="V126" s="27" t="s">
        <v>53</v>
      </c>
    </row>
    <row r="127" spans="1:22" ht="15" thickBot="1" x14ac:dyDescent="0.4">
      <c r="A127" s="30" t="s">
        <v>231</v>
      </c>
      <c r="B127" s="30" t="s">
        <v>124</v>
      </c>
      <c r="C127" s="30" t="s">
        <v>56</v>
      </c>
      <c r="D127" s="31">
        <v>46094</v>
      </c>
      <c r="E127" s="31">
        <v>46099</v>
      </c>
      <c r="F127" s="30" t="s">
        <v>126</v>
      </c>
      <c r="G127" s="30" t="s">
        <v>58</v>
      </c>
      <c r="H127" s="31">
        <v>33631</v>
      </c>
      <c r="I127" s="30" t="s">
        <v>74</v>
      </c>
      <c r="J127" s="30" t="s">
        <v>75</v>
      </c>
      <c r="K127" s="30" t="s">
        <v>39</v>
      </c>
      <c r="L127" s="30" t="s">
        <v>59</v>
      </c>
      <c r="M127" s="30">
        <v>6</v>
      </c>
      <c r="N127" s="30">
        <v>1200</v>
      </c>
      <c r="O127" s="30">
        <v>15</v>
      </c>
      <c r="P127" s="30">
        <v>6120</v>
      </c>
      <c r="Q127" s="30">
        <v>4</v>
      </c>
      <c r="R127" s="30" t="s">
        <v>65</v>
      </c>
      <c r="S127" s="30" t="s">
        <v>32</v>
      </c>
      <c r="T127" s="30" t="s">
        <v>128</v>
      </c>
      <c r="U127" s="30">
        <v>9778490728</v>
      </c>
      <c r="V127" s="30" t="s">
        <v>53</v>
      </c>
    </row>
    <row r="128" spans="1:22" ht="15" thickBot="1" x14ac:dyDescent="0.4">
      <c r="A128" s="27" t="s">
        <v>232</v>
      </c>
      <c r="B128" s="27" t="s">
        <v>63</v>
      </c>
      <c r="C128" s="27" t="s">
        <v>56</v>
      </c>
      <c r="D128" s="28">
        <v>45848</v>
      </c>
      <c r="E128" s="28">
        <v>45850</v>
      </c>
      <c r="F128" s="27" t="s">
        <v>110</v>
      </c>
      <c r="G128" s="27" t="s">
        <v>58</v>
      </c>
      <c r="H128" s="28">
        <v>34155</v>
      </c>
      <c r="I128" s="27" t="s">
        <v>121</v>
      </c>
      <c r="J128" s="27" t="s">
        <v>38</v>
      </c>
      <c r="K128" s="27" t="s">
        <v>39</v>
      </c>
      <c r="L128" s="27" t="s">
        <v>59</v>
      </c>
      <c r="M128" s="27">
        <v>17</v>
      </c>
      <c r="N128" s="27">
        <v>1200</v>
      </c>
      <c r="O128" s="27">
        <v>15</v>
      </c>
      <c r="P128" s="27">
        <v>17340</v>
      </c>
      <c r="Q128" s="27">
        <v>1</v>
      </c>
      <c r="R128" s="27" t="s">
        <v>31</v>
      </c>
      <c r="S128" s="27" t="s">
        <v>50</v>
      </c>
      <c r="T128" s="27" t="s">
        <v>66</v>
      </c>
      <c r="U128" s="27">
        <v>9223058722</v>
      </c>
      <c r="V128" s="21" t="s">
        <v>34</v>
      </c>
    </row>
    <row r="129" spans="1:22" ht="15" thickBot="1" x14ac:dyDescent="0.4">
      <c r="A129" s="30" t="s">
        <v>233</v>
      </c>
      <c r="B129" s="30" t="s">
        <v>124</v>
      </c>
      <c r="C129" s="30" t="s">
        <v>105</v>
      </c>
      <c r="D129" s="31">
        <v>45979</v>
      </c>
      <c r="E129" s="31">
        <v>45987</v>
      </c>
      <c r="F129" s="30" t="s">
        <v>126</v>
      </c>
      <c r="G129" s="30" t="s">
        <v>58</v>
      </c>
      <c r="H129" s="31">
        <v>28381</v>
      </c>
      <c r="I129" s="30" t="s">
        <v>48</v>
      </c>
      <c r="J129" s="30" t="s">
        <v>28</v>
      </c>
      <c r="K129" s="30" t="s">
        <v>29</v>
      </c>
      <c r="L129" s="30" t="s">
        <v>107</v>
      </c>
      <c r="M129" s="30">
        <v>15</v>
      </c>
      <c r="N129" s="30">
        <v>8500</v>
      </c>
      <c r="O129" s="30">
        <v>0</v>
      </c>
      <c r="P129" s="30">
        <v>127500</v>
      </c>
      <c r="Q129" s="30">
        <v>3</v>
      </c>
      <c r="R129" s="30" t="s">
        <v>31</v>
      </c>
      <c r="S129" s="30" t="s">
        <v>80</v>
      </c>
      <c r="T129" s="30" t="s">
        <v>128</v>
      </c>
      <c r="U129" s="30">
        <v>9999889465</v>
      </c>
      <c r="V129" s="30" t="s">
        <v>52</v>
      </c>
    </row>
    <row r="130" spans="1:22" ht="15" thickBot="1" x14ac:dyDescent="0.4">
      <c r="A130" s="27" t="s">
        <v>234</v>
      </c>
      <c r="B130" s="27" t="s">
        <v>87</v>
      </c>
      <c r="C130" s="27" t="s">
        <v>56</v>
      </c>
      <c r="D130" s="28">
        <v>45760</v>
      </c>
      <c r="E130" s="28">
        <v>45766</v>
      </c>
      <c r="F130" s="27" t="s">
        <v>88</v>
      </c>
      <c r="G130" s="27" t="s">
        <v>58</v>
      </c>
      <c r="H130" s="28">
        <v>31331</v>
      </c>
      <c r="I130" s="27" t="s">
        <v>27</v>
      </c>
      <c r="J130" s="27" t="s">
        <v>28</v>
      </c>
      <c r="K130" s="27" t="s">
        <v>39</v>
      </c>
      <c r="L130" s="27" t="s">
        <v>59</v>
      </c>
      <c r="M130" s="27">
        <v>1</v>
      </c>
      <c r="N130" s="27">
        <v>1200</v>
      </c>
      <c r="O130" s="27">
        <v>20</v>
      </c>
      <c r="P130" s="27">
        <v>960</v>
      </c>
      <c r="Q130" s="27">
        <v>1</v>
      </c>
      <c r="R130" s="27" t="s">
        <v>65</v>
      </c>
      <c r="S130" s="27" t="s">
        <v>80</v>
      </c>
      <c r="T130" s="27" t="s">
        <v>89</v>
      </c>
      <c r="U130" s="27">
        <v>9489687402</v>
      </c>
      <c r="V130" s="27" t="s">
        <v>52</v>
      </c>
    </row>
    <row r="131" spans="1:22" ht="15" thickBot="1" x14ac:dyDescent="0.4">
      <c r="A131" s="30" t="s">
        <v>235</v>
      </c>
      <c r="B131" s="30" t="s">
        <v>87</v>
      </c>
      <c r="C131" s="30" t="s">
        <v>105</v>
      </c>
      <c r="D131" s="31">
        <v>45756</v>
      </c>
      <c r="E131" s="31">
        <v>45765</v>
      </c>
      <c r="F131" s="30" t="s">
        <v>88</v>
      </c>
      <c r="G131" s="30" t="s">
        <v>58</v>
      </c>
      <c r="H131" s="31">
        <v>37166</v>
      </c>
      <c r="I131" s="30" t="s">
        <v>147</v>
      </c>
      <c r="J131" s="30" t="s">
        <v>148</v>
      </c>
      <c r="K131" s="30" t="s">
        <v>29</v>
      </c>
      <c r="L131" s="30" t="s">
        <v>107</v>
      </c>
      <c r="M131" s="30">
        <v>5</v>
      </c>
      <c r="N131" s="30">
        <v>8500</v>
      </c>
      <c r="O131" s="30">
        <v>10</v>
      </c>
      <c r="P131" s="30">
        <v>38250</v>
      </c>
      <c r="Q131" s="30">
        <v>1</v>
      </c>
      <c r="R131" s="30" t="s">
        <v>60</v>
      </c>
      <c r="S131" s="30" t="s">
        <v>50</v>
      </c>
      <c r="T131" s="30" t="s">
        <v>89</v>
      </c>
      <c r="U131" s="30">
        <v>9236963301</v>
      </c>
      <c r="V131" s="22" t="s">
        <v>34</v>
      </c>
    </row>
    <row r="132" spans="1:22" ht="15" thickBot="1" x14ac:dyDescent="0.4">
      <c r="A132" s="27" t="s">
        <v>236</v>
      </c>
      <c r="B132" s="27" t="s">
        <v>45</v>
      </c>
      <c r="C132" s="27" t="s">
        <v>138</v>
      </c>
      <c r="D132" s="28">
        <v>46115</v>
      </c>
      <c r="E132" s="28">
        <v>46122</v>
      </c>
      <c r="F132" s="27" t="s">
        <v>101</v>
      </c>
      <c r="G132" s="27" t="s">
        <v>26</v>
      </c>
      <c r="H132" s="28">
        <v>31510</v>
      </c>
      <c r="I132" s="27" t="s">
        <v>27</v>
      </c>
      <c r="J132" s="27" t="s">
        <v>28</v>
      </c>
      <c r="K132" s="27" t="s">
        <v>83</v>
      </c>
      <c r="L132" s="27" t="s">
        <v>139</v>
      </c>
      <c r="M132" s="27">
        <v>12</v>
      </c>
      <c r="N132" s="27">
        <v>45</v>
      </c>
      <c r="O132" s="27">
        <v>5</v>
      </c>
      <c r="P132" s="27">
        <v>513</v>
      </c>
      <c r="Q132" s="27">
        <v>2</v>
      </c>
      <c r="R132" s="27" t="s">
        <v>41</v>
      </c>
      <c r="S132" s="27" t="s">
        <v>32</v>
      </c>
      <c r="T132" s="27" t="s">
        <v>51</v>
      </c>
      <c r="U132" s="27">
        <v>9653594592</v>
      </c>
      <c r="V132" s="27" t="s">
        <v>53</v>
      </c>
    </row>
    <row r="133" spans="1:22" ht="15" thickBot="1" x14ac:dyDescent="0.4">
      <c r="A133" s="30" t="s">
        <v>237</v>
      </c>
      <c r="B133" s="30" t="s">
        <v>124</v>
      </c>
      <c r="C133" s="30" t="s">
        <v>82</v>
      </c>
      <c r="D133" s="31">
        <v>45953</v>
      </c>
      <c r="E133" s="31">
        <v>45958</v>
      </c>
      <c r="F133" s="30" t="s">
        <v>126</v>
      </c>
      <c r="G133" s="30" t="s">
        <v>58</v>
      </c>
      <c r="H133" s="31">
        <v>33075</v>
      </c>
      <c r="I133" s="30" t="s">
        <v>79</v>
      </c>
      <c r="J133" s="30" t="s">
        <v>75</v>
      </c>
      <c r="K133" s="30" t="s">
        <v>83</v>
      </c>
      <c r="L133" s="30" t="s">
        <v>84</v>
      </c>
      <c r="M133" s="30">
        <v>5</v>
      </c>
      <c r="N133" s="30">
        <v>60</v>
      </c>
      <c r="O133" s="30">
        <v>5</v>
      </c>
      <c r="P133" s="30">
        <v>285</v>
      </c>
      <c r="Q133" s="30">
        <v>2</v>
      </c>
      <c r="R133" s="30" t="s">
        <v>31</v>
      </c>
      <c r="S133" s="30" t="s">
        <v>50</v>
      </c>
      <c r="T133" s="30" t="s">
        <v>128</v>
      </c>
      <c r="U133" s="30">
        <v>9781970426</v>
      </c>
      <c r="V133" s="22" t="s">
        <v>34</v>
      </c>
    </row>
    <row r="134" spans="1:22" ht="15" thickBot="1" x14ac:dyDescent="0.4">
      <c r="A134" s="27" t="s">
        <v>238</v>
      </c>
      <c r="B134" s="27" t="s">
        <v>45</v>
      </c>
      <c r="C134" s="27" t="s">
        <v>112</v>
      </c>
      <c r="D134" s="28">
        <v>45750</v>
      </c>
      <c r="E134" s="28">
        <v>45761</v>
      </c>
      <c r="F134" s="27" t="s">
        <v>101</v>
      </c>
      <c r="G134" s="27" t="s">
        <v>26</v>
      </c>
      <c r="H134" s="28">
        <v>34435</v>
      </c>
      <c r="I134" s="27" t="s">
        <v>147</v>
      </c>
      <c r="J134" s="27" t="s">
        <v>148</v>
      </c>
      <c r="K134" s="27" t="s">
        <v>39</v>
      </c>
      <c r="L134" s="27" t="s">
        <v>114</v>
      </c>
      <c r="M134" s="27">
        <v>3</v>
      </c>
      <c r="N134" s="27">
        <v>700</v>
      </c>
      <c r="O134" s="27">
        <v>0</v>
      </c>
      <c r="P134" s="27">
        <v>2100</v>
      </c>
      <c r="Q134" s="27">
        <v>4</v>
      </c>
      <c r="R134" s="27" t="s">
        <v>60</v>
      </c>
      <c r="S134" s="27" t="s">
        <v>50</v>
      </c>
      <c r="T134" s="27" t="s">
        <v>51</v>
      </c>
      <c r="U134" s="27">
        <v>9862165194</v>
      </c>
      <c r="V134" s="21" t="s">
        <v>34</v>
      </c>
    </row>
    <row r="135" spans="1:22" ht="15" thickBot="1" x14ac:dyDescent="0.4">
      <c r="A135" s="30" t="s">
        <v>239</v>
      </c>
      <c r="B135" s="30" t="s">
        <v>104</v>
      </c>
      <c r="C135" s="30" t="s">
        <v>125</v>
      </c>
      <c r="D135" s="31">
        <v>45772</v>
      </c>
      <c r="E135" s="31">
        <v>45776</v>
      </c>
      <c r="F135" s="30" t="s">
        <v>166</v>
      </c>
      <c r="G135" s="30" t="s">
        <v>26</v>
      </c>
      <c r="H135" s="31">
        <v>33728</v>
      </c>
      <c r="I135" s="30" t="s">
        <v>37</v>
      </c>
      <c r="J135" s="30" t="s">
        <v>38</v>
      </c>
      <c r="K135" s="30" t="s">
        <v>83</v>
      </c>
      <c r="L135" s="30" t="s">
        <v>127</v>
      </c>
      <c r="M135" s="30">
        <v>6</v>
      </c>
      <c r="N135" s="30">
        <v>20</v>
      </c>
      <c r="O135" s="30">
        <v>15</v>
      </c>
      <c r="P135" s="30">
        <v>102</v>
      </c>
      <c r="Q135" s="30">
        <v>5</v>
      </c>
      <c r="R135" s="30" t="s">
        <v>60</v>
      </c>
      <c r="S135" s="30" t="s">
        <v>96</v>
      </c>
      <c r="T135" s="30" t="s">
        <v>108</v>
      </c>
      <c r="U135" s="30">
        <v>9661280388</v>
      </c>
      <c r="V135" s="22" t="s">
        <v>34</v>
      </c>
    </row>
    <row r="136" spans="1:22" ht="15" thickBot="1" x14ac:dyDescent="0.4">
      <c r="A136" s="27" t="s">
        <v>240</v>
      </c>
      <c r="B136" s="27" t="s">
        <v>72</v>
      </c>
      <c r="C136" s="27" t="s">
        <v>112</v>
      </c>
      <c r="D136" s="28">
        <v>45893</v>
      </c>
      <c r="E136" s="28">
        <v>45900</v>
      </c>
      <c r="F136" s="27" t="s">
        <v>73</v>
      </c>
      <c r="G136" s="27" t="s">
        <v>26</v>
      </c>
      <c r="H136" s="28">
        <v>29354</v>
      </c>
      <c r="I136" s="27" t="s">
        <v>48</v>
      </c>
      <c r="J136" s="27" t="s">
        <v>28</v>
      </c>
      <c r="K136" s="27" t="s">
        <v>39</v>
      </c>
      <c r="L136" s="27" t="s">
        <v>114</v>
      </c>
      <c r="M136" s="27">
        <v>2</v>
      </c>
      <c r="N136" s="27">
        <v>700</v>
      </c>
      <c r="O136" s="27">
        <v>15</v>
      </c>
      <c r="P136" s="27">
        <v>1190</v>
      </c>
      <c r="Q136" s="27">
        <v>4</v>
      </c>
      <c r="R136" s="27" t="s">
        <v>31</v>
      </c>
      <c r="S136" s="27" t="s">
        <v>96</v>
      </c>
      <c r="T136" s="27" t="s">
        <v>93</v>
      </c>
      <c r="U136" s="27">
        <v>9896985355</v>
      </c>
      <c r="V136" s="27" t="s">
        <v>52</v>
      </c>
    </row>
    <row r="137" spans="1:22" ht="29.5" thickBot="1" x14ac:dyDescent="0.4">
      <c r="A137" s="30" t="s">
        <v>241</v>
      </c>
      <c r="B137" s="30" t="s">
        <v>156</v>
      </c>
      <c r="C137" s="30" t="s">
        <v>138</v>
      </c>
      <c r="D137" s="31">
        <v>45808</v>
      </c>
      <c r="E137" s="31">
        <v>45819</v>
      </c>
      <c r="F137" s="30" t="s">
        <v>106</v>
      </c>
      <c r="G137" s="30" t="s">
        <v>58</v>
      </c>
      <c r="H137" s="31">
        <v>34949</v>
      </c>
      <c r="I137" s="30" t="s">
        <v>79</v>
      </c>
      <c r="J137" s="30" t="s">
        <v>75</v>
      </c>
      <c r="K137" s="30" t="s">
        <v>83</v>
      </c>
      <c r="L137" s="30" t="s">
        <v>139</v>
      </c>
      <c r="M137" s="30">
        <v>16</v>
      </c>
      <c r="N137" s="30">
        <v>45</v>
      </c>
      <c r="O137" s="30">
        <v>0</v>
      </c>
      <c r="P137" s="30">
        <v>720</v>
      </c>
      <c r="Q137" s="30">
        <v>1</v>
      </c>
      <c r="R137" s="30" t="s">
        <v>41</v>
      </c>
      <c r="S137" s="30" t="s">
        <v>50</v>
      </c>
      <c r="T137" s="30" t="s">
        <v>158</v>
      </c>
      <c r="U137" s="30">
        <v>9807154421</v>
      </c>
      <c r="V137" s="22" t="s">
        <v>34</v>
      </c>
    </row>
    <row r="138" spans="1:22" ht="15" thickBot="1" x14ac:dyDescent="0.4">
      <c r="A138" s="27" t="s">
        <v>242</v>
      </c>
      <c r="B138" s="27" t="s">
        <v>55</v>
      </c>
      <c r="C138" s="27" t="s">
        <v>56</v>
      </c>
      <c r="D138" s="28">
        <v>45807</v>
      </c>
      <c r="E138" s="28">
        <v>45810</v>
      </c>
      <c r="F138" s="27" t="s">
        <v>57</v>
      </c>
      <c r="G138" s="27" t="s">
        <v>58</v>
      </c>
      <c r="H138" s="28">
        <v>32210</v>
      </c>
      <c r="I138" s="27" t="s">
        <v>91</v>
      </c>
      <c r="J138" s="27" t="s">
        <v>75</v>
      </c>
      <c r="K138" s="27" t="s">
        <v>39</v>
      </c>
      <c r="L138" s="27" t="s">
        <v>59</v>
      </c>
      <c r="M138" s="27" t="s">
        <v>243</v>
      </c>
      <c r="N138" s="27">
        <v>1200</v>
      </c>
      <c r="O138" s="27">
        <v>15</v>
      </c>
      <c r="P138" s="27">
        <v>7140</v>
      </c>
      <c r="Q138" s="27">
        <v>4</v>
      </c>
      <c r="R138" s="27" t="s">
        <v>65</v>
      </c>
      <c r="S138" s="27" t="s">
        <v>96</v>
      </c>
      <c r="T138" s="27" t="s">
        <v>61</v>
      </c>
      <c r="U138" s="27">
        <v>9919834000</v>
      </c>
      <c r="V138" s="27" t="s">
        <v>52</v>
      </c>
    </row>
    <row r="139" spans="1:22" ht="15" thickBot="1" x14ac:dyDescent="0.4">
      <c r="A139" s="30" t="s">
        <v>244</v>
      </c>
      <c r="B139" s="30" t="s">
        <v>72</v>
      </c>
      <c r="C139" s="30" t="s">
        <v>36</v>
      </c>
      <c r="D139" s="31">
        <v>45888</v>
      </c>
      <c r="E139" s="31">
        <v>45899</v>
      </c>
      <c r="F139" s="30" t="s">
        <v>73</v>
      </c>
      <c r="G139" s="30" t="s">
        <v>26</v>
      </c>
      <c r="H139" s="31">
        <v>32696</v>
      </c>
      <c r="I139" s="30" t="s">
        <v>121</v>
      </c>
      <c r="J139" s="30" t="s">
        <v>38</v>
      </c>
      <c r="K139" s="30" t="s">
        <v>39</v>
      </c>
      <c r="L139" s="30" t="s">
        <v>40</v>
      </c>
      <c r="M139" s="30">
        <v>14</v>
      </c>
      <c r="N139" s="30">
        <v>12000</v>
      </c>
      <c r="O139" s="30">
        <v>15</v>
      </c>
      <c r="P139" s="30">
        <v>142800</v>
      </c>
      <c r="Q139" s="30">
        <v>2</v>
      </c>
      <c r="R139" s="30" t="s">
        <v>41</v>
      </c>
      <c r="S139" s="30" t="s">
        <v>50</v>
      </c>
      <c r="T139" s="30" t="s">
        <v>93</v>
      </c>
      <c r="U139" s="30">
        <v>9739798818</v>
      </c>
      <c r="V139" s="30" t="s">
        <v>52</v>
      </c>
    </row>
    <row r="140" spans="1:22" ht="15" thickBot="1" x14ac:dyDescent="0.4">
      <c r="A140" s="27" t="s">
        <v>245</v>
      </c>
      <c r="B140" s="27" t="s">
        <v>87</v>
      </c>
      <c r="C140" s="27" t="s">
        <v>105</v>
      </c>
      <c r="D140" s="28">
        <v>46005</v>
      </c>
      <c r="E140" s="28">
        <v>46007</v>
      </c>
      <c r="F140" s="27" t="s">
        <v>88</v>
      </c>
      <c r="G140" s="27" t="s">
        <v>58</v>
      </c>
      <c r="H140" s="28">
        <v>34284</v>
      </c>
      <c r="I140" s="27" t="s">
        <v>79</v>
      </c>
      <c r="J140" s="27" t="s">
        <v>75</v>
      </c>
      <c r="K140" s="27" t="s">
        <v>29</v>
      </c>
      <c r="L140" s="27" t="s">
        <v>107</v>
      </c>
      <c r="M140" s="27">
        <v>8</v>
      </c>
      <c r="N140" s="27">
        <v>8500</v>
      </c>
      <c r="O140" s="27">
        <v>20</v>
      </c>
      <c r="P140" s="27">
        <v>54400</v>
      </c>
      <c r="Q140" s="27">
        <v>3</v>
      </c>
      <c r="R140" s="27" t="s">
        <v>60</v>
      </c>
      <c r="S140" s="27" t="s">
        <v>42</v>
      </c>
      <c r="T140" s="27" t="s">
        <v>89</v>
      </c>
      <c r="U140" s="27">
        <v>9208625306</v>
      </c>
      <c r="V140" s="21" t="s">
        <v>34</v>
      </c>
    </row>
    <row r="141" spans="1:22" ht="15" thickBot="1" x14ac:dyDescent="0.4">
      <c r="A141" s="30" t="s">
        <v>246</v>
      </c>
      <c r="B141" s="30" t="s">
        <v>63</v>
      </c>
      <c r="C141" s="30" t="s">
        <v>138</v>
      </c>
      <c r="D141" s="31">
        <v>46053</v>
      </c>
      <c r="E141" s="31">
        <v>46063</v>
      </c>
      <c r="F141" s="30" t="s">
        <v>110</v>
      </c>
      <c r="G141" s="30" t="s">
        <v>58</v>
      </c>
      <c r="H141" s="31">
        <v>36557</v>
      </c>
      <c r="I141" s="30" t="s">
        <v>48</v>
      </c>
      <c r="J141" s="30" t="s">
        <v>28</v>
      </c>
      <c r="K141" s="30" t="s">
        <v>83</v>
      </c>
      <c r="L141" s="30" t="s">
        <v>139</v>
      </c>
      <c r="M141" s="30">
        <v>3</v>
      </c>
      <c r="N141" s="30">
        <v>45</v>
      </c>
      <c r="O141" s="30">
        <v>0</v>
      </c>
      <c r="P141" s="30">
        <v>135</v>
      </c>
      <c r="Q141" s="30">
        <v>4</v>
      </c>
      <c r="R141" s="30" t="s">
        <v>65</v>
      </c>
      <c r="S141" s="30" t="s">
        <v>50</v>
      </c>
      <c r="T141" s="30" t="s">
        <v>66</v>
      </c>
      <c r="U141" s="30">
        <v>9970178536</v>
      </c>
      <c r="V141" s="30" t="s">
        <v>53</v>
      </c>
    </row>
    <row r="142" spans="1:22" ht="29.5" thickBot="1" x14ac:dyDescent="0.4">
      <c r="A142" s="27" t="s">
        <v>247</v>
      </c>
      <c r="B142" s="27" t="s">
        <v>156</v>
      </c>
      <c r="C142" s="27" t="s">
        <v>112</v>
      </c>
      <c r="D142" s="28">
        <v>46025</v>
      </c>
      <c r="E142" s="28">
        <v>46026</v>
      </c>
      <c r="F142" s="27" t="s">
        <v>106</v>
      </c>
      <c r="G142" s="27" t="s">
        <v>58</v>
      </c>
      <c r="H142" s="28">
        <v>31585</v>
      </c>
      <c r="I142" s="27" t="s">
        <v>121</v>
      </c>
      <c r="J142" s="27" t="s">
        <v>38</v>
      </c>
      <c r="K142" s="27" t="s">
        <v>39</v>
      </c>
      <c r="L142" s="27" t="s">
        <v>114</v>
      </c>
      <c r="M142" s="27">
        <v>13</v>
      </c>
      <c r="N142" s="27">
        <v>700</v>
      </c>
      <c r="O142" s="27">
        <v>5</v>
      </c>
      <c r="P142" s="27">
        <v>8645</v>
      </c>
      <c r="Q142" s="27">
        <v>3</v>
      </c>
      <c r="R142" s="27" t="s">
        <v>60</v>
      </c>
      <c r="S142" s="27" t="s">
        <v>80</v>
      </c>
      <c r="T142" s="27" t="s">
        <v>158</v>
      </c>
      <c r="U142" s="27">
        <v>9633745195</v>
      </c>
      <c r="V142" s="27" t="s">
        <v>52</v>
      </c>
    </row>
    <row r="143" spans="1:22" ht="15" thickBot="1" x14ac:dyDescent="0.4">
      <c r="A143" s="30" t="s">
        <v>248</v>
      </c>
      <c r="B143" s="30" t="s">
        <v>104</v>
      </c>
      <c r="C143" s="30" t="s">
        <v>56</v>
      </c>
      <c r="D143" s="31">
        <v>45950</v>
      </c>
      <c r="E143" s="31">
        <v>45956</v>
      </c>
      <c r="F143" s="30" t="s">
        <v>166</v>
      </c>
      <c r="G143" s="30" t="s">
        <v>26</v>
      </c>
      <c r="H143" s="31">
        <v>31459</v>
      </c>
      <c r="I143" s="30" t="s">
        <v>74</v>
      </c>
      <c r="J143" s="30" t="s">
        <v>75</v>
      </c>
      <c r="K143" s="30" t="s">
        <v>39</v>
      </c>
      <c r="L143" s="30" t="s">
        <v>59</v>
      </c>
      <c r="M143" s="30">
        <v>14</v>
      </c>
      <c r="N143" s="30">
        <v>1200</v>
      </c>
      <c r="O143" s="30">
        <v>20</v>
      </c>
      <c r="P143" s="30">
        <v>13440</v>
      </c>
      <c r="Q143" s="30">
        <v>5</v>
      </c>
      <c r="R143" s="30" t="s">
        <v>41</v>
      </c>
      <c r="S143" s="30" t="s">
        <v>50</v>
      </c>
      <c r="T143" s="30" t="s">
        <v>108</v>
      </c>
      <c r="U143" s="30">
        <v>9922102053</v>
      </c>
      <c r="V143" s="22" t="s">
        <v>34</v>
      </c>
    </row>
    <row r="144" spans="1:22" ht="15" thickBot="1" x14ac:dyDescent="0.4">
      <c r="A144" s="27" t="s">
        <v>249</v>
      </c>
      <c r="B144" s="27" t="s">
        <v>72</v>
      </c>
      <c r="C144" s="27" t="s">
        <v>138</v>
      </c>
      <c r="D144" s="28">
        <v>45788</v>
      </c>
      <c r="E144" s="28">
        <v>45798</v>
      </c>
      <c r="F144" s="27" t="s">
        <v>73</v>
      </c>
      <c r="G144" s="27" t="s">
        <v>26</v>
      </c>
      <c r="H144" s="28">
        <v>33499</v>
      </c>
      <c r="I144" s="27" t="s">
        <v>37</v>
      </c>
      <c r="J144" s="27" t="s">
        <v>38</v>
      </c>
      <c r="K144" s="27" t="s">
        <v>83</v>
      </c>
      <c r="L144" s="27" t="s">
        <v>139</v>
      </c>
      <c r="M144" s="27">
        <v>2</v>
      </c>
      <c r="N144" s="27">
        <v>45</v>
      </c>
      <c r="O144" s="27">
        <v>5</v>
      </c>
      <c r="P144" s="27">
        <v>85.5</v>
      </c>
      <c r="Q144" s="27">
        <v>3</v>
      </c>
      <c r="R144" s="27" t="s">
        <v>65</v>
      </c>
      <c r="S144" s="27" t="s">
        <v>32</v>
      </c>
      <c r="T144" s="27" t="s">
        <v>93</v>
      </c>
      <c r="U144" s="27">
        <v>9135963930</v>
      </c>
      <c r="V144" s="27" t="s">
        <v>53</v>
      </c>
    </row>
    <row r="145" spans="1:22" ht="15" thickBot="1" x14ac:dyDescent="0.4">
      <c r="A145" s="30" t="s">
        <v>250</v>
      </c>
      <c r="B145" s="30" t="s">
        <v>104</v>
      </c>
      <c r="C145" s="30" t="s">
        <v>56</v>
      </c>
      <c r="D145" s="31">
        <v>46024</v>
      </c>
      <c r="E145" s="31">
        <v>46028</v>
      </c>
      <c r="F145" s="30" t="s">
        <v>166</v>
      </c>
      <c r="G145" s="30" t="s">
        <v>26</v>
      </c>
      <c r="H145" s="31">
        <v>29590</v>
      </c>
      <c r="I145" s="30" t="s">
        <v>48</v>
      </c>
      <c r="J145" s="30" t="s">
        <v>28</v>
      </c>
      <c r="K145" s="30" t="s">
        <v>39</v>
      </c>
      <c r="L145" s="30" t="s">
        <v>59</v>
      </c>
      <c r="M145" s="30">
        <v>2</v>
      </c>
      <c r="N145" s="30">
        <v>1200</v>
      </c>
      <c r="O145" s="30">
        <v>20</v>
      </c>
      <c r="P145" s="30">
        <v>1920</v>
      </c>
      <c r="Q145" s="30">
        <v>3</v>
      </c>
      <c r="R145" s="30" t="s">
        <v>60</v>
      </c>
      <c r="S145" s="30" t="s">
        <v>80</v>
      </c>
      <c r="T145" s="30" t="s">
        <v>108</v>
      </c>
      <c r="U145" s="30">
        <v>9429405275</v>
      </c>
      <c r="V145" s="22" t="s">
        <v>34</v>
      </c>
    </row>
    <row r="146" spans="1:22" ht="15" thickBot="1" x14ac:dyDescent="0.4">
      <c r="A146" s="27" t="s">
        <v>251</v>
      </c>
      <c r="B146" s="27" t="s">
        <v>87</v>
      </c>
      <c r="C146" s="27" t="s">
        <v>46</v>
      </c>
      <c r="D146" s="28">
        <v>46132</v>
      </c>
      <c r="E146" s="28">
        <v>46138</v>
      </c>
      <c r="F146" s="27" t="s">
        <v>88</v>
      </c>
      <c r="G146" s="27" t="s">
        <v>58</v>
      </c>
      <c r="H146" s="28">
        <v>38272</v>
      </c>
      <c r="I146" s="27" t="s">
        <v>48</v>
      </c>
      <c r="J146" s="27" t="s">
        <v>28</v>
      </c>
      <c r="K146" s="27" t="s">
        <v>39</v>
      </c>
      <c r="L146" s="27" t="s">
        <v>49</v>
      </c>
      <c r="M146" s="27">
        <v>10</v>
      </c>
      <c r="N146" s="27">
        <v>55000</v>
      </c>
      <c r="O146" s="27">
        <v>5</v>
      </c>
      <c r="P146" s="27">
        <v>522500</v>
      </c>
      <c r="Q146" s="27">
        <v>5</v>
      </c>
      <c r="R146" s="27" t="s">
        <v>65</v>
      </c>
      <c r="S146" s="27" t="s">
        <v>50</v>
      </c>
      <c r="T146" s="27" t="s">
        <v>89</v>
      </c>
      <c r="U146" s="27">
        <v>9521757571</v>
      </c>
      <c r="V146" s="27" t="s">
        <v>52</v>
      </c>
    </row>
    <row r="147" spans="1:22" ht="15" thickBot="1" x14ac:dyDescent="0.4">
      <c r="A147" s="30" t="s">
        <v>252</v>
      </c>
      <c r="B147" s="30" t="s">
        <v>134</v>
      </c>
      <c r="C147" s="30" t="s">
        <v>68</v>
      </c>
      <c r="D147" s="31">
        <v>45873</v>
      </c>
      <c r="E147" s="31">
        <v>45874</v>
      </c>
      <c r="F147" s="30" t="s">
        <v>135</v>
      </c>
      <c r="G147" s="30" t="s">
        <v>26</v>
      </c>
      <c r="H147" s="31">
        <v>30766</v>
      </c>
      <c r="I147" s="30" t="s">
        <v>121</v>
      </c>
      <c r="J147" s="30" t="s">
        <v>38</v>
      </c>
      <c r="K147" s="30" t="s">
        <v>29</v>
      </c>
      <c r="L147" s="30" t="s">
        <v>70</v>
      </c>
      <c r="M147" s="30">
        <v>15</v>
      </c>
      <c r="N147" s="30">
        <v>3500</v>
      </c>
      <c r="O147" s="30">
        <v>10</v>
      </c>
      <c r="P147" s="30">
        <v>47250</v>
      </c>
      <c r="Q147" s="30">
        <v>3</v>
      </c>
      <c r="R147" s="30" t="s">
        <v>41</v>
      </c>
      <c r="S147" s="30" t="s">
        <v>80</v>
      </c>
      <c r="T147" s="30" t="s">
        <v>136</v>
      </c>
      <c r="U147" s="30">
        <v>9467375455</v>
      </c>
      <c r="V147" s="22" t="s">
        <v>34</v>
      </c>
    </row>
    <row r="148" spans="1:22" ht="15" thickBot="1" x14ac:dyDescent="0.4">
      <c r="A148" s="27" t="s">
        <v>253</v>
      </c>
      <c r="B148" s="27" t="s">
        <v>72</v>
      </c>
      <c r="C148" s="27" t="s">
        <v>24</v>
      </c>
      <c r="D148" s="28">
        <v>45882</v>
      </c>
      <c r="E148" s="28">
        <v>45887</v>
      </c>
      <c r="F148" s="27" t="s">
        <v>73</v>
      </c>
      <c r="G148" s="27" t="s">
        <v>26</v>
      </c>
      <c r="H148" s="28">
        <v>30203</v>
      </c>
      <c r="I148" s="27" t="s">
        <v>48</v>
      </c>
      <c r="J148" s="27" t="s">
        <v>28</v>
      </c>
      <c r="K148" s="27" t="s">
        <v>29</v>
      </c>
      <c r="L148" s="27" t="s">
        <v>30</v>
      </c>
      <c r="M148" s="27">
        <v>10</v>
      </c>
      <c r="N148" s="27">
        <v>2200</v>
      </c>
      <c r="O148" s="27">
        <v>15</v>
      </c>
      <c r="P148" s="27">
        <v>18700</v>
      </c>
      <c r="Q148" s="27">
        <v>4</v>
      </c>
      <c r="R148" s="27" t="s">
        <v>60</v>
      </c>
      <c r="S148" s="27" t="s">
        <v>42</v>
      </c>
      <c r="T148" s="27" t="s">
        <v>93</v>
      </c>
      <c r="U148" s="27">
        <v>9838809695</v>
      </c>
      <c r="V148" s="27" t="s">
        <v>52</v>
      </c>
    </row>
    <row r="149" spans="1:22" ht="15" thickBot="1" x14ac:dyDescent="0.4">
      <c r="A149" s="30" t="s">
        <v>254</v>
      </c>
      <c r="B149" s="30" t="s">
        <v>134</v>
      </c>
      <c r="C149" s="30" t="s">
        <v>68</v>
      </c>
      <c r="D149" s="31">
        <v>45824</v>
      </c>
      <c r="E149" s="31">
        <v>45832</v>
      </c>
      <c r="F149" s="30" t="s">
        <v>135</v>
      </c>
      <c r="G149" s="30" t="s">
        <v>26</v>
      </c>
      <c r="H149" s="31">
        <v>34015</v>
      </c>
      <c r="I149" s="30" t="s">
        <v>79</v>
      </c>
      <c r="J149" s="30" t="s">
        <v>75</v>
      </c>
      <c r="K149" s="30" t="s">
        <v>29</v>
      </c>
      <c r="L149" s="30" t="s">
        <v>70</v>
      </c>
      <c r="M149" s="30">
        <v>11</v>
      </c>
      <c r="N149" s="30">
        <v>3500</v>
      </c>
      <c r="O149" s="30">
        <v>5</v>
      </c>
      <c r="P149" s="30">
        <v>36575</v>
      </c>
      <c r="Q149" s="30">
        <v>5</v>
      </c>
      <c r="R149" s="30" t="s">
        <v>31</v>
      </c>
      <c r="S149" s="30" t="s">
        <v>32</v>
      </c>
      <c r="T149" s="30" t="s">
        <v>136</v>
      </c>
      <c r="U149" s="30">
        <v>9296609782</v>
      </c>
      <c r="V149" s="30" t="s">
        <v>53</v>
      </c>
    </row>
    <row r="150" spans="1:22" ht="15" thickBot="1" x14ac:dyDescent="0.4">
      <c r="A150" s="27" t="s">
        <v>255</v>
      </c>
      <c r="B150" s="27" t="s">
        <v>104</v>
      </c>
      <c r="C150" s="27" t="s">
        <v>56</v>
      </c>
      <c r="D150" s="28">
        <v>46139</v>
      </c>
      <c r="E150" s="28">
        <v>46142</v>
      </c>
      <c r="F150" s="27" t="s">
        <v>166</v>
      </c>
      <c r="G150" s="27" t="s">
        <v>26</v>
      </c>
      <c r="H150" s="28">
        <v>37719</v>
      </c>
      <c r="I150" s="27" t="s">
        <v>48</v>
      </c>
      <c r="J150" s="27" t="s">
        <v>28</v>
      </c>
      <c r="K150" s="27" t="s">
        <v>39</v>
      </c>
      <c r="L150" s="27" t="s">
        <v>59</v>
      </c>
      <c r="M150" s="27">
        <v>14</v>
      </c>
      <c r="N150" s="27">
        <v>1200</v>
      </c>
      <c r="O150" s="27">
        <v>0</v>
      </c>
      <c r="P150" s="27">
        <v>16800</v>
      </c>
      <c r="Q150" s="27">
        <v>5</v>
      </c>
      <c r="R150" s="27" t="s">
        <v>31</v>
      </c>
      <c r="S150" s="27" t="s">
        <v>42</v>
      </c>
      <c r="T150" s="27" t="s">
        <v>108</v>
      </c>
      <c r="U150" s="27">
        <v>9848259992</v>
      </c>
      <c r="V150" s="27" t="s">
        <v>53</v>
      </c>
    </row>
    <row r="151" spans="1:22" ht="15" thickBot="1" x14ac:dyDescent="0.4">
      <c r="A151" s="30" t="s">
        <v>256</v>
      </c>
      <c r="B151" s="30" t="s">
        <v>72</v>
      </c>
      <c r="C151" s="30" t="s">
        <v>125</v>
      </c>
      <c r="D151" s="31">
        <v>46070</v>
      </c>
      <c r="E151" s="31">
        <v>46075</v>
      </c>
      <c r="F151" s="30" t="s">
        <v>73</v>
      </c>
      <c r="G151" s="30" t="s">
        <v>26</v>
      </c>
      <c r="H151" s="31">
        <v>32801</v>
      </c>
      <c r="I151" s="30" t="s">
        <v>37</v>
      </c>
      <c r="J151" s="30" t="s">
        <v>38</v>
      </c>
      <c r="K151" s="30" t="s">
        <v>83</v>
      </c>
      <c r="L151" s="30" t="s">
        <v>127</v>
      </c>
      <c r="M151" s="30">
        <v>11</v>
      </c>
      <c r="N151" s="30">
        <v>20</v>
      </c>
      <c r="O151" s="30">
        <v>20</v>
      </c>
      <c r="P151" s="30">
        <v>176</v>
      </c>
      <c r="Q151" s="30">
        <v>4</v>
      </c>
      <c r="R151" s="30" t="s">
        <v>41</v>
      </c>
      <c r="S151" s="30" t="s">
        <v>32</v>
      </c>
      <c r="T151" s="30" t="s">
        <v>93</v>
      </c>
      <c r="U151" s="30">
        <v>9254082295</v>
      </c>
      <c r="V151" s="22" t="s">
        <v>34</v>
      </c>
    </row>
    <row r="152" spans="1:22" ht="15" thickBot="1" x14ac:dyDescent="0.4">
      <c r="A152" s="27" t="s">
        <v>257</v>
      </c>
      <c r="B152" s="27" t="s">
        <v>55</v>
      </c>
      <c r="C152" s="27" t="s">
        <v>36</v>
      </c>
      <c r="D152" s="28">
        <v>46116</v>
      </c>
      <c r="E152" s="28">
        <v>46122</v>
      </c>
      <c r="F152" s="27" t="s">
        <v>57</v>
      </c>
      <c r="G152" s="27" t="s">
        <v>58</v>
      </c>
      <c r="H152" s="28">
        <v>34957</v>
      </c>
      <c r="I152" s="27" t="s">
        <v>79</v>
      </c>
      <c r="J152" s="27" t="s">
        <v>75</v>
      </c>
      <c r="K152" s="27" t="s">
        <v>39</v>
      </c>
      <c r="L152" s="27" t="s">
        <v>40</v>
      </c>
      <c r="M152" s="27">
        <v>6</v>
      </c>
      <c r="N152" s="27">
        <v>12000</v>
      </c>
      <c r="O152" s="27">
        <v>10</v>
      </c>
      <c r="P152" s="27">
        <v>64800</v>
      </c>
      <c r="Q152" s="27">
        <v>5</v>
      </c>
      <c r="R152" s="27" t="s">
        <v>65</v>
      </c>
      <c r="S152" s="27" t="s">
        <v>96</v>
      </c>
      <c r="T152" s="27" t="s">
        <v>61</v>
      </c>
      <c r="U152" s="27">
        <v>9687923860</v>
      </c>
      <c r="V152" s="21" t="s">
        <v>34</v>
      </c>
    </row>
    <row r="153" spans="1:22" ht="15" thickBot="1" x14ac:dyDescent="0.4">
      <c r="A153" s="30" t="s">
        <v>258</v>
      </c>
      <c r="B153" s="30" t="s">
        <v>55</v>
      </c>
      <c r="C153" s="30" t="s">
        <v>24</v>
      </c>
      <c r="D153" s="31">
        <v>45756</v>
      </c>
      <c r="E153" s="31">
        <v>45765</v>
      </c>
      <c r="F153" s="30" t="s">
        <v>57</v>
      </c>
      <c r="G153" s="30" t="s">
        <v>58</v>
      </c>
      <c r="H153" s="31">
        <v>34431</v>
      </c>
      <c r="I153" s="30" t="s">
        <v>27</v>
      </c>
      <c r="J153" s="30" t="s">
        <v>28</v>
      </c>
      <c r="K153" s="30" t="s">
        <v>29</v>
      </c>
      <c r="L153" s="30" t="s">
        <v>30</v>
      </c>
      <c r="M153" s="30">
        <v>6</v>
      </c>
      <c r="N153" s="30">
        <v>2200</v>
      </c>
      <c r="O153" s="30">
        <v>5</v>
      </c>
      <c r="P153" s="30">
        <v>12540</v>
      </c>
      <c r="Q153" s="30">
        <v>4</v>
      </c>
      <c r="R153" s="30" t="s">
        <v>31</v>
      </c>
      <c r="S153" s="30" t="s">
        <v>42</v>
      </c>
      <c r="T153" s="30" t="s">
        <v>61</v>
      </c>
      <c r="U153" s="30">
        <v>9426459149</v>
      </c>
      <c r="V153" s="22" t="s">
        <v>34</v>
      </c>
    </row>
    <row r="154" spans="1:22" ht="15" thickBot="1" x14ac:dyDescent="0.4">
      <c r="A154" s="27" t="s">
        <v>259</v>
      </c>
      <c r="B154" s="27" t="s">
        <v>45</v>
      </c>
      <c r="C154" s="27" t="s">
        <v>68</v>
      </c>
      <c r="D154" s="28">
        <v>45823</v>
      </c>
      <c r="E154" s="28">
        <v>45835</v>
      </c>
      <c r="F154" s="27" t="s">
        <v>101</v>
      </c>
      <c r="G154" s="27" t="s">
        <v>26</v>
      </c>
      <c r="H154" s="28">
        <v>37896</v>
      </c>
      <c r="I154" s="27" t="s">
        <v>37</v>
      </c>
      <c r="J154" s="27" t="s">
        <v>38</v>
      </c>
      <c r="K154" s="27" t="s">
        <v>29</v>
      </c>
      <c r="L154" s="27" t="s">
        <v>70</v>
      </c>
      <c r="M154" s="27">
        <v>3</v>
      </c>
      <c r="N154" s="27">
        <v>3500</v>
      </c>
      <c r="O154" s="27">
        <v>5</v>
      </c>
      <c r="P154" s="27">
        <v>9975</v>
      </c>
      <c r="Q154" s="27">
        <v>4</v>
      </c>
      <c r="R154" s="27" t="s">
        <v>41</v>
      </c>
      <c r="S154" s="27" t="s">
        <v>42</v>
      </c>
      <c r="T154" s="27" t="s">
        <v>51</v>
      </c>
      <c r="U154" s="27">
        <v>9155925975</v>
      </c>
      <c r="V154" s="27" t="s">
        <v>52</v>
      </c>
    </row>
    <row r="155" spans="1:22" ht="15" thickBot="1" x14ac:dyDescent="0.4">
      <c r="A155" s="30" t="s">
        <v>260</v>
      </c>
      <c r="B155" s="30" t="s">
        <v>55</v>
      </c>
      <c r="C155" s="30" t="s">
        <v>105</v>
      </c>
      <c r="D155" s="31">
        <v>45816</v>
      </c>
      <c r="E155" s="31">
        <v>45818</v>
      </c>
      <c r="F155" s="30" t="s">
        <v>57</v>
      </c>
      <c r="G155" s="30" t="s">
        <v>58</v>
      </c>
      <c r="H155" s="31">
        <v>35625</v>
      </c>
      <c r="I155" s="30" t="s">
        <v>27</v>
      </c>
      <c r="J155" s="30" t="s">
        <v>28</v>
      </c>
      <c r="K155" s="30" t="s">
        <v>29</v>
      </c>
      <c r="L155" s="30" t="s">
        <v>107</v>
      </c>
      <c r="M155" s="30">
        <v>5</v>
      </c>
      <c r="N155" s="30">
        <v>8500</v>
      </c>
      <c r="O155" s="30">
        <v>20</v>
      </c>
      <c r="P155" s="30">
        <v>34000</v>
      </c>
      <c r="Q155" s="30">
        <v>5</v>
      </c>
      <c r="R155" s="30" t="s">
        <v>31</v>
      </c>
      <c r="S155" s="30" t="s">
        <v>50</v>
      </c>
      <c r="T155" s="30" t="s">
        <v>61</v>
      </c>
      <c r="U155" s="30">
        <v>9945247701</v>
      </c>
      <c r="V155" s="30" t="s">
        <v>52</v>
      </c>
    </row>
    <row r="156" spans="1:22" ht="15" thickBot="1" x14ac:dyDescent="0.4">
      <c r="A156" s="27" t="s">
        <v>261</v>
      </c>
      <c r="B156" s="27" t="s">
        <v>23</v>
      </c>
      <c r="C156" s="27" t="s">
        <v>68</v>
      </c>
      <c r="D156" s="28">
        <v>45863</v>
      </c>
      <c r="E156" s="28">
        <v>45870</v>
      </c>
      <c r="F156" s="27" t="s">
        <v>25</v>
      </c>
      <c r="G156" s="27" t="s">
        <v>26</v>
      </c>
      <c r="H156" s="28">
        <v>29076</v>
      </c>
      <c r="I156" s="27" t="s">
        <v>48</v>
      </c>
      <c r="J156" s="27" t="s">
        <v>28</v>
      </c>
      <c r="K156" s="27" t="s">
        <v>29</v>
      </c>
      <c r="L156" s="27" t="s">
        <v>70</v>
      </c>
      <c r="M156" s="27">
        <v>14</v>
      </c>
      <c r="N156" s="27">
        <v>3500</v>
      </c>
      <c r="O156" s="27">
        <v>10</v>
      </c>
      <c r="P156" s="27">
        <v>44100</v>
      </c>
      <c r="Q156" s="27">
        <v>4</v>
      </c>
      <c r="R156" s="27" t="s">
        <v>65</v>
      </c>
      <c r="S156" s="27" t="s">
        <v>32</v>
      </c>
      <c r="T156" s="27" t="s">
        <v>43</v>
      </c>
      <c r="U156" s="27">
        <v>9597378398</v>
      </c>
      <c r="V156" s="27" t="s">
        <v>53</v>
      </c>
    </row>
    <row r="157" spans="1:22" ht="29.5" thickBot="1" x14ac:dyDescent="0.4">
      <c r="A157" s="30" t="s">
        <v>262</v>
      </c>
      <c r="B157" s="30" t="s">
        <v>156</v>
      </c>
      <c r="C157" s="30" t="s">
        <v>138</v>
      </c>
      <c r="D157" s="31">
        <v>45673</v>
      </c>
      <c r="E157" s="31">
        <v>45678</v>
      </c>
      <c r="F157" s="30" t="s">
        <v>106</v>
      </c>
      <c r="G157" s="30" t="s">
        <v>58</v>
      </c>
      <c r="H157" s="31">
        <v>37549</v>
      </c>
      <c r="I157" s="30" t="s">
        <v>91</v>
      </c>
      <c r="J157" s="30" t="s">
        <v>75</v>
      </c>
      <c r="K157" s="30" t="s">
        <v>83</v>
      </c>
      <c r="L157" s="30" t="s">
        <v>139</v>
      </c>
      <c r="M157" s="30">
        <v>8</v>
      </c>
      <c r="N157" s="30">
        <v>45</v>
      </c>
      <c r="O157" s="30">
        <v>0</v>
      </c>
      <c r="P157" s="30">
        <v>360</v>
      </c>
      <c r="Q157" s="30">
        <v>1</v>
      </c>
      <c r="R157" s="30" t="s">
        <v>60</v>
      </c>
      <c r="S157" s="30" t="s">
        <v>96</v>
      </c>
      <c r="T157" s="30" t="s">
        <v>158</v>
      </c>
      <c r="U157" s="30">
        <v>9343963736</v>
      </c>
      <c r="V157" s="30" t="s">
        <v>53</v>
      </c>
    </row>
    <row r="158" spans="1:22" ht="15" thickBot="1" x14ac:dyDescent="0.4">
      <c r="A158" s="27" t="s">
        <v>263</v>
      </c>
      <c r="B158" s="27" t="s">
        <v>124</v>
      </c>
      <c r="C158" s="27" t="s">
        <v>138</v>
      </c>
      <c r="D158" s="28">
        <v>45692</v>
      </c>
      <c r="E158" s="28">
        <v>45693</v>
      </c>
      <c r="F158" s="27" t="s">
        <v>126</v>
      </c>
      <c r="G158" s="27" t="s">
        <v>58</v>
      </c>
      <c r="H158" s="28">
        <v>31252</v>
      </c>
      <c r="I158" s="27" t="s">
        <v>37</v>
      </c>
      <c r="J158" s="27" t="s">
        <v>38</v>
      </c>
      <c r="K158" s="27" t="s">
        <v>83</v>
      </c>
      <c r="L158" s="27" t="s">
        <v>139</v>
      </c>
      <c r="M158" s="27">
        <v>11</v>
      </c>
      <c r="N158" s="27">
        <v>45</v>
      </c>
      <c r="O158" s="27">
        <v>5</v>
      </c>
      <c r="P158" s="27">
        <v>470.25</v>
      </c>
      <c r="Q158" s="27">
        <v>3</v>
      </c>
      <c r="R158" s="27" t="s">
        <v>60</v>
      </c>
      <c r="S158" s="27" t="s">
        <v>42</v>
      </c>
      <c r="T158" s="27" t="s">
        <v>128</v>
      </c>
      <c r="U158" s="27">
        <v>9548742147</v>
      </c>
      <c r="V158" s="21" t="s">
        <v>34</v>
      </c>
    </row>
    <row r="159" spans="1:22" ht="15" thickBot="1" x14ac:dyDescent="0.4">
      <c r="A159" s="30" t="s">
        <v>264</v>
      </c>
      <c r="B159" s="30" t="s">
        <v>63</v>
      </c>
      <c r="C159" s="30" t="s">
        <v>46</v>
      </c>
      <c r="D159" s="31">
        <v>45679</v>
      </c>
      <c r="E159" s="31">
        <v>45687</v>
      </c>
      <c r="F159" s="30" t="s">
        <v>110</v>
      </c>
      <c r="G159" s="30" t="s">
        <v>58</v>
      </c>
      <c r="H159" s="31">
        <v>32378</v>
      </c>
      <c r="I159" s="30" t="s">
        <v>91</v>
      </c>
      <c r="J159" s="30" t="s">
        <v>75</v>
      </c>
      <c r="K159" s="30" t="s">
        <v>39</v>
      </c>
      <c r="L159" s="30" t="s">
        <v>49</v>
      </c>
      <c r="M159" s="30">
        <v>19</v>
      </c>
      <c r="N159" s="30">
        <v>55000</v>
      </c>
      <c r="O159" s="30">
        <v>0</v>
      </c>
      <c r="P159" s="30">
        <v>1045000</v>
      </c>
      <c r="Q159" s="30">
        <v>2</v>
      </c>
      <c r="R159" s="30" t="s">
        <v>60</v>
      </c>
      <c r="S159" s="30" t="s">
        <v>32</v>
      </c>
      <c r="T159" s="30" t="s">
        <v>66</v>
      </c>
      <c r="U159" s="30">
        <v>9912945471</v>
      </c>
      <c r="V159" s="30" t="s">
        <v>53</v>
      </c>
    </row>
    <row r="160" spans="1:22" ht="15" thickBot="1" x14ac:dyDescent="0.4">
      <c r="A160" s="27" t="s">
        <v>265</v>
      </c>
      <c r="B160" s="27" t="s">
        <v>45</v>
      </c>
      <c r="C160" s="27" t="s">
        <v>68</v>
      </c>
      <c r="D160" s="28">
        <v>45758</v>
      </c>
      <c r="E160" s="28">
        <v>45765</v>
      </c>
      <c r="F160" s="27" t="s">
        <v>101</v>
      </c>
      <c r="G160" s="27" t="s">
        <v>26</v>
      </c>
      <c r="H160" s="28">
        <v>28864</v>
      </c>
      <c r="I160" s="27" t="s">
        <v>79</v>
      </c>
      <c r="J160" s="27" t="s">
        <v>75</v>
      </c>
      <c r="K160" s="27" t="s">
        <v>29</v>
      </c>
      <c r="L160" s="27" t="s">
        <v>70</v>
      </c>
      <c r="M160" s="27">
        <v>20</v>
      </c>
      <c r="N160" s="27">
        <v>3500</v>
      </c>
      <c r="O160" s="27">
        <v>20</v>
      </c>
      <c r="P160" s="27">
        <v>56000</v>
      </c>
      <c r="Q160" s="27">
        <v>4</v>
      </c>
      <c r="R160" s="27" t="s">
        <v>41</v>
      </c>
      <c r="S160" s="27" t="s">
        <v>42</v>
      </c>
      <c r="T160" s="27" t="s">
        <v>51</v>
      </c>
      <c r="U160" s="27">
        <v>9912630684</v>
      </c>
      <c r="V160" s="21" t="s">
        <v>34</v>
      </c>
    </row>
    <row r="161" spans="1:22" ht="15" thickBot="1" x14ac:dyDescent="0.4">
      <c r="A161" s="30" t="s">
        <v>266</v>
      </c>
      <c r="B161" s="30" t="s">
        <v>63</v>
      </c>
      <c r="C161" s="30" t="s">
        <v>24</v>
      </c>
      <c r="D161" s="31">
        <v>45842</v>
      </c>
      <c r="E161" s="31">
        <v>45852</v>
      </c>
      <c r="F161" s="30" t="s">
        <v>110</v>
      </c>
      <c r="G161" s="30" t="s">
        <v>58</v>
      </c>
      <c r="H161" s="31">
        <v>31649</v>
      </c>
      <c r="I161" s="30" t="s">
        <v>79</v>
      </c>
      <c r="J161" s="30" t="s">
        <v>75</v>
      </c>
      <c r="K161" s="30" t="s">
        <v>29</v>
      </c>
      <c r="L161" s="30" t="s">
        <v>30</v>
      </c>
      <c r="M161" s="30">
        <v>17</v>
      </c>
      <c r="N161" s="30">
        <v>2200</v>
      </c>
      <c r="O161" s="30">
        <v>0</v>
      </c>
      <c r="P161" s="30">
        <v>37400</v>
      </c>
      <c r="Q161" s="30">
        <v>5</v>
      </c>
      <c r="R161" s="30" t="s">
        <v>41</v>
      </c>
      <c r="S161" s="30" t="s">
        <v>32</v>
      </c>
      <c r="T161" s="30" t="s">
        <v>66</v>
      </c>
      <c r="U161" s="30">
        <v>9114017237</v>
      </c>
      <c r="V161" s="30" t="s">
        <v>52</v>
      </c>
    </row>
    <row r="162" spans="1:22" ht="15" thickBot="1" x14ac:dyDescent="0.4">
      <c r="A162" s="27" t="s">
        <v>267</v>
      </c>
      <c r="B162" s="27" t="s">
        <v>63</v>
      </c>
      <c r="C162" s="27" t="s">
        <v>56</v>
      </c>
      <c r="D162" s="28">
        <v>45679</v>
      </c>
      <c r="E162" s="28">
        <v>45686</v>
      </c>
      <c r="F162" s="27" t="s">
        <v>110</v>
      </c>
      <c r="G162" s="27" t="s">
        <v>58</v>
      </c>
      <c r="H162" s="28">
        <v>28216</v>
      </c>
      <c r="I162" s="27" t="s">
        <v>79</v>
      </c>
      <c r="J162" s="27" t="s">
        <v>75</v>
      </c>
      <c r="K162" s="27" t="s">
        <v>39</v>
      </c>
      <c r="L162" s="27" t="s">
        <v>59</v>
      </c>
      <c r="M162" s="27">
        <v>10</v>
      </c>
      <c r="N162" s="27">
        <v>1200</v>
      </c>
      <c r="O162" s="27">
        <v>5</v>
      </c>
      <c r="P162" s="27">
        <v>11400</v>
      </c>
      <c r="Q162" s="27">
        <v>2</v>
      </c>
      <c r="R162" s="27" t="s">
        <v>31</v>
      </c>
      <c r="S162" s="27" t="s">
        <v>42</v>
      </c>
      <c r="T162" s="27" t="s">
        <v>66</v>
      </c>
      <c r="U162" s="27">
        <v>9872471236</v>
      </c>
      <c r="V162" s="27" t="s">
        <v>53</v>
      </c>
    </row>
    <row r="163" spans="1:22" ht="15" thickBot="1" x14ac:dyDescent="0.4">
      <c r="A163" s="30" t="s">
        <v>268</v>
      </c>
      <c r="B163" s="30" t="s">
        <v>124</v>
      </c>
      <c r="C163" s="30" t="s">
        <v>82</v>
      </c>
      <c r="D163" s="31">
        <v>46008</v>
      </c>
      <c r="E163" s="31">
        <v>46009</v>
      </c>
      <c r="F163" s="30" t="s">
        <v>126</v>
      </c>
      <c r="G163" s="30" t="s">
        <v>58</v>
      </c>
      <c r="H163" s="31">
        <v>30532</v>
      </c>
      <c r="I163" s="30" t="s">
        <v>27</v>
      </c>
      <c r="J163" s="30" t="s">
        <v>28</v>
      </c>
      <c r="K163" s="30" t="s">
        <v>83</v>
      </c>
      <c r="L163" s="30" t="s">
        <v>84</v>
      </c>
      <c r="M163" s="30">
        <v>3</v>
      </c>
      <c r="N163" s="30">
        <v>60</v>
      </c>
      <c r="O163" s="30">
        <v>0</v>
      </c>
      <c r="P163" s="30">
        <v>180</v>
      </c>
      <c r="Q163" s="30">
        <v>4</v>
      </c>
      <c r="R163" s="30" t="s">
        <v>41</v>
      </c>
      <c r="S163" s="30" t="s">
        <v>96</v>
      </c>
      <c r="T163" s="30" t="s">
        <v>128</v>
      </c>
      <c r="U163" s="30">
        <v>9461383824</v>
      </c>
      <c r="V163" s="22" t="s">
        <v>34</v>
      </c>
    </row>
    <row r="164" spans="1:22" ht="15" thickBot="1" x14ac:dyDescent="0.4">
      <c r="A164" s="27" t="s">
        <v>269</v>
      </c>
      <c r="B164" s="27" t="s">
        <v>45</v>
      </c>
      <c r="C164" s="27" t="s">
        <v>24</v>
      </c>
      <c r="D164" s="28">
        <v>45940</v>
      </c>
      <c r="E164" s="28">
        <v>45951</v>
      </c>
      <c r="F164" s="27" t="s">
        <v>101</v>
      </c>
      <c r="G164" s="27" t="s">
        <v>26</v>
      </c>
      <c r="H164" s="28">
        <v>28587</v>
      </c>
      <c r="I164" s="27" t="s">
        <v>74</v>
      </c>
      <c r="J164" s="27" t="s">
        <v>75</v>
      </c>
      <c r="K164" s="27" t="s">
        <v>29</v>
      </c>
      <c r="L164" s="27" t="s">
        <v>30</v>
      </c>
      <c r="M164" s="27">
        <v>18</v>
      </c>
      <c r="N164" s="27">
        <v>2200</v>
      </c>
      <c r="O164" s="27">
        <v>10</v>
      </c>
      <c r="P164" s="27">
        <v>35640</v>
      </c>
      <c r="Q164" s="27">
        <v>1</v>
      </c>
      <c r="R164" s="27" t="s">
        <v>60</v>
      </c>
      <c r="S164" s="27" t="s">
        <v>96</v>
      </c>
      <c r="T164" s="27" t="s">
        <v>51</v>
      </c>
      <c r="U164" s="27">
        <v>9243407457</v>
      </c>
      <c r="V164" s="27" t="s">
        <v>53</v>
      </c>
    </row>
    <row r="165" spans="1:22" ht="15" thickBot="1" x14ac:dyDescent="0.4">
      <c r="A165" s="30" t="s">
        <v>270</v>
      </c>
      <c r="B165" s="30" t="s">
        <v>55</v>
      </c>
      <c r="C165" s="30" t="s">
        <v>82</v>
      </c>
      <c r="D165" s="31">
        <v>46088</v>
      </c>
      <c r="E165" s="31">
        <v>46091</v>
      </c>
      <c r="F165" s="30" t="s">
        <v>57</v>
      </c>
      <c r="G165" s="30" t="s">
        <v>58</v>
      </c>
      <c r="H165" s="31">
        <v>30379</v>
      </c>
      <c r="I165" s="30" t="s">
        <v>37</v>
      </c>
      <c r="J165" s="30" t="s">
        <v>38</v>
      </c>
      <c r="K165" s="30" t="s">
        <v>83</v>
      </c>
      <c r="L165" s="30" t="s">
        <v>84</v>
      </c>
      <c r="M165" s="30">
        <v>18</v>
      </c>
      <c r="N165" s="30">
        <v>60</v>
      </c>
      <c r="O165" s="30">
        <v>5</v>
      </c>
      <c r="P165" s="30">
        <v>1026</v>
      </c>
      <c r="Q165" s="30">
        <v>3</v>
      </c>
      <c r="R165" s="30" t="s">
        <v>60</v>
      </c>
      <c r="S165" s="30" t="s">
        <v>42</v>
      </c>
      <c r="T165" s="30" t="s">
        <v>61</v>
      </c>
      <c r="U165" s="30">
        <v>9418672379</v>
      </c>
      <c r="V165" s="30" t="s">
        <v>52</v>
      </c>
    </row>
    <row r="166" spans="1:22" ht="15" thickBot="1" x14ac:dyDescent="0.4">
      <c r="A166" s="27" t="s">
        <v>271</v>
      </c>
      <c r="B166" s="27" t="s">
        <v>87</v>
      </c>
      <c r="C166" s="27" t="s">
        <v>46</v>
      </c>
      <c r="D166" s="28">
        <v>45885</v>
      </c>
      <c r="E166" s="28">
        <v>45892</v>
      </c>
      <c r="F166" s="27" t="s">
        <v>88</v>
      </c>
      <c r="G166" s="27" t="s">
        <v>58</v>
      </c>
      <c r="H166" s="28">
        <v>32077</v>
      </c>
      <c r="I166" s="27" t="s">
        <v>79</v>
      </c>
      <c r="J166" s="27" t="s">
        <v>75</v>
      </c>
      <c r="K166" s="27" t="s">
        <v>39</v>
      </c>
      <c r="L166" s="27" t="s">
        <v>49</v>
      </c>
      <c r="M166" s="27">
        <v>11</v>
      </c>
      <c r="N166" s="27">
        <v>55000</v>
      </c>
      <c r="O166" s="27">
        <v>15</v>
      </c>
      <c r="P166" s="27">
        <v>514250</v>
      </c>
      <c r="Q166" s="27">
        <v>4</v>
      </c>
      <c r="R166" s="27" t="s">
        <v>65</v>
      </c>
      <c r="S166" s="27" t="s">
        <v>80</v>
      </c>
      <c r="T166" s="27" t="s">
        <v>89</v>
      </c>
      <c r="U166" s="27">
        <v>9222733065</v>
      </c>
      <c r="V166" s="27" t="s">
        <v>53</v>
      </c>
    </row>
    <row r="167" spans="1:22" ht="15" thickBot="1" x14ac:dyDescent="0.4">
      <c r="A167" s="30" t="s">
        <v>272</v>
      </c>
      <c r="B167" s="30" t="s">
        <v>134</v>
      </c>
      <c r="C167" s="30" t="s">
        <v>105</v>
      </c>
      <c r="D167" s="31">
        <v>46014</v>
      </c>
      <c r="E167" s="31">
        <v>46025</v>
      </c>
      <c r="F167" s="30" t="s">
        <v>135</v>
      </c>
      <c r="G167" s="30" t="s">
        <v>26</v>
      </c>
      <c r="H167" s="31">
        <v>37730</v>
      </c>
      <c r="I167" s="30" t="s">
        <v>147</v>
      </c>
      <c r="J167" s="30" t="s">
        <v>148</v>
      </c>
      <c r="K167" s="30" t="s">
        <v>29</v>
      </c>
      <c r="L167" s="30" t="s">
        <v>107</v>
      </c>
      <c r="M167" s="30">
        <v>5</v>
      </c>
      <c r="N167" s="30">
        <v>8500</v>
      </c>
      <c r="O167" s="30">
        <v>5</v>
      </c>
      <c r="P167" s="30">
        <v>40375</v>
      </c>
      <c r="Q167" s="30">
        <v>4</v>
      </c>
      <c r="R167" s="30" t="s">
        <v>31</v>
      </c>
      <c r="S167" s="30" t="s">
        <v>96</v>
      </c>
      <c r="T167" s="30" t="s">
        <v>136</v>
      </c>
      <c r="U167" s="30">
        <v>9684246902</v>
      </c>
      <c r="V167" s="22" t="s">
        <v>34</v>
      </c>
    </row>
    <row r="168" spans="1:22" ht="15" thickBot="1" x14ac:dyDescent="0.4">
      <c r="A168" s="27" t="s">
        <v>116</v>
      </c>
      <c r="B168" s="27" t="s">
        <v>72</v>
      </c>
      <c r="C168" s="27" t="s">
        <v>112</v>
      </c>
      <c r="D168" s="28">
        <v>45908</v>
      </c>
      <c r="E168" s="28">
        <v>45919</v>
      </c>
      <c r="F168" s="27" t="s">
        <v>73</v>
      </c>
      <c r="G168" s="27" t="s">
        <v>26</v>
      </c>
      <c r="H168" s="28">
        <v>37301</v>
      </c>
      <c r="I168" s="27" t="s">
        <v>121</v>
      </c>
      <c r="J168" s="27" t="s">
        <v>38</v>
      </c>
      <c r="K168" s="27" t="s">
        <v>39</v>
      </c>
      <c r="L168" s="27" t="s">
        <v>114</v>
      </c>
      <c r="M168" s="27">
        <v>16</v>
      </c>
      <c r="N168" s="27">
        <v>700</v>
      </c>
      <c r="O168" s="27">
        <v>15</v>
      </c>
      <c r="P168" s="27">
        <v>9520</v>
      </c>
      <c r="Q168" s="27">
        <v>4</v>
      </c>
      <c r="R168" s="27" t="s">
        <v>60</v>
      </c>
      <c r="S168" s="27" t="s">
        <v>50</v>
      </c>
      <c r="T168" s="27" t="s">
        <v>93</v>
      </c>
      <c r="U168" s="27">
        <v>9989580228</v>
      </c>
      <c r="V168" s="21" t="s">
        <v>34</v>
      </c>
    </row>
    <row r="169" spans="1:22" ht="15" thickBot="1" x14ac:dyDescent="0.4">
      <c r="A169" s="30" t="s">
        <v>273</v>
      </c>
      <c r="B169" s="30" t="s">
        <v>87</v>
      </c>
      <c r="C169" s="30" t="s">
        <v>112</v>
      </c>
      <c r="D169" s="31">
        <v>45845</v>
      </c>
      <c r="E169" s="31">
        <v>45851</v>
      </c>
      <c r="F169" s="30" t="s">
        <v>88</v>
      </c>
      <c r="G169" s="30" t="s">
        <v>58</v>
      </c>
      <c r="H169" s="31">
        <v>27580</v>
      </c>
      <c r="I169" s="30" t="s">
        <v>79</v>
      </c>
      <c r="J169" s="30" t="s">
        <v>75</v>
      </c>
      <c r="K169" s="30" t="s">
        <v>39</v>
      </c>
      <c r="L169" s="30" t="s">
        <v>114</v>
      </c>
      <c r="M169" s="30">
        <v>6</v>
      </c>
      <c r="N169" s="30">
        <v>700</v>
      </c>
      <c r="O169" s="30">
        <v>10</v>
      </c>
      <c r="P169" s="30">
        <v>3780</v>
      </c>
      <c r="Q169" s="30">
        <v>4</v>
      </c>
      <c r="R169" s="30" t="s">
        <v>31</v>
      </c>
      <c r="S169" s="30" t="s">
        <v>42</v>
      </c>
      <c r="T169" s="30" t="s">
        <v>89</v>
      </c>
      <c r="U169" s="30">
        <v>9110269572</v>
      </c>
      <c r="V169" s="30" t="s">
        <v>53</v>
      </c>
    </row>
    <row r="170" spans="1:22" ht="15" thickBot="1" x14ac:dyDescent="0.4">
      <c r="A170" s="27" t="s">
        <v>274</v>
      </c>
      <c r="B170" s="27" t="s">
        <v>45</v>
      </c>
      <c r="C170" s="27" t="s">
        <v>68</v>
      </c>
      <c r="D170" s="28">
        <v>46145</v>
      </c>
      <c r="E170" s="28">
        <v>46157</v>
      </c>
      <c r="F170" s="27" t="s">
        <v>101</v>
      </c>
      <c r="G170" s="27" t="s">
        <v>26</v>
      </c>
      <c r="H170" s="28">
        <v>33668</v>
      </c>
      <c r="I170" s="27" t="s">
        <v>37</v>
      </c>
      <c r="J170" s="27" t="s">
        <v>38</v>
      </c>
      <c r="K170" s="27" t="s">
        <v>29</v>
      </c>
      <c r="L170" s="27" t="s">
        <v>70</v>
      </c>
      <c r="M170" s="27">
        <v>20</v>
      </c>
      <c r="N170" s="27">
        <v>3500</v>
      </c>
      <c r="O170" s="27">
        <v>10</v>
      </c>
      <c r="P170" s="27">
        <v>63000</v>
      </c>
      <c r="Q170" s="27">
        <v>4</v>
      </c>
      <c r="R170" s="27" t="s">
        <v>65</v>
      </c>
      <c r="S170" s="27" t="s">
        <v>42</v>
      </c>
      <c r="T170" s="27" t="s">
        <v>51</v>
      </c>
      <c r="U170" s="27">
        <v>9745972422</v>
      </c>
      <c r="V170" s="27" t="s">
        <v>52</v>
      </c>
    </row>
    <row r="171" spans="1:22" ht="15" thickBot="1" x14ac:dyDescent="0.4">
      <c r="A171" s="30" t="s">
        <v>275</v>
      </c>
      <c r="B171" s="30" t="s">
        <v>23</v>
      </c>
      <c r="C171" s="30" t="s">
        <v>125</v>
      </c>
      <c r="D171" s="31">
        <v>45990</v>
      </c>
      <c r="E171" s="31">
        <v>45998</v>
      </c>
      <c r="F171" s="30" t="s">
        <v>25</v>
      </c>
      <c r="G171" s="30" t="s">
        <v>26</v>
      </c>
      <c r="H171" s="31">
        <v>35949</v>
      </c>
      <c r="I171" s="30" t="s">
        <v>48</v>
      </c>
      <c r="J171" s="30" t="s">
        <v>28</v>
      </c>
      <c r="K171" s="30" t="s">
        <v>83</v>
      </c>
      <c r="L171" s="30" t="s">
        <v>127</v>
      </c>
      <c r="M171" s="30">
        <v>2</v>
      </c>
      <c r="N171" s="30">
        <v>20</v>
      </c>
      <c r="O171" s="30">
        <v>10</v>
      </c>
      <c r="P171" s="30">
        <v>36</v>
      </c>
      <c r="Q171" s="30">
        <v>1</v>
      </c>
      <c r="R171" s="30" t="s">
        <v>41</v>
      </c>
      <c r="S171" s="30" t="s">
        <v>80</v>
      </c>
      <c r="T171" s="30" t="s">
        <v>43</v>
      </c>
      <c r="U171" s="30">
        <v>9123712257</v>
      </c>
      <c r="V171" s="30" t="s">
        <v>52</v>
      </c>
    </row>
    <row r="172" spans="1:22" ht="15" thickBot="1" x14ac:dyDescent="0.4">
      <c r="A172" s="27" t="s">
        <v>276</v>
      </c>
      <c r="B172" s="27" t="s">
        <v>72</v>
      </c>
      <c r="C172" s="27" t="s">
        <v>24</v>
      </c>
      <c r="D172" s="28">
        <v>45852</v>
      </c>
      <c r="E172" s="28">
        <v>45857</v>
      </c>
      <c r="F172" s="27" t="s">
        <v>73</v>
      </c>
      <c r="G172" s="27" t="s">
        <v>26</v>
      </c>
      <c r="H172" s="28">
        <v>35336</v>
      </c>
      <c r="I172" s="27" t="s">
        <v>79</v>
      </c>
      <c r="J172" s="27" t="s">
        <v>75</v>
      </c>
      <c r="K172" s="27" t="s">
        <v>29</v>
      </c>
      <c r="L172" s="27" t="s">
        <v>30</v>
      </c>
      <c r="M172" s="27">
        <v>16</v>
      </c>
      <c r="N172" s="27">
        <v>2200</v>
      </c>
      <c r="O172" s="27">
        <v>20</v>
      </c>
      <c r="P172" s="27">
        <v>28160</v>
      </c>
      <c r="Q172" s="27">
        <v>2</v>
      </c>
      <c r="R172" s="27" t="s">
        <v>65</v>
      </c>
      <c r="S172" s="27" t="s">
        <v>96</v>
      </c>
      <c r="T172" s="27" t="s">
        <v>93</v>
      </c>
      <c r="U172" s="27">
        <v>9665525431</v>
      </c>
      <c r="V172" s="27" t="s">
        <v>52</v>
      </c>
    </row>
    <row r="173" spans="1:22" ht="15" thickBot="1" x14ac:dyDescent="0.4">
      <c r="A173" s="30" t="s">
        <v>277</v>
      </c>
      <c r="B173" s="30" t="s">
        <v>124</v>
      </c>
      <c r="C173" s="30" t="s">
        <v>36</v>
      </c>
      <c r="D173" s="31">
        <v>45729</v>
      </c>
      <c r="E173" s="31">
        <v>45739</v>
      </c>
      <c r="F173" s="30" t="s">
        <v>126</v>
      </c>
      <c r="G173" s="30" t="s">
        <v>58</v>
      </c>
      <c r="H173" s="31">
        <v>35048</v>
      </c>
      <c r="I173" s="30" t="s">
        <v>79</v>
      </c>
      <c r="J173" s="30" t="s">
        <v>75</v>
      </c>
      <c r="K173" s="30" t="s">
        <v>39</v>
      </c>
      <c r="L173" s="30" t="s">
        <v>40</v>
      </c>
      <c r="M173" s="30">
        <v>15</v>
      </c>
      <c r="N173" s="30">
        <v>12000</v>
      </c>
      <c r="O173" s="30">
        <v>0</v>
      </c>
      <c r="P173" s="30">
        <v>180000</v>
      </c>
      <c r="Q173" s="30">
        <v>1</v>
      </c>
      <c r="R173" s="30" t="s">
        <v>60</v>
      </c>
      <c r="S173" s="30" t="s">
        <v>50</v>
      </c>
      <c r="T173" s="30" t="s">
        <v>128</v>
      </c>
      <c r="U173" s="30">
        <v>9682415134</v>
      </c>
      <c r="V173" s="30" t="s">
        <v>52</v>
      </c>
    </row>
    <row r="174" spans="1:22" ht="15" thickBot="1" x14ac:dyDescent="0.4">
      <c r="A174" s="27" t="s">
        <v>278</v>
      </c>
      <c r="B174" s="27" t="s">
        <v>23</v>
      </c>
      <c r="C174" s="27" t="s">
        <v>82</v>
      </c>
      <c r="D174" s="28">
        <v>45860</v>
      </c>
      <c r="E174" s="28">
        <v>45861</v>
      </c>
      <c r="F174" s="27" t="s">
        <v>25</v>
      </c>
      <c r="G174" s="27" t="s">
        <v>26</v>
      </c>
      <c r="H174" s="28">
        <v>27965</v>
      </c>
      <c r="I174" s="27" t="s">
        <v>37</v>
      </c>
      <c r="J174" s="27" t="s">
        <v>38</v>
      </c>
      <c r="K174" s="27" t="s">
        <v>83</v>
      </c>
      <c r="L174" s="27" t="s">
        <v>84</v>
      </c>
      <c r="M174" s="27">
        <v>14</v>
      </c>
      <c r="N174" s="27">
        <v>60</v>
      </c>
      <c r="O174" s="27">
        <v>15</v>
      </c>
      <c r="P174" s="27">
        <v>714</v>
      </c>
      <c r="Q174" s="27">
        <v>4</v>
      </c>
      <c r="R174" s="27" t="s">
        <v>65</v>
      </c>
      <c r="S174" s="27" t="s">
        <v>42</v>
      </c>
      <c r="T174" s="27" t="s">
        <v>43</v>
      </c>
      <c r="U174" s="27">
        <v>9808223872</v>
      </c>
      <c r="V174" s="21" t="s">
        <v>34</v>
      </c>
    </row>
    <row r="175" spans="1:22" ht="15" thickBot="1" x14ac:dyDescent="0.4">
      <c r="A175" s="30" t="s">
        <v>279</v>
      </c>
      <c r="B175" s="30" t="s">
        <v>45</v>
      </c>
      <c r="C175" s="30" t="s">
        <v>56</v>
      </c>
      <c r="D175" s="31">
        <v>45859</v>
      </c>
      <c r="E175" s="31">
        <v>45862</v>
      </c>
      <c r="F175" s="30" t="s">
        <v>101</v>
      </c>
      <c r="G175" s="30" t="s">
        <v>26</v>
      </c>
      <c r="H175" s="31">
        <v>30855</v>
      </c>
      <c r="I175" s="30" t="s">
        <v>27</v>
      </c>
      <c r="J175" s="30" t="s">
        <v>28</v>
      </c>
      <c r="K175" s="30" t="s">
        <v>39</v>
      </c>
      <c r="L175" s="30" t="s">
        <v>59</v>
      </c>
      <c r="M175" s="30">
        <v>9</v>
      </c>
      <c r="N175" s="30">
        <v>1200</v>
      </c>
      <c r="O175" s="30">
        <v>5</v>
      </c>
      <c r="P175" s="30">
        <v>10260</v>
      </c>
      <c r="Q175" s="30">
        <v>5</v>
      </c>
      <c r="R175" s="30" t="s">
        <v>41</v>
      </c>
      <c r="S175" s="30" t="s">
        <v>50</v>
      </c>
      <c r="T175" s="30" t="s">
        <v>51</v>
      </c>
      <c r="U175" s="30">
        <v>9193549730</v>
      </c>
      <c r="V175" s="30" t="s">
        <v>52</v>
      </c>
    </row>
    <row r="176" spans="1:22" ht="15" thickBot="1" x14ac:dyDescent="0.4">
      <c r="A176" s="27" t="s">
        <v>280</v>
      </c>
      <c r="B176" s="27" t="s">
        <v>124</v>
      </c>
      <c r="C176" s="27" t="s">
        <v>56</v>
      </c>
      <c r="D176" s="28">
        <v>45857</v>
      </c>
      <c r="E176" s="28">
        <v>45867</v>
      </c>
      <c r="F176" s="27" t="s">
        <v>126</v>
      </c>
      <c r="G176" s="27" t="s">
        <v>58</v>
      </c>
      <c r="H176" s="28">
        <v>36013</v>
      </c>
      <c r="I176" s="27" t="s">
        <v>147</v>
      </c>
      <c r="J176" s="27" t="s">
        <v>148</v>
      </c>
      <c r="K176" s="27" t="s">
        <v>39</v>
      </c>
      <c r="L176" s="27" t="s">
        <v>59</v>
      </c>
      <c r="M176" s="27">
        <v>3</v>
      </c>
      <c r="N176" s="27">
        <v>1200</v>
      </c>
      <c r="O176" s="27">
        <v>10</v>
      </c>
      <c r="P176" s="27">
        <v>3240</v>
      </c>
      <c r="Q176" s="27">
        <v>2</v>
      </c>
      <c r="R176" s="27" t="s">
        <v>60</v>
      </c>
      <c r="S176" s="27" t="s">
        <v>96</v>
      </c>
      <c r="T176" s="27" t="s">
        <v>128</v>
      </c>
      <c r="U176" s="27">
        <v>9520617130</v>
      </c>
      <c r="V176" s="27" t="s">
        <v>53</v>
      </c>
    </row>
    <row r="177" spans="1:22" ht="29.5" thickBot="1" x14ac:dyDescent="0.4">
      <c r="A177" s="30" t="s">
        <v>281</v>
      </c>
      <c r="B177" s="30" t="s">
        <v>156</v>
      </c>
      <c r="C177" s="30" t="s">
        <v>82</v>
      </c>
      <c r="D177" s="31">
        <v>45757</v>
      </c>
      <c r="E177" s="31">
        <v>45759</v>
      </c>
      <c r="F177" s="30" t="s">
        <v>106</v>
      </c>
      <c r="G177" s="30" t="s">
        <v>58</v>
      </c>
      <c r="H177" s="31">
        <v>37060</v>
      </c>
      <c r="I177" s="30" t="s">
        <v>27</v>
      </c>
      <c r="J177" s="30" t="s">
        <v>28</v>
      </c>
      <c r="K177" s="30" t="s">
        <v>83</v>
      </c>
      <c r="L177" s="30" t="s">
        <v>84</v>
      </c>
      <c r="M177" s="30">
        <v>2</v>
      </c>
      <c r="N177" s="30">
        <v>60</v>
      </c>
      <c r="O177" s="30">
        <v>10</v>
      </c>
      <c r="P177" s="30">
        <v>108</v>
      </c>
      <c r="Q177" s="30">
        <v>2</v>
      </c>
      <c r="R177" s="30" t="s">
        <v>65</v>
      </c>
      <c r="S177" s="30" t="s">
        <v>50</v>
      </c>
      <c r="T177" s="30" t="s">
        <v>158</v>
      </c>
      <c r="U177" s="30">
        <v>9264578122</v>
      </c>
      <c r="V177" s="22" t="s">
        <v>34</v>
      </c>
    </row>
    <row r="178" spans="1:22" ht="15" thickBot="1" x14ac:dyDescent="0.4">
      <c r="A178" s="27" t="s">
        <v>282</v>
      </c>
      <c r="B178" s="27" t="s">
        <v>55</v>
      </c>
      <c r="C178" s="27" t="s">
        <v>68</v>
      </c>
      <c r="D178" s="28">
        <v>46155</v>
      </c>
      <c r="E178" s="28">
        <v>46165</v>
      </c>
      <c r="F178" s="27" t="s">
        <v>57</v>
      </c>
      <c r="G178" s="27" t="s">
        <v>58</v>
      </c>
      <c r="H178" s="28">
        <v>36414</v>
      </c>
      <c r="I178" s="27" t="s">
        <v>37</v>
      </c>
      <c r="J178" s="27" t="s">
        <v>38</v>
      </c>
      <c r="K178" s="27" t="s">
        <v>29</v>
      </c>
      <c r="L178" s="27" t="s">
        <v>70</v>
      </c>
      <c r="M178" s="27">
        <v>9</v>
      </c>
      <c r="N178" s="27">
        <v>3500</v>
      </c>
      <c r="O178" s="27">
        <v>20</v>
      </c>
      <c r="P178" s="27">
        <v>25200</v>
      </c>
      <c r="Q178" s="27">
        <v>1</v>
      </c>
      <c r="R178" s="27" t="s">
        <v>41</v>
      </c>
      <c r="S178" s="27" t="s">
        <v>32</v>
      </c>
      <c r="T178" s="27" t="s">
        <v>61</v>
      </c>
      <c r="U178" s="27">
        <v>9275071213</v>
      </c>
      <c r="V178" s="21" t="s">
        <v>34</v>
      </c>
    </row>
    <row r="179" spans="1:22" ht="15" thickBot="1" x14ac:dyDescent="0.4">
      <c r="A179" s="30" t="s">
        <v>283</v>
      </c>
      <c r="B179" s="30" t="s">
        <v>124</v>
      </c>
      <c r="C179" s="30" t="s">
        <v>46</v>
      </c>
      <c r="D179" s="31">
        <v>46094</v>
      </c>
      <c r="E179" s="31">
        <v>46097</v>
      </c>
      <c r="F179" s="30" t="s">
        <v>126</v>
      </c>
      <c r="G179" s="30" t="s">
        <v>58</v>
      </c>
      <c r="H179" s="31">
        <v>35040</v>
      </c>
      <c r="I179" s="30" t="s">
        <v>121</v>
      </c>
      <c r="J179" s="30" t="s">
        <v>38</v>
      </c>
      <c r="K179" s="30" t="s">
        <v>39</v>
      </c>
      <c r="L179" s="30" t="s">
        <v>49</v>
      </c>
      <c r="M179" s="30">
        <v>4</v>
      </c>
      <c r="N179" s="30">
        <v>55000</v>
      </c>
      <c r="O179" s="30">
        <v>5</v>
      </c>
      <c r="P179" s="30">
        <v>209000</v>
      </c>
      <c r="Q179" s="30">
        <v>2</v>
      </c>
      <c r="R179" s="30" t="s">
        <v>31</v>
      </c>
      <c r="S179" s="30" t="s">
        <v>96</v>
      </c>
      <c r="T179" s="30" t="s">
        <v>128</v>
      </c>
      <c r="U179" s="30">
        <v>9715222543</v>
      </c>
      <c r="V179" s="30" t="s">
        <v>52</v>
      </c>
    </row>
    <row r="180" spans="1:22" ht="29.5" thickBot="1" x14ac:dyDescent="0.4">
      <c r="A180" s="27" t="s">
        <v>284</v>
      </c>
      <c r="B180" s="27" t="s">
        <v>156</v>
      </c>
      <c r="C180" s="27" t="s">
        <v>112</v>
      </c>
      <c r="D180" s="28">
        <v>45835</v>
      </c>
      <c r="E180" s="28">
        <v>45839</v>
      </c>
      <c r="F180" s="27" t="s">
        <v>106</v>
      </c>
      <c r="G180" s="27" t="s">
        <v>58</v>
      </c>
      <c r="H180" s="28">
        <v>36363</v>
      </c>
      <c r="I180" s="27" t="s">
        <v>37</v>
      </c>
      <c r="J180" s="27" t="s">
        <v>38</v>
      </c>
      <c r="K180" s="27" t="s">
        <v>39</v>
      </c>
      <c r="L180" s="27" t="s">
        <v>114</v>
      </c>
      <c r="M180" s="27">
        <v>11</v>
      </c>
      <c r="N180" s="27">
        <v>700</v>
      </c>
      <c r="O180" s="27">
        <v>20</v>
      </c>
      <c r="P180" s="27">
        <v>6160</v>
      </c>
      <c r="Q180" s="27">
        <v>4</v>
      </c>
      <c r="R180" s="27" t="s">
        <v>31</v>
      </c>
      <c r="S180" s="27" t="s">
        <v>96</v>
      </c>
      <c r="T180" s="27" t="s">
        <v>158</v>
      </c>
      <c r="U180" s="27">
        <v>9942010833</v>
      </c>
      <c r="V180" s="27" t="s">
        <v>53</v>
      </c>
    </row>
    <row r="181" spans="1:22" ht="15" thickBot="1" x14ac:dyDescent="0.4">
      <c r="A181" s="30" t="s">
        <v>285</v>
      </c>
      <c r="B181" s="30" t="s">
        <v>104</v>
      </c>
      <c r="C181" s="30" t="s">
        <v>56</v>
      </c>
      <c r="D181" s="31">
        <v>45980</v>
      </c>
      <c r="E181" s="31">
        <v>45990</v>
      </c>
      <c r="F181" s="30" t="s">
        <v>166</v>
      </c>
      <c r="G181" s="30" t="s">
        <v>26</v>
      </c>
      <c r="H181" s="31">
        <v>36844</v>
      </c>
      <c r="I181" s="30" t="s">
        <v>147</v>
      </c>
      <c r="J181" s="30" t="s">
        <v>148</v>
      </c>
      <c r="K181" s="30" t="s">
        <v>39</v>
      </c>
      <c r="L181" s="30" t="s">
        <v>59</v>
      </c>
      <c r="M181" s="30">
        <v>16</v>
      </c>
      <c r="N181" s="30">
        <v>1200</v>
      </c>
      <c r="O181" s="30">
        <v>5</v>
      </c>
      <c r="P181" s="30">
        <v>18240</v>
      </c>
      <c r="Q181" s="30">
        <v>1</v>
      </c>
      <c r="R181" s="30" t="s">
        <v>60</v>
      </c>
      <c r="S181" s="30" t="s">
        <v>32</v>
      </c>
      <c r="T181" s="30" t="s">
        <v>108</v>
      </c>
      <c r="U181" s="30">
        <v>9347718932</v>
      </c>
      <c r="V181" s="30" t="s">
        <v>52</v>
      </c>
    </row>
    <row r="182" spans="1:22" ht="15" thickBot="1" x14ac:dyDescent="0.4">
      <c r="A182" s="27" t="s">
        <v>286</v>
      </c>
      <c r="B182" s="27" t="s">
        <v>104</v>
      </c>
      <c r="C182" s="27" t="s">
        <v>56</v>
      </c>
      <c r="D182" s="28">
        <v>45915</v>
      </c>
      <c r="E182" s="28">
        <v>45917</v>
      </c>
      <c r="F182" s="27" t="s">
        <v>166</v>
      </c>
      <c r="G182" s="27" t="s">
        <v>26</v>
      </c>
      <c r="H182" s="28">
        <v>37461</v>
      </c>
      <c r="I182" s="27" t="s">
        <v>79</v>
      </c>
      <c r="J182" s="27" t="s">
        <v>75</v>
      </c>
      <c r="K182" s="27" t="s">
        <v>39</v>
      </c>
      <c r="L182" s="27" t="s">
        <v>59</v>
      </c>
      <c r="M182" s="27">
        <v>1</v>
      </c>
      <c r="N182" s="27">
        <v>1200</v>
      </c>
      <c r="O182" s="27">
        <v>5</v>
      </c>
      <c r="P182" s="27">
        <v>1140</v>
      </c>
      <c r="Q182" s="27">
        <v>4</v>
      </c>
      <c r="R182" s="27" t="s">
        <v>60</v>
      </c>
      <c r="S182" s="27" t="s">
        <v>32</v>
      </c>
      <c r="T182" s="27" t="s">
        <v>108</v>
      </c>
      <c r="U182" s="27">
        <v>9274808844</v>
      </c>
      <c r="V182" s="21" t="s">
        <v>34</v>
      </c>
    </row>
    <row r="183" spans="1:22" ht="29.5" thickBot="1" x14ac:dyDescent="0.4">
      <c r="A183" s="30" t="s">
        <v>287</v>
      </c>
      <c r="B183" s="30" t="s">
        <v>156</v>
      </c>
      <c r="C183" s="30" t="s">
        <v>82</v>
      </c>
      <c r="D183" s="31">
        <v>45965</v>
      </c>
      <c r="E183" s="31">
        <v>45974</v>
      </c>
      <c r="F183" s="30" t="s">
        <v>106</v>
      </c>
      <c r="G183" s="30" t="s">
        <v>58</v>
      </c>
      <c r="H183" s="31">
        <v>37312</v>
      </c>
      <c r="I183" s="30" t="s">
        <v>121</v>
      </c>
      <c r="J183" s="30" t="s">
        <v>38</v>
      </c>
      <c r="K183" s="30" t="s">
        <v>83</v>
      </c>
      <c r="L183" s="30" t="s">
        <v>84</v>
      </c>
      <c r="M183" s="30">
        <v>7</v>
      </c>
      <c r="N183" s="30">
        <v>60</v>
      </c>
      <c r="O183" s="30">
        <v>0</v>
      </c>
      <c r="P183" s="30">
        <v>420</v>
      </c>
      <c r="Q183" s="30">
        <v>2</v>
      </c>
      <c r="R183" s="30" t="s">
        <v>65</v>
      </c>
      <c r="S183" s="30" t="s">
        <v>96</v>
      </c>
      <c r="T183" s="30" t="s">
        <v>158</v>
      </c>
      <c r="U183" s="30">
        <v>9798996063</v>
      </c>
      <c r="V183" s="22" t="s">
        <v>34</v>
      </c>
    </row>
    <row r="184" spans="1:22" ht="15" thickBot="1" x14ac:dyDescent="0.4">
      <c r="A184" s="27" t="s">
        <v>288</v>
      </c>
      <c r="B184" s="27" t="s">
        <v>104</v>
      </c>
      <c r="C184" s="27" t="s">
        <v>24</v>
      </c>
      <c r="D184" s="28">
        <v>45660</v>
      </c>
      <c r="E184" s="28">
        <v>45664</v>
      </c>
      <c r="F184" s="27" t="s">
        <v>166</v>
      </c>
      <c r="G184" s="27" t="s">
        <v>26</v>
      </c>
      <c r="H184" s="28">
        <v>29418</v>
      </c>
      <c r="I184" s="27" t="s">
        <v>79</v>
      </c>
      <c r="J184" s="27" t="s">
        <v>75</v>
      </c>
      <c r="K184" s="27" t="s">
        <v>29</v>
      </c>
      <c r="L184" s="27" t="s">
        <v>30</v>
      </c>
      <c r="M184" s="27">
        <v>14</v>
      </c>
      <c r="N184" s="27">
        <v>2200</v>
      </c>
      <c r="O184" s="27">
        <v>0</v>
      </c>
      <c r="P184" s="27">
        <v>30800</v>
      </c>
      <c r="Q184" s="27">
        <v>2</v>
      </c>
      <c r="R184" s="27" t="s">
        <v>65</v>
      </c>
      <c r="S184" s="27" t="s">
        <v>32</v>
      </c>
      <c r="T184" s="27" t="s">
        <v>108</v>
      </c>
      <c r="U184" s="27">
        <v>9145200936</v>
      </c>
      <c r="V184" s="27" t="s">
        <v>53</v>
      </c>
    </row>
    <row r="185" spans="1:22" ht="15" thickBot="1" x14ac:dyDescent="0.4">
      <c r="A185" s="30" t="s">
        <v>289</v>
      </c>
      <c r="B185" s="30" t="s">
        <v>104</v>
      </c>
      <c r="C185" s="30" t="s">
        <v>68</v>
      </c>
      <c r="D185" s="31">
        <v>45827</v>
      </c>
      <c r="E185" s="31">
        <v>45835</v>
      </c>
      <c r="F185" s="30" t="s">
        <v>166</v>
      </c>
      <c r="G185" s="30" t="s">
        <v>26</v>
      </c>
      <c r="H185" s="31">
        <v>35210</v>
      </c>
      <c r="I185" s="30" t="s">
        <v>91</v>
      </c>
      <c r="J185" s="30" t="s">
        <v>75</v>
      </c>
      <c r="K185" s="30" t="s">
        <v>29</v>
      </c>
      <c r="L185" s="30" t="s">
        <v>70</v>
      </c>
      <c r="M185" s="30">
        <v>15</v>
      </c>
      <c r="N185" s="30">
        <v>3500</v>
      </c>
      <c r="O185" s="30">
        <v>15</v>
      </c>
      <c r="P185" s="30">
        <v>44625</v>
      </c>
      <c r="Q185" s="30">
        <v>2</v>
      </c>
      <c r="R185" s="30" t="s">
        <v>65</v>
      </c>
      <c r="S185" s="30" t="s">
        <v>50</v>
      </c>
      <c r="T185" s="30" t="s">
        <v>108</v>
      </c>
      <c r="U185" s="30">
        <v>9697654418</v>
      </c>
      <c r="V185" s="30" t="s">
        <v>52</v>
      </c>
    </row>
    <row r="186" spans="1:22" ht="15" thickBot="1" x14ac:dyDescent="0.4">
      <c r="A186" s="27" t="s">
        <v>290</v>
      </c>
      <c r="B186" s="27" t="s">
        <v>87</v>
      </c>
      <c r="C186" s="27" t="s">
        <v>68</v>
      </c>
      <c r="D186" s="28">
        <v>45742</v>
      </c>
      <c r="E186" s="28">
        <v>45753</v>
      </c>
      <c r="F186" s="27" t="s">
        <v>88</v>
      </c>
      <c r="G186" s="27" t="s">
        <v>58</v>
      </c>
      <c r="H186" s="28">
        <v>31543</v>
      </c>
      <c r="I186" s="27" t="s">
        <v>147</v>
      </c>
      <c r="J186" s="27" t="s">
        <v>148</v>
      </c>
      <c r="K186" s="27" t="s">
        <v>29</v>
      </c>
      <c r="L186" s="27" t="s">
        <v>70</v>
      </c>
      <c r="M186" s="27">
        <v>19</v>
      </c>
      <c r="N186" s="27">
        <v>3500</v>
      </c>
      <c r="O186" s="27">
        <v>5</v>
      </c>
      <c r="P186" s="27">
        <v>63175</v>
      </c>
      <c r="Q186" s="27">
        <v>2</v>
      </c>
      <c r="R186" s="27" t="s">
        <v>31</v>
      </c>
      <c r="S186" s="27" t="s">
        <v>80</v>
      </c>
      <c r="T186" s="27" t="s">
        <v>89</v>
      </c>
      <c r="U186" s="27">
        <v>9457923119</v>
      </c>
      <c r="V186" s="27" t="s">
        <v>53</v>
      </c>
    </row>
    <row r="187" spans="1:22" ht="29.5" thickBot="1" x14ac:dyDescent="0.4">
      <c r="A187" s="30" t="s">
        <v>291</v>
      </c>
      <c r="B187" s="30" t="s">
        <v>156</v>
      </c>
      <c r="C187" s="30" t="s">
        <v>46</v>
      </c>
      <c r="D187" s="31">
        <v>45844</v>
      </c>
      <c r="E187" s="31">
        <v>45848</v>
      </c>
      <c r="F187" s="30" t="s">
        <v>106</v>
      </c>
      <c r="G187" s="30" t="s">
        <v>58</v>
      </c>
      <c r="H187" s="31">
        <v>32653</v>
      </c>
      <c r="I187" s="30" t="s">
        <v>48</v>
      </c>
      <c r="J187" s="30" t="s">
        <v>28</v>
      </c>
      <c r="K187" s="30" t="s">
        <v>39</v>
      </c>
      <c r="L187" s="30" t="s">
        <v>49</v>
      </c>
      <c r="M187" s="30">
        <v>12</v>
      </c>
      <c r="N187" s="30">
        <v>55000</v>
      </c>
      <c r="O187" s="30">
        <v>5</v>
      </c>
      <c r="P187" s="30">
        <v>627000</v>
      </c>
      <c r="Q187" s="30">
        <v>4</v>
      </c>
      <c r="R187" s="30" t="s">
        <v>60</v>
      </c>
      <c r="S187" s="30" t="s">
        <v>50</v>
      </c>
      <c r="T187" s="30" t="s">
        <v>158</v>
      </c>
      <c r="U187" s="30">
        <v>9236111271</v>
      </c>
      <c r="V187" s="30" t="s">
        <v>53</v>
      </c>
    </row>
    <row r="188" spans="1:22" ht="15" thickBot="1" x14ac:dyDescent="0.4">
      <c r="A188" s="27" t="s">
        <v>292</v>
      </c>
      <c r="B188" s="27" t="s">
        <v>45</v>
      </c>
      <c r="C188" s="27" t="s">
        <v>56</v>
      </c>
      <c r="D188" s="28">
        <v>46040</v>
      </c>
      <c r="E188" s="28">
        <v>46048</v>
      </c>
      <c r="F188" s="27" t="s">
        <v>101</v>
      </c>
      <c r="G188" s="27" t="s">
        <v>26</v>
      </c>
      <c r="H188" s="28">
        <v>32745</v>
      </c>
      <c r="I188" s="27" t="s">
        <v>74</v>
      </c>
      <c r="J188" s="27" t="s">
        <v>75</v>
      </c>
      <c r="K188" s="27" t="s">
        <v>39</v>
      </c>
      <c r="L188" s="27" t="s">
        <v>59</v>
      </c>
      <c r="M188" s="27">
        <v>6</v>
      </c>
      <c r="N188" s="27">
        <v>1200</v>
      </c>
      <c r="O188" s="27">
        <v>10</v>
      </c>
      <c r="P188" s="27">
        <v>6480</v>
      </c>
      <c r="Q188" s="27">
        <v>5</v>
      </c>
      <c r="R188" s="27" t="s">
        <v>41</v>
      </c>
      <c r="S188" s="27" t="s">
        <v>80</v>
      </c>
      <c r="T188" s="27" t="s">
        <v>51</v>
      </c>
      <c r="U188" s="27">
        <v>9402569141</v>
      </c>
      <c r="V188" s="27" t="s">
        <v>53</v>
      </c>
    </row>
    <row r="189" spans="1:22" ht="15" thickBot="1" x14ac:dyDescent="0.4">
      <c r="A189" s="30" t="s">
        <v>293</v>
      </c>
      <c r="B189" s="30" t="s">
        <v>134</v>
      </c>
      <c r="C189" s="30" t="s">
        <v>105</v>
      </c>
      <c r="D189" s="31">
        <v>45919</v>
      </c>
      <c r="E189" s="31">
        <v>45920</v>
      </c>
      <c r="F189" s="30" t="s">
        <v>135</v>
      </c>
      <c r="G189" s="30" t="s">
        <v>26</v>
      </c>
      <c r="H189" s="31">
        <v>35570</v>
      </c>
      <c r="I189" s="30" t="s">
        <v>27</v>
      </c>
      <c r="J189" s="30" t="s">
        <v>28</v>
      </c>
      <c r="K189" s="30" t="s">
        <v>29</v>
      </c>
      <c r="L189" s="30" t="s">
        <v>107</v>
      </c>
      <c r="M189" s="30">
        <v>1</v>
      </c>
      <c r="N189" s="30">
        <v>8500</v>
      </c>
      <c r="O189" s="30">
        <v>0</v>
      </c>
      <c r="P189" s="30">
        <v>8500</v>
      </c>
      <c r="Q189" s="30">
        <v>1</v>
      </c>
      <c r="R189" s="30" t="s">
        <v>65</v>
      </c>
      <c r="S189" s="30" t="s">
        <v>96</v>
      </c>
      <c r="T189" s="30" t="s">
        <v>136</v>
      </c>
      <c r="U189" s="30">
        <v>9138184056</v>
      </c>
      <c r="V189" s="30" t="s">
        <v>53</v>
      </c>
    </row>
    <row r="190" spans="1:22" ht="15" thickBot="1" x14ac:dyDescent="0.4">
      <c r="A190" s="27" t="s">
        <v>294</v>
      </c>
      <c r="B190" s="27" t="s">
        <v>87</v>
      </c>
      <c r="C190" s="27" t="s">
        <v>46</v>
      </c>
      <c r="D190" s="28">
        <v>46113</v>
      </c>
      <c r="E190" s="28">
        <v>46119</v>
      </c>
      <c r="F190" s="27" t="s">
        <v>88</v>
      </c>
      <c r="G190" s="27" t="s">
        <v>58</v>
      </c>
      <c r="H190" s="28">
        <v>31900</v>
      </c>
      <c r="I190" s="27" t="s">
        <v>91</v>
      </c>
      <c r="J190" s="27" t="s">
        <v>75</v>
      </c>
      <c r="K190" s="27" t="s">
        <v>39</v>
      </c>
      <c r="L190" s="27" t="s">
        <v>49</v>
      </c>
      <c r="M190" s="27">
        <v>20</v>
      </c>
      <c r="N190" s="27">
        <v>55000</v>
      </c>
      <c r="O190" s="27">
        <v>10</v>
      </c>
      <c r="P190" s="27">
        <v>990000</v>
      </c>
      <c r="Q190" s="27">
        <v>5</v>
      </c>
      <c r="R190" s="27" t="s">
        <v>41</v>
      </c>
      <c r="S190" s="27" t="s">
        <v>96</v>
      </c>
      <c r="T190" s="27" t="s">
        <v>89</v>
      </c>
      <c r="U190" s="27">
        <v>9609598700</v>
      </c>
      <c r="V190" s="21" t="s">
        <v>34</v>
      </c>
    </row>
    <row r="191" spans="1:22" ht="15" thickBot="1" x14ac:dyDescent="0.4">
      <c r="A191" s="30" t="s">
        <v>295</v>
      </c>
      <c r="B191" s="30" t="s">
        <v>124</v>
      </c>
      <c r="C191" s="30" t="s">
        <v>56</v>
      </c>
      <c r="D191" s="31">
        <v>45958</v>
      </c>
      <c r="E191" s="31">
        <v>45959</v>
      </c>
      <c r="F191" s="30" t="s">
        <v>126</v>
      </c>
      <c r="G191" s="30" t="s">
        <v>58</v>
      </c>
      <c r="H191" s="31">
        <v>37592</v>
      </c>
      <c r="I191" s="30" t="s">
        <v>91</v>
      </c>
      <c r="J191" s="30" t="s">
        <v>75</v>
      </c>
      <c r="K191" s="30" t="s">
        <v>39</v>
      </c>
      <c r="L191" s="30" t="s">
        <v>59</v>
      </c>
      <c r="M191" s="30">
        <v>8</v>
      </c>
      <c r="N191" s="30">
        <v>1200</v>
      </c>
      <c r="O191" s="30">
        <v>15</v>
      </c>
      <c r="P191" s="30">
        <v>8160</v>
      </c>
      <c r="Q191" s="30">
        <v>2</v>
      </c>
      <c r="R191" s="30" t="s">
        <v>65</v>
      </c>
      <c r="S191" s="30" t="s">
        <v>80</v>
      </c>
      <c r="T191" s="30" t="s">
        <v>128</v>
      </c>
      <c r="U191" s="30">
        <v>9385894399</v>
      </c>
      <c r="V191" s="30" t="s">
        <v>53</v>
      </c>
    </row>
    <row r="192" spans="1:22" ht="15" thickBot="1" x14ac:dyDescent="0.4">
      <c r="A192" s="27" t="s">
        <v>296</v>
      </c>
      <c r="B192" s="27" t="s">
        <v>23</v>
      </c>
      <c r="C192" s="27" t="s">
        <v>68</v>
      </c>
      <c r="D192" s="28">
        <v>45694</v>
      </c>
      <c r="E192" s="28">
        <v>45705</v>
      </c>
      <c r="F192" s="27" t="s">
        <v>25</v>
      </c>
      <c r="G192" s="27" t="s">
        <v>26</v>
      </c>
      <c r="H192" s="28">
        <v>31557</v>
      </c>
      <c r="I192" s="27" t="s">
        <v>121</v>
      </c>
      <c r="J192" s="27" t="s">
        <v>38</v>
      </c>
      <c r="K192" s="27" t="s">
        <v>29</v>
      </c>
      <c r="L192" s="27" t="s">
        <v>70</v>
      </c>
      <c r="M192" s="27">
        <v>19</v>
      </c>
      <c r="N192" s="27">
        <v>3500</v>
      </c>
      <c r="O192" s="27">
        <v>5</v>
      </c>
      <c r="P192" s="27">
        <v>63175</v>
      </c>
      <c r="Q192" s="27">
        <v>4</v>
      </c>
      <c r="R192" s="27" t="s">
        <v>65</v>
      </c>
      <c r="S192" s="27" t="s">
        <v>42</v>
      </c>
      <c r="T192" s="27" t="s">
        <v>43</v>
      </c>
      <c r="U192" s="27">
        <v>9329448011</v>
      </c>
      <c r="V192" s="27" t="s">
        <v>52</v>
      </c>
    </row>
    <row r="193" spans="1:22" ht="15" thickBot="1" x14ac:dyDescent="0.4">
      <c r="A193" s="30" t="s">
        <v>297</v>
      </c>
      <c r="B193" s="30" t="s">
        <v>124</v>
      </c>
      <c r="C193" s="30" t="s">
        <v>138</v>
      </c>
      <c r="D193" s="31">
        <v>45774</v>
      </c>
      <c r="E193" s="31">
        <v>45776</v>
      </c>
      <c r="F193" s="30" t="s">
        <v>126</v>
      </c>
      <c r="G193" s="30" t="s">
        <v>58</v>
      </c>
      <c r="H193" s="31">
        <v>31465</v>
      </c>
      <c r="I193" s="30" t="s">
        <v>121</v>
      </c>
      <c r="J193" s="30" t="s">
        <v>38</v>
      </c>
      <c r="K193" s="30" t="s">
        <v>83</v>
      </c>
      <c r="L193" s="30" t="s">
        <v>139</v>
      </c>
      <c r="M193" s="30">
        <v>6</v>
      </c>
      <c r="N193" s="30">
        <v>45</v>
      </c>
      <c r="O193" s="30">
        <v>20</v>
      </c>
      <c r="P193" s="30">
        <v>216</v>
      </c>
      <c r="Q193" s="30">
        <v>1</v>
      </c>
      <c r="R193" s="30" t="s">
        <v>60</v>
      </c>
      <c r="S193" s="30" t="s">
        <v>42</v>
      </c>
      <c r="T193" s="30" t="s">
        <v>298</v>
      </c>
      <c r="U193" s="30">
        <v>9889544104</v>
      </c>
      <c r="V193" s="30" t="s">
        <v>52</v>
      </c>
    </row>
    <row r="194" spans="1:22" ht="15" thickBot="1" x14ac:dyDescent="0.4">
      <c r="A194" s="27" t="s">
        <v>299</v>
      </c>
      <c r="B194" s="27" t="s">
        <v>134</v>
      </c>
      <c r="C194" s="27" t="s">
        <v>138</v>
      </c>
      <c r="D194" s="28">
        <v>45730</v>
      </c>
      <c r="E194" s="28">
        <v>45741</v>
      </c>
      <c r="F194" s="27" t="s">
        <v>135</v>
      </c>
      <c r="G194" s="27" t="s">
        <v>26</v>
      </c>
      <c r="H194" s="28">
        <v>32240</v>
      </c>
      <c r="I194" s="27" t="s">
        <v>79</v>
      </c>
      <c r="J194" s="27" t="s">
        <v>75</v>
      </c>
      <c r="K194" s="27" t="s">
        <v>83</v>
      </c>
      <c r="L194" s="27" t="s">
        <v>139</v>
      </c>
      <c r="M194" s="27">
        <v>17</v>
      </c>
      <c r="N194" s="27">
        <v>45</v>
      </c>
      <c r="O194" s="27">
        <v>15</v>
      </c>
      <c r="P194" s="27">
        <v>650.25</v>
      </c>
      <c r="Q194" s="27">
        <v>5</v>
      </c>
      <c r="R194" s="27" t="s">
        <v>31</v>
      </c>
      <c r="S194" s="27" t="s">
        <v>80</v>
      </c>
      <c r="T194" s="27" t="s">
        <v>136</v>
      </c>
      <c r="U194" s="27">
        <v>9101861045</v>
      </c>
      <c r="V194" s="27" t="s">
        <v>52</v>
      </c>
    </row>
    <row r="195" spans="1:22" ht="15" thickBot="1" x14ac:dyDescent="0.4">
      <c r="A195" s="30" t="s">
        <v>300</v>
      </c>
      <c r="B195" s="30" t="s">
        <v>23</v>
      </c>
      <c r="C195" s="30" t="s">
        <v>125</v>
      </c>
      <c r="D195" s="31">
        <v>45842</v>
      </c>
      <c r="E195" s="31">
        <v>45854</v>
      </c>
      <c r="F195" s="30" t="s">
        <v>25</v>
      </c>
      <c r="G195" s="30" t="s">
        <v>26</v>
      </c>
      <c r="H195" s="31">
        <v>34147</v>
      </c>
      <c r="I195" s="30" t="s">
        <v>79</v>
      </c>
      <c r="J195" s="30" t="s">
        <v>75</v>
      </c>
      <c r="K195" s="30" t="s">
        <v>83</v>
      </c>
      <c r="L195" s="30" t="s">
        <v>127</v>
      </c>
      <c r="M195" s="30">
        <v>19</v>
      </c>
      <c r="N195" s="30">
        <v>20</v>
      </c>
      <c r="O195" s="30">
        <v>5</v>
      </c>
      <c r="P195" s="30">
        <v>361</v>
      </c>
      <c r="Q195" s="30">
        <v>4</v>
      </c>
      <c r="R195" s="30" t="s">
        <v>31</v>
      </c>
      <c r="S195" s="30" t="s">
        <v>32</v>
      </c>
      <c r="T195" s="30" t="s">
        <v>43</v>
      </c>
      <c r="U195" s="30">
        <v>9364712105</v>
      </c>
      <c r="V195" s="30" t="s">
        <v>52</v>
      </c>
    </row>
    <row r="196" spans="1:22" ht="15" thickBot="1" x14ac:dyDescent="0.4">
      <c r="A196" s="27" t="s">
        <v>301</v>
      </c>
      <c r="B196" s="27" t="s">
        <v>134</v>
      </c>
      <c r="C196" s="27" t="s">
        <v>125</v>
      </c>
      <c r="D196" s="28">
        <v>45993</v>
      </c>
      <c r="E196" s="28">
        <v>45994</v>
      </c>
      <c r="F196" s="27" t="s">
        <v>135</v>
      </c>
      <c r="G196" s="27" t="s">
        <v>26</v>
      </c>
      <c r="H196" s="28">
        <v>38156</v>
      </c>
      <c r="I196" s="27" t="s">
        <v>91</v>
      </c>
      <c r="J196" s="27" t="s">
        <v>75</v>
      </c>
      <c r="K196" s="27" t="s">
        <v>83</v>
      </c>
      <c r="L196" s="27" t="s">
        <v>127</v>
      </c>
      <c r="M196" s="27">
        <v>11</v>
      </c>
      <c r="N196" s="27">
        <v>20</v>
      </c>
      <c r="O196" s="27">
        <v>0</v>
      </c>
      <c r="P196" s="27">
        <v>220</v>
      </c>
      <c r="Q196" s="27">
        <v>3</v>
      </c>
      <c r="R196" s="27" t="s">
        <v>41</v>
      </c>
      <c r="S196" s="27" t="s">
        <v>42</v>
      </c>
      <c r="T196" s="27" t="s">
        <v>136</v>
      </c>
      <c r="U196" s="27">
        <v>9950206376</v>
      </c>
      <c r="V196" s="21" t="s">
        <v>34</v>
      </c>
    </row>
    <row r="197" spans="1:22" ht="15" thickBot="1" x14ac:dyDescent="0.4">
      <c r="A197" s="30" t="s">
        <v>302</v>
      </c>
      <c r="B197" s="30" t="s">
        <v>104</v>
      </c>
      <c r="C197" s="30" t="s">
        <v>82</v>
      </c>
      <c r="D197" s="31">
        <v>46067</v>
      </c>
      <c r="E197" s="31">
        <v>46074</v>
      </c>
      <c r="F197" s="30" t="s">
        <v>166</v>
      </c>
      <c r="G197" s="30" t="s">
        <v>26</v>
      </c>
      <c r="H197" s="31">
        <v>34221</v>
      </c>
      <c r="I197" s="30" t="s">
        <v>37</v>
      </c>
      <c r="J197" s="30" t="s">
        <v>38</v>
      </c>
      <c r="K197" s="30" t="s">
        <v>83</v>
      </c>
      <c r="L197" s="30" t="s">
        <v>84</v>
      </c>
      <c r="M197" s="30">
        <v>12</v>
      </c>
      <c r="N197" s="30">
        <v>60</v>
      </c>
      <c r="O197" s="30">
        <v>0</v>
      </c>
      <c r="P197" s="30">
        <v>720</v>
      </c>
      <c r="Q197" s="30">
        <v>2</v>
      </c>
      <c r="R197" s="30" t="s">
        <v>41</v>
      </c>
      <c r="S197" s="30" t="s">
        <v>42</v>
      </c>
      <c r="T197" s="30" t="s">
        <v>108</v>
      </c>
      <c r="U197" s="30">
        <v>9235822094</v>
      </c>
      <c r="V197" s="22" t="s">
        <v>34</v>
      </c>
    </row>
    <row r="198" spans="1:22" ht="15" thickBot="1" x14ac:dyDescent="0.4">
      <c r="A198" s="27" t="s">
        <v>303</v>
      </c>
      <c r="B198" s="27" t="s">
        <v>124</v>
      </c>
      <c r="C198" s="27" t="s">
        <v>138</v>
      </c>
      <c r="D198" s="28">
        <v>45970</v>
      </c>
      <c r="E198" s="28">
        <v>45974</v>
      </c>
      <c r="F198" s="27" t="s">
        <v>73</v>
      </c>
      <c r="G198" s="27" t="s">
        <v>58</v>
      </c>
      <c r="H198" s="28">
        <v>37147</v>
      </c>
      <c r="I198" s="27" t="s">
        <v>147</v>
      </c>
      <c r="J198" s="27" t="s">
        <v>148</v>
      </c>
      <c r="K198" s="27" t="s">
        <v>83</v>
      </c>
      <c r="L198" s="27" t="s">
        <v>139</v>
      </c>
      <c r="M198" s="27">
        <v>14</v>
      </c>
      <c r="N198" s="27">
        <v>45</v>
      </c>
      <c r="O198" s="27">
        <v>15</v>
      </c>
      <c r="P198" s="27">
        <v>535.5</v>
      </c>
      <c r="Q198" s="27">
        <v>5</v>
      </c>
      <c r="R198" s="27" t="s">
        <v>65</v>
      </c>
      <c r="S198" s="27" t="s">
        <v>80</v>
      </c>
      <c r="T198" s="27" t="s">
        <v>128</v>
      </c>
      <c r="U198" s="27">
        <v>9311021344</v>
      </c>
      <c r="V198" s="27" t="s">
        <v>52</v>
      </c>
    </row>
    <row r="199" spans="1:22" ht="15" thickBot="1" x14ac:dyDescent="0.4">
      <c r="A199" s="30" t="s">
        <v>304</v>
      </c>
      <c r="B199" s="30" t="s">
        <v>23</v>
      </c>
      <c r="C199" s="30" t="s">
        <v>112</v>
      </c>
      <c r="D199" s="31">
        <v>45695</v>
      </c>
      <c r="E199" s="31">
        <v>45707</v>
      </c>
      <c r="F199" s="30" t="s">
        <v>25</v>
      </c>
      <c r="G199" s="30" t="s">
        <v>26</v>
      </c>
      <c r="H199" s="31">
        <v>29905</v>
      </c>
      <c r="I199" s="30" t="s">
        <v>27</v>
      </c>
      <c r="J199" s="30" t="s">
        <v>28</v>
      </c>
      <c r="K199" s="30" t="s">
        <v>39</v>
      </c>
      <c r="L199" s="30" t="s">
        <v>114</v>
      </c>
      <c r="M199" s="30">
        <v>15</v>
      </c>
      <c r="N199" s="30">
        <v>700</v>
      </c>
      <c r="O199" s="30">
        <v>10</v>
      </c>
      <c r="P199" s="30">
        <v>9450</v>
      </c>
      <c r="Q199" s="30">
        <v>3</v>
      </c>
      <c r="R199" s="30" t="s">
        <v>41</v>
      </c>
      <c r="S199" s="30" t="s">
        <v>42</v>
      </c>
      <c r="T199" s="30" t="s">
        <v>43</v>
      </c>
      <c r="U199" s="30">
        <v>9891358505</v>
      </c>
      <c r="V199" s="30" t="s">
        <v>52</v>
      </c>
    </row>
    <row r="200" spans="1:22" ht="15" thickBot="1" x14ac:dyDescent="0.4">
      <c r="A200" s="27" t="s">
        <v>305</v>
      </c>
      <c r="B200" s="27" t="s">
        <v>72</v>
      </c>
      <c r="C200" s="27" t="s">
        <v>105</v>
      </c>
      <c r="D200" s="28">
        <v>45803</v>
      </c>
      <c r="E200" s="28">
        <v>45807</v>
      </c>
      <c r="F200" s="27" t="s">
        <v>73</v>
      </c>
      <c r="G200" s="27" t="s">
        <v>26</v>
      </c>
      <c r="H200" s="28">
        <v>29476</v>
      </c>
      <c r="I200" s="27" t="s">
        <v>91</v>
      </c>
      <c r="J200" s="27" t="s">
        <v>75</v>
      </c>
      <c r="K200" s="27" t="s">
        <v>29</v>
      </c>
      <c r="L200" s="27" t="s">
        <v>107</v>
      </c>
      <c r="M200" s="27">
        <v>19</v>
      </c>
      <c r="N200" s="27">
        <v>8500</v>
      </c>
      <c r="O200" s="27">
        <v>15</v>
      </c>
      <c r="P200" s="27">
        <v>137275</v>
      </c>
      <c r="Q200" s="27">
        <v>2</v>
      </c>
      <c r="R200" s="27" t="s">
        <v>31</v>
      </c>
      <c r="S200" s="27" t="s">
        <v>32</v>
      </c>
      <c r="T200" s="27" t="s">
        <v>93</v>
      </c>
      <c r="U200" s="27">
        <v>9910085332</v>
      </c>
      <c r="V200" s="27" t="s">
        <v>53</v>
      </c>
    </row>
    <row r="201" spans="1:22" ht="15" thickBot="1" x14ac:dyDescent="0.4">
      <c r="A201" s="30" t="s">
        <v>306</v>
      </c>
      <c r="B201" s="30" t="s">
        <v>134</v>
      </c>
      <c r="C201" s="30" t="s">
        <v>82</v>
      </c>
      <c r="D201" s="31">
        <v>45934</v>
      </c>
      <c r="E201" s="31">
        <v>45936</v>
      </c>
      <c r="F201" s="30" t="s">
        <v>135</v>
      </c>
      <c r="G201" s="30" t="s">
        <v>26</v>
      </c>
      <c r="H201" s="31">
        <v>32240</v>
      </c>
      <c r="I201" s="30" t="s">
        <v>121</v>
      </c>
      <c r="J201" s="30" t="s">
        <v>38</v>
      </c>
      <c r="K201" s="30" t="s">
        <v>83</v>
      </c>
      <c r="L201" s="30" t="s">
        <v>84</v>
      </c>
      <c r="M201" s="30">
        <v>19</v>
      </c>
      <c r="N201" s="30">
        <v>60</v>
      </c>
      <c r="O201" s="30">
        <v>20</v>
      </c>
      <c r="P201" s="30">
        <v>912</v>
      </c>
      <c r="Q201" s="30">
        <v>4</v>
      </c>
      <c r="R201" s="30" t="s">
        <v>60</v>
      </c>
      <c r="S201" s="30" t="s">
        <v>42</v>
      </c>
      <c r="T201" s="30" t="s">
        <v>136</v>
      </c>
      <c r="U201" s="30">
        <v>9756908023</v>
      </c>
      <c r="V201" s="30" t="s">
        <v>52</v>
      </c>
    </row>
    <row r="202" spans="1:22" ht="15" thickBot="1" x14ac:dyDescent="0.4">
      <c r="A202" s="27" t="s">
        <v>307</v>
      </c>
      <c r="B202" s="27" t="s">
        <v>72</v>
      </c>
      <c r="C202" s="27" t="s">
        <v>138</v>
      </c>
      <c r="D202" s="28">
        <v>45792</v>
      </c>
      <c r="E202" s="28">
        <v>45803</v>
      </c>
      <c r="F202" s="27" t="s">
        <v>73</v>
      </c>
      <c r="G202" s="27" t="s">
        <v>26</v>
      </c>
      <c r="H202" s="28">
        <v>32192</v>
      </c>
      <c r="I202" s="27" t="s">
        <v>48</v>
      </c>
      <c r="J202" s="27" t="s">
        <v>28</v>
      </c>
      <c r="K202" s="27" t="s">
        <v>83</v>
      </c>
      <c r="L202" s="27" t="s">
        <v>139</v>
      </c>
      <c r="M202" s="27">
        <v>10</v>
      </c>
      <c r="N202" s="27">
        <v>45</v>
      </c>
      <c r="O202" s="27">
        <v>15</v>
      </c>
      <c r="P202" s="27">
        <v>382.5</v>
      </c>
      <c r="Q202" s="27">
        <v>4</v>
      </c>
      <c r="R202" s="27" t="s">
        <v>31</v>
      </c>
      <c r="S202" s="27" t="s">
        <v>96</v>
      </c>
      <c r="T202" s="27" t="s">
        <v>93</v>
      </c>
      <c r="U202" s="27">
        <v>9645913247</v>
      </c>
      <c r="V202" s="21" t="s">
        <v>34</v>
      </c>
    </row>
    <row r="203" spans="1:22" ht="15" thickBot="1" x14ac:dyDescent="0.4">
      <c r="A203" s="30" t="s">
        <v>308</v>
      </c>
      <c r="B203" s="30" t="s">
        <v>55</v>
      </c>
      <c r="C203" s="30" t="s">
        <v>24</v>
      </c>
      <c r="D203" s="31">
        <v>45822</v>
      </c>
      <c r="E203" s="31">
        <v>45831</v>
      </c>
      <c r="F203" s="30" t="s">
        <v>57</v>
      </c>
      <c r="G203" s="30" t="s">
        <v>58</v>
      </c>
      <c r="H203" s="31">
        <v>29923</v>
      </c>
      <c r="I203" s="30" t="s">
        <v>37</v>
      </c>
      <c r="J203" s="30" t="s">
        <v>38</v>
      </c>
      <c r="K203" s="30" t="s">
        <v>29</v>
      </c>
      <c r="L203" s="30" t="s">
        <v>30</v>
      </c>
      <c r="M203" s="30">
        <v>7</v>
      </c>
      <c r="N203" s="30">
        <v>2200</v>
      </c>
      <c r="O203" s="30">
        <v>20</v>
      </c>
      <c r="P203" s="30">
        <v>12320</v>
      </c>
      <c r="Q203" s="30">
        <v>5</v>
      </c>
      <c r="R203" s="30" t="s">
        <v>65</v>
      </c>
      <c r="S203" s="30" t="s">
        <v>42</v>
      </c>
      <c r="T203" s="30" t="s">
        <v>61</v>
      </c>
      <c r="U203" s="30">
        <v>9806914795</v>
      </c>
      <c r="V203" s="30" t="s">
        <v>52</v>
      </c>
    </row>
    <row r="204" spans="1:22" ht="15" thickBot="1" x14ac:dyDescent="0.4">
      <c r="A204" s="27" t="s">
        <v>309</v>
      </c>
      <c r="B204" s="27" t="s">
        <v>72</v>
      </c>
      <c r="C204" s="27" t="s">
        <v>105</v>
      </c>
      <c r="D204" s="28">
        <v>45769</v>
      </c>
      <c r="E204" s="28">
        <v>45781</v>
      </c>
      <c r="F204" s="27" t="s">
        <v>73</v>
      </c>
      <c r="G204" s="27" t="s">
        <v>26</v>
      </c>
      <c r="H204" s="28">
        <v>30723</v>
      </c>
      <c r="I204" s="27" t="s">
        <v>147</v>
      </c>
      <c r="J204" s="27" t="s">
        <v>148</v>
      </c>
      <c r="K204" s="27" t="s">
        <v>29</v>
      </c>
      <c r="L204" s="27" t="s">
        <v>107</v>
      </c>
      <c r="M204" s="27">
        <v>20</v>
      </c>
      <c r="N204" s="27">
        <v>8500</v>
      </c>
      <c r="O204" s="27">
        <v>20</v>
      </c>
      <c r="P204" s="27">
        <v>136000</v>
      </c>
      <c r="Q204" s="27">
        <v>4</v>
      </c>
      <c r="R204" s="27" t="s">
        <v>41</v>
      </c>
      <c r="S204" s="27" t="s">
        <v>32</v>
      </c>
      <c r="T204" s="27" t="s">
        <v>93</v>
      </c>
      <c r="U204" s="27">
        <v>9276222829</v>
      </c>
      <c r="V204" s="21" t="s">
        <v>34</v>
      </c>
    </row>
    <row r="205" spans="1:22" ht="15" thickBot="1" x14ac:dyDescent="0.4">
      <c r="A205" s="30" t="s">
        <v>310</v>
      </c>
      <c r="B205" s="30" t="s">
        <v>134</v>
      </c>
      <c r="C205" s="30" t="s">
        <v>24</v>
      </c>
      <c r="D205" s="31">
        <v>45679</v>
      </c>
      <c r="E205" s="31">
        <v>45681</v>
      </c>
      <c r="F205" s="30" t="s">
        <v>135</v>
      </c>
      <c r="G205" s="30" t="s">
        <v>26</v>
      </c>
      <c r="H205" s="31">
        <v>33579</v>
      </c>
      <c r="I205" s="30" t="s">
        <v>27</v>
      </c>
      <c r="J205" s="30" t="s">
        <v>28</v>
      </c>
      <c r="K205" s="30" t="s">
        <v>29</v>
      </c>
      <c r="L205" s="30" t="s">
        <v>30</v>
      </c>
      <c r="M205" s="30">
        <v>10</v>
      </c>
      <c r="N205" s="30">
        <v>2200</v>
      </c>
      <c r="O205" s="30">
        <v>5</v>
      </c>
      <c r="P205" s="30">
        <v>20900</v>
      </c>
      <c r="Q205" s="30">
        <v>2</v>
      </c>
      <c r="R205" s="30" t="s">
        <v>41</v>
      </c>
      <c r="S205" s="30" t="s">
        <v>42</v>
      </c>
      <c r="T205" s="30" t="s">
        <v>136</v>
      </c>
      <c r="U205" s="30">
        <v>9533835528</v>
      </c>
      <c r="V205" s="22" t="s">
        <v>34</v>
      </c>
    </row>
    <row r="206" spans="1:22" ht="15" thickBot="1" x14ac:dyDescent="0.4">
      <c r="A206" s="27" t="s">
        <v>311</v>
      </c>
      <c r="B206" s="27" t="s">
        <v>87</v>
      </c>
      <c r="C206" s="27" t="s">
        <v>82</v>
      </c>
      <c r="D206" s="28">
        <v>46007</v>
      </c>
      <c r="E206" s="28">
        <v>46017</v>
      </c>
      <c r="F206" s="27" t="s">
        <v>88</v>
      </c>
      <c r="G206" s="27" t="s">
        <v>58</v>
      </c>
      <c r="H206" s="28">
        <v>27811</v>
      </c>
      <c r="I206" s="27" t="s">
        <v>79</v>
      </c>
      <c r="J206" s="27" t="s">
        <v>75</v>
      </c>
      <c r="K206" s="27" t="s">
        <v>83</v>
      </c>
      <c r="L206" s="27" t="s">
        <v>84</v>
      </c>
      <c r="M206" s="27">
        <v>15</v>
      </c>
      <c r="N206" s="27">
        <v>60</v>
      </c>
      <c r="O206" s="27">
        <v>20</v>
      </c>
      <c r="P206" s="27">
        <v>720</v>
      </c>
      <c r="Q206" s="27">
        <v>1</v>
      </c>
      <c r="R206" s="27" t="s">
        <v>60</v>
      </c>
      <c r="S206" s="27" t="s">
        <v>32</v>
      </c>
      <c r="T206" s="27" t="s">
        <v>89</v>
      </c>
      <c r="U206" s="27">
        <v>9654885820</v>
      </c>
      <c r="V206" s="21" t="s">
        <v>34</v>
      </c>
    </row>
    <row r="207" spans="1:22" ht="15" thickBot="1" x14ac:dyDescent="0.4">
      <c r="A207" s="30" t="s">
        <v>312</v>
      </c>
      <c r="B207" s="30" t="s">
        <v>124</v>
      </c>
      <c r="C207" s="30" t="s">
        <v>68</v>
      </c>
      <c r="D207" s="31">
        <v>45832</v>
      </c>
      <c r="E207" s="31">
        <v>45836</v>
      </c>
      <c r="F207" s="30" t="s">
        <v>126</v>
      </c>
      <c r="G207" s="30" t="s">
        <v>58</v>
      </c>
      <c r="H207" s="31">
        <v>27634</v>
      </c>
      <c r="I207" s="30" t="s">
        <v>27</v>
      </c>
      <c r="J207" s="30" t="s">
        <v>28</v>
      </c>
      <c r="K207" s="30" t="s">
        <v>29</v>
      </c>
      <c r="L207" s="30" t="s">
        <v>70</v>
      </c>
      <c r="M207" s="30">
        <v>18</v>
      </c>
      <c r="N207" s="30">
        <v>3500</v>
      </c>
      <c r="O207" s="30">
        <v>5</v>
      </c>
      <c r="P207" s="30">
        <v>59850</v>
      </c>
      <c r="Q207" s="30">
        <v>1</v>
      </c>
      <c r="R207" s="30" t="s">
        <v>60</v>
      </c>
      <c r="S207" s="30" t="s">
        <v>42</v>
      </c>
      <c r="T207" s="30" t="s">
        <v>128</v>
      </c>
      <c r="U207" s="30">
        <v>9456029544</v>
      </c>
      <c r="V207" s="30" t="s">
        <v>53</v>
      </c>
    </row>
    <row r="208" spans="1:22" ht="29.5" thickBot="1" x14ac:dyDescent="0.4">
      <c r="A208" s="27" t="s">
        <v>313</v>
      </c>
      <c r="B208" s="27" t="s">
        <v>156</v>
      </c>
      <c r="C208" s="27" t="s">
        <v>36</v>
      </c>
      <c r="D208" s="28">
        <v>46154</v>
      </c>
      <c r="E208" s="28">
        <v>46164</v>
      </c>
      <c r="F208" s="27" t="s">
        <v>106</v>
      </c>
      <c r="G208" s="27" t="s">
        <v>58</v>
      </c>
      <c r="H208" s="28">
        <v>32116</v>
      </c>
      <c r="I208" s="27" t="s">
        <v>79</v>
      </c>
      <c r="J208" s="27" t="s">
        <v>75</v>
      </c>
      <c r="K208" s="27" t="s">
        <v>39</v>
      </c>
      <c r="L208" s="27" t="s">
        <v>40</v>
      </c>
      <c r="M208" s="27">
        <v>6</v>
      </c>
      <c r="N208" s="27">
        <v>12000</v>
      </c>
      <c r="O208" s="27">
        <v>5</v>
      </c>
      <c r="P208" s="27">
        <v>68400</v>
      </c>
      <c r="Q208" s="27">
        <v>1</v>
      </c>
      <c r="R208" s="27" t="s">
        <v>41</v>
      </c>
      <c r="S208" s="27" t="s">
        <v>42</v>
      </c>
      <c r="T208" s="27" t="s">
        <v>158</v>
      </c>
      <c r="U208" s="27">
        <v>9914571493</v>
      </c>
      <c r="V208" s="27" t="s">
        <v>53</v>
      </c>
    </row>
    <row r="209" spans="1:22" ht="29.5" thickBot="1" x14ac:dyDescent="0.4">
      <c r="A209" s="30" t="s">
        <v>314</v>
      </c>
      <c r="B209" s="30" t="s">
        <v>156</v>
      </c>
      <c r="C209" s="30" t="s">
        <v>125</v>
      </c>
      <c r="D209" s="31">
        <v>46067</v>
      </c>
      <c r="E209" s="31">
        <v>46069</v>
      </c>
      <c r="F209" s="30" t="s">
        <v>106</v>
      </c>
      <c r="G209" s="30" t="s">
        <v>58</v>
      </c>
      <c r="H209" s="31">
        <v>38225</v>
      </c>
      <c r="I209" s="30" t="s">
        <v>48</v>
      </c>
      <c r="J209" s="30" t="s">
        <v>28</v>
      </c>
      <c r="K209" s="30" t="s">
        <v>83</v>
      </c>
      <c r="L209" s="30" t="s">
        <v>127</v>
      </c>
      <c r="M209" s="30">
        <v>19</v>
      </c>
      <c r="N209" s="30">
        <v>20</v>
      </c>
      <c r="O209" s="30">
        <v>10</v>
      </c>
      <c r="P209" s="30">
        <v>342</v>
      </c>
      <c r="Q209" s="30">
        <v>2</v>
      </c>
      <c r="R209" s="30" t="s">
        <v>41</v>
      </c>
      <c r="S209" s="30" t="s">
        <v>32</v>
      </c>
      <c r="T209" s="30" t="s">
        <v>158</v>
      </c>
      <c r="U209" s="30">
        <v>9270726986</v>
      </c>
      <c r="V209" s="30" t="s">
        <v>52</v>
      </c>
    </row>
    <row r="210" spans="1:22" ht="15" thickBot="1" x14ac:dyDescent="0.4">
      <c r="A210" s="27" t="s">
        <v>315</v>
      </c>
      <c r="B210" s="27" t="s">
        <v>124</v>
      </c>
      <c r="C210" s="27" t="s">
        <v>24</v>
      </c>
      <c r="D210" s="28">
        <v>46155</v>
      </c>
      <c r="E210" s="28">
        <v>46162</v>
      </c>
      <c r="F210" s="27" t="s">
        <v>126</v>
      </c>
      <c r="G210" s="27" t="s">
        <v>58</v>
      </c>
      <c r="H210" s="28">
        <v>34350</v>
      </c>
      <c r="I210" s="27" t="s">
        <v>79</v>
      </c>
      <c r="J210" s="27" t="s">
        <v>75</v>
      </c>
      <c r="K210" s="27" t="s">
        <v>29</v>
      </c>
      <c r="L210" s="27" t="s">
        <v>30</v>
      </c>
      <c r="M210" s="27">
        <v>7</v>
      </c>
      <c r="N210" s="27">
        <v>2200</v>
      </c>
      <c r="O210" s="27">
        <v>0</v>
      </c>
      <c r="P210" s="27">
        <v>15400</v>
      </c>
      <c r="Q210" s="27">
        <v>1</v>
      </c>
      <c r="R210" s="27" t="s">
        <v>60</v>
      </c>
      <c r="S210" s="27" t="s">
        <v>80</v>
      </c>
      <c r="T210" s="27" t="s">
        <v>128</v>
      </c>
      <c r="U210" s="27">
        <v>9570080664</v>
      </c>
      <c r="V210" s="27" t="s">
        <v>53</v>
      </c>
    </row>
    <row r="211" spans="1:22" ht="29.5" thickBot="1" x14ac:dyDescent="0.4">
      <c r="A211" s="30" t="s">
        <v>316</v>
      </c>
      <c r="B211" s="30" t="s">
        <v>156</v>
      </c>
      <c r="C211" s="30" t="s">
        <v>36</v>
      </c>
      <c r="D211" s="31">
        <v>45977</v>
      </c>
      <c r="E211" s="31">
        <v>45981</v>
      </c>
      <c r="F211" s="30" t="s">
        <v>106</v>
      </c>
      <c r="G211" s="30" t="s">
        <v>58</v>
      </c>
      <c r="H211" s="31">
        <v>37922</v>
      </c>
      <c r="I211" s="30" t="s">
        <v>121</v>
      </c>
      <c r="J211" s="30" t="s">
        <v>38</v>
      </c>
      <c r="K211" s="30" t="s">
        <v>39</v>
      </c>
      <c r="L211" s="30" t="s">
        <v>40</v>
      </c>
      <c r="M211" s="30">
        <v>3</v>
      </c>
      <c r="N211" s="30">
        <v>12000</v>
      </c>
      <c r="O211" s="30">
        <v>5</v>
      </c>
      <c r="P211" s="30">
        <v>34200</v>
      </c>
      <c r="Q211" s="30">
        <v>3</v>
      </c>
      <c r="R211" s="30" t="s">
        <v>60</v>
      </c>
      <c r="S211" s="30" t="s">
        <v>50</v>
      </c>
      <c r="T211" s="30" t="s">
        <v>158</v>
      </c>
      <c r="U211" s="30">
        <v>9109009524</v>
      </c>
      <c r="V211" s="30" t="s">
        <v>53</v>
      </c>
    </row>
    <row r="212" spans="1:22" ht="15" thickBot="1" x14ac:dyDescent="0.4">
      <c r="A212" s="27" t="s">
        <v>317</v>
      </c>
      <c r="B212" s="27" t="s">
        <v>104</v>
      </c>
      <c r="C212" s="27" t="s">
        <v>24</v>
      </c>
      <c r="D212" s="28">
        <v>45953</v>
      </c>
      <c r="E212" s="28">
        <v>45965</v>
      </c>
      <c r="F212" s="27" t="s">
        <v>166</v>
      </c>
      <c r="G212" s="27" t="s">
        <v>26</v>
      </c>
      <c r="H212" s="28">
        <v>36662</v>
      </c>
      <c r="I212" s="27" t="s">
        <v>121</v>
      </c>
      <c r="J212" s="27" t="s">
        <v>38</v>
      </c>
      <c r="K212" s="27" t="s">
        <v>29</v>
      </c>
      <c r="L212" s="27" t="s">
        <v>30</v>
      </c>
      <c r="M212" s="27">
        <v>16</v>
      </c>
      <c r="N212" s="27">
        <v>2200</v>
      </c>
      <c r="O212" s="27">
        <v>0</v>
      </c>
      <c r="P212" s="27">
        <v>35200</v>
      </c>
      <c r="Q212" s="27">
        <v>5</v>
      </c>
      <c r="R212" s="27" t="s">
        <v>60</v>
      </c>
      <c r="S212" s="27" t="s">
        <v>32</v>
      </c>
      <c r="T212" s="27" t="s">
        <v>108</v>
      </c>
      <c r="U212" s="27">
        <v>9701276770</v>
      </c>
      <c r="V212" s="27" t="s">
        <v>52</v>
      </c>
    </row>
    <row r="213" spans="1:22" ht="15" thickBot="1" x14ac:dyDescent="0.4">
      <c r="A213" s="30" t="s">
        <v>318</v>
      </c>
      <c r="B213" s="30" t="s">
        <v>134</v>
      </c>
      <c r="C213" s="30" t="s">
        <v>24</v>
      </c>
      <c r="D213" s="31">
        <v>45704</v>
      </c>
      <c r="E213" s="31">
        <v>45706</v>
      </c>
      <c r="F213" s="30" t="s">
        <v>135</v>
      </c>
      <c r="G213" s="30" t="s">
        <v>26</v>
      </c>
      <c r="H213" s="31">
        <v>32693</v>
      </c>
      <c r="I213" s="30" t="s">
        <v>37</v>
      </c>
      <c r="J213" s="30" t="s">
        <v>38</v>
      </c>
      <c r="K213" s="30" t="s">
        <v>29</v>
      </c>
      <c r="L213" s="30" t="s">
        <v>30</v>
      </c>
      <c r="M213" s="30">
        <v>8</v>
      </c>
      <c r="N213" s="30">
        <v>2200</v>
      </c>
      <c r="O213" s="30">
        <v>5</v>
      </c>
      <c r="P213" s="30">
        <v>16720</v>
      </c>
      <c r="Q213" s="30">
        <v>2</v>
      </c>
      <c r="R213" s="30" t="s">
        <v>65</v>
      </c>
      <c r="S213" s="30" t="s">
        <v>96</v>
      </c>
      <c r="T213" s="30" t="s">
        <v>136</v>
      </c>
      <c r="U213" s="30">
        <v>9298278507</v>
      </c>
      <c r="V213" s="22" t="s">
        <v>34</v>
      </c>
    </row>
    <row r="214" spans="1:22" ht="15" thickBot="1" x14ac:dyDescent="0.4">
      <c r="A214" s="27" t="s">
        <v>319</v>
      </c>
      <c r="B214" s="27" t="s">
        <v>134</v>
      </c>
      <c r="C214" s="27" t="s">
        <v>24</v>
      </c>
      <c r="D214" s="28">
        <v>46002</v>
      </c>
      <c r="E214" s="28">
        <v>46005</v>
      </c>
      <c r="F214" s="27" t="s">
        <v>135</v>
      </c>
      <c r="G214" s="27" t="s">
        <v>26</v>
      </c>
      <c r="H214" s="28">
        <v>35863</v>
      </c>
      <c r="I214" s="27" t="s">
        <v>91</v>
      </c>
      <c r="J214" s="27" t="s">
        <v>75</v>
      </c>
      <c r="K214" s="27" t="s">
        <v>29</v>
      </c>
      <c r="L214" s="27" t="s">
        <v>30</v>
      </c>
      <c r="M214" s="27">
        <v>10</v>
      </c>
      <c r="N214" s="27">
        <v>2200</v>
      </c>
      <c r="O214" s="27">
        <v>10</v>
      </c>
      <c r="P214" s="27">
        <v>19800</v>
      </c>
      <c r="Q214" s="27">
        <v>5</v>
      </c>
      <c r="R214" s="27" t="s">
        <v>41</v>
      </c>
      <c r="S214" s="27" t="s">
        <v>80</v>
      </c>
      <c r="T214" s="27" t="s">
        <v>136</v>
      </c>
      <c r="U214" s="27">
        <v>9895908093</v>
      </c>
      <c r="V214" s="27" t="s">
        <v>52</v>
      </c>
    </row>
    <row r="215" spans="1:22" ht="15" thickBot="1" x14ac:dyDescent="0.4">
      <c r="A215" s="30" t="s">
        <v>320</v>
      </c>
      <c r="B215" s="30" t="s">
        <v>63</v>
      </c>
      <c r="C215" s="30" t="s">
        <v>125</v>
      </c>
      <c r="D215" s="31">
        <v>45775</v>
      </c>
      <c r="E215" s="31">
        <v>45786</v>
      </c>
      <c r="F215" s="30" t="s">
        <v>110</v>
      </c>
      <c r="G215" s="30" t="s">
        <v>58</v>
      </c>
      <c r="H215" s="31">
        <v>32284</v>
      </c>
      <c r="I215" s="30" t="s">
        <v>37</v>
      </c>
      <c r="J215" s="30" t="s">
        <v>38</v>
      </c>
      <c r="K215" s="30" t="s">
        <v>83</v>
      </c>
      <c r="L215" s="30" t="s">
        <v>127</v>
      </c>
      <c r="M215" s="30">
        <v>7</v>
      </c>
      <c r="N215" s="30">
        <v>20</v>
      </c>
      <c r="O215" s="30">
        <v>10</v>
      </c>
      <c r="P215" s="30">
        <v>126</v>
      </c>
      <c r="Q215" s="30">
        <v>4</v>
      </c>
      <c r="R215" s="30" t="s">
        <v>60</v>
      </c>
      <c r="S215" s="30" t="s">
        <v>50</v>
      </c>
      <c r="T215" s="30" t="s">
        <v>66</v>
      </c>
      <c r="U215" s="30">
        <v>9734108795</v>
      </c>
      <c r="V215" s="22" t="s">
        <v>34</v>
      </c>
    </row>
    <row r="216" spans="1:22" ht="15" thickBot="1" x14ac:dyDescent="0.4">
      <c r="A216" s="27" t="s">
        <v>321</v>
      </c>
      <c r="B216" s="27" t="s">
        <v>124</v>
      </c>
      <c r="C216" s="27" t="s">
        <v>105</v>
      </c>
      <c r="D216" s="28">
        <v>46033</v>
      </c>
      <c r="E216" s="28">
        <v>46036</v>
      </c>
      <c r="F216" s="27" t="s">
        <v>126</v>
      </c>
      <c r="G216" s="27" t="s">
        <v>58</v>
      </c>
      <c r="H216" s="28">
        <v>34533</v>
      </c>
      <c r="I216" s="27" t="s">
        <v>27</v>
      </c>
      <c r="J216" s="27" t="s">
        <v>28</v>
      </c>
      <c r="K216" s="27" t="s">
        <v>29</v>
      </c>
      <c r="L216" s="27" t="s">
        <v>107</v>
      </c>
      <c r="M216" s="27">
        <v>19</v>
      </c>
      <c r="N216" s="27">
        <v>8500</v>
      </c>
      <c r="O216" s="27">
        <v>20</v>
      </c>
      <c r="P216" s="27">
        <v>129200</v>
      </c>
      <c r="Q216" s="27">
        <v>3</v>
      </c>
      <c r="R216" s="27" t="s">
        <v>41</v>
      </c>
      <c r="S216" s="27" t="s">
        <v>50</v>
      </c>
      <c r="T216" s="27" t="s">
        <v>128</v>
      </c>
      <c r="U216" s="27">
        <v>9799597413</v>
      </c>
      <c r="V216" s="27" t="s">
        <v>52</v>
      </c>
    </row>
    <row r="217" spans="1:22" ht="15" thickBot="1" x14ac:dyDescent="0.4">
      <c r="A217" s="30" t="s">
        <v>322</v>
      </c>
      <c r="B217" s="30" t="s">
        <v>72</v>
      </c>
      <c r="C217" s="30" t="s">
        <v>82</v>
      </c>
      <c r="D217" s="31">
        <v>45717</v>
      </c>
      <c r="E217" s="31">
        <v>45722</v>
      </c>
      <c r="F217" s="30" t="s">
        <v>73</v>
      </c>
      <c r="G217" s="30" t="s">
        <v>26</v>
      </c>
      <c r="H217" s="31">
        <v>28444</v>
      </c>
      <c r="I217" s="30" t="s">
        <v>79</v>
      </c>
      <c r="J217" s="30" t="s">
        <v>75</v>
      </c>
      <c r="K217" s="30" t="s">
        <v>83</v>
      </c>
      <c r="L217" s="30" t="s">
        <v>84</v>
      </c>
      <c r="M217" s="30">
        <v>16</v>
      </c>
      <c r="N217" s="30">
        <v>60</v>
      </c>
      <c r="O217" s="30">
        <v>0</v>
      </c>
      <c r="P217" s="30">
        <v>960</v>
      </c>
      <c r="Q217" s="30">
        <v>2</v>
      </c>
      <c r="R217" s="30" t="s">
        <v>41</v>
      </c>
      <c r="S217" s="30" t="s">
        <v>80</v>
      </c>
      <c r="T217" s="30" t="s">
        <v>93</v>
      </c>
      <c r="U217" s="30">
        <v>9688987266</v>
      </c>
      <c r="V217" s="22" t="s">
        <v>34</v>
      </c>
    </row>
    <row r="218" spans="1:22" ht="15" thickBot="1" x14ac:dyDescent="0.4">
      <c r="A218" s="27" t="s">
        <v>323</v>
      </c>
      <c r="B218" s="27" t="s">
        <v>124</v>
      </c>
      <c r="C218" s="27" t="s">
        <v>68</v>
      </c>
      <c r="D218" s="28">
        <v>46127</v>
      </c>
      <c r="E218" s="28">
        <v>46139</v>
      </c>
      <c r="F218" s="27" t="s">
        <v>126</v>
      </c>
      <c r="G218" s="27" t="s">
        <v>58</v>
      </c>
      <c r="H218" s="28">
        <v>30216</v>
      </c>
      <c r="I218" s="27" t="s">
        <v>48</v>
      </c>
      <c r="J218" s="27" t="s">
        <v>28</v>
      </c>
      <c r="K218" s="27" t="s">
        <v>324</v>
      </c>
      <c r="L218" s="27" t="s">
        <v>70</v>
      </c>
      <c r="M218" s="27">
        <v>18</v>
      </c>
      <c r="N218" s="27">
        <v>3500</v>
      </c>
      <c r="O218" s="27">
        <v>5</v>
      </c>
      <c r="P218" s="27">
        <v>59850</v>
      </c>
      <c r="Q218" s="27">
        <v>1</v>
      </c>
      <c r="R218" s="27" t="s">
        <v>65</v>
      </c>
      <c r="S218" s="27" t="s">
        <v>80</v>
      </c>
      <c r="T218" s="27" t="s">
        <v>128</v>
      </c>
      <c r="U218" s="27">
        <v>9867169037</v>
      </c>
      <c r="V218" s="27" t="s">
        <v>52</v>
      </c>
    </row>
    <row r="219" spans="1:22" ht="15" thickBot="1" x14ac:dyDescent="0.4">
      <c r="A219" s="30" t="s">
        <v>325</v>
      </c>
      <c r="B219" s="30" t="s">
        <v>72</v>
      </c>
      <c r="C219" s="30" t="s">
        <v>46</v>
      </c>
      <c r="D219" s="31">
        <v>45708</v>
      </c>
      <c r="E219" s="31">
        <v>45717</v>
      </c>
      <c r="F219" s="30" t="s">
        <v>73</v>
      </c>
      <c r="G219" s="30" t="s">
        <v>26</v>
      </c>
      <c r="H219" s="31">
        <v>34591</v>
      </c>
      <c r="I219" s="30" t="s">
        <v>121</v>
      </c>
      <c r="J219" s="30" t="s">
        <v>38</v>
      </c>
      <c r="K219" s="30" t="s">
        <v>39</v>
      </c>
      <c r="L219" s="30" t="s">
        <v>49</v>
      </c>
      <c r="M219" s="30">
        <v>16</v>
      </c>
      <c r="N219" s="30">
        <v>55000</v>
      </c>
      <c r="O219" s="30">
        <v>0</v>
      </c>
      <c r="P219" s="30">
        <v>880000</v>
      </c>
      <c r="Q219" s="30">
        <v>1</v>
      </c>
      <c r="R219" s="30" t="s">
        <v>60</v>
      </c>
      <c r="S219" s="30" t="s">
        <v>50</v>
      </c>
      <c r="T219" s="30" t="s">
        <v>93</v>
      </c>
      <c r="U219" s="30">
        <v>9485547425</v>
      </c>
      <c r="V219" s="30" t="s">
        <v>53</v>
      </c>
    </row>
    <row r="220" spans="1:22" ht="15" thickBot="1" x14ac:dyDescent="0.4">
      <c r="A220" s="27" t="s">
        <v>326</v>
      </c>
      <c r="B220" s="27" t="s">
        <v>124</v>
      </c>
      <c r="C220" s="27" t="s">
        <v>56</v>
      </c>
      <c r="D220" s="28">
        <v>45694</v>
      </c>
      <c r="E220" s="28">
        <v>45697</v>
      </c>
      <c r="F220" s="27" t="s">
        <v>126</v>
      </c>
      <c r="G220" s="27" t="s">
        <v>58</v>
      </c>
      <c r="H220" s="28">
        <v>35035</v>
      </c>
      <c r="I220" s="27" t="s">
        <v>91</v>
      </c>
      <c r="J220" s="27" t="s">
        <v>75</v>
      </c>
      <c r="K220" s="27" t="s">
        <v>39</v>
      </c>
      <c r="L220" s="27" t="s">
        <v>59</v>
      </c>
      <c r="M220" s="27">
        <v>18</v>
      </c>
      <c r="N220" s="27">
        <v>1200</v>
      </c>
      <c r="O220" s="27">
        <v>15</v>
      </c>
      <c r="P220" s="27">
        <v>18360</v>
      </c>
      <c r="Q220" s="27">
        <v>2</v>
      </c>
      <c r="R220" s="27" t="s">
        <v>41</v>
      </c>
      <c r="S220" s="27" t="s">
        <v>32</v>
      </c>
      <c r="T220" s="27" t="s">
        <v>128</v>
      </c>
      <c r="U220" s="27">
        <v>9889733076</v>
      </c>
      <c r="V220" s="27" t="s">
        <v>53</v>
      </c>
    </row>
    <row r="221" spans="1:22" ht="15" thickBot="1" x14ac:dyDescent="0.4">
      <c r="A221" s="30" t="s">
        <v>327</v>
      </c>
      <c r="B221" s="30" t="s">
        <v>55</v>
      </c>
      <c r="C221" s="30" t="s">
        <v>138</v>
      </c>
      <c r="D221" s="31">
        <v>45801</v>
      </c>
      <c r="E221" s="31">
        <v>45804</v>
      </c>
      <c r="F221" s="30" t="s">
        <v>57</v>
      </c>
      <c r="G221" s="30" t="s">
        <v>58</v>
      </c>
      <c r="H221" s="31">
        <v>31238</v>
      </c>
      <c r="I221" s="30" t="s">
        <v>27</v>
      </c>
      <c r="J221" s="30" t="s">
        <v>28</v>
      </c>
      <c r="K221" s="30" t="s">
        <v>83</v>
      </c>
      <c r="L221" s="30" t="s">
        <v>139</v>
      </c>
      <c r="M221" s="30">
        <v>2</v>
      </c>
      <c r="N221" s="30">
        <v>45</v>
      </c>
      <c r="O221" s="30">
        <v>15</v>
      </c>
      <c r="P221" s="30">
        <v>76.5</v>
      </c>
      <c r="Q221" s="30">
        <v>5</v>
      </c>
      <c r="R221" s="30" t="s">
        <v>31</v>
      </c>
      <c r="S221" s="30" t="s">
        <v>50</v>
      </c>
      <c r="T221" s="30" t="s">
        <v>61</v>
      </c>
      <c r="U221" s="30">
        <v>9145434449</v>
      </c>
      <c r="V221" s="30" t="s">
        <v>53</v>
      </c>
    </row>
    <row r="222" spans="1:22" ht="15" thickBot="1" x14ac:dyDescent="0.4">
      <c r="A222" s="27" t="s">
        <v>328</v>
      </c>
      <c r="B222" s="27" t="s">
        <v>45</v>
      </c>
      <c r="C222" s="27" t="s">
        <v>105</v>
      </c>
      <c r="D222" s="28">
        <v>46028</v>
      </c>
      <c r="E222" s="28">
        <v>46034</v>
      </c>
      <c r="F222" s="27" t="s">
        <v>101</v>
      </c>
      <c r="G222" s="27" t="s">
        <v>26</v>
      </c>
      <c r="H222" s="28">
        <v>36975</v>
      </c>
      <c r="I222" s="27" t="s">
        <v>48</v>
      </c>
      <c r="J222" s="27" t="s">
        <v>28</v>
      </c>
      <c r="K222" s="27" t="s">
        <v>29</v>
      </c>
      <c r="L222" s="27" t="s">
        <v>107</v>
      </c>
      <c r="M222" s="27">
        <v>20</v>
      </c>
      <c r="N222" s="27">
        <v>8500</v>
      </c>
      <c r="O222" s="27">
        <v>0</v>
      </c>
      <c r="P222" s="27">
        <v>170000</v>
      </c>
      <c r="Q222" s="27">
        <v>4</v>
      </c>
      <c r="R222" s="27" t="s">
        <v>41</v>
      </c>
      <c r="S222" s="27" t="s">
        <v>50</v>
      </c>
      <c r="T222" s="27" t="s">
        <v>51</v>
      </c>
      <c r="U222" s="27">
        <v>9598942148</v>
      </c>
      <c r="V222" s="27" t="s">
        <v>53</v>
      </c>
    </row>
    <row r="223" spans="1:22" ht="15" thickBot="1" x14ac:dyDescent="0.4">
      <c r="A223" s="30" t="s">
        <v>329</v>
      </c>
      <c r="B223" s="30" t="s">
        <v>87</v>
      </c>
      <c r="C223" s="30" t="s">
        <v>68</v>
      </c>
      <c r="D223" s="31">
        <v>46089</v>
      </c>
      <c r="E223" s="31">
        <v>46090</v>
      </c>
      <c r="F223" s="30" t="s">
        <v>88</v>
      </c>
      <c r="G223" s="30" t="s">
        <v>58</v>
      </c>
      <c r="H223" s="31">
        <v>29703</v>
      </c>
      <c r="I223" s="30" t="s">
        <v>121</v>
      </c>
      <c r="J223" s="30" t="s">
        <v>38</v>
      </c>
      <c r="K223" s="30" t="s">
        <v>29</v>
      </c>
      <c r="L223" s="30" t="s">
        <v>70</v>
      </c>
      <c r="M223" s="30">
        <v>6</v>
      </c>
      <c r="N223" s="30">
        <v>3500</v>
      </c>
      <c r="O223" s="30">
        <v>5</v>
      </c>
      <c r="P223" s="30">
        <v>19950</v>
      </c>
      <c r="Q223" s="30">
        <v>1</v>
      </c>
      <c r="R223" s="30" t="s">
        <v>31</v>
      </c>
      <c r="S223" s="30" t="s">
        <v>96</v>
      </c>
      <c r="T223" s="30" t="s">
        <v>89</v>
      </c>
      <c r="U223" s="30">
        <v>9599252705</v>
      </c>
      <c r="V223" s="22" t="s">
        <v>34</v>
      </c>
    </row>
    <row r="224" spans="1:22" ht="15" thickBot="1" x14ac:dyDescent="0.4">
      <c r="A224" s="27" t="s">
        <v>330</v>
      </c>
      <c r="B224" s="27" t="s">
        <v>104</v>
      </c>
      <c r="C224" s="27" t="s">
        <v>138</v>
      </c>
      <c r="D224" s="28">
        <v>45935</v>
      </c>
      <c r="E224" s="28">
        <v>45939</v>
      </c>
      <c r="F224" s="27" t="s">
        <v>166</v>
      </c>
      <c r="G224" s="27" t="s">
        <v>26</v>
      </c>
      <c r="H224" s="28">
        <v>37635</v>
      </c>
      <c r="I224" s="27" t="s">
        <v>79</v>
      </c>
      <c r="J224" s="27" t="s">
        <v>75</v>
      </c>
      <c r="K224" s="27" t="s">
        <v>83</v>
      </c>
      <c r="L224" s="27" t="s">
        <v>139</v>
      </c>
      <c r="M224" s="27">
        <v>8</v>
      </c>
      <c r="N224" s="27">
        <v>45</v>
      </c>
      <c r="O224" s="27">
        <v>5</v>
      </c>
      <c r="P224" s="27">
        <v>342</v>
      </c>
      <c r="Q224" s="27">
        <v>2</v>
      </c>
      <c r="R224" s="27" t="s">
        <v>31</v>
      </c>
      <c r="S224" s="27" t="s">
        <v>42</v>
      </c>
      <c r="T224" s="27" t="s">
        <v>108</v>
      </c>
      <c r="U224" s="27">
        <v>9626843681</v>
      </c>
      <c r="V224" s="27" t="s">
        <v>52</v>
      </c>
    </row>
    <row r="225" spans="1:22" ht="29.5" thickBot="1" x14ac:dyDescent="0.4">
      <c r="A225" s="30" t="s">
        <v>331</v>
      </c>
      <c r="B225" s="30" t="s">
        <v>156</v>
      </c>
      <c r="C225" s="30" t="s">
        <v>24</v>
      </c>
      <c r="D225" s="31">
        <v>45722</v>
      </c>
      <c r="E225" s="31">
        <v>45728</v>
      </c>
      <c r="F225" s="30" t="s">
        <v>106</v>
      </c>
      <c r="G225" s="30" t="s">
        <v>58</v>
      </c>
      <c r="H225" s="31">
        <v>29496</v>
      </c>
      <c r="I225" s="30" t="s">
        <v>74</v>
      </c>
      <c r="J225" s="30" t="s">
        <v>75</v>
      </c>
      <c r="K225" s="30" t="s">
        <v>29</v>
      </c>
      <c r="L225" s="30" t="s">
        <v>30</v>
      </c>
      <c r="M225" s="30">
        <v>18</v>
      </c>
      <c r="N225" s="30">
        <v>2200</v>
      </c>
      <c r="O225" s="30">
        <v>15</v>
      </c>
      <c r="P225" s="30">
        <v>33660</v>
      </c>
      <c r="Q225" s="30">
        <v>4</v>
      </c>
      <c r="R225" s="30" t="s">
        <v>60</v>
      </c>
      <c r="S225" s="30" t="s">
        <v>50</v>
      </c>
      <c r="T225" s="30" t="s">
        <v>158</v>
      </c>
      <c r="U225" s="30">
        <v>9934933215</v>
      </c>
      <c r="V225" s="30" t="s">
        <v>52</v>
      </c>
    </row>
    <row r="226" spans="1:22" ht="15" thickBot="1" x14ac:dyDescent="0.4">
      <c r="A226" s="27" t="s">
        <v>332</v>
      </c>
      <c r="B226" s="27" t="s">
        <v>124</v>
      </c>
      <c r="C226" s="27" t="s">
        <v>112</v>
      </c>
      <c r="D226" s="28">
        <v>46118</v>
      </c>
      <c r="E226" s="28">
        <v>46127</v>
      </c>
      <c r="F226" s="27" t="s">
        <v>126</v>
      </c>
      <c r="G226" s="27" t="s">
        <v>58</v>
      </c>
      <c r="H226" s="28">
        <v>33170</v>
      </c>
      <c r="I226" s="27" t="s">
        <v>27</v>
      </c>
      <c r="J226" s="27" t="s">
        <v>28</v>
      </c>
      <c r="K226" s="27" t="s">
        <v>39</v>
      </c>
      <c r="L226" s="27" t="s">
        <v>114</v>
      </c>
      <c r="M226" s="27">
        <v>18</v>
      </c>
      <c r="N226" s="27">
        <v>700</v>
      </c>
      <c r="O226" s="27">
        <v>15</v>
      </c>
      <c r="P226" s="27">
        <v>10710</v>
      </c>
      <c r="Q226" s="27">
        <v>3</v>
      </c>
      <c r="R226" s="27" t="s">
        <v>60</v>
      </c>
      <c r="S226" s="27" t="s">
        <v>96</v>
      </c>
      <c r="T226" s="27" t="s">
        <v>128</v>
      </c>
      <c r="U226" s="27">
        <v>9508025585</v>
      </c>
      <c r="V226" s="27" t="s">
        <v>53</v>
      </c>
    </row>
    <row r="227" spans="1:22" ht="29.5" thickBot="1" x14ac:dyDescent="0.4">
      <c r="A227" s="30" t="s">
        <v>333</v>
      </c>
      <c r="B227" s="30" t="s">
        <v>156</v>
      </c>
      <c r="C227" s="30" t="s">
        <v>46</v>
      </c>
      <c r="D227" s="31">
        <v>46039</v>
      </c>
      <c r="E227" s="31">
        <v>46042</v>
      </c>
      <c r="F227" s="30" t="s">
        <v>106</v>
      </c>
      <c r="G227" s="30" t="s">
        <v>58</v>
      </c>
      <c r="H227" s="31">
        <v>28392</v>
      </c>
      <c r="I227" s="30" t="s">
        <v>79</v>
      </c>
      <c r="J227" s="30" t="s">
        <v>75</v>
      </c>
      <c r="K227" s="30" t="s">
        <v>39</v>
      </c>
      <c r="L227" s="30" t="s">
        <v>49</v>
      </c>
      <c r="M227" s="30">
        <v>12</v>
      </c>
      <c r="N227" s="30">
        <v>55000</v>
      </c>
      <c r="O227" s="30">
        <v>0</v>
      </c>
      <c r="P227" s="30">
        <v>660000</v>
      </c>
      <c r="Q227" s="30">
        <v>2</v>
      </c>
      <c r="R227" s="30" t="s">
        <v>65</v>
      </c>
      <c r="S227" s="30" t="s">
        <v>42</v>
      </c>
      <c r="T227" s="30" t="s">
        <v>158</v>
      </c>
      <c r="U227" s="30">
        <v>9364681052</v>
      </c>
      <c r="V227" s="30" t="s">
        <v>53</v>
      </c>
    </row>
    <row r="228" spans="1:22" ht="15" thickBot="1" x14ac:dyDescent="0.4">
      <c r="A228" s="27" t="s">
        <v>334</v>
      </c>
      <c r="B228" s="27" t="s">
        <v>23</v>
      </c>
      <c r="C228" s="27" t="s">
        <v>36</v>
      </c>
      <c r="D228" s="28">
        <v>45976</v>
      </c>
      <c r="E228" s="28">
        <v>45985</v>
      </c>
      <c r="F228" s="27" t="s">
        <v>25</v>
      </c>
      <c r="G228" s="27" t="s">
        <v>26</v>
      </c>
      <c r="H228" s="28">
        <v>35340</v>
      </c>
      <c r="I228" s="27" t="s">
        <v>74</v>
      </c>
      <c r="J228" s="27" t="s">
        <v>75</v>
      </c>
      <c r="K228" s="27" t="s">
        <v>39</v>
      </c>
      <c r="L228" s="27" t="s">
        <v>40</v>
      </c>
      <c r="M228" s="27">
        <v>7</v>
      </c>
      <c r="N228" s="27">
        <v>12000</v>
      </c>
      <c r="O228" s="27">
        <v>5</v>
      </c>
      <c r="P228" s="27">
        <v>79800</v>
      </c>
      <c r="Q228" s="27">
        <v>3</v>
      </c>
      <c r="R228" s="27" t="s">
        <v>60</v>
      </c>
      <c r="S228" s="27" t="s">
        <v>96</v>
      </c>
      <c r="T228" s="27" t="s">
        <v>43</v>
      </c>
      <c r="U228" s="27">
        <v>9117102884</v>
      </c>
      <c r="V228" s="27" t="s">
        <v>52</v>
      </c>
    </row>
    <row r="229" spans="1:22" ht="15" thickBot="1" x14ac:dyDescent="0.4">
      <c r="A229" s="30" t="s">
        <v>335</v>
      </c>
      <c r="B229" s="30" t="s">
        <v>134</v>
      </c>
      <c r="C229" s="30" t="s">
        <v>36</v>
      </c>
      <c r="D229" s="31">
        <v>45921</v>
      </c>
      <c r="E229" s="31">
        <v>45923</v>
      </c>
      <c r="F229" s="30" t="s">
        <v>135</v>
      </c>
      <c r="G229" s="30" t="s">
        <v>26</v>
      </c>
      <c r="H229" s="31">
        <v>27897</v>
      </c>
      <c r="I229" s="30" t="s">
        <v>74</v>
      </c>
      <c r="J229" s="30" t="s">
        <v>75</v>
      </c>
      <c r="K229" s="30" t="s">
        <v>39</v>
      </c>
      <c r="L229" s="30" t="s">
        <v>40</v>
      </c>
      <c r="M229" s="30">
        <v>8</v>
      </c>
      <c r="N229" s="30">
        <v>12000</v>
      </c>
      <c r="O229" s="30">
        <v>15</v>
      </c>
      <c r="P229" s="30">
        <v>81600</v>
      </c>
      <c r="Q229" s="30">
        <v>4</v>
      </c>
      <c r="R229" s="30" t="s">
        <v>60</v>
      </c>
      <c r="S229" s="30" t="s">
        <v>42</v>
      </c>
      <c r="T229" s="30" t="s">
        <v>136</v>
      </c>
      <c r="U229" s="30">
        <v>9819453185</v>
      </c>
      <c r="V229" s="22" t="s">
        <v>34</v>
      </c>
    </row>
    <row r="230" spans="1:22" ht="29.5" thickBot="1" x14ac:dyDescent="0.4">
      <c r="A230" s="27" t="s">
        <v>336</v>
      </c>
      <c r="B230" s="27" t="s">
        <v>156</v>
      </c>
      <c r="C230" s="27" t="s">
        <v>68</v>
      </c>
      <c r="D230" s="28">
        <v>46009</v>
      </c>
      <c r="E230" s="28">
        <v>46018</v>
      </c>
      <c r="F230" s="27" t="s">
        <v>106</v>
      </c>
      <c r="G230" s="27" t="s">
        <v>58</v>
      </c>
      <c r="H230" s="28">
        <v>32120</v>
      </c>
      <c r="I230" s="27" t="s">
        <v>74</v>
      </c>
      <c r="J230" s="27" t="s">
        <v>75</v>
      </c>
      <c r="K230" s="27" t="s">
        <v>29</v>
      </c>
      <c r="L230" s="27" t="s">
        <v>70</v>
      </c>
      <c r="M230" s="27">
        <v>19</v>
      </c>
      <c r="N230" s="27">
        <v>3500</v>
      </c>
      <c r="O230" s="27">
        <v>5</v>
      </c>
      <c r="P230" s="27">
        <v>63175</v>
      </c>
      <c r="Q230" s="27">
        <v>3</v>
      </c>
      <c r="R230" s="27" t="s">
        <v>60</v>
      </c>
      <c r="S230" s="27" t="s">
        <v>50</v>
      </c>
      <c r="T230" s="27" t="s">
        <v>158</v>
      </c>
      <c r="U230" s="27">
        <v>9511806701</v>
      </c>
      <c r="V230" s="27" t="s">
        <v>52</v>
      </c>
    </row>
    <row r="231" spans="1:22" ht="15" thickBot="1" x14ac:dyDescent="0.4">
      <c r="A231" s="30" t="s">
        <v>337</v>
      </c>
      <c r="B231" s="30" t="s">
        <v>134</v>
      </c>
      <c r="C231" s="30" t="s">
        <v>138</v>
      </c>
      <c r="D231" s="31">
        <v>45694</v>
      </c>
      <c r="E231" s="31">
        <v>45704</v>
      </c>
      <c r="F231" s="30" t="s">
        <v>135</v>
      </c>
      <c r="G231" s="30" t="s">
        <v>26</v>
      </c>
      <c r="H231" s="31">
        <v>33070</v>
      </c>
      <c r="I231" s="30" t="s">
        <v>91</v>
      </c>
      <c r="J231" s="30" t="s">
        <v>75</v>
      </c>
      <c r="K231" s="30" t="s">
        <v>83</v>
      </c>
      <c r="L231" s="30" t="s">
        <v>139</v>
      </c>
      <c r="M231" s="30">
        <v>7</v>
      </c>
      <c r="N231" s="30">
        <v>45</v>
      </c>
      <c r="O231" s="30">
        <v>5</v>
      </c>
      <c r="P231" s="30">
        <v>299.25</v>
      </c>
      <c r="Q231" s="30">
        <v>3</v>
      </c>
      <c r="R231" s="30" t="s">
        <v>60</v>
      </c>
      <c r="S231" s="30" t="s">
        <v>32</v>
      </c>
      <c r="T231" s="30" t="s">
        <v>136</v>
      </c>
      <c r="U231" s="30">
        <v>9875249891</v>
      </c>
      <c r="V231" s="30" t="s">
        <v>53</v>
      </c>
    </row>
    <row r="232" spans="1:22" ht="15" thickBot="1" x14ac:dyDescent="0.4">
      <c r="A232" s="27" t="s">
        <v>338</v>
      </c>
      <c r="B232" s="27" t="s">
        <v>23</v>
      </c>
      <c r="C232" s="27" t="s">
        <v>82</v>
      </c>
      <c r="D232" s="28">
        <v>45810</v>
      </c>
      <c r="E232" s="28">
        <v>45816</v>
      </c>
      <c r="F232" s="27" t="s">
        <v>25</v>
      </c>
      <c r="G232" s="27" t="s">
        <v>26</v>
      </c>
      <c r="H232" s="28">
        <v>33459</v>
      </c>
      <c r="I232" s="27" t="s">
        <v>27</v>
      </c>
      <c r="J232" s="27" t="s">
        <v>28</v>
      </c>
      <c r="K232" s="27" t="s">
        <v>83</v>
      </c>
      <c r="L232" s="27" t="s">
        <v>84</v>
      </c>
      <c r="M232" s="27">
        <v>3</v>
      </c>
      <c r="N232" s="27">
        <v>60</v>
      </c>
      <c r="O232" s="27">
        <v>15</v>
      </c>
      <c r="P232" s="27">
        <v>153</v>
      </c>
      <c r="Q232" s="27">
        <v>3</v>
      </c>
      <c r="R232" s="27" t="s">
        <v>41</v>
      </c>
      <c r="S232" s="27" t="s">
        <v>42</v>
      </c>
      <c r="T232" s="27" t="s">
        <v>43</v>
      </c>
      <c r="U232" s="27">
        <v>9438232503</v>
      </c>
      <c r="V232" s="27" t="s">
        <v>53</v>
      </c>
    </row>
    <row r="233" spans="1:22" ht="15" thickBot="1" x14ac:dyDescent="0.4">
      <c r="A233" s="30" t="s">
        <v>339</v>
      </c>
      <c r="B233" s="30" t="s">
        <v>45</v>
      </c>
      <c r="C233" s="30" t="s">
        <v>138</v>
      </c>
      <c r="D233" s="31">
        <v>46134</v>
      </c>
      <c r="E233" s="31">
        <v>46146</v>
      </c>
      <c r="F233" s="30" t="s">
        <v>101</v>
      </c>
      <c r="G233" s="30" t="s">
        <v>26</v>
      </c>
      <c r="H233" s="31">
        <v>28485</v>
      </c>
      <c r="I233" s="30" t="s">
        <v>79</v>
      </c>
      <c r="J233" s="30" t="s">
        <v>75</v>
      </c>
      <c r="K233" s="30" t="s">
        <v>83</v>
      </c>
      <c r="L233" s="30" t="s">
        <v>139</v>
      </c>
      <c r="M233" s="30">
        <v>19</v>
      </c>
      <c r="N233" s="30">
        <v>45</v>
      </c>
      <c r="O233" s="30">
        <v>0</v>
      </c>
      <c r="P233" s="30">
        <v>855</v>
      </c>
      <c r="Q233" s="30">
        <v>2</v>
      </c>
      <c r="R233" s="30" t="s">
        <v>31</v>
      </c>
      <c r="S233" s="30" t="s">
        <v>50</v>
      </c>
      <c r="T233" s="30" t="s">
        <v>51</v>
      </c>
      <c r="U233" s="30">
        <v>9449953754</v>
      </c>
      <c r="V233" s="22" t="s">
        <v>34</v>
      </c>
    </row>
    <row r="234" spans="1:22" ht="15" thickBot="1" x14ac:dyDescent="0.4">
      <c r="A234" s="27" t="s">
        <v>340</v>
      </c>
      <c r="B234" s="27" t="s">
        <v>72</v>
      </c>
      <c r="C234" s="27" t="s">
        <v>36</v>
      </c>
      <c r="D234" s="28">
        <v>46087</v>
      </c>
      <c r="E234" s="28">
        <v>46097</v>
      </c>
      <c r="F234" s="27" t="s">
        <v>73</v>
      </c>
      <c r="G234" s="27" t="s">
        <v>26</v>
      </c>
      <c r="H234" s="28">
        <v>34854</v>
      </c>
      <c r="I234" s="27" t="s">
        <v>48</v>
      </c>
      <c r="J234" s="27" t="s">
        <v>28</v>
      </c>
      <c r="K234" s="27" t="s">
        <v>39</v>
      </c>
      <c r="L234" s="27" t="s">
        <v>40</v>
      </c>
      <c r="M234" s="27">
        <v>10</v>
      </c>
      <c r="N234" s="27">
        <v>12000</v>
      </c>
      <c r="O234" s="27">
        <v>5</v>
      </c>
      <c r="P234" s="27">
        <v>114000</v>
      </c>
      <c r="Q234" s="27">
        <v>1</v>
      </c>
      <c r="R234" s="27" t="s">
        <v>60</v>
      </c>
      <c r="S234" s="27" t="s">
        <v>80</v>
      </c>
      <c r="T234" s="27" t="s">
        <v>93</v>
      </c>
      <c r="U234" s="27">
        <v>9833801891</v>
      </c>
      <c r="V234" s="27" t="s">
        <v>53</v>
      </c>
    </row>
    <row r="235" spans="1:22" ht="15" thickBot="1" x14ac:dyDescent="0.4">
      <c r="A235" s="30" t="s">
        <v>341</v>
      </c>
      <c r="B235" s="30" t="s">
        <v>23</v>
      </c>
      <c r="C235" s="30" t="s">
        <v>56</v>
      </c>
      <c r="D235" s="31">
        <v>45716</v>
      </c>
      <c r="E235" s="31">
        <v>45728</v>
      </c>
      <c r="F235" s="30" t="s">
        <v>25</v>
      </c>
      <c r="G235" s="30" t="s">
        <v>26</v>
      </c>
      <c r="H235" s="31">
        <v>30636</v>
      </c>
      <c r="I235" s="30" t="s">
        <v>147</v>
      </c>
      <c r="J235" s="30" t="s">
        <v>148</v>
      </c>
      <c r="K235" s="30" t="s">
        <v>39</v>
      </c>
      <c r="L235" s="30" t="s">
        <v>59</v>
      </c>
      <c r="M235" s="30">
        <v>4</v>
      </c>
      <c r="N235" s="30">
        <v>1200</v>
      </c>
      <c r="O235" s="30">
        <v>0</v>
      </c>
      <c r="P235" s="30">
        <v>4800</v>
      </c>
      <c r="Q235" s="30">
        <v>4</v>
      </c>
      <c r="R235" s="30" t="s">
        <v>31</v>
      </c>
      <c r="S235" s="30" t="s">
        <v>50</v>
      </c>
      <c r="T235" s="30" t="s">
        <v>43</v>
      </c>
      <c r="U235" s="30">
        <v>9183949273</v>
      </c>
      <c r="V235" s="22" t="s">
        <v>34</v>
      </c>
    </row>
    <row r="236" spans="1:22" ht="15" thickBot="1" x14ac:dyDescent="0.4">
      <c r="A236" s="27" t="s">
        <v>342</v>
      </c>
      <c r="B236" s="27" t="s">
        <v>124</v>
      </c>
      <c r="C236" s="27" t="s">
        <v>105</v>
      </c>
      <c r="D236" s="28">
        <v>45961</v>
      </c>
      <c r="E236" s="28">
        <v>45968</v>
      </c>
      <c r="F236" s="27" t="s">
        <v>126</v>
      </c>
      <c r="G236" s="27" t="s">
        <v>58</v>
      </c>
      <c r="H236" s="28">
        <v>31330</v>
      </c>
      <c r="I236" s="27" t="s">
        <v>48</v>
      </c>
      <c r="J236" s="27" t="s">
        <v>28</v>
      </c>
      <c r="K236" s="27" t="s">
        <v>29</v>
      </c>
      <c r="L236" s="27" t="s">
        <v>107</v>
      </c>
      <c r="M236" s="27">
        <v>2</v>
      </c>
      <c r="N236" s="27">
        <v>8500</v>
      </c>
      <c r="O236" s="27">
        <v>20</v>
      </c>
      <c r="P236" s="27">
        <v>13600</v>
      </c>
      <c r="Q236" s="27">
        <v>3</v>
      </c>
      <c r="R236" s="27" t="s">
        <v>60</v>
      </c>
      <c r="S236" s="27" t="s">
        <v>96</v>
      </c>
      <c r="T236" s="27" t="s">
        <v>128</v>
      </c>
      <c r="U236" s="27">
        <v>9168257367</v>
      </c>
      <c r="V236" s="21" t="s">
        <v>34</v>
      </c>
    </row>
    <row r="237" spans="1:22" ht="15" thickBot="1" x14ac:dyDescent="0.4">
      <c r="A237" s="30" t="s">
        <v>343</v>
      </c>
      <c r="B237" s="30" t="s">
        <v>63</v>
      </c>
      <c r="C237" s="30" t="s">
        <v>112</v>
      </c>
      <c r="D237" s="31">
        <v>46052</v>
      </c>
      <c r="E237" s="31">
        <v>46061</v>
      </c>
      <c r="F237" s="30" t="s">
        <v>110</v>
      </c>
      <c r="G237" s="30" t="s">
        <v>58</v>
      </c>
      <c r="H237" s="31">
        <v>37263</v>
      </c>
      <c r="I237" s="30" t="s">
        <v>147</v>
      </c>
      <c r="J237" s="30" t="s">
        <v>148</v>
      </c>
      <c r="K237" s="30" t="s">
        <v>39</v>
      </c>
      <c r="L237" s="30" t="s">
        <v>114</v>
      </c>
      <c r="M237" s="30">
        <v>7</v>
      </c>
      <c r="N237" s="30">
        <v>700</v>
      </c>
      <c r="O237" s="30">
        <v>20</v>
      </c>
      <c r="P237" s="30">
        <v>3920</v>
      </c>
      <c r="Q237" s="30">
        <v>2</v>
      </c>
      <c r="R237" s="30" t="s">
        <v>60</v>
      </c>
      <c r="S237" s="30" t="s">
        <v>96</v>
      </c>
      <c r="T237" s="30" t="s">
        <v>66</v>
      </c>
      <c r="U237" s="30">
        <v>9580903210</v>
      </c>
      <c r="V237" s="30" t="s">
        <v>52</v>
      </c>
    </row>
    <row r="238" spans="1:22" ht="15" thickBot="1" x14ac:dyDescent="0.4">
      <c r="A238" s="27" t="s">
        <v>344</v>
      </c>
      <c r="B238" s="27" t="s">
        <v>45</v>
      </c>
      <c r="C238" s="27" t="s">
        <v>125</v>
      </c>
      <c r="D238" s="28">
        <v>46141</v>
      </c>
      <c r="E238" s="28">
        <v>46145</v>
      </c>
      <c r="F238" s="27" t="s">
        <v>101</v>
      </c>
      <c r="G238" s="27" t="s">
        <v>26</v>
      </c>
      <c r="H238" s="28">
        <v>36359</v>
      </c>
      <c r="I238" s="27" t="s">
        <v>79</v>
      </c>
      <c r="J238" s="27" t="s">
        <v>75</v>
      </c>
      <c r="K238" s="27" t="s">
        <v>83</v>
      </c>
      <c r="L238" s="27" t="s">
        <v>127</v>
      </c>
      <c r="M238" s="27">
        <v>9</v>
      </c>
      <c r="N238" s="27">
        <v>20</v>
      </c>
      <c r="O238" s="27">
        <v>15</v>
      </c>
      <c r="P238" s="27">
        <v>153</v>
      </c>
      <c r="Q238" s="27">
        <v>3</v>
      </c>
      <c r="R238" s="27" t="s">
        <v>41</v>
      </c>
      <c r="S238" s="27" t="s">
        <v>80</v>
      </c>
      <c r="T238" s="27" t="s">
        <v>51</v>
      </c>
      <c r="U238" s="27">
        <v>9602152945</v>
      </c>
      <c r="V238" s="21" t="s">
        <v>34</v>
      </c>
    </row>
    <row r="239" spans="1:22" ht="15" thickBot="1" x14ac:dyDescent="0.4">
      <c r="A239" s="30" t="s">
        <v>345</v>
      </c>
      <c r="B239" s="30" t="s">
        <v>72</v>
      </c>
      <c r="C239" s="30" t="s">
        <v>105</v>
      </c>
      <c r="D239" s="31">
        <v>45795</v>
      </c>
      <c r="E239" s="31">
        <v>45797</v>
      </c>
      <c r="F239" s="30" t="s">
        <v>73</v>
      </c>
      <c r="G239" s="30" t="s">
        <v>26</v>
      </c>
      <c r="H239" s="31">
        <v>33118</v>
      </c>
      <c r="I239" s="30" t="s">
        <v>147</v>
      </c>
      <c r="J239" s="30" t="s">
        <v>148</v>
      </c>
      <c r="K239" s="30" t="s">
        <v>29</v>
      </c>
      <c r="L239" s="30" t="s">
        <v>107</v>
      </c>
      <c r="M239" s="30">
        <v>16</v>
      </c>
      <c r="N239" s="30">
        <v>8500</v>
      </c>
      <c r="O239" s="30">
        <v>0</v>
      </c>
      <c r="P239" s="30">
        <v>136000</v>
      </c>
      <c r="Q239" s="30">
        <v>4</v>
      </c>
      <c r="R239" s="30" t="s">
        <v>41</v>
      </c>
      <c r="S239" s="30" t="s">
        <v>32</v>
      </c>
      <c r="T239" s="30" t="s">
        <v>93</v>
      </c>
      <c r="U239" s="30">
        <v>9646917552</v>
      </c>
      <c r="V239" s="22" t="s">
        <v>34</v>
      </c>
    </row>
    <row r="240" spans="1:22" ht="15" thickBot="1" x14ac:dyDescent="0.4">
      <c r="A240" s="27" t="s">
        <v>346</v>
      </c>
      <c r="B240" s="27" t="s">
        <v>134</v>
      </c>
      <c r="C240" s="27" t="s">
        <v>68</v>
      </c>
      <c r="D240" s="28">
        <v>46107</v>
      </c>
      <c r="E240" s="28">
        <v>46109</v>
      </c>
      <c r="F240" s="27" t="s">
        <v>135</v>
      </c>
      <c r="G240" s="27" t="s">
        <v>26</v>
      </c>
      <c r="H240" s="28">
        <v>33818</v>
      </c>
      <c r="I240" s="27" t="s">
        <v>37</v>
      </c>
      <c r="J240" s="27" t="s">
        <v>38</v>
      </c>
      <c r="K240" s="27" t="s">
        <v>29</v>
      </c>
      <c r="L240" s="27" t="s">
        <v>70</v>
      </c>
      <c r="M240" s="27">
        <v>10</v>
      </c>
      <c r="N240" s="27">
        <v>3500</v>
      </c>
      <c r="O240" s="27">
        <v>5</v>
      </c>
      <c r="P240" s="27">
        <v>33250</v>
      </c>
      <c r="Q240" s="27">
        <v>3</v>
      </c>
      <c r="R240" s="27" t="s">
        <v>41</v>
      </c>
      <c r="S240" s="27" t="s">
        <v>80</v>
      </c>
      <c r="T240" s="27" t="s">
        <v>136</v>
      </c>
      <c r="U240" s="27">
        <v>9127548552</v>
      </c>
      <c r="V240" s="21" t="s">
        <v>34</v>
      </c>
    </row>
    <row r="241" spans="1:22" ht="15" thickBot="1" x14ac:dyDescent="0.4">
      <c r="A241" s="30" t="s">
        <v>347</v>
      </c>
      <c r="B241" s="30" t="s">
        <v>45</v>
      </c>
      <c r="C241" s="30" t="s">
        <v>36</v>
      </c>
      <c r="D241" s="31">
        <v>46041</v>
      </c>
      <c r="E241" s="31">
        <v>46049</v>
      </c>
      <c r="F241" s="30" t="s">
        <v>101</v>
      </c>
      <c r="G241" s="30" t="s">
        <v>26</v>
      </c>
      <c r="H241" s="31">
        <v>29260</v>
      </c>
      <c r="I241" s="30" t="s">
        <v>147</v>
      </c>
      <c r="J241" s="30" t="s">
        <v>148</v>
      </c>
      <c r="K241" s="30" t="s">
        <v>39</v>
      </c>
      <c r="L241" s="30" t="s">
        <v>40</v>
      </c>
      <c r="M241" s="30">
        <v>1</v>
      </c>
      <c r="N241" s="30">
        <v>12000</v>
      </c>
      <c r="O241" s="30">
        <v>0</v>
      </c>
      <c r="P241" s="30">
        <v>12000</v>
      </c>
      <c r="Q241" s="30">
        <v>5</v>
      </c>
      <c r="R241" s="30" t="s">
        <v>65</v>
      </c>
      <c r="S241" s="30" t="s">
        <v>80</v>
      </c>
      <c r="T241" s="30" t="s">
        <v>51</v>
      </c>
      <c r="U241" s="30">
        <v>9712805603</v>
      </c>
      <c r="V241" s="30" t="s">
        <v>52</v>
      </c>
    </row>
    <row r="242" spans="1:22" ht="29.5" thickBot="1" x14ac:dyDescent="0.4">
      <c r="A242" s="27" t="s">
        <v>348</v>
      </c>
      <c r="B242" s="27" t="s">
        <v>156</v>
      </c>
      <c r="C242" s="27" t="s">
        <v>138</v>
      </c>
      <c r="D242" s="28">
        <v>46144</v>
      </c>
      <c r="E242" s="28">
        <v>46152</v>
      </c>
      <c r="F242" s="27" t="s">
        <v>106</v>
      </c>
      <c r="G242" s="27" t="s">
        <v>58</v>
      </c>
      <c r="H242" s="28">
        <v>32557</v>
      </c>
      <c r="I242" s="27" t="s">
        <v>147</v>
      </c>
      <c r="J242" s="27" t="s">
        <v>148</v>
      </c>
      <c r="K242" s="27" t="s">
        <v>83</v>
      </c>
      <c r="L242" s="27" t="s">
        <v>139</v>
      </c>
      <c r="M242" s="27">
        <v>19</v>
      </c>
      <c r="N242" s="27">
        <v>45</v>
      </c>
      <c r="O242" s="27">
        <v>15</v>
      </c>
      <c r="P242" s="27">
        <v>726.75</v>
      </c>
      <c r="Q242" s="27">
        <v>2</v>
      </c>
      <c r="R242" s="27" t="s">
        <v>65</v>
      </c>
      <c r="S242" s="27" t="s">
        <v>96</v>
      </c>
      <c r="T242" s="27" t="s">
        <v>158</v>
      </c>
      <c r="U242" s="27">
        <v>9798313682</v>
      </c>
      <c r="V242" s="27" t="s">
        <v>52</v>
      </c>
    </row>
    <row r="243" spans="1:22" ht="15" thickBot="1" x14ac:dyDescent="0.4">
      <c r="A243" s="30" t="s">
        <v>349</v>
      </c>
      <c r="B243" s="30" t="s">
        <v>23</v>
      </c>
      <c r="C243" s="30" t="s">
        <v>46</v>
      </c>
      <c r="D243" s="31">
        <v>45961</v>
      </c>
      <c r="E243" s="31">
        <v>45963</v>
      </c>
      <c r="F243" s="30" t="s">
        <v>25</v>
      </c>
      <c r="G243" s="30" t="s">
        <v>26</v>
      </c>
      <c r="H243" s="31">
        <v>34222</v>
      </c>
      <c r="I243" s="30" t="s">
        <v>37</v>
      </c>
      <c r="J243" s="30" t="s">
        <v>38</v>
      </c>
      <c r="K243" s="30" t="s">
        <v>39</v>
      </c>
      <c r="L243" s="30" t="s">
        <v>49</v>
      </c>
      <c r="M243" s="30">
        <v>13</v>
      </c>
      <c r="N243" s="30">
        <v>55000</v>
      </c>
      <c r="O243" s="30">
        <v>5</v>
      </c>
      <c r="P243" s="30">
        <v>679250</v>
      </c>
      <c r="Q243" s="30">
        <v>4</v>
      </c>
      <c r="R243" s="30" t="s">
        <v>60</v>
      </c>
      <c r="S243" s="30" t="s">
        <v>42</v>
      </c>
      <c r="T243" s="30" t="s">
        <v>43</v>
      </c>
      <c r="U243" s="30">
        <v>9642822397</v>
      </c>
      <c r="V243" s="30" t="s">
        <v>53</v>
      </c>
    </row>
    <row r="244" spans="1:22" ht="15" thickBot="1" x14ac:dyDescent="0.4">
      <c r="A244" s="27" t="s">
        <v>350</v>
      </c>
      <c r="B244" s="27" t="s">
        <v>63</v>
      </c>
      <c r="C244" s="27" t="s">
        <v>138</v>
      </c>
      <c r="D244" s="28">
        <v>45858</v>
      </c>
      <c r="E244" s="28">
        <v>45864</v>
      </c>
      <c r="F244" s="27" t="s">
        <v>110</v>
      </c>
      <c r="G244" s="27" t="s">
        <v>58</v>
      </c>
      <c r="H244" s="28">
        <v>29907</v>
      </c>
      <c r="I244" s="27" t="s">
        <v>74</v>
      </c>
      <c r="J244" s="27" t="s">
        <v>75</v>
      </c>
      <c r="K244" s="27" t="s">
        <v>83</v>
      </c>
      <c r="L244" s="27" t="s">
        <v>139</v>
      </c>
      <c r="M244" s="27">
        <v>2</v>
      </c>
      <c r="N244" s="27">
        <v>45</v>
      </c>
      <c r="O244" s="27">
        <v>15</v>
      </c>
      <c r="P244" s="27">
        <v>76.5</v>
      </c>
      <c r="Q244" s="27">
        <v>1</v>
      </c>
      <c r="R244" s="27" t="s">
        <v>41</v>
      </c>
      <c r="S244" s="27" t="s">
        <v>80</v>
      </c>
      <c r="T244" s="27" t="s">
        <v>66</v>
      </c>
      <c r="U244" s="27">
        <v>9490067655</v>
      </c>
      <c r="V244" s="21" t="s">
        <v>34</v>
      </c>
    </row>
    <row r="245" spans="1:22" ht="15" thickBot="1" x14ac:dyDescent="0.4">
      <c r="A245" s="30" t="s">
        <v>351</v>
      </c>
      <c r="B245" s="30" t="s">
        <v>72</v>
      </c>
      <c r="C245" s="30" t="s">
        <v>125</v>
      </c>
      <c r="D245" s="31">
        <v>45707</v>
      </c>
      <c r="E245" s="31">
        <v>45712</v>
      </c>
      <c r="F245" s="30" t="s">
        <v>73</v>
      </c>
      <c r="G245" s="30" t="s">
        <v>26</v>
      </c>
      <c r="H245" s="31">
        <v>37857</v>
      </c>
      <c r="I245" s="30" t="s">
        <v>27</v>
      </c>
      <c r="J245" s="30" t="s">
        <v>28</v>
      </c>
      <c r="K245" s="30" t="s">
        <v>83</v>
      </c>
      <c r="L245" s="30" t="s">
        <v>127</v>
      </c>
      <c r="M245" s="30">
        <v>8</v>
      </c>
      <c r="N245" s="30">
        <v>20</v>
      </c>
      <c r="O245" s="30">
        <v>15</v>
      </c>
      <c r="P245" s="30">
        <v>136</v>
      </c>
      <c r="Q245" s="30">
        <v>1</v>
      </c>
      <c r="R245" s="30" t="s">
        <v>60</v>
      </c>
      <c r="S245" s="30" t="s">
        <v>32</v>
      </c>
      <c r="T245" s="30" t="s">
        <v>93</v>
      </c>
      <c r="U245" s="30">
        <v>9389792144</v>
      </c>
      <c r="V245" s="30" t="s">
        <v>52</v>
      </c>
    </row>
    <row r="246" spans="1:22" ht="15" thickBot="1" x14ac:dyDescent="0.4">
      <c r="A246" s="27" t="s">
        <v>352</v>
      </c>
      <c r="B246" s="27" t="s">
        <v>104</v>
      </c>
      <c r="C246" s="27" t="s">
        <v>36</v>
      </c>
      <c r="D246" s="28">
        <v>45767</v>
      </c>
      <c r="E246" s="28">
        <v>45778</v>
      </c>
      <c r="F246" s="27" t="s">
        <v>166</v>
      </c>
      <c r="G246" s="27" t="s">
        <v>26</v>
      </c>
      <c r="H246" s="28">
        <v>31247</v>
      </c>
      <c r="I246" s="27" t="s">
        <v>27</v>
      </c>
      <c r="J246" s="27" t="s">
        <v>28</v>
      </c>
      <c r="K246" s="27" t="s">
        <v>39</v>
      </c>
      <c r="L246" s="27" t="s">
        <v>40</v>
      </c>
      <c r="M246" s="27">
        <v>9</v>
      </c>
      <c r="N246" s="27">
        <v>12000</v>
      </c>
      <c r="O246" s="27">
        <v>5</v>
      </c>
      <c r="P246" s="27">
        <v>102600</v>
      </c>
      <c r="Q246" s="27">
        <v>2</v>
      </c>
      <c r="R246" s="27" t="s">
        <v>60</v>
      </c>
      <c r="S246" s="27" t="s">
        <v>32</v>
      </c>
      <c r="T246" s="27" t="s">
        <v>108</v>
      </c>
      <c r="U246" s="27">
        <v>9736113863</v>
      </c>
      <c r="V246" s="27" t="s">
        <v>53</v>
      </c>
    </row>
    <row r="247" spans="1:22" ht="15" thickBot="1" x14ac:dyDescent="0.4">
      <c r="A247" s="30" t="s">
        <v>353</v>
      </c>
      <c r="B247" s="30" t="s">
        <v>55</v>
      </c>
      <c r="C247" s="30" t="s">
        <v>68</v>
      </c>
      <c r="D247" s="31">
        <v>45813</v>
      </c>
      <c r="E247" s="31">
        <v>45821</v>
      </c>
      <c r="F247" s="30" t="s">
        <v>57</v>
      </c>
      <c r="G247" s="30" t="s">
        <v>58</v>
      </c>
      <c r="H247" s="31">
        <v>34464</v>
      </c>
      <c r="I247" s="30" t="s">
        <v>147</v>
      </c>
      <c r="J247" s="30" t="s">
        <v>148</v>
      </c>
      <c r="K247" s="30" t="s">
        <v>29</v>
      </c>
      <c r="L247" s="30" t="s">
        <v>70</v>
      </c>
      <c r="M247" s="30">
        <v>3</v>
      </c>
      <c r="N247" s="30">
        <v>3500</v>
      </c>
      <c r="O247" s="30">
        <v>15</v>
      </c>
      <c r="P247" s="30">
        <v>8925</v>
      </c>
      <c r="Q247" s="30">
        <v>1</v>
      </c>
      <c r="R247" s="30" t="s">
        <v>31</v>
      </c>
      <c r="S247" s="30" t="s">
        <v>42</v>
      </c>
      <c r="T247" s="30" t="s">
        <v>61</v>
      </c>
      <c r="U247" s="30">
        <v>9324634732</v>
      </c>
      <c r="V247" s="30" t="s">
        <v>53</v>
      </c>
    </row>
    <row r="248" spans="1:22" ht="15" thickBot="1" x14ac:dyDescent="0.4">
      <c r="A248" s="27" t="s">
        <v>354</v>
      </c>
      <c r="B248" s="27" t="s">
        <v>72</v>
      </c>
      <c r="C248" s="27" t="s">
        <v>112</v>
      </c>
      <c r="D248" s="28">
        <v>45797</v>
      </c>
      <c r="E248" s="28">
        <v>45800</v>
      </c>
      <c r="F248" s="27" t="s">
        <v>73</v>
      </c>
      <c r="G248" s="27" t="s">
        <v>26</v>
      </c>
      <c r="H248" s="28">
        <v>34051</v>
      </c>
      <c r="I248" s="27" t="s">
        <v>27</v>
      </c>
      <c r="J248" s="27" t="s">
        <v>28</v>
      </c>
      <c r="K248" s="27" t="s">
        <v>39</v>
      </c>
      <c r="L248" s="27" t="s">
        <v>114</v>
      </c>
      <c r="M248" s="27">
        <v>18</v>
      </c>
      <c r="N248" s="27">
        <v>700</v>
      </c>
      <c r="O248" s="27">
        <v>20</v>
      </c>
      <c r="P248" s="27">
        <v>10080</v>
      </c>
      <c r="Q248" s="27">
        <v>1</v>
      </c>
      <c r="R248" s="27" t="s">
        <v>60</v>
      </c>
      <c r="S248" s="27" t="s">
        <v>96</v>
      </c>
      <c r="T248" s="27" t="s">
        <v>93</v>
      </c>
      <c r="U248" s="27">
        <v>9529968110</v>
      </c>
      <c r="V248" s="21" t="s">
        <v>34</v>
      </c>
    </row>
    <row r="249" spans="1:22" ht="15" thickBot="1" x14ac:dyDescent="0.4">
      <c r="A249" s="30" t="s">
        <v>355</v>
      </c>
      <c r="B249" s="30" t="s">
        <v>55</v>
      </c>
      <c r="C249" s="30" t="s">
        <v>68</v>
      </c>
      <c r="D249" s="31">
        <v>46046</v>
      </c>
      <c r="E249" s="31">
        <v>46053</v>
      </c>
      <c r="F249" s="30" t="s">
        <v>57</v>
      </c>
      <c r="G249" s="30" t="s">
        <v>58</v>
      </c>
      <c r="H249" s="31">
        <v>29019</v>
      </c>
      <c r="I249" s="30" t="s">
        <v>79</v>
      </c>
      <c r="J249" s="30" t="s">
        <v>75</v>
      </c>
      <c r="K249" s="30" t="s">
        <v>29</v>
      </c>
      <c r="L249" s="30" t="s">
        <v>70</v>
      </c>
      <c r="M249" s="30">
        <v>14</v>
      </c>
      <c r="N249" s="30">
        <v>3500</v>
      </c>
      <c r="O249" s="30">
        <v>5</v>
      </c>
      <c r="P249" s="30">
        <v>46550</v>
      </c>
      <c r="Q249" s="30">
        <v>1</v>
      </c>
      <c r="R249" s="30" t="s">
        <v>31</v>
      </c>
      <c r="S249" s="30" t="s">
        <v>50</v>
      </c>
      <c r="T249" s="30" t="s">
        <v>61</v>
      </c>
      <c r="U249" s="30">
        <v>9102417647</v>
      </c>
      <c r="V249" s="22" t="s">
        <v>34</v>
      </c>
    </row>
    <row r="250" spans="1:22" ht="15" thickBot="1" x14ac:dyDescent="0.4">
      <c r="A250" s="27" t="s">
        <v>356</v>
      </c>
      <c r="B250" s="27" t="s">
        <v>72</v>
      </c>
      <c r="C250" s="27" t="s">
        <v>112</v>
      </c>
      <c r="D250" s="28">
        <v>45810</v>
      </c>
      <c r="E250" s="28">
        <v>45812</v>
      </c>
      <c r="F250" s="27" t="s">
        <v>73</v>
      </c>
      <c r="G250" s="27" t="s">
        <v>26</v>
      </c>
      <c r="H250" s="28">
        <v>33262</v>
      </c>
      <c r="I250" s="27" t="s">
        <v>147</v>
      </c>
      <c r="J250" s="27" t="s">
        <v>148</v>
      </c>
      <c r="K250" s="27" t="s">
        <v>39</v>
      </c>
      <c r="L250" s="27" t="s">
        <v>114</v>
      </c>
      <c r="M250" s="27">
        <v>6</v>
      </c>
      <c r="N250" s="27">
        <v>700</v>
      </c>
      <c r="O250" s="27">
        <v>5</v>
      </c>
      <c r="P250" s="27">
        <v>3990</v>
      </c>
      <c r="Q250" s="27">
        <v>5</v>
      </c>
      <c r="R250" s="27" t="s">
        <v>31</v>
      </c>
      <c r="S250" s="27" t="s">
        <v>32</v>
      </c>
      <c r="T250" s="27" t="s">
        <v>93</v>
      </c>
      <c r="U250" s="27">
        <v>9630302865</v>
      </c>
      <c r="V250" s="21" t="s">
        <v>34</v>
      </c>
    </row>
    <row r="251" spans="1:22" ht="15" thickBot="1" x14ac:dyDescent="0.4">
      <c r="A251" s="30" t="s">
        <v>357</v>
      </c>
      <c r="B251" s="30" t="s">
        <v>72</v>
      </c>
      <c r="C251" s="30" t="s">
        <v>68</v>
      </c>
      <c r="D251" s="31">
        <v>45819</v>
      </c>
      <c r="E251" s="31">
        <v>45827</v>
      </c>
      <c r="F251" s="30" t="s">
        <v>73</v>
      </c>
      <c r="G251" s="30" t="s">
        <v>26</v>
      </c>
      <c r="H251" s="31">
        <v>38039</v>
      </c>
      <c r="I251" s="30" t="s">
        <v>74</v>
      </c>
      <c r="J251" s="30" t="s">
        <v>75</v>
      </c>
      <c r="K251" s="30" t="s">
        <v>29</v>
      </c>
      <c r="L251" s="30" t="s">
        <v>70</v>
      </c>
      <c r="M251" s="30">
        <v>17</v>
      </c>
      <c r="N251" s="30">
        <v>3500</v>
      </c>
      <c r="O251" s="30">
        <v>15</v>
      </c>
      <c r="P251" s="30">
        <v>50575</v>
      </c>
      <c r="Q251" s="30">
        <v>3</v>
      </c>
      <c r="R251" s="30" t="s">
        <v>41</v>
      </c>
      <c r="S251" s="30" t="s">
        <v>42</v>
      </c>
      <c r="T251" s="30" t="s">
        <v>93</v>
      </c>
      <c r="U251" s="30">
        <v>9465353780</v>
      </c>
      <c r="V251" s="30" t="s">
        <v>52</v>
      </c>
    </row>
    <row r="252" spans="1:22" ht="15" thickBot="1" x14ac:dyDescent="0.4">
      <c r="A252" s="27" t="s">
        <v>358</v>
      </c>
      <c r="B252" s="27" t="s">
        <v>134</v>
      </c>
      <c r="C252" s="27" t="s">
        <v>125</v>
      </c>
      <c r="D252" s="28">
        <v>46038</v>
      </c>
      <c r="E252" s="28">
        <v>46046</v>
      </c>
      <c r="F252" s="27" t="s">
        <v>135</v>
      </c>
      <c r="G252" s="27" t="s">
        <v>26</v>
      </c>
      <c r="H252" s="28">
        <v>28240</v>
      </c>
      <c r="I252" s="27" t="s">
        <v>147</v>
      </c>
      <c r="J252" s="27" t="s">
        <v>148</v>
      </c>
      <c r="K252" s="27" t="s">
        <v>83</v>
      </c>
      <c r="L252" s="27" t="s">
        <v>127</v>
      </c>
      <c r="M252" s="27">
        <v>7</v>
      </c>
      <c r="N252" s="27">
        <v>20</v>
      </c>
      <c r="O252" s="27">
        <v>5</v>
      </c>
      <c r="P252" s="27">
        <v>133</v>
      </c>
      <c r="Q252" s="27">
        <v>2</v>
      </c>
      <c r="R252" s="27" t="s">
        <v>65</v>
      </c>
      <c r="S252" s="27" t="s">
        <v>96</v>
      </c>
      <c r="T252" s="27" t="s">
        <v>136</v>
      </c>
      <c r="U252" s="27">
        <v>9837426414</v>
      </c>
      <c r="V252" s="21" t="s">
        <v>34</v>
      </c>
    </row>
    <row r="253" spans="1:22" ht="15" thickBot="1" x14ac:dyDescent="0.4">
      <c r="A253" s="30" t="s">
        <v>359</v>
      </c>
      <c r="B253" s="30" t="s">
        <v>23</v>
      </c>
      <c r="C253" s="30" t="s">
        <v>24</v>
      </c>
      <c r="D253" s="31">
        <v>46073</v>
      </c>
      <c r="E253" s="31">
        <v>46085</v>
      </c>
      <c r="F253" s="30" t="s">
        <v>25</v>
      </c>
      <c r="G253" s="30" t="s">
        <v>26</v>
      </c>
      <c r="H253" s="31">
        <v>34537</v>
      </c>
      <c r="I253" s="30" t="s">
        <v>48</v>
      </c>
      <c r="J253" s="30" t="s">
        <v>28</v>
      </c>
      <c r="K253" s="30" t="s">
        <v>29</v>
      </c>
      <c r="L253" s="30" t="s">
        <v>30</v>
      </c>
      <c r="M253" s="30">
        <v>15</v>
      </c>
      <c r="N253" s="30">
        <v>2200</v>
      </c>
      <c r="O253" s="30">
        <v>20</v>
      </c>
      <c r="P253" s="30">
        <v>26400</v>
      </c>
      <c r="Q253" s="30">
        <v>2</v>
      </c>
      <c r="R253" s="30" t="s">
        <v>31</v>
      </c>
      <c r="S253" s="30" t="s">
        <v>50</v>
      </c>
      <c r="T253" s="30" t="s">
        <v>43</v>
      </c>
      <c r="U253" s="30">
        <v>9249918272</v>
      </c>
      <c r="V253" s="22" t="s">
        <v>34</v>
      </c>
    </row>
    <row r="254" spans="1:22" ht="15" thickBot="1" x14ac:dyDescent="0.4">
      <c r="A254" s="27" t="s">
        <v>360</v>
      </c>
      <c r="B254" s="27" t="s">
        <v>55</v>
      </c>
      <c r="C254" s="27" t="s">
        <v>125</v>
      </c>
      <c r="D254" s="28">
        <v>46070</v>
      </c>
      <c r="E254" s="28">
        <v>46078</v>
      </c>
      <c r="F254" s="27" t="s">
        <v>57</v>
      </c>
      <c r="G254" s="27" t="s">
        <v>58</v>
      </c>
      <c r="H254" s="28">
        <v>29170</v>
      </c>
      <c r="I254" s="27" t="s">
        <v>74</v>
      </c>
      <c r="J254" s="27" t="s">
        <v>75</v>
      </c>
      <c r="K254" s="27" t="s">
        <v>83</v>
      </c>
      <c r="L254" s="27" t="s">
        <v>127</v>
      </c>
      <c r="M254" s="27">
        <v>5</v>
      </c>
      <c r="N254" s="27">
        <v>20</v>
      </c>
      <c r="O254" s="27">
        <v>0</v>
      </c>
      <c r="P254" s="27">
        <v>100</v>
      </c>
      <c r="Q254" s="27">
        <v>3</v>
      </c>
      <c r="R254" s="27" t="s">
        <v>31</v>
      </c>
      <c r="S254" s="27" t="s">
        <v>96</v>
      </c>
      <c r="T254" s="27" t="s">
        <v>61</v>
      </c>
      <c r="U254" s="27">
        <v>9265580582</v>
      </c>
      <c r="V254" s="21" t="s">
        <v>34</v>
      </c>
    </row>
    <row r="255" spans="1:22" ht="15" thickBot="1" x14ac:dyDescent="0.4">
      <c r="A255" s="30" t="s">
        <v>361</v>
      </c>
      <c r="B255" s="30" t="s">
        <v>87</v>
      </c>
      <c r="C255" s="30" t="s">
        <v>36</v>
      </c>
      <c r="D255" s="31">
        <v>45847</v>
      </c>
      <c r="E255" s="31">
        <v>45852</v>
      </c>
      <c r="F255" s="30" t="s">
        <v>88</v>
      </c>
      <c r="G255" s="30" t="s">
        <v>58</v>
      </c>
      <c r="H255" s="31">
        <v>34846</v>
      </c>
      <c r="I255" s="30" t="s">
        <v>37</v>
      </c>
      <c r="J255" s="30" t="s">
        <v>38</v>
      </c>
      <c r="K255" s="30" t="s">
        <v>39</v>
      </c>
      <c r="L255" s="30" t="s">
        <v>40</v>
      </c>
      <c r="M255" s="30">
        <v>8</v>
      </c>
      <c r="N255" s="30">
        <v>12000</v>
      </c>
      <c r="O255" s="30">
        <v>20</v>
      </c>
      <c r="P255" s="30">
        <v>76800</v>
      </c>
      <c r="Q255" s="30">
        <v>3</v>
      </c>
      <c r="R255" s="30" t="s">
        <v>60</v>
      </c>
      <c r="S255" s="30" t="s">
        <v>50</v>
      </c>
      <c r="T255" s="30" t="s">
        <v>89</v>
      </c>
      <c r="U255" s="30">
        <v>9751049833</v>
      </c>
      <c r="V255" s="30" t="s">
        <v>52</v>
      </c>
    </row>
    <row r="256" spans="1:22" ht="15" thickBot="1" x14ac:dyDescent="0.4">
      <c r="A256" s="27" t="s">
        <v>362</v>
      </c>
      <c r="B256" s="27" t="s">
        <v>87</v>
      </c>
      <c r="C256" s="27" t="s">
        <v>68</v>
      </c>
      <c r="D256" s="28">
        <v>45696</v>
      </c>
      <c r="E256" s="28">
        <v>45704</v>
      </c>
      <c r="F256" s="27" t="s">
        <v>88</v>
      </c>
      <c r="G256" s="27" t="s">
        <v>58</v>
      </c>
      <c r="H256" s="28">
        <v>35964</v>
      </c>
      <c r="I256" s="27" t="s">
        <v>74</v>
      </c>
      <c r="J256" s="27" t="s">
        <v>75</v>
      </c>
      <c r="K256" s="27" t="s">
        <v>29</v>
      </c>
      <c r="L256" s="27" t="s">
        <v>70</v>
      </c>
      <c r="M256" s="27">
        <v>4</v>
      </c>
      <c r="N256" s="27">
        <v>3500</v>
      </c>
      <c r="O256" s="27">
        <v>20</v>
      </c>
      <c r="P256" s="27">
        <v>11200</v>
      </c>
      <c r="Q256" s="27">
        <v>1</v>
      </c>
      <c r="R256" s="27" t="s">
        <v>60</v>
      </c>
      <c r="S256" s="27" t="s">
        <v>80</v>
      </c>
      <c r="T256" s="27" t="s">
        <v>89</v>
      </c>
      <c r="U256" s="27">
        <v>9741671507</v>
      </c>
      <c r="V256" s="21" t="s">
        <v>34</v>
      </c>
    </row>
    <row r="257" spans="1:22" ht="15" thickBot="1" x14ac:dyDescent="0.4">
      <c r="A257" s="30" t="s">
        <v>363</v>
      </c>
      <c r="B257" s="30" t="s">
        <v>124</v>
      </c>
      <c r="C257" s="30" t="s">
        <v>138</v>
      </c>
      <c r="D257" s="31">
        <v>45713</v>
      </c>
      <c r="E257" s="31">
        <v>45720</v>
      </c>
      <c r="F257" s="30" t="s">
        <v>126</v>
      </c>
      <c r="G257" s="30" t="s">
        <v>58</v>
      </c>
      <c r="H257" s="31">
        <v>30337</v>
      </c>
      <c r="I257" s="30" t="s">
        <v>27</v>
      </c>
      <c r="J257" s="30" t="s">
        <v>28</v>
      </c>
      <c r="K257" s="30" t="s">
        <v>83</v>
      </c>
      <c r="L257" s="30" t="s">
        <v>139</v>
      </c>
      <c r="M257" s="30">
        <v>19</v>
      </c>
      <c r="N257" s="30">
        <v>45</v>
      </c>
      <c r="O257" s="30">
        <v>10</v>
      </c>
      <c r="P257" s="30">
        <v>769.5</v>
      </c>
      <c r="Q257" s="30">
        <v>1</v>
      </c>
      <c r="R257" s="30" t="s">
        <v>31</v>
      </c>
      <c r="S257" s="30" t="s">
        <v>80</v>
      </c>
      <c r="T257" s="30" t="s">
        <v>128</v>
      </c>
      <c r="U257" s="30">
        <v>9367541035</v>
      </c>
      <c r="V257" s="22" t="s">
        <v>34</v>
      </c>
    </row>
    <row r="258" spans="1:22" ht="15" thickBot="1" x14ac:dyDescent="0.4">
      <c r="A258" s="27" t="s">
        <v>364</v>
      </c>
      <c r="B258" s="27" t="s">
        <v>45</v>
      </c>
      <c r="C258" s="27" t="s">
        <v>138</v>
      </c>
      <c r="D258" s="28">
        <v>46049</v>
      </c>
      <c r="E258" s="28">
        <v>46059</v>
      </c>
      <c r="F258" s="27" t="s">
        <v>101</v>
      </c>
      <c r="G258" s="27" t="s">
        <v>26</v>
      </c>
      <c r="H258" s="28">
        <v>28552</v>
      </c>
      <c r="I258" s="27" t="s">
        <v>79</v>
      </c>
      <c r="J258" s="27" t="s">
        <v>75</v>
      </c>
      <c r="K258" s="27" t="s">
        <v>83</v>
      </c>
      <c r="L258" s="27" t="s">
        <v>139</v>
      </c>
      <c r="M258" s="27">
        <v>10</v>
      </c>
      <c r="N258" s="27">
        <v>45</v>
      </c>
      <c r="O258" s="27">
        <v>0</v>
      </c>
      <c r="P258" s="27">
        <v>450</v>
      </c>
      <c r="Q258" s="27">
        <v>4</v>
      </c>
      <c r="R258" s="27" t="s">
        <v>65</v>
      </c>
      <c r="S258" s="27" t="s">
        <v>50</v>
      </c>
      <c r="T258" s="27" t="s">
        <v>51</v>
      </c>
      <c r="U258" s="27">
        <v>9323696971</v>
      </c>
      <c r="V258" s="21" t="s">
        <v>34</v>
      </c>
    </row>
    <row r="259" spans="1:22" ht="15" thickBot="1" x14ac:dyDescent="0.4">
      <c r="A259" s="30" t="s">
        <v>365</v>
      </c>
      <c r="B259" s="30" t="s">
        <v>45</v>
      </c>
      <c r="C259" s="30" t="s">
        <v>138</v>
      </c>
      <c r="D259" s="31">
        <v>46030</v>
      </c>
      <c r="E259" s="31">
        <v>46039</v>
      </c>
      <c r="F259" s="30" t="s">
        <v>101</v>
      </c>
      <c r="G259" s="30" t="s">
        <v>26</v>
      </c>
      <c r="H259" s="31">
        <v>35605</v>
      </c>
      <c r="I259" s="30" t="s">
        <v>27</v>
      </c>
      <c r="J259" s="30" t="s">
        <v>28</v>
      </c>
      <c r="K259" s="30" t="s">
        <v>83</v>
      </c>
      <c r="L259" s="30" t="s">
        <v>139</v>
      </c>
      <c r="M259" s="30">
        <v>16</v>
      </c>
      <c r="N259" s="30">
        <v>45</v>
      </c>
      <c r="O259" s="30">
        <v>15</v>
      </c>
      <c r="P259" s="30">
        <v>612</v>
      </c>
      <c r="Q259" s="30">
        <v>3</v>
      </c>
      <c r="R259" s="30" t="s">
        <v>31</v>
      </c>
      <c r="S259" s="30" t="s">
        <v>80</v>
      </c>
      <c r="T259" s="30" t="s">
        <v>51</v>
      </c>
      <c r="U259" s="30">
        <v>9786384529</v>
      </c>
      <c r="V259" s="30" t="s">
        <v>53</v>
      </c>
    </row>
    <row r="260" spans="1:22" ht="15" thickBot="1" x14ac:dyDescent="0.4">
      <c r="A260" s="27" t="s">
        <v>366</v>
      </c>
      <c r="B260" s="27" t="s">
        <v>104</v>
      </c>
      <c r="C260" s="27" t="s">
        <v>105</v>
      </c>
      <c r="D260" s="28">
        <v>45741</v>
      </c>
      <c r="E260" s="28">
        <v>45743</v>
      </c>
      <c r="F260" s="27" t="s">
        <v>166</v>
      </c>
      <c r="G260" s="27" t="s">
        <v>26</v>
      </c>
      <c r="H260" s="28">
        <v>27997</v>
      </c>
      <c r="I260" s="27" t="s">
        <v>79</v>
      </c>
      <c r="J260" s="27" t="s">
        <v>75</v>
      </c>
      <c r="K260" s="27" t="s">
        <v>29</v>
      </c>
      <c r="L260" s="27" t="s">
        <v>107</v>
      </c>
      <c r="M260" s="27">
        <v>16</v>
      </c>
      <c r="N260" s="27">
        <v>8500</v>
      </c>
      <c r="O260" s="27">
        <v>15</v>
      </c>
      <c r="P260" s="27">
        <v>115600</v>
      </c>
      <c r="Q260" s="27">
        <v>4</v>
      </c>
      <c r="R260" s="27" t="s">
        <v>41</v>
      </c>
      <c r="S260" s="27" t="s">
        <v>32</v>
      </c>
      <c r="T260" s="27" t="s">
        <v>108</v>
      </c>
      <c r="U260" s="27">
        <v>9444900541</v>
      </c>
      <c r="V260" s="27" t="s">
        <v>53</v>
      </c>
    </row>
    <row r="261" spans="1:22" ht="15" thickBot="1" x14ac:dyDescent="0.4">
      <c r="A261" s="30" t="s">
        <v>367</v>
      </c>
      <c r="B261" s="30" t="s">
        <v>104</v>
      </c>
      <c r="C261" s="30" t="s">
        <v>125</v>
      </c>
      <c r="D261" s="31">
        <v>45901</v>
      </c>
      <c r="E261" s="31">
        <v>45912</v>
      </c>
      <c r="F261" s="30" t="s">
        <v>166</v>
      </c>
      <c r="G261" s="30" t="s">
        <v>26</v>
      </c>
      <c r="H261" s="31">
        <v>35159</v>
      </c>
      <c r="I261" s="30" t="s">
        <v>147</v>
      </c>
      <c r="J261" s="30" t="s">
        <v>148</v>
      </c>
      <c r="K261" s="30" t="s">
        <v>83</v>
      </c>
      <c r="L261" s="30" t="s">
        <v>127</v>
      </c>
      <c r="M261" s="30">
        <v>15</v>
      </c>
      <c r="N261" s="30">
        <v>20</v>
      </c>
      <c r="O261" s="30">
        <v>20</v>
      </c>
      <c r="P261" s="30">
        <v>240</v>
      </c>
      <c r="Q261" s="30">
        <v>3</v>
      </c>
      <c r="R261" s="30" t="s">
        <v>41</v>
      </c>
      <c r="S261" s="30" t="s">
        <v>42</v>
      </c>
      <c r="T261" s="30" t="s">
        <v>108</v>
      </c>
      <c r="U261" s="30">
        <v>9108024911</v>
      </c>
      <c r="V261" s="30" t="s">
        <v>53</v>
      </c>
    </row>
    <row r="262" spans="1:22" ht="15" thickBot="1" x14ac:dyDescent="0.4">
      <c r="A262" s="27" t="s">
        <v>368</v>
      </c>
      <c r="B262" s="27" t="s">
        <v>63</v>
      </c>
      <c r="C262" s="27" t="s">
        <v>82</v>
      </c>
      <c r="D262" s="28">
        <v>46031</v>
      </c>
      <c r="E262" s="28">
        <v>46035</v>
      </c>
      <c r="F262" s="27" t="s">
        <v>110</v>
      </c>
      <c r="G262" s="27" t="s">
        <v>58</v>
      </c>
      <c r="H262" s="28">
        <v>37173</v>
      </c>
      <c r="I262" s="27" t="s">
        <v>48</v>
      </c>
      <c r="J262" s="27" t="s">
        <v>28</v>
      </c>
      <c r="K262" s="27" t="s">
        <v>83</v>
      </c>
      <c r="L262" s="27" t="s">
        <v>84</v>
      </c>
      <c r="M262" s="27">
        <v>14</v>
      </c>
      <c r="N262" s="27">
        <v>60</v>
      </c>
      <c r="O262" s="27">
        <v>5</v>
      </c>
      <c r="P262" s="27">
        <v>798</v>
      </c>
      <c r="Q262" s="27">
        <v>4</v>
      </c>
      <c r="R262" s="27" t="s">
        <v>31</v>
      </c>
      <c r="S262" s="27" t="s">
        <v>42</v>
      </c>
      <c r="T262" s="27" t="s">
        <v>66</v>
      </c>
      <c r="U262" s="27">
        <v>9897181325</v>
      </c>
      <c r="V262" s="21" t="s">
        <v>34</v>
      </c>
    </row>
    <row r="263" spans="1:22" ht="15" thickBot="1" x14ac:dyDescent="0.4">
      <c r="A263" s="30" t="s">
        <v>369</v>
      </c>
      <c r="B263" s="30" t="s">
        <v>45</v>
      </c>
      <c r="C263" s="30" t="s">
        <v>56</v>
      </c>
      <c r="D263" s="31">
        <v>46158</v>
      </c>
      <c r="E263" s="31">
        <v>46161</v>
      </c>
      <c r="F263" s="30" t="s">
        <v>101</v>
      </c>
      <c r="G263" s="30" t="s">
        <v>26</v>
      </c>
      <c r="H263" s="31">
        <v>34800</v>
      </c>
      <c r="I263" s="30" t="s">
        <v>74</v>
      </c>
      <c r="J263" s="30" t="s">
        <v>75</v>
      </c>
      <c r="K263" s="30" t="s">
        <v>39</v>
      </c>
      <c r="L263" s="30" t="s">
        <v>59</v>
      </c>
      <c r="M263" s="30">
        <v>19</v>
      </c>
      <c r="N263" s="30">
        <v>1200</v>
      </c>
      <c r="O263" s="30">
        <v>20</v>
      </c>
      <c r="P263" s="30">
        <v>18240</v>
      </c>
      <c r="Q263" s="30">
        <v>2</v>
      </c>
      <c r="R263" s="30" t="s">
        <v>31</v>
      </c>
      <c r="S263" s="30" t="s">
        <v>80</v>
      </c>
      <c r="T263" s="30" t="s">
        <v>51</v>
      </c>
      <c r="U263" s="30">
        <v>9554719621</v>
      </c>
      <c r="V263" s="30" t="s">
        <v>53</v>
      </c>
    </row>
    <row r="264" spans="1:22" ht="15" thickBot="1" x14ac:dyDescent="0.4">
      <c r="A264" s="27" t="s">
        <v>370</v>
      </c>
      <c r="B264" s="27" t="s">
        <v>23</v>
      </c>
      <c r="C264" s="27" t="s">
        <v>138</v>
      </c>
      <c r="D264" s="28">
        <v>45943</v>
      </c>
      <c r="E264" s="28">
        <v>45944</v>
      </c>
      <c r="F264" s="27" t="s">
        <v>25</v>
      </c>
      <c r="G264" s="27" t="s">
        <v>26</v>
      </c>
      <c r="H264" s="28">
        <v>36650</v>
      </c>
      <c r="I264" s="27" t="s">
        <v>48</v>
      </c>
      <c r="J264" s="27" t="s">
        <v>28</v>
      </c>
      <c r="K264" s="27" t="s">
        <v>83</v>
      </c>
      <c r="L264" s="27" t="s">
        <v>139</v>
      </c>
      <c r="M264" s="27">
        <v>5</v>
      </c>
      <c r="N264" s="27">
        <v>45</v>
      </c>
      <c r="O264" s="27">
        <v>15</v>
      </c>
      <c r="P264" s="27">
        <v>191.25</v>
      </c>
      <c r="Q264" s="27">
        <v>2</v>
      </c>
      <c r="R264" s="27" t="s">
        <v>31</v>
      </c>
      <c r="S264" s="27" t="s">
        <v>50</v>
      </c>
      <c r="T264" s="27" t="s">
        <v>43</v>
      </c>
      <c r="U264" s="27">
        <v>9815899217</v>
      </c>
      <c r="V264" s="27" t="s">
        <v>53</v>
      </c>
    </row>
    <row r="265" spans="1:22" ht="29.5" thickBot="1" x14ac:dyDescent="0.4">
      <c r="A265" s="30" t="s">
        <v>371</v>
      </c>
      <c r="B265" s="30" t="s">
        <v>156</v>
      </c>
      <c r="C265" s="30" t="s">
        <v>112</v>
      </c>
      <c r="D265" s="31">
        <v>45802</v>
      </c>
      <c r="E265" s="31">
        <v>45809</v>
      </c>
      <c r="F265" s="30" t="s">
        <v>106</v>
      </c>
      <c r="G265" s="30" t="s">
        <v>58</v>
      </c>
      <c r="H265" s="31">
        <v>37316</v>
      </c>
      <c r="I265" s="30" t="s">
        <v>27</v>
      </c>
      <c r="J265" s="30" t="s">
        <v>28</v>
      </c>
      <c r="K265" s="30" t="s">
        <v>39</v>
      </c>
      <c r="L265" s="30" t="s">
        <v>114</v>
      </c>
      <c r="M265" s="30">
        <v>19</v>
      </c>
      <c r="N265" s="30">
        <v>700</v>
      </c>
      <c r="O265" s="30">
        <v>5</v>
      </c>
      <c r="P265" s="30">
        <v>12635</v>
      </c>
      <c r="Q265" s="30">
        <v>5</v>
      </c>
      <c r="R265" s="30" t="s">
        <v>65</v>
      </c>
      <c r="S265" s="30" t="s">
        <v>96</v>
      </c>
      <c r="T265" s="30" t="s">
        <v>158</v>
      </c>
      <c r="U265" s="30">
        <v>9308497039</v>
      </c>
      <c r="V265" s="22" t="s">
        <v>34</v>
      </c>
    </row>
    <row r="266" spans="1:22" ht="15" thickBot="1" x14ac:dyDescent="0.4">
      <c r="A266" s="27" t="s">
        <v>372</v>
      </c>
      <c r="B266" s="27" t="s">
        <v>87</v>
      </c>
      <c r="C266" s="27" t="s">
        <v>82</v>
      </c>
      <c r="D266" s="28">
        <v>46025</v>
      </c>
      <c r="E266" s="28">
        <v>46026</v>
      </c>
      <c r="F266" s="27" t="s">
        <v>88</v>
      </c>
      <c r="G266" s="27" t="s">
        <v>58</v>
      </c>
      <c r="H266" s="28">
        <v>27541</v>
      </c>
      <c r="I266" s="27" t="s">
        <v>147</v>
      </c>
      <c r="J266" s="27" t="s">
        <v>148</v>
      </c>
      <c r="K266" s="27" t="s">
        <v>83</v>
      </c>
      <c r="L266" s="27" t="s">
        <v>84</v>
      </c>
      <c r="M266" s="27">
        <v>7</v>
      </c>
      <c r="N266" s="27">
        <v>60</v>
      </c>
      <c r="O266" s="27">
        <v>0</v>
      </c>
      <c r="P266" s="27">
        <v>420</v>
      </c>
      <c r="Q266" s="27">
        <v>4</v>
      </c>
      <c r="R266" s="27" t="s">
        <v>31</v>
      </c>
      <c r="S266" s="27" t="s">
        <v>80</v>
      </c>
      <c r="T266" s="27" t="s">
        <v>89</v>
      </c>
      <c r="U266" s="27">
        <v>9882054354</v>
      </c>
      <c r="V266" s="27" t="s">
        <v>52</v>
      </c>
    </row>
    <row r="267" spans="1:22" ht="15" thickBot="1" x14ac:dyDescent="0.4">
      <c r="A267" s="30" t="s">
        <v>373</v>
      </c>
      <c r="B267" s="30" t="s">
        <v>55</v>
      </c>
      <c r="C267" s="30" t="s">
        <v>24</v>
      </c>
      <c r="D267" s="31">
        <v>46013</v>
      </c>
      <c r="E267" s="31">
        <v>46024</v>
      </c>
      <c r="F267" s="30" t="s">
        <v>57</v>
      </c>
      <c r="G267" s="30" t="s">
        <v>58</v>
      </c>
      <c r="H267" s="31">
        <v>32479</v>
      </c>
      <c r="I267" s="30" t="s">
        <v>74</v>
      </c>
      <c r="J267" s="30" t="s">
        <v>75</v>
      </c>
      <c r="K267" s="30" t="s">
        <v>29</v>
      </c>
      <c r="L267" s="30" t="s">
        <v>30</v>
      </c>
      <c r="M267" s="30">
        <v>13</v>
      </c>
      <c r="N267" s="30">
        <v>2200</v>
      </c>
      <c r="O267" s="30">
        <v>10</v>
      </c>
      <c r="P267" s="30">
        <v>25740</v>
      </c>
      <c r="Q267" s="30">
        <v>1</v>
      </c>
      <c r="R267" s="30" t="s">
        <v>60</v>
      </c>
      <c r="S267" s="30" t="s">
        <v>96</v>
      </c>
      <c r="T267" s="30" t="s">
        <v>61</v>
      </c>
      <c r="U267" s="30">
        <v>9193016830</v>
      </c>
      <c r="V267" s="22" t="s">
        <v>34</v>
      </c>
    </row>
    <row r="268" spans="1:22" ht="15" thickBot="1" x14ac:dyDescent="0.4">
      <c r="A268" s="27" t="s">
        <v>374</v>
      </c>
      <c r="B268" s="27" t="s">
        <v>55</v>
      </c>
      <c r="C268" s="27" t="s">
        <v>24</v>
      </c>
      <c r="D268" s="28">
        <v>46019</v>
      </c>
      <c r="E268" s="28">
        <v>46027</v>
      </c>
      <c r="F268" s="27" t="s">
        <v>57</v>
      </c>
      <c r="G268" s="27" t="s">
        <v>58</v>
      </c>
      <c r="H268" s="28">
        <v>31022</v>
      </c>
      <c r="I268" s="27" t="s">
        <v>48</v>
      </c>
      <c r="J268" s="27" t="s">
        <v>28</v>
      </c>
      <c r="K268" s="27" t="s">
        <v>29</v>
      </c>
      <c r="L268" s="27" t="s">
        <v>30</v>
      </c>
      <c r="M268" s="27">
        <v>9</v>
      </c>
      <c r="N268" s="27">
        <v>2200</v>
      </c>
      <c r="O268" s="27">
        <v>10</v>
      </c>
      <c r="P268" s="27">
        <v>17820</v>
      </c>
      <c r="Q268" s="27">
        <v>2</v>
      </c>
      <c r="R268" s="27" t="s">
        <v>375</v>
      </c>
      <c r="S268" s="27" t="s">
        <v>50</v>
      </c>
      <c r="T268" s="27" t="s">
        <v>61</v>
      </c>
      <c r="U268" s="27">
        <v>9921470418</v>
      </c>
      <c r="V268" s="27" t="s">
        <v>53</v>
      </c>
    </row>
    <row r="269" spans="1:22" ht="29.5" thickBot="1" x14ac:dyDescent="0.4">
      <c r="A269" s="30" t="s">
        <v>376</v>
      </c>
      <c r="B269" s="30" t="s">
        <v>156</v>
      </c>
      <c r="C269" s="30" t="s">
        <v>105</v>
      </c>
      <c r="D269" s="31">
        <v>45792</v>
      </c>
      <c r="E269" s="31">
        <v>45794</v>
      </c>
      <c r="F269" s="30" t="s">
        <v>106</v>
      </c>
      <c r="G269" s="30" t="s">
        <v>58</v>
      </c>
      <c r="H269" s="31">
        <v>32994</v>
      </c>
      <c r="I269" s="30" t="s">
        <v>48</v>
      </c>
      <c r="J269" s="30" t="s">
        <v>28</v>
      </c>
      <c r="K269" s="30" t="s">
        <v>29</v>
      </c>
      <c r="L269" s="30" t="s">
        <v>107</v>
      </c>
      <c r="M269" s="30">
        <v>6</v>
      </c>
      <c r="N269" s="30">
        <v>8500</v>
      </c>
      <c r="O269" s="30">
        <v>15</v>
      </c>
      <c r="P269" s="30">
        <v>43350</v>
      </c>
      <c r="Q269" s="30">
        <v>2</v>
      </c>
      <c r="R269" s="30" t="s">
        <v>31</v>
      </c>
      <c r="S269" s="30" t="s">
        <v>96</v>
      </c>
      <c r="T269" s="30" t="s">
        <v>158</v>
      </c>
      <c r="U269" s="30">
        <v>9686979026</v>
      </c>
      <c r="V269" s="30" t="s">
        <v>53</v>
      </c>
    </row>
    <row r="270" spans="1:22" ht="15" thickBot="1" x14ac:dyDescent="0.4">
      <c r="A270" s="27" t="s">
        <v>377</v>
      </c>
      <c r="B270" s="27" t="s">
        <v>124</v>
      </c>
      <c r="C270" s="27" t="s">
        <v>24</v>
      </c>
      <c r="D270" s="28">
        <v>46070</v>
      </c>
      <c r="E270" s="28">
        <v>46078</v>
      </c>
      <c r="F270" s="27" t="s">
        <v>126</v>
      </c>
      <c r="G270" s="27" t="s">
        <v>58</v>
      </c>
      <c r="H270" s="28">
        <v>32182</v>
      </c>
      <c r="I270" s="27" t="s">
        <v>37</v>
      </c>
      <c r="J270" s="27" t="s">
        <v>38</v>
      </c>
      <c r="K270" s="27" t="s">
        <v>29</v>
      </c>
      <c r="L270" s="27" t="s">
        <v>30</v>
      </c>
      <c r="M270" s="27">
        <v>9</v>
      </c>
      <c r="N270" s="27">
        <v>2200</v>
      </c>
      <c r="O270" s="27">
        <v>10</v>
      </c>
      <c r="P270" s="27">
        <v>17820</v>
      </c>
      <c r="Q270" s="27">
        <v>3</v>
      </c>
      <c r="R270" s="27" t="s">
        <v>60</v>
      </c>
      <c r="S270" s="27" t="s">
        <v>32</v>
      </c>
      <c r="T270" s="27" t="s">
        <v>128</v>
      </c>
      <c r="U270" s="27">
        <v>9569007422</v>
      </c>
      <c r="V270" s="27" t="s">
        <v>52</v>
      </c>
    </row>
    <row r="271" spans="1:22" ht="15" thickBot="1" x14ac:dyDescent="0.4">
      <c r="A271" s="30" t="s">
        <v>378</v>
      </c>
      <c r="B271" s="30" t="s">
        <v>23</v>
      </c>
      <c r="C271" s="30" t="s">
        <v>105</v>
      </c>
      <c r="D271" s="31">
        <v>45739</v>
      </c>
      <c r="E271" s="31">
        <v>45742</v>
      </c>
      <c r="F271" s="30" t="s">
        <v>25</v>
      </c>
      <c r="G271" s="30" t="s">
        <v>26</v>
      </c>
      <c r="H271" s="31">
        <v>30038</v>
      </c>
      <c r="I271" s="30" t="s">
        <v>147</v>
      </c>
      <c r="J271" s="30" t="s">
        <v>148</v>
      </c>
      <c r="K271" s="30" t="s">
        <v>29</v>
      </c>
      <c r="L271" s="30" t="s">
        <v>107</v>
      </c>
      <c r="M271" s="30">
        <v>16</v>
      </c>
      <c r="N271" s="30">
        <v>8500</v>
      </c>
      <c r="O271" s="30">
        <v>0</v>
      </c>
      <c r="P271" s="30">
        <v>136000</v>
      </c>
      <c r="Q271" s="30">
        <v>5</v>
      </c>
      <c r="R271" s="30" t="s">
        <v>65</v>
      </c>
      <c r="S271" s="30" t="s">
        <v>80</v>
      </c>
      <c r="T271" s="30" t="s">
        <v>43</v>
      </c>
      <c r="U271" s="30">
        <v>9180820441</v>
      </c>
      <c r="V271" s="30" t="s">
        <v>53</v>
      </c>
    </row>
    <row r="272" spans="1:22" ht="29.5" thickBot="1" x14ac:dyDescent="0.4">
      <c r="A272" s="27" t="s">
        <v>379</v>
      </c>
      <c r="B272" s="27" t="s">
        <v>156</v>
      </c>
      <c r="C272" s="27" t="s">
        <v>56</v>
      </c>
      <c r="D272" s="28">
        <v>46006</v>
      </c>
      <c r="E272" s="28">
        <v>46007</v>
      </c>
      <c r="F272" s="27" t="s">
        <v>106</v>
      </c>
      <c r="G272" s="27" t="s">
        <v>58</v>
      </c>
      <c r="H272" s="28">
        <v>28122</v>
      </c>
      <c r="I272" s="27" t="s">
        <v>37</v>
      </c>
      <c r="J272" s="27" t="s">
        <v>38</v>
      </c>
      <c r="K272" s="27" t="s">
        <v>39</v>
      </c>
      <c r="L272" s="27" t="s">
        <v>59</v>
      </c>
      <c r="M272" s="27">
        <v>10</v>
      </c>
      <c r="N272" s="27">
        <v>1200</v>
      </c>
      <c r="O272" s="27">
        <v>15</v>
      </c>
      <c r="P272" s="27">
        <v>10200</v>
      </c>
      <c r="Q272" s="27">
        <v>5</v>
      </c>
      <c r="R272" s="27" t="s">
        <v>31</v>
      </c>
      <c r="S272" s="27" t="s">
        <v>42</v>
      </c>
      <c r="T272" s="27" t="s">
        <v>158</v>
      </c>
      <c r="U272" s="27">
        <v>9769075826</v>
      </c>
      <c r="V272" s="21" t="s">
        <v>34</v>
      </c>
    </row>
    <row r="273" spans="1:22" ht="15" thickBot="1" x14ac:dyDescent="0.4">
      <c r="A273" s="30" t="s">
        <v>380</v>
      </c>
      <c r="B273" s="30" t="s">
        <v>87</v>
      </c>
      <c r="C273" s="30" t="s">
        <v>36</v>
      </c>
      <c r="D273" s="31">
        <v>45721</v>
      </c>
      <c r="E273" s="31">
        <v>45731</v>
      </c>
      <c r="F273" s="30" t="s">
        <v>88</v>
      </c>
      <c r="G273" s="30" t="s">
        <v>58</v>
      </c>
      <c r="H273" s="31">
        <v>37836</v>
      </c>
      <c r="I273" s="30" t="s">
        <v>147</v>
      </c>
      <c r="J273" s="30" t="s">
        <v>148</v>
      </c>
      <c r="K273" s="30" t="s">
        <v>39</v>
      </c>
      <c r="L273" s="30" t="s">
        <v>40</v>
      </c>
      <c r="M273" s="30">
        <v>7</v>
      </c>
      <c r="N273" s="30">
        <v>12000</v>
      </c>
      <c r="O273" s="30">
        <v>0</v>
      </c>
      <c r="P273" s="30">
        <v>84000</v>
      </c>
      <c r="Q273" s="30">
        <v>1</v>
      </c>
      <c r="R273" s="30" t="s">
        <v>65</v>
      </c>
      <c r="S273" s="30" t="s">
        <v>96</v>
      </c>
      <c r="T273" s="30" t="s">
        <v>89</v>
      </c>
      <c r="U273" s="30">
        <v>9467916296</v>
      </c>
      <c r="V273" s="30" t="s">
        <v>52</v>
      </c>
    </row>
    <row r="274" spans="1:22" ht="15" thickBot="1" x14ac:dyDescent="0.4">
      <c r="A274" s="27" t="s">
        <v>381</v>
      </c>
      <c r="B274" s="27" t="s">
        <v>124</v>
      </c>
      <c r="C274" s="27" t="s">
        <v>36</v>
      </c>
      <c r="D274" s="28">
        <v>45919</v>
      </c>
      <c r="E274" s="28">
        <v>45931</v>
      </c>
      <c r="F274" s="27" t="s">
        <v>126</v>
      </c>
      <c r="G274" s="27" t="s">
        <v>58</v>
      </c>
      <c r="H274" s="28">
        <v>31538</v>
      </c>
      <c r="I274" s="27" t="s">
        <v>79</v>
      </c>
      <c r="J274" s="27" t="s">
        <v>75</v>
      </c>
      <c r="K274" s="27" t="s">
        <v>39</v>
      </c>
      <c r="L274" s="27" t="s">
        <v>40</v>
      </c>
      <c r="M274" s="27">
        <v>3</v>
      </c>
      <c r="N274" s="27">
        <v>12000</v>
      </c>
      <c r="O274" s="27">
        <v>10</v>
      </c>
      <c r="P274" s="27">
        <v>32400</v>
      </c>
      <c r="Q274" s="27">
        <v>4</v>
      </c>
      <c r="R274" s="27" t="s">
        <v>60</v>
      </c>
      <c r="S274" s="27" t="s">
        <v>96</v>
      </c>
      <c r="T274" s="27" t="s">
        <v>128</v>
      </c>
      <c r="U274" s="27">
        <v>9477052923</v>
      </c>
      <c r="V274" s="21" t="s">
        <v>34</v>
      </c>
    </row>
    <row r="275" spans="1:22" ht="15" thickBot="1" x14ac:dyDescent="0.4">
      <c r="A275" s="30" t="s">
        <v>382</v>
      </c>
      <c r="B275" s="30" t="s">
        <v>124</v>
      </c>
      <c r="C275" s="30" t="s">
        <v>36</v>
      </c>
      <c r="D275" s="31">
        <v>45964</v>
      </c>
      <c r="E275" s="31">
        <v>45970</v>
      </c>
      <c r="F275" s="30" t="s">
        <v>126</v>
      </c>
      <c r="G275" s="30" t="s">
        <v>58</v>
      </c>
      <c r="H275" s="31">
        <v>32543</v>
      </c>
      <c r="I275" s="30" t="s">
        <v>27</v>
      </c>
      <c r="J275" s="30" t="s">
        <v>28</v>
      </c>
      <c r="K275" s="30" t="s">
        <v>39</v>
      </c>
      <c r="L275" s="30" t="s">
        <v>40</v>
      </c>
      <c r="M275" s="30">
        <v>4</v>
      </c>
      <c r="N275" s="30">
        <v>12000</v>
      </c>
      <c r="O275" s="30">
        <v>15</v>
      </c>
      <c r="P275" s="30">
        <v>40800</v>
      </c>
      <c r="Q275" s="30">
        <v>3</v>
      </c>
      <c r="R275" s="30" t="s">
        <v>60</v>
      </c>
      <c r="S275" s="30" t="s">
        <v>32</v>
      </c>
      <c r="T275" s="30" t="s">
        <v>128</v>
      </c>
      <c r="U275" s="30">
        <v>9184311420</v>
      </c>
      <c r="V275" s="30" t="s">
        <v>52</v>
      </c>
    </row>
    <row r="276" spans="1:22" ht="15" thickBot="1" x14ac:dyDescent="0.4">
      <c r="A276" s="27" t="s">
        <v>383</v>
      </c>
      <c r="B276" s="27" t="s">
        <v>87</v>
      </c>
      <c r="C276" s="27" t="s">
        <v>36</v>
      </c>
      <c r="D276" s="28">
        <v>45824</v>
      </c>
      <c r="E276" s="28">
        <v>45826</v>
      </c>
      <c r="F276" s="27" t="s">
        <v>88</v>
      </c>
      <c r="G276" s="27" t="s">
        <v>58</v>
      </c>
      <c r="H276" s="28">
        <v>29259</v>
      </c>
      <c r="I276" s="27" t="s">
        <v>27</v>
      </c>
      <c r="J276" s="27" t="s">
        <v>28</v>
      </c>
      <c r="K276" s="27" t="s">
        <v>39</v>
      </c>
      <c r="L276" s="27" t="s">
        <v>40</v>
      </c>
      <c r="M276" s="27">
        <v>13</v>
      </c>
      <c r="N276" s="27">
        <v>12000</v>
      </c>
      <c r="O276" s="27">
        <v>10</v>
      </c>
      <c r="P276" s="27">
        <v>140400</v>
      </c>
      <c r="Q276" s="27">
        <v>2</v>
      </c>
      <c r="R276" s="27" t="s">
        <v>31</v>
      </c>
      <c r="S276" s="27" t="s">
        <v>96</v>
      </c>
      <c r="T276" s="27" t="s">
        <v>89</v>
      </c>
      <c r="U276" s="27">
        <v>9630913127</v>
      </c>
      <c r="V276" s="27" t="s">
        <v>53</v>
      </c>
    </row>
    <row r="277" spans="1:22" ht="15" thickBot="1" x14ac:dyDescent="0.4">
      <c r="A277" s="30" t="s">
        <v>384</v>
      </c>
      <c r="B277" s="30" t="s">
        <v>23</v>
      </c>
      <c r="C277" s="30" t="s">
        <v>68</v>
      </c>
      <c r="D277" s="31">
        <v>45812</v>
      </c>
      <c r="E277" s="31">
        <v>45819</v>
      </c>
      <c r="F277" s="30" t="s">
        <v>25</v>
      </c>
      <c r="G277" s="30" t="s">
        <v>26</v>
      </c>
      <c r="H277" s="31">
        <v>31060</v>
      </c>
      <c r="I277" s="30" t="s">
        <v>48</v>
      </c>
      <c r="J277" s="30" t="s">
        <v>28</v>
      </c>
      <c r="K277" s="30" t="s">
        <v>29</v>
      </c>
      <c r="L277" s="30" t="s">
        <v>70</v>
      </c>
      <c r="M277" s="30">
        <v>19</v>
      </c>
      <c r="N277" s="30">
        <v>3500</v>
      </c>
      <c r="O277" s="30">
        <v>20</v>
      </c>
      <c r="P277" s="30">
        <v>53200</v>
      </c>
      <c r="Q277" s="30">
        <v>1</v>
      </c>
      <c r="R277" s="30" t="s">
        <v>31</v>
      </c>
      <c r="S277" s="30" t="s">
        <v>50</v>
      </c>
      <c r="T277" s="30" t="s">
        <v>43</v>
      </c>
      <c r="U277" s="30">
        <v>9997515828</v>
      </c>
      <c r="V277" s="30" t="s">
        <v>53</v>
      </c>
    </row>
    <row r="278" spans="1:22" ht="15" thickBot="1" x14ac:dyDescent="0.4">
      <c r="A278" s="27" t="s">
        <v>385</v>
      </c>
      <c r="B278" s="27" t="s">
        <v>23</v>
      </c>
      <c r="C278" s="27" t="s">
        <v>24</v>
      </c>
      <c r="D278" s="28">
        <v>45695</v>
      </c>
      <c r="E278" s="28">
        <v>45700</v>
      </c>
      <c r="F278" s="27" t="s">
        <v>25</v>
      </c>
      <c r="G278" s="27" t="s">
        <v>26</v>
      </c>
      <c r="H278" s="28">
        <v>29060</v>
      </c>
      <c r="I278" s="27" t="s">
        <v>74</v>
      </c>
      <c r="J278" s="27" t="s">
        <v>75</v>
      </c>
      <c r="K278" s="27" t="s">
        <v>29</v>
      </c>
      <c r="L278" s="27" t="s">
        <v>30</v>
      </c>
      <c r="M278" s="27">
        <v>7</v>
      </c>
      <c r="N278" s="27">
        <v>2200</v>
      </c>
      <c r="O278" s="27">
        <v>5</v>
      </c>
      <c r="P278" s="27">
        <v>14630</v>
      </c>
      <c r="Q278" s="27">
        <v>3</v>
      </c>
      <c r="R278" s="27" t="s">
        <v>65</v>
      </c>
      <c r="S278" s="27" t="s">
        <v>50</v>
      </c>
      <c r="T278" s="27" t="s">
        <v>43</v>
      </c>
      <c r="U278" s="27">
        <v>9394291182</v>
      </c>
      <c r="V278" s="27" t="s">
        <v>53</v>
      </c>
    </row>
    <row r="279" spans="1:22" ht="15" thickBot="1" x14ac:dyDescent="0.4">
      <c r="A279" s="30" t="s">
        <v>386</v>
      </c>
      <c r="B279" s="30" t="s">
        <v>63</v>
      </c>
      <c r="C279" s="30" t="s">
        <v>112</v>
      </c>
      <c r="D279" s="31">
        <v>46151</v>
      </c>
      <c r="E279" s="31">
        <v>46155</v>
      </c>
      <c r="F279" s="30" t="s">
        <v>110</v>
      </c>
      <c r="G279" s="30" t="s">
        <v>58</v>
      </c>
      <c r="H279" s="31">
        <v>34184</v>
      </c>
      <c r="I279" s="30" t="s">
        <v>121</v>
      </c>
      <c r="J279" s="30" t="s">
        <v>38</v>
      </c>
      <c r="K279" s="30" t="s">
        <v>39</v>
      </c>
      <c r="L279" s="30" t="s">
        <v>114</v>
      </c>
      <c r="M279" s="30">
        <v>18</v>
      </c>
      <c r="N279" s="30">
        <v>700</v>
      </c>
      <c r="O279" s="30">
        <v>5</v>
      </c>
      <c r="P279" s="30">
        <v>11970</v>
      </c>
      <c r="Q279" s="30">
        <v>2</v>
      </c>
      <c r="R279" s="30" t="s">
        <v>65</v>
      </c>
      <c r="S279" s="30" t="s">
        <v>50</v>
      </c>
      <c r="T279" s="30" t="s">
        <v>66</v>
      </c>
      <c r="U279" s="30">
        <v>9616853220</v>
      </c>
      <c r="V279" s="30" t="s">
        <v>53</v>
      </c>
    </row>
    <row r="280" spans="1:22" ht="15" thickBot="1" x14ac:dyDescent="0.4">
      <c r="A280" s="27" t="s">
        <v>387</v>
      </c>
      <c r="B280" s="27" t="s">
        <v>23</v>
      </c>
      <c r="C280" s="27" t="s">
        <v>125</v>
      </c>
      <c r="D280" s="28">
        <v>45858</v>
      </c>
      <c r="E280" s="28">
        <v>45868</v>
      </c>
      <c r="F280" s="27" t="s">
        <v>25</v>
      </c>
      <c r="G280" s="27" t="s">
        <v>26</v>
      </c>
      <c r="H280" s="28">
        <v>27629</v>
      </c>
      <c r="I280" s="27" t="s">
        <v>147</v>
      </c>
      <c r="J280" s="27" t="s">
        <v>148</v>
      </c>
      <c r="K280" s="27" t="s">
        <v>83</v>
      </c>
      <c r="L280" s="27" t="s">
        <v>127</v>
      </c>
      <c r="M280" s="27">
        <v>11</v>
      </c>
      <c r="N280" s="27">
        <v>20</v>
      </c>
      <c r="O280" s="27">
        <v>0</v>
      </c>
      <c r="P280" s="27">
        <v>220</v>
      </c>
      <c r="Q280" s="27">
        <v>2</v>
      </c>
      <c r="R280" s="27" t="s">
        <v>41</v>
      </c>
      <c r="S280" s="27" t="s">
        <v>80</v>
      </c>
      <c r="T280" s="27" t="s">
        <v>43</v>
      </c>
      <c r="U280" s="27">
        <v>9147552626</v>
      </c>
      <c r="V280" s="27" t="s">
        <v>53</v>
      </c>
    </row>
    <row r="281" spans="1:22" ht="29.5" thickBot="1" x14ac:dyDescent="0.4">
      <c r="A281" s="30" t="s">
        <v>388</v>
      </c>
      <c r="B281" s="30" t="s">
        <v>156</v>
      </c>
      <c r="C281" s="30" t="s">
        <v>36</v>
      </c>
      <c r="D281" s="31">
        <v>45716</v>
      </c>
      <c r="E281" s="31">
        <v>45723</v>
      </c>
      <c r="F281" s="30" t="s">
        <v>106</v>
      </c>
      <c r="G281" s="30" t="s">
        <v>58</v>
      </c>
      <c r="H281" s="31">
        <v>28603</v>
      </c>
      <c r="I281" s="30" t="s">
        <v>79</v>
      </c>
      <c r="J281" s="30" t="s">
        <v>75</v>
      </c>
      <c r="K281" s="30" t="s">
        <v>39</v>
      </c>
      <c r="L281" s="30" t="s">
        <v>40</v>
      </c>
      <c r="M281" s="30">
        <v>17</v>
      </c>
      <c r="N281" s="30">
        <v>12000</v>
      </c>
      <c r="O281" s="30">
        <v>20</v>
      </c>
      <c r="P281" s="30">
        <v>163200</v>
      </c>
      <c r="Q281" s="30">
        <v>4</v>
      </c>
      <c r="R281" s="30" t="s">
        <v>65</v>
      </c>
      <c r="S281" s="30" t="s">
        <v>96</v>
      </c>
      <c r="T281" s="30" t="s">
        <v>158</v>
      </c>
      <c r="U281" s="30">
        <v>9724197033</v>
      </c>
      <c r="V281" s="22" t="s">
        <v>34</v>
      </c>
    </row>
    <row r="282" spans="1:22" ht="15" thickBot="1" x14ac:dyDescent="0.4">
      <c r="A282" s="27" t="s">
        <v>389</v>
      </c>
      <c r="B282" s="27" t="s">
        <v>134</v>
      </c>
      <c r="C282" s="27" t="s">
        <v>24</v>
      </c>
      <c r="D282" s="28">
        <v>45846</v>
      </c>
      <c r="E282" s="28">
        <v>45851</v>
      </c>
      <c r="F282" s="27" t="s">
        <v>135</v>
      </c>
      <c r="G282" s="27" t="s">
        <v>26</v>
      </c>
      <c r="H282" s="28">
        <v>37889</v>
      </c>
      <c r="I282" s="27" t="s">
        <v>147</v>
      </c>
      <c r="J282" s="27" t="s">
        <v>148</v>
      </c>
      <c r="K282" s="27" t="s">
        <v>29</v>
      </c>
      <c r="L282" s="27" t="s">
        <v>30</v>
      </c>
      <c r="M282" s="27">
        <v>4</v>
      </c>
      <c r="N282" s="27">
        <v>2200</v>
      </c>
      <c r="O282" s="27">
        <v>5</v>
      </c>
      <c r="P282" s="27">
        <v>8360</v>
      </c>
      <c r="Q282" s="27">
        <v>2</v>
      </c>
      <c r="R282" s="27" t="s">
        <v>31</v>
      </c>
      <c r="S282" s="27" t="s">
        <v>32</v>
      </c>
      <c r="T282" s="27" t="s">
        <v>136</v>
      </c>
      <c r="U282" s="27">
        <v>9130666128</v>
      </c>
      <c r="V282" s="21" t="s">
        <v>34</v>
      </c>
    </row>
    <row r="283" spans="1:22" ht="15" thickBot="1" x14ac:dyDescent="0.4">
      <c r="A283" s="30" t="s">
        <v>390</v>
      </c>
      <c r="B283" s="30" t="s">
        <v>23</v>
      </c>
      <c r="C283" s="30" t="s">
        <v>46</v>
      </c>
      <c r="D283" s="31">
        <v>46003</v>
      </c>
      <c r="E283" s="31">
        <v>46010</v>
      </c>
      <c r="F283" s="30" t="s">
        <v>25</v>
      </c>
      <c r="G283" s="30" t="s">
        <v>26</v>
      </c>
      <c r="H283" s="31">
        <v>37355</v>
      </c>
      <c r="I283" s="30" t="s">
        <v>91</v>
      </c>
      <c r="J283" s="30" t="s">
        <v>75</v>
      </c>
      <c r="K283" s="30" t="s">
        <v>39</v>
      </c>
      <c r="L283" s="30" t="s">
        <v>49</v>
      </c>
      <c r="M283" s="30">
        <v>6</v>
      </c>
      <c r="N283" s="30">
        <v>55000</v>
      </c>
      <c r="O283" s="30">
        <v>20</v>
      </c>
      <c r="P283" s="30">
        <v>264000</v>
      </c>
      <c r="Q283" s="30">
        <v>2</v>
      </c>
      <c r="R283" s="30" t="s">
        <v>65</v>
      </c>
      <c r="S283" s="30" t="s">
        <v>96</v>
      </c>
      <c r="T283" s="30" t="s">
        <v>43</v>
      </c>
      <c r="U283" s="30">
        <v>9866567601</v>
      </c>
      <c r="V283" s="30" t="s">
        <v>53</v>
      </c>
    </row>
    <row r="284" spans="1:22" ht="15" thickBot="1" x14ac:dyDescent="0.4">
      <c r="A284" s="27" t="s">
        <v>391</v>
      </c>
      <c r="B284" s="27" t="s">
        <v>55</v>
      </c>
      <c r="C284" s="27" t="s">
        <v>105</v>
      </c>
      <c r="D284" s="28">
        <v>46026</v>
      </c>
      <c r="E284" s="28">
        <v>46036</v>
      </c>
      <c r="F284" s="27" t="s">
        <v>57</v>
      </c>
      <c r="G284" s="27" t="s">
        <v>58</v>
      </c>
      <c r="H284" s="28">
        <v>31314</v>
      </c>
      <c r="I284" s="27" t="s">
        <v>37</v>
      </c>
      <c r="J284" s="27" t="s">
        <v>38</v>
      </c>
      <c r="K284" s="27" t="s">
        <v>29</v>
      </c>
      <c r="L284" s="27" t="s">
        <v>107</v>
      </c>
      <c r="M284" s="27">
        <v>6</v>
      </c>
      <c r="N284" s="27">
        <v>8500</v>
      </c>
      <c r="O284" s="27">
        <v>10</v>
      </c>
      <c r="P284" s="27">
        <v>45900</v>
      </c>
      <c r="Q284" s="27">
        <v>5</v>
      </c>
      <c r="R284" s="27" t="s">
        <v>65</v>
      </c>
      <c r="S284" s="27" t="s">
        <v>50</v>
      </c>
      <c r="T284" s="27" t="s">
        <v>61</v>
      </c>
      <c r="U284" s="27">
        <v>9477282450</v>
      </c>
      <c r="V284" s="21" t="s">
        <v>34</v>
      </c>
    </row>
    <row r="285" spans="1:22" ht="15" thickBot="1" x14ac:dyDescent="0.4">
      <c r="A285" s="30" t="s">
        <v>392</v>
      </c>
      <c r="B285" s="30" t="s">
        <v>23</v>
      </c>
      <c r="C285" s="30" t="s">
        <v>125</v>
      </c>
      <c r="D285" s="31">
        <v>45889</v>
      </c>
      <c r="E285" s="31">
        <v>45894</v>
      </c>
      <c r="F285" s="30" t="s">
        <v>25</v>
      </c>
      <c r="G285" s="30" t="s">
        <v>26</v>
      </c>
      <c r="H285" s="31">
        <v>31028</v>
      </c>
      <c r="I285" s="30" t="s">
        <v>121</v>
      </c>
      <c r="J285" s="30" t="s">
        <v>38</v>
      </c>
      <c r="K285" s="30" t="s">
        <v>83</v>
      </c>
      <c r="L285" s="30" t="s">
        <v>127</v>
      </c>
      <c r="M285" s="30">
        <v>6</v>
      </c>
      <c r="N285" s="30">
        <v>20</v>
      </c>
      <c r="O285" s="30">
        <v>15</v>
      </c>
      <c r="P285" s="30">
        <v>102</v>
      </c>
      <c r="Q285" s="30">
        <v>2</v>
      </c>
      <c r="R285" s="30" t="s">
        <v>65</v>
      </c>
      <c r="S285" s="30" t="s">
        <v>42</v>
      </c>
      <c r="T285" s="30" t="s">
        <v>43</v>
      </c>
      <c r="U285" s="30">
        <v>9857621478</v>
      </c>
      <c r="V285" s="30" t="s">
        <v>53</v>
      </c>
    </row>
    <row r="286" spans="1:22" ht="15" thickBot="1" x14ac:dyDescent="0.4">
      <c r="A286" s="27" t="s">
        <v>393</v>
      </c>
      <c r="B286" s="27" t="s">
        <v>45</v>
      </c>
      <c r="C286" s="27" t="s">
        <v>82</v>
      </c>
      <c r="D286" s="28">
        <v>45780</v>
      </c>
      <c r="E286" s="28">
        <v>45788</v>
      </c>
      <c r="F286" s="27" t="s">
        <v>101</v>
      </c>
      <c r="G286" s="27" t="s">
        <v>26</v>
      </c>
      <c r="H286" s="28">
        <v>30883</v>
      </c>
      <c r="I286" s="27" t="s">
        <v>74</v>
      </c>
      <c r="J286" s="27" t="s">
        <v>75</v>
      </c>
      <c r="K286" s="27" t="s">
        <v>83</v>
      </c>
      <c r="L286" s="27" t="s">
        <v>84</v>
      </c>
      <c r="M286" s="27">
        <v>6</v>
      </c>
      <c r="N286" s="27">
        <v>60</v>
      </c>
      <c r="O286" s="27">
        <v>5</v>
      </c>
      <c r="P286" s="27">
        <v>342</v>
      </c>
      <c r="Q286" s="27">
        <v>1</v>
      </c>
      <c r="R286" s="27" t="s">
        <v>41</v>
      </c>
      <c r="S286" s="27" t="s">
        <v>50</v>
      </c>
      <c r="T286" s="27" t="s">
        <v>51</v>
      </c>
      <c r="U286" s="27">
        <v>9753869055</v>
      </c>
      <c r="V286" s="21" t="s">
        <v>34</v>
      </c>
    </row>
    <row r="287" spans="1:22" ht="15" thickBot="1" x14ac:dyDescent="0.4">
      <c r="A287" s="30" t="s">
        <v>394</v>
      </c>
      <c r="B287" s="30" t="s">
        <v>87</v>
      </c>
      <c r="C287" s="30" t="s">
        <v>105</v>
      </c>
      <c r="D287" s="31">
        <v>45666</v>
      </c>
      <c r="E287" s="31">
        <v>45669</v>
      </c>
      <c r="F287" s="30" t="s">
        <v>88</v>
      </c>
      <c r="G287" s="30" t="s">
        <v>58</v>
      </c>
      <c r="H287" s="31">
        <v>32217</v>
      </c>
      <c r="I287" s="30" t="s">
        <v>27</v>
      </c>
      <c r="J287" s="30" t="s">
        <v>28</v>
      </c>
      <c r="K287" s="30" t="s">
        <v>29</v>
      </c>
      <c r="L287" s="30" t="s">
        <v>107</v>
      </c>
      <c r="M287" s="30">
        <v>19</v>
      </c>
      <c r="N287" s="30">
        <v>8500</v>
      </c>
      <c r="O287" s="30">
        <v>0</v>
      </c>
      <c r="P287" s="30">
        <v>161500</v>
      </c>
      <c r="Q287" s="30">
        <v>5</v>
      </c>
      <c r="R287" s="30" t="s">
        <v>65</v>
      </c>
      <c r="S287" s="30" t="s">
        <v>96</v>
      </c>
      <c r="T287" s="30" t="s">
        <v>89</v>
      </c>
      <c r="U287" s="30">
        <v>9663266204</v>
      </c>
      <c r="V287" s="22" t="s">
        <v>34</v>
      </c>
    </row>
    <row r="288" spans="1:22" ht="15" thickBot="1" x14ac:dyDescent="0.4">
      <c r="A288" s="27" t="s">
        <v>395</v>
      </c>
      <c r="B288" s="27" t="s">
        <v>134</v>
      </c>
      <c r="C288" s="27" t="s">
        <v>46</v>
      </c>
      <c r="D288" s="28">
        <v>45901</v>
      </c>
      <c r="E288" s="28">
        <v>45910</v>
      </c>
      <c r="F288" s="27" t="s">
        <v>135</v>
      </c>
      <c r="G288" s="27" t="s">
        <v>26</v>
      </c>
      <c r="H288" s="28">
        <v>31924</v>
      </c>
      <c r="I288" s="27" t="s">
        <v>121</v>
      </c>
      <c r="J288" s="27" t="s">
        <v>38</v>
      </c>
      <c r="K288" s="27" t="s">
        <v>39</v>
      </c>
      <c r="L288" s="27" t="s">
        <v>49</v>
      </c>
      <c r="M288" s="27">
        <v>8</v>
      </c>
      <c r="N288" s="27">
        <v>55000</v>
      </c>
      <c r="O288" s="27">
        <v>0</v>
      </c>
      <c r="P288" s="27">
        <v>440000</v>
      </c>
      <c r="Q288" s="27">
        <v>3</v>
      </c>
      <c r="R288" s="27" t="s">
        <v>60</v>
      </c>
      <c r="S288" s="27" t="s">
        <v>80</v>
      </c>
      <c r="T288" s="27" t="s">
        <v>136</v>
      </c>
      <c r="U288" s="27">
        <v>9675208616</v>
      </c>
      <c r="V288" s="27" t="s">
        <v>52</v>
      </c>
    </row>
    <row r="289" spans="1:22" ht="15" thickBot="1" x14ac:dyDescent="0.4">
      <c r="A289" s="30" t="s">
        <v>396</v>
      </c>
      <c r="B289" s="30" t="s">
        <v>55</v>
      </c>
      <c r="C289" s="30" t="s">
        <v>36</v>
      </c>
      <c r="D289" s="31">
        <v>46144</v>
      </c>
      <c r="E289" s="31">
        <v>46149</v>
      </c>
      <c r="F289" s="30" t="s">
        <v>57</v>
      </c>
      <c r="G289" s="30" t="s">
        <v>58</v>
      </c>
      <c r="H289" s="31">
        <v>32441</v>
      </c>
      <c r="I289" s="30" t="s">
        <v>147</v>
      </c>
      <c r="J289" s="30" t="s">
        <v>148</v>
      </c>
      <c r="K289" s="30" t="s">
        <v>39</v>
      </c>
      <c r="L289" s="30" t="s">
        <v>40</v>
      </c>
      <c r="M289" s="30">
        <v>18</v>
      </c>
      <c r="N289" s="30">
        <v>12000</v>
      </c>
      <c r="O289" s="30">
        <v>20</v>
      </c>
      <c r="P289" s="30">
        <v>172800</v>
      </c>
      <c r="Q289" s="30">
        <v>5</v>
      </c>
      <c r="R289" s="30" t="s">
        <v>65</v>
      </c>
      <c r="S289" s="30" t="s">
        <v>50</v>
      </c>
      <c r="T289" s="30" t="s">
        <v>61</v>
      </c>
      <c r="U289" s="30">
        <v>9618393586</v>
      </c>
      <c r="V289" s="30" t="s">
        <v>53</v>
      </c>
    </row>
    <row r="290" spans="1:22" ht="15" thickBot="1" x14ac:dyDescent="0.4">
      <c r="A290" s="27" t="s">
        <v>397</v>
      </c>
      <c r="B290" s="27" t="s">
        <v>87</v>
      </c>
      <c r="C290" s="27" t="s">
        <v>105</v>
      </c>
      <c r="D290" s="28">
        <v>45764</v>
      </c>
      <c r="E290" s="28">
        <v>45773</v>
      </c>
      <c r="F290" s="27" t="s">
        <v>88</v>
      </c>
      <c r="G290" s="27" t="s">
        <v>58</v>
      </c>
      <c r="H290" s="28">
        <v>33219</v>
      </c>
      <c r="I290" s="27" t="s">
        <v>91</v>
      </c>
      <c r="J290" s="27" t="s">
        <v>75</v>
      </c>
      <c r="K290" s="27" t="s">
        <v>29</v>
      </c>
      <c r="L290" s="27" t="s">
        <v>107</v>
      </c>
      <c r="M290" s="27">
        <v>8</v>
      </c>
      <c r="N290" s="27">
        <v>8500</v>
      </c>
      <c r="O290" s="27">
        <v>5</v>
      </c>
      <c r="P290" s="27">
        <v>64600</v>
      </c>
      <c r="Q290" s="27">
        <v>2</v>
      </c>
      <c r="R290" s="27" t="s">
        <v>60</v>
      </c>
      <c r="S290" s="27" t="s">
        <v>50</v>
      </c>
      <c r="T290" s="27" t="s">
        <v>89</v>
      </c>
      <c r="U290" s="27">
        <v>9137027840</v>
      </c>
      <c r="V290" s="27" t="s">
        <v>53</v>
      </c>
    </row>
    <row r="291" spans="1:22" ht="15" thickBot="1" x14ac:dyDescent="0.4">
      <c r="A291" s="30" t="s">
        <v>398</v>
      </c>
      <c r="B291" s="30" t="s">
        <v>23</v>
      </c>
      <c r="C291" s="30" t="s">
        <v>125</v>
      </c>
      <c r="D291" s="31">
        <v>45878</v>
      </c>
      <c r="E291" s="31">
        <v>45887</v>
      </c>
      <c r="F291" s="30" t="s">
        <v>25</v>
      </c>
      <c r="G291" s="30" t="s">
        <v>26</v>
      </c>
      <c r="H291" s="31">
        <v>29640</v>
      </c>
      <c r="I291" s="30" t="s">
        <v>74</v>
      </c>
      <c r="J291" s="30" t="s">
        <v>75</v>
      </c>
      <c r="K291" s="30" t="s">
        <v>83</v>
      </c>
      <c r="L291" s="30" t="s">
        <v>127</v>
      </c>
      <c r="M291" s="30">
        <v>13</v>
      </c>
      <c r="N291" s="30">
        <v>20</v>
      </c>
      <c r="O291" s="30">
        <v>5</v>
      </c>
      <c r="P291" s="30">
        <v>247</v>
      </c>
      <c r="Q291" s="30">
        <v>3</v>
      </c>
      <c r="R291" s="30" t="s">
        <v>41</v>
      </c>
      <c r="S291" s="30" t="s">
        <v>80</v>
      </c>
      <c r="T291" s="30" t="s">
        <v>43</v>
      </c>
      <c r="U291" s="30">
        <v>9362758134</v>
      </c>
      <c r="V291" s="30" t="s">
        <v>52</v>
      </c>
    </row>
    <row r="292" spans="1:22" ht="15" thickBot="1" x14ac:dyDescent="0.4">
      <c r="A292" s="27" t="s">
        <v>399</v>
      </c>
      <c r="B292" s="27" t="s">
        <v>63</v>
      </c>
      <c r="C292" s="27" t="s">
        <v>82</v>
      </c>
      <c r="D292" s="28">
        <v>46116</v>
      </c>
      <c r="E292" s="28">
        <v>46128</v>
      </c>
      <c r="F292" s="27" t="s">
        <v>110</v>
      </c>
      <c r="G292" s="27" t="s">
        <v>58</v>
      </c>
      <c r="H292" s="28">
        <v>31140</v>
      </c>
      <c r="I292" s="27" t="s">
        <v>121</v>
      </c>
      <c r="J292" s="27" t="s">
        <v>38</v>
      </c>
      <c r="K292" s="27" t="s">
        <v>83</v>
      </c>
      <c r="L292" s="27" t="s">
        <v>84</v>
      </c>
      <c r="M292" s="27">
        <v>1</v>
      </c>
      <c r="N292" s="27">
        <v>60</v>
      </c>
      <c r="O292" s="27">
        <v>15</v>
      </c>
      <c r="P292" s="27">
        <v>51</v>
      </c>
      <c r="Q292" s="27">
        <v>2</v>
      </c>
      <c r="R292" s="27" t="s">
        <v>60</v>
      </c>
      <c r="S292" s="27" t="s">
        <v>50</v>
      </c>
      <c r="T292" s="27" t="s">
        <v>66</v>
      </c>
      <c r="U292" s="27">
        <v>9648541985</v>
      </c>
      <c r="V292" s="27" t="s">
        <v>53</v>
      </c>
    </row>
    <row r="293" spans="1:22" ht="15" thickBot="1" x14ac:dyDescent="0.4">
      <c r="A293" s="30" t="s">
        <v>400</v>
      </c>
      <c r="B293" s="30" t="s">
        <v>45</v>
      </c>
      <c r="C293" s="30" t="s">
        <v>125</v>
      </c>
      <c r="D293" s="31">
        <v>45830</v>
      </c>
      <c r="E293" s="31">
        <v>45836</v>
      </c>
      <c r="F293" s="30" t="s">
        <v>101</v>
      </c>
      <c r="G293" s="30" t="s">
        <v>26</v>
      </c>
      <c r="H293" s="31">
        <v>27978</v>
      </c>
      <c r="I293" s="30" t="s">
        <v>79</v>
      </c>
      <c r="J293" s="30" t="s">
        <v>75</v>
      </c>
      <c r="K293" s="30" t="s">
        <v>83</v>
      </c>
      <c r="L293" s="30" t="s">
        <v>127</v>
      </c>
      <c r="M293" s="30">
        <v>5</v>
      </c>
      <c r="N293" s="30">
        <v>20</v>
      </c>
      <c r="O293" s="30">
        <v>5</v>
      </c>
      <c r="P293" s="30">
        <v>95</v>
      </c>
      <c r="Q293" s="30">
        <v>2</v>
      </c>
      <c r="R293" s="30" t="s">
        <v>41</v>
      </c>
      <c r="S293" s="30" t="s">
        <v>42</v>
      </c>
      <c r="T293" s="30" t="s">
        <v>51</v>
      </c>
      <c r="U293" s="30">
        <v>9175002781</v>
      </c>
      <c r="V293" s="30" t="s">
        <v>52</v>
      </c>
    </row>
    <row r="294" spans="1:22" ht="15" thickBot="1" x14ac:dyDescent="0.4">
      <c r="A294" s="27" t="s">
        <v>401</v>
      </c>
      <c r="B294" s="27" t="s">
        <v>124</v>
      </c>
      <c r="C294" s="27" t="s">
        <v>125</v>
      </c>
      <c r="D294" s="28">
        <v>45796</v>
      </c>
      <c r="E294" s="28">
        <v>45801</v>
      </c>
      <c r="F294" s="27" t="s">
        <v>126</v>
      </c>
      <c r="G294" s="27" t="s">
        <v>58</v>
      </c>
      <c r="H294" s="28">
        <v>28623</v>
      </c>
      <c r="I294" s="27" t="s">
        <v>147</v>
      </c>
      <c r="J294" s="27" t="s">
        <v>148</v>
      </c>
      <c r="K294" s="27" t="s">
        <v>83</v>
      </c>
      <c r="L294" s="27" t="s">
        <v>127</v>
      </c>
      <c r="M294" s="27">
        <v>19</v>
      </c>
      <c r="N294" s="27">
        <v>20</v>
      </c>
      <c r="O294" s="27">
        <v>20</v>
      </c>
      <c r="P294" s="27">
        <v>304</v>
      </c>
      <c r="Q294" s="27">
        <v>3</v>
      </c>
      <c r="R294" s="27" t="s">
        <v>31</v>
      </c>
      <c r="S294" s="27" t="s">
        <v>32</v>
      </c>
      <c r="T294" s="27" t="s">
        <v>128</v>
      </c>
      <c r="U294" s="27">
        <v>9786241263</v>
      </c>
      <c r="V294" s="27" t="s">
        <v>53</v>
      </c>
    </row>
    <row r="295" spans="1:22" ht="15" thickBot="1" x14ac:dyDescent="0.4">
      <c r="A295" s="30" t="s">
        <v>402</v>
      </c>
      <c r="B295" s="30" t="s">
        <v>72</v>
      </c>
      <c r="C295" s="30" t="s">
        <v>138</v>
      </c>
      <c r="D295" s="31">
        <v>45745</v>
      </c>
      <c r="E295" s="31">
        <v>45754</v>
      </c>
      <c r="F295" s="30" t="s">
        <v>73</v>
      </c>
      <c r="G295" s="30" t="s">
        <v>26</v>
      </c>
      <c r="H295" s="31">
        <v>36026</v>
      </c>
      <c r="I295" s="30" t="s">
        <v>91</v>
      </c>
      <c r="J295" s="30" t="s">
        <v>75</v>
      </c>
      <c r="K295" s="30" t="s">
        <v>83</v>
      </c>
      <c r="L295" s="30" t="s">
        <v>139</v>
      </c>
      <c r="M295" s="30">
        <v>17</v>
      </c>
      <c r="N295" s="30">
        <v>45</v>
      </c>
      <c r="O295" s="30">
        <v>5</v>
      </c>
      <c r="P295" s="30">
        <v>726.75</v>
      </c>
      <c r="Q295" s="30">
        <v>4</v>
      </c>
      <c r="R295" s="30" t="s">
        <v>31</v>
      </c>
      <c r="S295" s="30" t="s">
        <v>80</v>
      </c>
      <c r="T295" s="30" t="s">
        <v>93</v>
      </c>
      <c r="U295" s="30">
        <v>9691078176</v>
      </c>
      <c r="V295" s="30" t="s">
        <v>52</v>
      </c>
    </row>
    <row r="296" spans="1:22" ht="15" thickBot="1" x14ac:dyDescent="0.4">
      <c r="A296" s="27" t="s">
        <v>403</v>
      </c>
      <c r="B296" s="27" t="s">
        <v>63</v>
      </c>
      <c r="C296" s="27" t="s">
        <v>112</v>
      </c>
      <c r="D296" s="28">
        <v>46071</v>
      </c>
      <c r="E296" s="28">
        <v>46075</v>
      </c>
      <c r="F296" s="27" t="s">
        <v>110</v>
      </c>
      <c r="G296" s="27" t="s">
        <v>58</v>
      </c>
      <c r="H296" s="28">
        <v>27687</v>
      </c>
      <c r="I296" s="27" t="s">
        <v>48</v>
      </c>
      <c r="J296" s="27" t="s">
        <v>28</v>
      </c>
      <c r="K296" s="27" t="s">
        <v>39</v>
      </c>
      <c r="L296" s="27" t="s">
        <v>114</v>
      </c>
      <c r="M296" s="27">
        <v>8</v>
      </c>
      <c r="N296" s="27">
        <v>700</v>
      </c>
      <c r="O296" s="27">
        <v>15</v>
      </c>
      <c r="P296" s="27">
        <v>4760</v>
      </c>
      <c r="Q296" s="27">
        <v>4</v>
      </c>
      <c r="R296" s="27" t="s">
        <v>41</v>
      </c>
      <c r="S296" s="27" t="s">
        <v>32</v>
      </c>
      <c r="T296" s="27" t="s">
        <v>66</v>
      </c>
      <c r="U296" s="27">
        <v>9336679085</v>
      </c>
      <c r="V296" s="27" t="s">
        <v>52</v>
      </c>
    </row>
    <row r="297" spans="1:22" ht="15" thickBot="1" x14ac:dyDescent="0.4">
      <c r="A297" s="30" t="s">
        <v>404</v>
      </c>
      <c r="B297" s="30" t="s">
        <v>104</v>
      </c>
      <c r="C297" s="30" t="s">
        <v>24</v>
      </c>
      <c r="D297" s="31">
        <v>46043</v>
      </c>
      <c r="E297" s="31">
        <v>46051</v>
      </c>
      <c r="F297" s="30" t="s">
        <v>166</v>
      </c>
      <c r="G297" s="30" t="s">
        <v>26</v>
      </c>
      <c r="H297" s="31">
        <v>27665</v>
      </c>
      <c r="I297" s="30" t="s">
        <v>74</v>
      </c>
      <c r="J297" s="30" t="s">
        <v>75</v>
      </c>
      <c r="K297" s="30" t="s">
        <v>29</v>
      </c>
      <c r="L297" s="30" t="s">
        <v>30</v>
      </c>
      <c r="M297" s="30">
        <v>15</v>
      </c>
      <c r="N297" s="30">
        <v>2200</v>
      </c>
      <c r="O297" s="30">
        <v>10</v>
      </c>
      <c r="P297" s="30">
        <v>29700</v>
      </c>
      <c r="Q297" s="30">
        <v>5</v>
      </c>
      <c r="R297" s="30" t="s">
        <v>65</v>
      </c>
      <c r="S297" s="30" t="s">
        <v>96</v>
      </c>
      <c r="T297" s="30" t="s">
        <v>108</v>
      </c>
      <c r="U297" s="30">
        <v>9497351043</v>
      </c>
      <c r="V297" s="22" t="s">
        <v>34</v>
      </c>
    </row>
    <row r="298" spans="1:22" ht="15" thickBot="1" x14ac:dyDescent="0.4">
      <c r="A298" s="27" t="s">
        <v>405</v>
      </c>
      <c r="B298" s="27" t="s">
        <v>72</v>
      </c>
      <c r="C298" s="27" t="s">
        <v>24</v>
      </c>
      <c r="D298" s="28">
        <v>45917</v>
      </c>
      <c r="E298" s="28">
        <v>45929</v>
      </c>
      <c r="F298" s="27" t="s">
        <v>73</v>
      </c>
      <c r="G298" s="27" t="s">
        <v>26</v>
      </c>
      <c r="H298" s="28">
        <v>37522</v>
      </c>
      <c r="I298" s="27" t="s">
        <v>74</v>
      </c>
      <c r="J298" s="27" t="s">
        <v>75</v>
      </c>
      <c r="K298" s="27" t="s">
        <v>29</v>
      </c>
      <c r="L298" s="27" t="s">
        <v>30</v>
      </c>
      <c r="M298" s="27">
        <v>1</v>
      </c>
      <c r="N298" s="27">
        <v>2200</v>
      </c>
      <c r="O298" s="27">
        <v>0</v>
      </c>
      <c r="P298" s="27">
        <v>2200</v>
      </c>
      <c r="Q298" s="27">
        <v>4</v>
      </c>
      <c r="R298" s="27" t="s">
        <v>31</v>
      </c>
      <c r="S298" s="27" t="s">
        <v>42</v>
      </c>
      <c r="T298" s="27" t="s">
        <v>93</v>
      </c>
      <c r="U298" s="27">
        <v>9357038998</v>
      </c>
      <c r="V298" s="27" t="s">
        <v>53</v>
      </c>
    </row>
    <row r="299" spans="1:22" ht="15" thickBot="1" x14ac:dyDescent="0.4">
      <c r="A299" s="30" t="s">
        <v>406</v>
      </c>
      <c r="B299" s="30" t="s">
        <v>134</v>
      </c>
      <c r="C299" s="30" t="s">
        <v>68</v>
      </c>
      <c r="D299" s="31">
        <v>45827</v>
      </c>
      <c r="E299" s="31">
        <v>45838</v>
      </c>
      <c r="F299" s="30" t="s">
        <v>135</v>
      </c>
      <c r="G299" s="30" t="s">
        <v>26</v>
      </c>
      <c r="H299" s="31">
        <v>32311</v>
      </c>
      <c r="I299" s="30" t="s">
        <v>91</v>
      </c>
      <c r="J299" s="30" t="s">
        <v>75</v>
      </c>
      <c r="K299" s="30" t="s">
        <v>29</v>
      </c>
      <c r="L299" s="30" t="s">
        <v>70</v>
      </c>
      <c r="M299" s="30">
        <v>10</v>
      </c>
      <c r="N299" s="30">
        <v>3500</v>
      </c>
      <c r="O299" s="30">
        <v>10</v>
      </c>
      <c r="P299" s="30">
        <v>31500</v>
      </c>
      <c r="Q299" s="30">
        <v>4</v>
      </c>
      <c r="R299" s="30" t="s">
        <v>41</v>
      </c>
      <c r="S299" s="30" t="s">
        <v>32</v>
      </c>
      <c r="T299" s="30" t="s">
        <v>136</v>
      </c>
      <c r="U299" s="30">
        <v>9986371291</v>
      </c>
      <c r="V299" s="30" t="s">
        <v>53</v>
      </c>
    </row>
    <row r="300" spans="1:22" ht="15" thickBot="1" x14ac:dyDescent="0.4">
      <c r="A300" s="27" t="s">
        <v>407</v>
      </c>
      <c r="B300" s="27" t="s">
        <v>55</v>
      </c>
      <c r="C300" s="27" t="s">
        <v>68</v>
      </c>
      <c r="D300" s="28">
        <v>45789</v>
      </c>
      <c r="E300" s="28">
        <v>45793</v>
      </c>
      <c r="F300" s="27" t="s">
        <v>57</v>
      </c>
      <c r="G300" s="27" t="s">
        <v>58</v>
      </c>
      <c r="H300" s="28">
        <v>33271</v>
      </c>
      <c r="I300" s="27" t="s">
        <v>121</v>
      </c>
      <c r="J300" s="27" t="s">
        <v>38</v>
      </c>
      <c r="K300" s="27" t="s">
        <v>29</v>
      </c>
      <c r="L300" s="27" t="s">
        <v>70</v>
      </c>
      <c r="M300" s="27">
        <v>16</v>
      </c>
      <c r="N300" s="27">
        <v>3500</v>
      </c>
      <c r="O300" s="27">
        <v>15</v>
      </c>
      <c r="P300" s="27">
        <v>47600</v>
      </c>
      <c r="Q300" s="27">
        <v>1</v>
      </c>
      <c r="R300" s="27" t="s">
        <v>60</v>
      </c>
      <c r="S300" s="27" t="s">
        <v>80</v>
      </c>
      <c r="T300" s="27" t="s">
        <v>61</v>
      </c>
      <c r="U300" s="27">
        <v>9397839191</v>
      </c>
      <c r="V300" s="27" t="s">
        <v>52</v>
      </c>
    </row>
    <row r="301" spans="1:22" ht="15" thickBot="1" x14ac:dyDescent="0.4">
      <c r="A301" s="30" t="s">
        <v>408</v>
      </c>
      <c r="B301" s="30" t="s">
        <v>134</v>
      </c>
      <c r="C301" s="30" t="s">
        <v>36</v>
      </c>
      <c r="D301" s="31">
        <v>45906</v>
      </c>
      <c r="E301" s="31">
        <v>45918</v>
      </c>
      <c r="F301" s="30" t="s">
        <v>135</v>
      </c>
      <c r="G301" s="30" t="s">
        <v>26</v>
      </c>
      <c r="H301" s="31">
        <v>28711</v>
      </c>
      <c r="I301" s="30" t="s">
        <v>121</v>
      </c>
      <c r="J301" s="30" t="s">
        <v>38</v>
      </c>
      <c r="K301" s="30" t="s">
        <v>39</v>
      </c>
      <c r="L301" s="30" t="s">
        <v>40</v>
      </c>
      <c r="M301" s="30">
        <v>1</v>
      </c>
      <c r="N301" s="30">
        <v>12000</v>
      </c>
      <c r="O301" s="30">
        <v>0</v>
      </c>
      <c r="P301" s="30">
        <v>12000</v>
      </c>
      <c r="Q301" s="30">
        <v>4</v>
      </c>
      <c r="R301" s="30" t="s">
        <v>41</v>
      </c>
      <c r="S301" s="30" t="s">
        <v>80</v>
      </c>
      <c r="T301" s="30" t="s">
        <v>136</v>
      </c>
      <c r="U301" s="30">
        <v>9162975843</v>
      </c>
      <c r="V301" s="30" t="s">
        <v>53</v>
      </c>
    </row>
    <row r="302" spans="1:22" ht="15" thickBot="1" x14ac:dyDescent="0.4">
      <c r="A302" s="27" t="s">
        <v>409</v>
      </c>
      <c r="B302" s="27" t="s">
        <v>63</v>
      </c>
      <c r="C302" s="27" t="s">
        <v>112</v>
      </c>
      <c r="D302" s="28">
        <v>45770</v>
      </c>
      <c r="E302" s="28">
        <v>45776</v>
      </c>
      <c r="F302" s="27" t="s">
        <v>110</v>
      </c>
      <c r="G302" s="27" t="s">
        <v>58</v>
      </c>
      <c r="H302" s="28">
        <v>34367</v>
      </c>
      <c r="I302" s="27" t="s">
        <v>74</v>
      </c>
      <c r="J302" s="27" t="s">
        <v>75</v>
      </c>
      <c r="K302" s="27" t="s">
        <v>39</v>
      </c>
      <c r="L302" s="27" t="s">
        <v>114</v>
      </c>
      <c r="M302" s="27">
        <v>6</v>
      </c>
      <c r="N302" s="27">
        <v>700</v>
      </c>
      <c r="O302" s="27">
        <v>20</v>
      </c>
      <c r="P302" s="27">
        <v>3360</v>
      </c>
      <c r="Q302" s="27">
        <v>2</v>
      </c>
      <c r="R302" s="27" t="s">
        <v>41</v>
      </c>
      <c r="S302" s="27" t="s">
        <v>80</v>
      </c>
      <c r="T302" s="27" t="s">
        <v>66</v>
      </c>
      <c r="U302" s="27">
        <v>9237616558</v>
      </c>
      <c r="V302" s="27" t="s">
        <v>52</v>
      </c>
    </row>
    <row r="303" spans="1:22" ht="15" thickBot="1" x14ac:dyDescent="0.4">
      <c r="A303" s="30" t="s">
        <v>410</v>
      </c>
      <c r="B303" s="30" t="s">
        <v>55</v>
      </c>
      <c r="C303" s="30" t="s">
        <v>24</v>
      </c>
      <c r="D303" s="31">
        <v>46074</v>
      </c>
      <c r="E303" s="31">
        <v>46080</v>
      </c>
      <c r="F303" s="30" t="s">
        <v>57</v>
      </c>
      <c r="G303" s="30" t="s">
        <v>58</v>
      </c>
      <c r="H303" s="31">
        <v>34786</v>
      </c>
      <c r="I303" s="30" t="s">
        <v>91</v>
      </c>
      <c r="J303" s="30" t="s">
        <v>75</v>
      </c>
      <c r="K303" s="30" t="s">
        <v>29</v>
      </c>
      <c r="L303" s="30" t="s">
        <v>30</v>
      </c>
      <c r="M303" s="30">
        <v>3</v>
      </c>
      <c r="N303" s="30">
        <v>2200</v>
      </c>
      <c r="O303" s="30">
        <v>0</v>
      </c>
      <c r="P303" s="30">
        <v>6600</v>
      </c>
      <c r="Q303" s="30">
        <v>4</v>
      </c>
      <c r="R303" s="30" t="s">
        <v>60</v>
      </c>
      <c r="S303" s="30" t="s">
        <v>32</v>
      </c>
      <c r="T303" s="30" t="s">
        <v>61</v>
      </c>
      <c r="U303" s="30">
        <v>9935063989</v>
      </c>
      <c r="V303" s="22" t="s">
        <v>34</v>
      </c>
    </row>
    <row r="304" spans="1:22" ht="15" thickBot="1" x14ac:dyDescent="0.4">
      <c r="A304" s="27" t="s">
        <v>411</v>
      </c>
      <c r="B304" s="27" t="s">
        <v>134</v>
      </c>
      <c r="C304" s="27" t="s">
        <v>138</v>
      </c>
      <c r="D304" s="28">
        <v>46019</v>
      </c>
      <c r="E304" s="28">
        <v>46023</v>
      </c>
      <c r="F304" s="27" t="s">
        <v>135</v>
      </c>
      <c r="G304" s="27" t="s">
        <v>26</v>
      </c>
      <c r="H304" s="28">
        <v>33675</v>
      </c>
      <c r="I304" s="27" t="s">
        <v>27</v>
      </c>
      <c r="J304" s="27" t="s">
        <v>28</v>
      </c>
      <c r="K304" s="27" t="s">
        <v>83</v>
      </c>
      <c r="L304" s="27" t="s">
        <v>139</v>
      </c>
      <c r="M304" s="27">
        <v>6</v>
      </c>
      <c r="N304" s="27">
        <v>45</v>
      </c>
      <c r="O304" s="27">
        <v>15</v>
      </c>
      <c r="P304" s="27">
        <v>229.5</v>
      </c>
      <c r="Q304" s="27">
        <v>1</v>
      </c>
      <c r="R304" s="27" t="s">
        <v>65</v>
      </c>
      <c r="S304" s="27" t="s">
        <v>42</v>
      </c>
      <c r="T304" s="27" t="s">
        <v>136</v>
      </c>
      <c r="U304" s="27">
        <v>9167376169</v>
      </c>
      <c r="V304" s="21" t="s">
        <v>34</v>
      </c>
    </row>
    <row r="305" spans="1:22" ht="15" thickBot="1" x14ac:dyDescent="0.4">
      <c r="A305" s="30" t="s">
        <v>412</v>
      </c>
      <c r="B305" s="30" t="s">
        <v>134</v>
      </c>
      <c r="C305" s="30" t="s">
        <v>56</v>
      </c>
      <c r="D305" s="31">
        <v>45922</v>
      </c>
      <c r="E305" s="31">
        <v>45930</v>
      </c>
      <c r="F305" s="30" t="s">
        <v>135</v>
      </c>
      <c r="G305" s="30" t="s">
        <v>26</v>
      </c>
      <c r="H305" s="31">
        <v>29609</v>
      </c>
      <c r="I305" s="30" t="s">
        <v>48</v>
      </c>
      <c r="J305" s="30" t="s">
        <v>28</v>
      </c>
      <c r="K305" s="30" t="s">
        <v>39</v>
      </c>
      <c r="L305" s="30" t="s">
        <v>59</v>
      </c>
      <c r="M305" s="30">
        <v>2</v>
      </c>
      <c r="N305" s="30">
        <v>1200</v>
      </c>
      <c r="O305" s="30">
        <v>0</v>
      </c>
      <c r="P305" s="30">
        <v>2400</v>
      </c>
      <c r="Q305" s="30">
        <v>1</v>
      </c>
      <c r="R305" s="30" t="s">
        <v>31</v>
      </c>
      <c r="S305" s="30" t="s">
        <v>96</v>
      </c>
      <c r="T305" s="30" t="s">
        <v>136</v>
      </c>
      <c r="U305" s="30">
        <v>9231845497</v>
      </c>
      <c r="V305" s="30" t="s">
        <v>53</v>
      </c>
    </row>
    <row r="306" spans="1:22" ht="15" thickBot="1" x14ac:dyDescent="0.4">
      <c r="A306" s="27" t="s">
        <v>413</v>
      </c>
      <c r="B306" s="27" t="s">
        <v>104</v>
      </c>
      <c r="C306" s="27" t="s">
        <v>112</v>
      </c>
      <c r="D306" s="28">
        <v>46150</v>
      </c>
      <c r="E306" s="28">
        <v>46153</v>
      </c>
      <c r="F306" s="27" t="s">
        <v>166</v>
      </c>
      <c r="G306" s="27" t="s">
        <v>26</v>
      </c>
      <c r="H306" s="28">
        <v>30953</v>
      </c>
      <c r="I306" s="27" t="s">
        <v>27</v>
      </c>
      <c r="J306" s="27" t="s">
        <v>28</v>
      </c>
      <c r="K306" s="27" t="s">
        <v>39</v>
      </c>
      <c r="L306" s="27" t="s">
        <v>114</v>
      </c>
      <c r="M306" s="27">
        <v>14</v>
      </c>
      <c r="N306" s="27">
        <v>700</v>
      </c>
      <c r="O306" s="27">
        <v>15</v>
      </c>
      <c r="P306" s="27">
        <v>8330</v>
      </c>
      <c r="Q306" s="27">
        <v>5</v>
      </c>
      <c r="R306" s="27" t="s">
        <v>31</v>
      </c>
      <c r="S306" s="27" t="s">
        <v>80</v>
      </c>
      <c r="T306" s="27" t="s">
        <v>108</v>
      </c>
      <c r="U306" s="27">
        <v>9409415805</v>
      </c>
      <c r="V306" s="27" t="s">
        <v>52</v>
      </c>
    </row>
    <row r="307" spans="1:22" ht="15" thickBot="1" x14ac:dyDescent="0.4">
      <c r="A307" s="30" t="s">
        <v>414</v>
      </c>
      <c r="B307" s="30" t="s">
        <v>72</v>
      </c>
      <c r="C307" s="30" t="s">
        <v>125</v>
      </c>
      <c r="D307" s="31">
        <v>45966</v>
      </c>
      <c r="E307" s="31">
        <v>45967</v>
      </c>
      <c r="F307" s="30" t="s">
        <v>73</v>
      </c>
      <c r="G307" s="30" t="s">
        <v>26</v>
      </c>
      <c r="H307" s="31">
        <v>27704</v>
      </c>
      <c r="I307" s="30" t="s">
        <v>74</v>
      </c>
      <c r="J307" s="30" t="s">
        <v>75</v>
      </c>
      <c r="K307" s="30" t="s">
        <v>83</v>
      </c>
      <c r="L307" s="30" t="s">
        <v>127</v>
      </c>
      <c r="M307" s="30">
        <v>13</v>
      </c>
      <c r="N307" s="30">
        <v>20</v>
      </c>
      <c r="O307" s="30">
        <v>5</v>
      </c>
      <c r="P307" s="30">
        <v>247</v>
      </c>
      <c r="Q307" s="30">
        <v>1</v>
      </c>
      <c r="R307" s="30" t="s">
        <v>60</v>
      </c>
      <c r="S307" s="30" t="s">
        <v>32</v>
      </c>
      <c r="T307" s="30" t="s">
        <v>415</v>
      </c>
      <c r="U307" s="30">
        <v>9240800508</v>
      </c>
      <c r="V307" s="30" t="s">
        <v>52</v>
      </c>
    </row>
    <row r="308" spans="1:22" ht="15" thickBot="1" x14ac:dyDescent="0.4">
      <c r="A308" s="27" t="s">
        <v>416</v>
      </c>
      <c r="B308" s="27" t="s">
        <v>55</v>
      </c>
      <c r="C308" s="27" t="s">
        <v>24</v>
      </c>
      <c r="D308" s="28">
        <v>45724</v>
      </c>
      <c r="E308" s="28">
        <v>45731</v>
      </c>
      <c r="F308" s="27" t="s">
        <v>57</v>
      </c>
      <c r="G308" s="27" t="s">
        <v>58</v>
      </c>
      <c r="H308" s="28">
        <v>34876</v>
      </c>
      <c r="I308" s="27" t="s">
        <v>79</v>
      </c>
      <c r="J308" s="27" t="s">
        <v>75</v>
      </c>
      <c r="K308" s="27" t="s">
        <v>29</v>
      </c>
      <c r="L308" s="27" t="s">
        <v>30</v>
      </c>
      <c r="M308" s="27">
        <v>3</v>
      </c>
      <c r="N308" s="27">
        <v>2200</v>
      </c>
      <c r="O308" s="27">
        <v>0</v>
      </c>
      <c r="P308" s="27">
        <v>6600</v>
      </c>
      <c r="Q308" s="27">
        <v>4</v>
      </c>
      <c r="R308" s="27" t="s">
        <v>41</v>
      </c>
      <c r="S308" s="27" t="s">
        <v>50</v>
      </c>
      <c r="T308" s="27" t="s">
        <v>61</v>
      </c>
      <c r="U308" s="27">
        <v>9764609936</v>
      </c>
      <c r="V308" s="27" t="s">
        <v>53</v>
      </c>
    </row>
    <row r="309" spans="1:22" ht="15" thickBot="1" x14ac:dyDescent="0.4">
      <c r="A309" s="30" t="s">
        <v>417</v>
      </c>
      <c r="B309" s="30" t="s">
        <v>55</v>
      </c>
      <c r="C309" s="30" t="s">
        <v>82</v>
      </c>
      <c r="D309" s="31">
        <v>46062</v>
      </c>
      <c r="E309" s="31">
        <v>46074</v>
      </c>
      <c r="F309" s="30" t="s">
        <v>57</v>
      </c>
      <c r="G309" s="30" t="s">
        <v>58</v>
      </c>
      <c r="H309" s="31">
        <v>29180</v>
      </c>
      <c r="I309" s="30" t="s">
        <v>79</v>
      </c>
      <c r="J309" s="30" t="s">
        <v>75</v>
      </c>
      <c r="K309" s="30" t="s">
        <v>83</v>
      </c>
      <c r="L309" s="30" t="s">
        <v>84</v>
      </c>
      <c r="M309" s="30">
        <v>3</v>
      </c>
      <c r="N309" s="30">
        <v>60</v>
      </c>
      <c r="O309" s="30">
        <v>15</v>
      </c>
      <c r="P309" s="30">
        <v>153</v>
      </c>
      <c r="Q309" s="30">
        <v>4</v>
      </c>
      <c r="R309" s="30" t="s">
        <v>65</v>
      </c>
      <c r="S309" s="30" t="s">
        <v>80</v>
      </c>
      <c r="T309" s="30" t="s">
        <v>61</v>
      </c>
      <c r="U309" s="30">
        <v>9362733217</v>
      </c>
      <c r="V309" s="22" t="s">
        <v>34</v>
      </c>
    </row>
    <row r="310" spans="1:22" ht="15" thickBot="1" x14ac:dyDescent="0.4">
      <c r="A310" s="27" t="s">
        <v>418</v>
      </c>
      <c r="B310" s="27" t="s">
        <v>87</v>
      </c>
      <c r="C310" s="27" t="s">
        <v>68</v>
      </c>
      <c r="D310" s="28">
        <v>45733</v>
      </c>
      <c r="E310" s="28">
        <v>45739</v>
      </c>
      <c r="F310" s="27" t="s">
        <v>88</v>
      </c>
      <c r="G310" s="27" t="s">
        <v>58</v>
      </c>
      <c r="H310" s="28">
        <v>31805</v>
      </c>
      <c r="I310" s="27" t="s">
        <v>74</v>
      </c>
      <c r="J310" s="27" t="s">
        <v>75</v>
      </c>
      <c r="K310" s="27" t="s">
        <v>29</v>
      </c>
      <c r="L310" s="27" t="s">
        <v>70</v>
      </c>
      <c r="M310" s="27">
        <v>9</v>
      </c>
      <c r="N310" s="27">
        <v>3500</v>
      </c>
      <c r="O310" s="27">
        <v>5</v>
      </c>
      <c r="P310" s="27">
        <v>29925</v>
      </c>
      <c r="Q310" s="27">
        <v>1</v>
      </c>
      <c r="R310" s="27" t="s">
        <v>31</v>
      </c>
      <c r="S310" s="27" t="s">
        <v>50</v>
      </c>
      <c r="T310" s="27" t="s">
        <v>89</v>
      </c>
      <c r="U310" s="27">
        <v>9270466205</v>
      </c>
      <c r="V310" s="27" t="s">
        <v>52</v>
      </c>
    </row>
    <row r="311" spans="1:22" ht="29.5" thickBot="1" x14ac:dyDescent="0.4">
      <c r="A311" s="30" t="s">
        <v>419</v>
      </c>
      <c r="B311" s="30" t="s">
        <v>156</v>
      </c>
      <c r="C311" s="30" t="s">
        <v>56</v>
      </c>
      <c r="D311" s="31">
        <v>45743</v>
      </c>
      <c r="E311" s="31">
        <v>45748</v>
      </c>
      <c r="F311" s="30" t="s">
        <v>106</v>
      </c>
      <c r="G311" s="30" t="s">
        <v>58</v>
      </c>
      <c r="H311" s="31">
        <v>36930</v>
      </c>
      <c r="I311" s="30" t="s">
        <v>121</v>
      </c>
      <c r="J311" s="30" t="s">
        <v>38</v>
      </c>
      <c r="K311" s="30" t="s">
        <v>39</v>
      </c>
      <c r="L311" s="30" t="s">
        <v>59</v>
      </c>
      <c r="M311" s="30">
        <v>5</v>
      </c>
      <c r="N311" s="30">
        <v>1200</v>
      </c>
      <c r="O311" s="30">
        <v>20</v>
      </c>
      <c r="P311" s="30">
        <v>4800</v>
      </c>
      <c r="Q311" s="30">
        <v>2</v>
      </c>
      <c r="R311" s="30" t="s">
        <v>65</v>
      </c>
      <c r="S311" s="30" t="s">
        <v>80</v>
      </c>
      <c r="T311" s="30" t="s">
        <v>158</v>
      </c>
      <c r="U311" s="30">
        <v>9571436865</v>
      </c>
      <c r="V311" s="30" t="s">
        <v>52</v>
      </c>
    </row>
    <row r="312" spans="1:22" ht="15" thickBot="1" x14ac:dyDescent="0.4">
      <c r="A312" s="27" t="s">
        <v>420</v>
      </c>
      <c r="B312" s="27" t="s">
        <v>45</v>
      </c>
      <c r="C312" s="27" t="s">
        <v>56</v>
      </c>
      <c r="D312" s="28">
        <v>45728</v>
      </c>
      <c r="E312" s="28">
        <v>45730</v>
      </c>
      <c r="F312" s="27" t="s">
        <v>101</v>
      </c>
      <c r="G312" s="27" t="s">
        <v>26</v>
      </c>
      <c r="H312" s="28">
        <v>32856</v>
      </c>
      <c r="I312" s="27" t="s">
        <v>121</v>
      </c>
      <c r="J312" s="27" t="s">
        <v>38</v>
      </c>
      <c r="K312" s="27" t="s">
        <v>39</v>
      </c>
      <c r="L312" s="27" t="s">
        <v>59</v>
      </c>
      <c r="M312" s="27">
        <v>10</v>
      </c>
      <c r="N312" s="27">
        <v>1200</v>
      </c>
      <c r="O312" s="27">
        <v>20</v>
      </c>
      <c r="P312" s="27">
        <v>9600</v>
      </c>
      <c r="Q312" s="27">
        <v>4</v>
      </c>
      <c r="R312" s="27" t="s">
        <v>31</v>
      </c>
      <c r="S312" s="27" t="s">
        <v>42</v>
      </c>
      <c r="T312" s="29" t="s">
        <v>421</v>
      </c>
      <c r="U312" s="27">
        <v>9307011171</v>
      </c>
      <c r="V312" s="21" t="s">
        <v>34</v>
      </c>
    </row>
    <row r="313" spans="1:22" ht="15" thickBot="1" x14ac:dyDescent="0.4">
      <c r="A313" s="30" t="s">
        <v>422</v>
      </c>
      <c r="B313" s="30" t="s">
        <v>23</v>
      </c>
      <c r="C313" s="30" t="s">
        <v>56</v>
      </c>
      <c r="D313" s="31">
        <v>46066</v>
      </c>
      <c r="E313" s="31">
        <v>46077</v>
      </c>
      <c r="F313" s="30" t="s">
        <v>25</v>
      </c>
      <c r="G313" s="30" t="s">
        <v>26</v>
      </c>
      <c r="H313" s="31">
        <v>32492</v>
      </c>
      <c r="I313" s="30" t="s">
        <v>91</v>
      </c>
      <c r="J313" s="30" t="s">
        <v>75</v>
      </c>
      <c r="K313" s="30" t="s">
        <v>39</v>
      </c>
      <c r="L313" s="30" t="s">
        <v>59</v>
      </c>
      <c r="M313" s="30">
        <v>5</v>
      </c>
      <c r="N313" s="30">
        <v>1200</v>
      </c>
      <c r="O313" s="30">
        <v>20</v>
      </c>
      <c r="P313" s="30">
        <v>4800</v>
      </c>
      <c r="Q313" s="30">
        <v>3</v>
      </c>
      <c r="R313" s="30" t="s">
        <v>41</v>
      </c>
      <c r="S313" s="30" t="s">
        <v>96</v>
      </c>
      <c r="T313" s="30" t="s">
        <v>43</v>
      </c>
      <c r="U313" s="30">
        <v>9922380435</v>
      </c>
      <c r="V313" s="22" t="s">
        <v>34</v>
      </c>
    </row>
    <row r="314" spans="1:22" ht="15" thickBot="1" x14ac:dyDescent="0.4">
      <c r="A314" s="27" t="s">
        <v>423</v>
      </c>
      <c r="B314" s="27" t="s">
        <v>104</v>
      </c>
      <c r="C314" s="27" t="s">
        <v>125</v>
      </c>
      <c r="D314" s="28">
        <v>45699</v>
      </c>
      <c r="E314" s="28">
        <v>45702</v>
      </c>
      <c r="F314" s="27" t="s">
        <v>166</v>
      </c>
      <c r="G314" s="27" t="s">
        <v>26</v>
      </c>
      <c r="H314" s="28">
        <v>33166</v>
      </c>
      <c r="I314" s="27" t="s">
        <v>74</v>
      </c>
      <c r="J314" s="27" t="s">
        <v>75</v>
      </c>
      <c r="K314" s="27" t="s">
        <v>83</v>
      </c>
      <c r="L314" s="27" t="s">
        <v>127</v>
      </c>
      <c r="M314" s="27">
        <v>10</v>
      </c>
      <c r="N314" s="27">
        <v>20</v>
      </c>
      <c r="O314" s="27">
        <v>5</v>
      </c>
      <c r="P314" s="27">
        <v>190</v>
      </c>
      <c r="Q314" s="27">
        <v>4</v>
      </c>
      <c r="R314" s="27" t="s">
        <v>31</v>
      </c>
      <c r="S314" s="27" t="s">
        <v>96</v>
      </c>
      <c r="T314" s="27" t="s">
        <v>108</v>
      </c>
      <c r="U314" s="27">
        <v>9463618792</v>
      </c>
      <c r="V314" s="27" t="s">
        <v>52</v>
      </c>
    </row>
    <row r="315" spans="1:22" ht="15" thickBot="1" x14ac:dyDescent="0.4">
      <c r="A315" s="30" t="s">
        <v>424</v>
      </c>
      <c r="B315" s="30" t="s">
        <v>72</v>
      </c>
      <c r="C315" s="30" t="s">
        <v>82</v>
      </c>
      <c r="D315" s="31">
        <v>45674</v>
      </c>
      <c r="E315" s="31">
        <v>45684</v>
      </c>
      <c r="F315" s="30" t="s">
        <v>73</v>
      </c>
      <c r="G315" s="30" t="s">
        <v>26</v>
      </c>
      <c r="H315" s="31">
        <v>28741</v>
      </c>
      <c r="I315" s="30" t="s">
        <v>37</v>
      </c>
      <c r="J315" s="30" t="s">
        <v>38</v>
      </c>
      <c r="K315" s="30" t="s">
        <v>83</v>
      </c>
      <c r="L315" s="30" t="s">
        <v>84</v>
      </c>
      <c r="M315" s="30">
        <v>20</v>
      </c>
      <c r="N315" s="30">
        <v>60</v>
      </c>
      <c r="O315" s="30">
        <v>15</v>
      </c>
      <c r="P315" s="30">
        <v>1020</v>
      </c>
      <c r="Q315" s="30">
        <v>5</v>
      </c>
      <c r="R315" s="30" t="s">
        <v>60</v>
      </c>
      <c r="S315" s="30" t="s">
        <v>32</v>
      </c>
      <c r="T315" s="30" t="s">
        <v>93</v>
      </c>
      <c r="U315" s="30">
        <v>9954973200</v>
      </c>
      <c r="V315" s="30" t="s">
        <v>52</v>
      </c>
    </row>
    <row r="316" spans="1:22" ht="29.5" thickBot="1" x14ac:dyDescent="0.4">
      <c r="A316" s="27" t="s">
        <v>425</v>
      </c>
      <c r="B316" s="27" t="s">
        <v>156</v>
      </c>
      <c r="C316" s="27" t="s">
        <v>24</v>
      </c>
      <c r="D316" s="28">
        <v>45748</v>
      </c>
      <c r="E316" s="28">
        <v>45759</v>
      </c>
      <c r="F316" s="27" t="s">
        <v>106</v>
      </c>
      <c r="G316" s="27" t="s">
        <v>58</v>
      </c>
      <c r="H316" s="28">
        <v>28530</v>
      </c>
      <c r="I316" s="27" t="s">
        <v>91</v>
      </c>
      <c r="J316" s="27" t="s">
        <v>75</v>
      </c>
      <c r="K316" s="27" t="s">
        <v>29</v>
      </c>
      <c r="L316" s="27" t="s">
        <v>30</v>
      </c>
      <c r="M316" s="27">
        <v>7</v>
      </c>
      <c r="N316" s="27">
        <v>2200</v>
      </c>
      <c r="O316" s="27">
        <v>15</v>
      </c>
      <c r="P316" s="27">
        <v>13090</v>
      </c>
      <c r="Q316" s="27">
        <v>4</v>
      </c>
      <c r="R316" s="27" t="s">
        <v>31</v>
      </c>
      <c r="S316" s="27" t="s">
        <v>50</v>
      </c>
      <c r="T316" s="27" t="s">
        <v>158</v>
      </c>
      <c r="U316" s="27">
        <v>9383199236</v>
      </c>
      <c r="V316" s="27" t="s">
        <v>53</v>
      </c>
    </row>
    <row r="317" spans="1:22" ht="15" thickBot="1" x14ac:dyDescent="0.4">
      <c r="A317" s="30" t="s">
        <v>426</v>
      </c>
      <c r="B317" s="30" t="s">
        <v>87</v>
      </c>
      <c r="C317" s="30" t="s">
        <v>46</v>
      </c>
      <c r="D317" s="31">
        <v>45670</v>
      </c>
      <c r="E317" s="31">
        <v>45673</v>
      </c>
      <c r="F317" s="30" t="s">
        <v>88</v>
      </c>
      <c r="G317" s="30" t="s">
        <v>58</v>
      </c>
      <c r="H317" s="31">
        <v>37989</v>
      </c>
      <c r="I317" s="30" t="s">
        <v>27</v>
      </c>
      <c r="J317" s="30" t="s">
        <v>28</v>
      </c>
      <c r="K317" s="30" t="s">
        <v>39</v>
      </c>
      <c r="L317" s="30" t="s">
        <v>49</v>
      </c>
      <c r="M317" s="30">
        <v>11</v>
      </c>
      <c r="N317" s="30">
        <v>55000</v>
      </c>
      <c r="O317" s="30">
        <v>5</v>
      </c>
      <c r="P317" s="30">
        <v>574750</v>
      </c>
      <c r="Q317" s="30">
        <v>1</v>
      </c>
      <c r="R317" s="30" t="s">
        <v>65</v>
      </c>
      <c r="S317" s="30" t="s">
        <v>32</v>
      </c>
      <c r="T317" s="30" t="s">
        <v>89</v>
      </c>
      <c r="U317" s="30">
        <v>9482699727</v>
      </c>
      <c r="V317" s="30" t="s">
        <v>53</v>
      </c>
    </row>
    <row r="318" spans="1:22" ht="15" thickBot="1" x14ac:dyDescent="0.4">
      <c r="A318" s="27" t="s">
        <v>427</v>
      </c>
      <c r="B318" s="27" t="s">
        <v>63</v>
      </c>
      <c r="C318" s="27" t="s">
        <v>68</v>
      </c>
      <c r="D318" s="28">
        <v>45935</v>
      </c>
      <c r="E318" s="28">
        <v>45947</v>
      </c>
      <c r="F318" s="27" t="s">
        <v>110</v>
      </c>
      <c r="G318" s="27" t="s">
        <v>58</v>
      </c>
      <c r="H318" s="28">
        <v>33726</v>
      </c>
      <c r="I318" s="27" t="s">
        <v>121</v>
      </c>
      <c r="J318" s="27" t="s">
        <v>38</v>
      </c>
      <c r="K318" s="27" t="s">
        <v>29</v>
      </c>
      <c r="L318" s="27" t="s">
        <v>70</v>
      </c>
      <c r="M318" s="27">
        <v>12</v>
      </c>
      <c r="N318" s="27">
        <v>3500</v>
      </c>
      <c r="O318" s="27">
        <v>0</v>
      </c>
      <c r="P318" s="27">
        <v>42000</v>
      </c>
      <c r="Q318" s="27">
        <v>2</v>
      </c>
      <c r="R318" s="21" t="s">
        <v>41</v>
      </c>
      <c r="S318" s="27"/>
      <c r="T318" s="27" t="s">
        <v>66</v>
      </c>
      <c r="U318" s="27">
        <v>9332473934</v>
      </c>
      <c r="V318" s="27" t="s">
        <v>52</v>
      </c>
    </row>
    <row r="319" spans="1:22" ht="15" thickBot="1" x14ac:dyDescent="0.4">
      <c r="A319" s="30" t="s">
        <v>428</v>
      </c>
      <c r="B319" s="30" t="s">
        <v>55</v>
      </c>
      <c r="C319" s="30" t="s">
        <v>138</v>
      </c>
      <c r="D319" s="31">
        <v>46078</v>
      </c>
      <c r="E319" s="31">
        <v>46089</v>
      </c>
      <c r="F319" s="30" t="s">
        <v>57</v>
      </c>
      <c r="G319" s="30" t="s">
        <v>58</v>
      </c>
      <c r="H319" s="31">
        <v>37647</v>
      </c>
      <c r="I319" s="30" t="s">
        <v>27</v>
      </c>
      <c r="J319" s="30" t="s">
        <v>28</v>
      </c>
      <c r="K319" s="30" t="s">
        <v>83</v>
      </c>
      <c r="L319" s="30" t="s">
        <v>139</v>
      </c>
      <c r="M319" s="30">
        <v>15</v>
      </c>
      <c r="N319" s="30">
        <v>45</v>
      </c>
      <c r="O319" s="30">
        <v>10</v>
      </c>
      <c r="P319" s="30">
        <v>607.5</v>
      </c>
      <c r="Q319" s="30">
        <v>2</v>
      </c>
      <c r="R319" s="30" t="s">
        <v>31</v>
      </c>
      <c r="S319" s="30" t="s">
        <v>96</v>
      </c>
      <c r="T319" s="30" t="s">
        <v>61</v>
      </c>
      <c r="U319" s="30">
        <v>9647657382</v>
      </c>
      <c r="V319" s="30" t="s">
        <v>52</v>
      </c>
    </row>
    <row r="320" spans="1:22" ht="29.5" thickBot="1" x14ac:dyDescent="0.4">
      <c r="A320" s="27" t="s">
        <v>429</v>
      </c>
      <c r="B320" s="27" t="s">
        <v>156</v>
      </c>
      <c r="C320" s="27" t="s">
        <v>138</v>
      </c>
      <c r="D320" s="28">
        <v>45793</v>
      </c>
      <c r="E320" s="28">
        <v>45803</v>
      </c>
      <c r="F320" s="27" t="s">
        <v>106</v>
      </c>
      <c r="G320" s="27" t="s">
        <v>58</v>
      </c>
      <c r="H320" s="28">
        <v>31917</v>
      </c>
      <c r="I320" s="27" t="s">
        <v>48</v>
      </c>
      <c r="J320" s="27" t="s">
        <v>28</v>
      </c>
      <c r="K320" s="27" t="s">
        <v>83</v>
      </c>
      <c r="L320" s="27" t="s">
        <v>139</v>
      </c>
      <c r="M320" s="27">
        <v>13</v>
      </c>
      <c r="N320" s="27">
        <v>45</v>
      </c>
      <c r="O320" s="27">
        <v>0</v>
      </c>
      <c r="P320" s="27">
        <v>585</v>
      </c>
      <c r="Q320" s="27">
        <v>5</v>
      </c>
      <c r="R320" s="27" t="s">
        <v>41</v>
      </c>
      <c r="S320" s="27" t="s">
        <v>42</v>
      </c>
      <c r="T320" s="27" t="s">
        <v>158</v>
      </c>
      <c r="U320" s="27">
        <v>9736797776</v>
      </c>
      <c r="V320" s="27" t="s">
        <v>52</v>
      </c>
    </row>
    <row r="321" spans="1:22" ht="15" thickBot="1" x14ac:dyDescent="0.4">
      <c r="A321" s="30" t="s">
        <v>430</v>
      </c>
      <c r="B321" s="30" t="s">
        <v>87</v>
      </c>
      <c r="C321" s="30" t="s">
        <v>46</v>
      </c>
      <c r="D321" s="31">
        <v>46024</v>
      </c>
      <c r="E321" s="31">
        <v>46027</v>
      </c>
      <c r="F321" s="30" t="s">
        <v>88</v>
      </c>
      <c r="G321" s="30" t="s">
        <v>58</v>
      </c>
      <c r="H321" s="31">
        <v>27644</v>
      </c>
      <c r="I321" s="30" t="s">
        <v>48</v>
      </c>
      <c r="J321" s="30" t="s">
        <v>28</v>
      </c>
      <c r="K321" s="30" t="s">
        <v>39</v>
      </c>
      <c r="L321" s="30" t="s">
        <v>49</v>
      </c>
      <c r="M321" s="30">
        <v>8</v>
      </c>
      <c r="N321" s="30">
        <v>55000</v>
      </c>
      <c r="O321" s="30">
        <v>0</v>
      </c>
      <c r="P321" s="30">
        <v>440000</v>
      </c>
      <c r="Q321" s="30">
        <v>2</v>
      </c>
      <c r="R321" s="30" t="s">
        <v>65</v>
      </c>
      <c r="S321" s="30" t="s">
        <v>96</v>
      </c>
      <c r="T321" s="30" t="s">
        <v>89</v>
      </c>
      <c r="U321" s="30">
        <v>9745773533</v>
      </c>
      <c r="V321" s="30" t="s">
        <v>53</v>
      </c>
    </row>
    <row r="322" spans="1:22" ht="15" thickBot="1" x14ac:dyDescent="0.4">
      <c r="A322" s="27" t="s">
        <v>431</v>
      </c>
      <c r="B322" s="27" t="s">
        <v>134</v>
      </c>
      <c r="C322" s="27" t="s">
        <v>46</v>
      </c>
      <c r="D322" s="28">
        <v>45861</v>
      </c>
      <c r="E322" s="28">
        <v>45865</v>
      </c>
      <c r="F322" s="27" t="s">
        <v>135</v>
      </c>
      <c r="G322" s="27" t="s">
        <v>26</v>
      </c>
      <c r="H322" s="28">
        <v>29443</v>
      </c>
      <c r="I322" s="27" t="s">
        <v>37</v>
      </c>
      <c r="J322" s="27" t="s">
        <v>38</v>
      </c>
      <c r="K322" s="27" t="s">
        <v>39</v>
      </c>
      <c r="L322" s="27" t="s">
        <v>49</v>
      </c>
      <c r="M322" s="27">
        <v>4</v>
      </c>
      <c r="N322" s="27">
        <v>55000</v>
      </c>
      <c r="O322" s="27">
        <v>20</v>
      </c>
      <c r="P322" s="27">
        <v>176000</v>
      </c>
      <c r="Q322" s="27">
        <v>5</v>
      </c>
      <c r="R322" s="27" t="s">
        <v>31</v>
      </c>
      <c r="S322" s="27" t="s">
        <v>42</v>
      </c>
      <c r="T322" s="27" t="s">
        <v>136</v>
      </c>
      <c r="U322" s="27">
        <v>9246715757</v>
      </c>
      <c r="V322" s="27" t="s">
        <v>52</v>
      </c>
    </row>
    <row r="323" spans="1:22" ht="15" thickBot="1" x14ac:dyDescent="0.4">
      <c r="A323" s="30" t="s">
        <v>432</v>
      </c>
      <c r="B323" s="30" t="s">
        <v>23</v>
      </c>
      <c r="C323" s="30" t="s">
        <v>68</v>
      </c>
      <c r="D323" s="31">
        <v>46135</v>
      </c>
      <c r="E323" s="31">
        <v>46138</v>
      </c>
      <c r="F323" s="30" t="s">
        <v>25</v>
      </c>
      <c r="G323" s="30" t="s">
        <v>26</v>
      </c>
      <c r="H323" s="31">
        <v>32605</v>
      </c>
      <c r="I323" s="30" t="s">
        <v>91</v>
      </c>
      <c r="J323" s="30" t="s">
        <v>75</v>
      </c>
      <c r="K323" s="30" t="s">
        <v>29</v>
      </c>
      <c r="L323" s="30" t="s">
        <v>70</v>
      </c>
      <c r="M323" s="30">
        <v>19</v>
      </c>
      <c r="N323" s="30">
        <v>3500</v>
      </c>
      <c r="O323" s="30">
        <v>5</v>
      </c>
      <c r="P323" s="30">
        <v>63175</v>
      </c>
      <c r="Q323" s="30">
        <v>1</v>
      </c>
      <c r="R323" s="30" t="s">
        <v>60</v>
      </c>
      <c r="S323" s="30" t="s">
        <v>80</v>
      </c>
      <c r="T323" s="30" t="s">
        <v>43</v>
      </c>
      <c r="U323" s="30">
        <v>9904065774</v>
      </c>
      <c r="V323" s="22" t="s">
        <v>34</v>
      </c>
    </row>
    <row r="324" spans="1:22" ht="15" thickBot="1" x14ac:dyDescent="0.4">
      <c r="A324" s="27" t="s">
        <v>433</v>
      </c>
      <c r="B324" s="27" t="s">
        <v>124</v>
      </c>
      <c r="C324" s="27" t="s">
        <v>56</v>
      </c>
      <c r="D324" s="28">
        <v>45718</v>
      </c>
      <c r="E324" s="28">
        <v>45722</v>
      </c>
      <c r="F324" s="27" t="s">
        <v>126</v>
      </c>
      <c r="G324" s="27" t="s">
        <v>58</v>
      </c>
      <c r="H324" s="28">
        <v>36027</v>
      </c>
      <c r="I324" s="27" t="s">
        <v>121</v>
      </c>
      <c r="J324" s="27" t="s">
        <v>38</v>
      </c>
      <c r="K324" s="27" t="s">
        <v>39</v>
      </c>
      <c r="L324" s="27" t="s">
        <v>59</v>
      </c>
      <c r="M324" s="27">
        <v>17</v>
      </c>
      <c r="N324" s="27">
        <v>1200</v>
      </c>
      <c r="O324" s="27">
        <v>15</v>
      </c>
      <c r="P324" s="27">
        <v>17340</v>
      </c>
      <c r="Q324" s="27">
        <v>2</v>
      </c>
      <c r="R324" s="27" t="s">
        <v>41</v>
      </c>
      <c r="S324" s="27" t="s">
        <v>42</v>
      </c>
      <c r="T324" s="27" t="s">
        <v>128</v>
      </c>
      <c r="U324" s="27">
        <v>9652985385</v>
      </c>
      <c r="V324" s="21" t="s">
        <v>34</v>
      </c>
    </row>
    <row r="325" spans="1:22" ht="15" thickBot="1" x14ac:dyDescent="0.4">
      <c r="A325" s="30" t="s">
        <v>434</v>
      </c>
      <c r="B325" s="30" t="s">
        <v>23</v>
      </c>
      <c r="C325" s="30" t="s">
        <v>24</v>
      </c>
      <c r="D325" s="31">
        <v>46062</v>
      </c>
      <c r="E325" s="31">
        <v>46070</v>
      </c>
      <c r="F325" s="30" t="s">
        <v>25</v>
      </c>
      <c r="G325" s="30" t="s">
        <v>26</v>
      </c>
      <c r="H325" s="31">
        <v>36984</v>
      </c>
      <c r="I325" s="30" t="s">
        <v>27</v>
      </c>
      <c r="J325" s="30" t="s">
        <v>28</v>
      </c>
      <c r="K325" s="30" t="s">
        <v>29</v>
      </c>
      <c r="L325" s="30" t="s">
        <v>30</v>
      </c>
      <c r="M325" s="30">
        <v>8</v>
      </c>
      <c r="N325" s="30">
        <v>2200</v>
      </c>
      <c r="O325" s="30">
        <v>5</v>
      </c>
      <c r="P325" s="30">
        <v>16720</v>
      </c>
      <c r="Q325" s="30">
        <v>3</v>
      </c>
      <c r="R325" s="30" t="s">
        <v>60</v>
      </c>
      <c r="S325" s="30" t="s">
        <v>80</v>
      </c>
      <c r="T325" s="30" t="s">
        <v>43</v>
      </c>
      <c r="U325" s="30">
        <v>9427001508</v>
      </c>
      <c r="V325" s="30" t="s">
        <v>52</v>
      </c>
    </row>
    <row r="326" spans="1:22" ht="15" thickBot="1" x14ac:dyDescent="0.4">
      <c r="A326" s="27" t="s">
        <v>435</v>
      </c>
      <c r="B326" s="27" t="s">
        <v>134</v>
      </c>
      <c r="C326" s="27" t="s">
        <v>112</v>
      </c>
      <c r="D326" s="28">
        <v>45704</v>
      </c>
      <c r="E326" s="28">
        <v>45714</v>
      </c>
      <c r="F326" s="27" t="s">
        <v>135</v>
      </c>
      <c r="G326" s="27" t="s">
        <v>26</v>
      </c>
      <c r="H326" s="28">
        <v>33668</v>
      </c>
      <c r="I326" s="27" t="s">
        <v>74</v>
      </c>
      <c r="J326" s="27" t="s">
        <v>75</v>
      </c>
      <c r="K326" s="27" t="s">
        <v>39</v>
      </c>
      <c r="L326" s="27" t="s">
        <v>114</v>
      </c>
      <c r="M326" s="27">
        <v>17</v>
      </c>
      <c r="N326" s="27">
        <v>700</v>
      </c>
      <c r="O326" s="27">
        <v>20</v>
      </c>
      <c r="P326" s="27">
        <v>9520</v>
      </c>
      <c r="Q326" s="27">
        <v>4</v>
      </c>
      <c r="R326" s="27" t="s">
        <v>41</v>
      </c>
      <c r="S326" s="27" t="s">
        <v>80</v>
      </c>
      <c r="T326" s="27" t="s">
        <v>136</v>
      </c>
      <c r="U326" s="27">
        <v>9666803655</v>
      </c>
      <c r="V326" s="21" t="s">
        <v>34</v>
      </c>
    </row>
    <row r="327" spans="1:22" ht="15" thickBot="1" x14ac:dyDescent="0.4">
      <c r="A327" s="30" t="s">
        <v>436</v>
      </c>
      <c r="B327" s="30" t="s">
        <v>134</v>
      </c>
      <c r="C327" s="30" t="s">
        <v>105</v>
      </c>
      <c r="D327" s="31">
        <v>45897</v>
      </c>
      <c r="E327" s="31">
        <v>45908</v>
      </c>
      <c r="F327" s="30" t="s">
        <v>135</v>
      </c>
      <c r="G327" s="30" t="s">
        <v>26</v>
      </c>
      <c r="H327" s="31">
        <v>28122</v>
      </c>
      <c r="I327" s="30" t="s">
        <v>79</v>
      </c>
      <c r="J327" s="30" t="s">
        <v>75</v>
      </c>
      <c r="K327" s="30" t="s">
        <v>29</v>
      </c>
      <c r="L327" s="30" t="s">
        <v>107</v>
      </c>
      <c r="M327" s="30">
        <v>6</v>
      </c>
      <c r="N327" s="30">
        <v>8500</v>
      </c>
      <c r="O327" s="30">
        <v>15</v>
      </c>
      <c r="P327" s="30">
        <v>43350</v>
      </c>
      <c r="Q327" s="30">
        <v>1</v>
      </c>
      <c r="R327" s="30" t="s">
        <v>31</v>
      </c>
      <c r="S327" s="30" t="s">
        <v>50</v>
      </c>
      <c r="T327" s="30" t="s">
        <v>136</v>
      </c>
      <c r="U327" s="30">
        <v>9134878547</v>
      </c>
      <c r="V327" s="22" t="s">
        <v>34</v>
      </c>
    </row>
    <row r="328" spans="1:22" ht="15" thickBot="1" x14ac:dyDescent="0.4">
      <c r="A328" s="27" t="s">
        <v>437</v>
      </c>
      <c r="B328" s="27" t="s">
        <v>45</v>
      </c>
      <c r="C328" s="27" t="s">
        <v>68</v>
      </c>
      <c r="D328" s="28">
        <v>45936</v>
      </c>
      <c r="E328" s="28">
        <v>45941</v>
      </c>
      <c r="F328" s="27" t="s">
        <v>101</v>
      </c>
      <c r="G328" s="27" t="s">
        <v>26</v>
      </c>
      <c r="H328" s="28">
        <v>31659</v>
      </c>
      <c r="I328" s="27" t="s">
        <v>27</v>
      </c>
      <c r="J328" s="27" t="s">
        <v>28</v>
      </c>
      <c r="K328" s="27" t="s">
        <v>29</v>
      </c>
      <c r="L328" s="27" t="s">
        <v>70</v>
      </c>
      <c r="M328" s="27">
        <v>3</v>
      </c>
      <c r="N328" s="27">
        <v>3500</v>
      </c>
      <c r="O328" s="27">
        <v>10</v>
      </c>
      <c r="P328" s="27">
        <v>9450</v>
      </c>
      <c r="Q328" s="27">
        <v>1</v>
      </c>
      <c r="R328" s="27" t="s">
        <v>41</v>
      </c>
      <c r="S328" s="27" t="s">
        <v>42</v>
      </c>
      <c r="T328" s="27" t="s">
        <v>51</v>
      </c>
      <c r="U328" s="27">
        <v>9253593557</v>
      </c>
      <c r="V328" s="21" t="s">
        <v>34</v>
      </c>
    </row>
    <row r="329" spans="1:22" ht="15" thickBot="1" x14ac:dyDescent="0.4">
      <c r="A329" s="30" t="s">
        <v>438</v>
      </c>
      <c r="B329" s="30" t="s">
        <v>55</v>
      </c>
      <c r="C329" s="30" t="s">
        <v>36</v>
      </c>
      <c r="D329" s="31">
        <v>45674</v>
      </c>
      <c r="E329" s="31">
        <v>45686</v>
      </c>
      <c r="F329" s="30" t="s">
        <v>57</v>
      </c>
      <c r="G329" s="30" t="s">
        <v>58</v>
      </c>
      <c r="H329" s="31">
        <v>32734</v>
      </c>
      <c r="I329" s="30" t="s">
        <v>91</v>
      </c>
      <c r="J329" s="30" t="s">
        <v>75</v>
      </c>
      <c r="K329" s="30" t="s">
        <v>39</v>
      </c>
      <c r="L329" s="30" t="s">
        <v>40</v>
      </c>
      <c r="M329" s="30">
        <v>2</v>
      </c>
      <c r="N329" s="30">
        <v>12000</v>
      </c>
      <c r="O329" s="30">
        <v>20</v>
      </c>
      <c r="P329" s="30">
        <v>19200</v>
      </c>
      <c r="Q329" s="30">
        <v>1</v>
      </c>
      <c r="R329" s="30" t="s">
        <v>60</v>
      </c>
      <c r="S329" s="30" t="s">
        <v>50</v>
      </c>
      <c r="T329" s="30" t="s">
        <v>61</v>
      </c>
      <c r="U329" s="30">
        <v>9183094051</v>
      </c>
      <c r="V329" s="22" t="s">
        <v>34</v>
      </c>
    </row>
    <row r="330" spans="1:22" ht="15" thickBot="1" x14ac:dyDescent="0.4">
      <c r="A330" s="27" t="s">
        <v>439</v>
      </c>
      <c r="B330" s="27" t="s">
        <v>124</v>
      </c>
      <c r="C330" s="27" t="s">
        <v>125</v>
      </c>
      <c r="D330" s="28">
        <v>45943</v>
      </c>
      <c r="E330" s="28">
        <v>45946</v>
      </c>
      <c r="F330" s="27" t="s">
        <v>126</v>
      </c>
      <c r="G330" s="27" t="s">
        <v>58</v>
      </c>
      <c r="H330" s="28">
        <v>33299</v>
      </c>
      <c r="I330" s="27" t="s">
        <v>37</v>
      </c>
      <c r="J330" s="27" t="s">
        <v>38</v>
      </c>
      <c r="K330" s="27" t="s">
        <v>83</v>
      </c>
      <c r="L330" s="27" t="s">
        <v>127</v>
      </c>
      <c r="M330" s="27">
        <v>12</v>
      </c>
      <c r="N330" s="27">
        <v>20</v>
      </c>
      <c r="O330" s="27">
        <v>20</v>
      </c>
      <c r="P330" s="27">
        <v>192</v>
      </c>
      <c r="Q330" s="27">
        <v>2</v>
      </c>
      <c r="R330" s="27" t="s">
        <v>60</v>
      </c>
      <c r="S330" s="27" t="s">
        <v>42</v>
      </c>
      <c r="T330" s="27" t="s">
        <v>128</v>
      </c>
      <c r="U330" s="27">
        <v>9293147620</v>
      </c>
      <c r="V330" s="21" t="s">
        <v>34</v>
      </c>
    </row>
    <row r="331" spans="1:22" ht="15" thickBot="1" x14ac:dyDescent="0.4">
      <c r="A331" s="30" t="s">
        <v>440</v>
      </c>
      <c r="B331" s="30" t="s">
        <v>72</v>
      </c>
      <c r="C331" s="30" t="s">
        <v>36</v>
      </c>
      <c r="D331" s="31">
        <v>46138</v>
      </c>
      <c r="E331" s="31">
        <v>46140</v>
      </c>
      <c r="F331" s="30" t="s">
        <v>73</v>
      </c>
      <c r="G331" s="30" t="s">
        <v>26</v>
      </c>
      <c r="H331" s="31">
        <v>32733</v>
      </c>
      <c r="I331" s="30" t="s">
        <v>147</v>
      </c>
      <c r="J331" s="30" t="s">
        <v>148</v>
      </c>
      <c r="K331" s="30" t="s">
        <v>39</v>
      </c>
      <c r="L331" s="30" t="s">
        <v>40</v>
      </c>
      <c r="M331" s="30">
        <v>20</v>
      </c>
      <c r="N331" s="30">
        <v>12000</v>
      </c>
      <c r="O331" s="30">
        <v>15</v>
      </c>
      <c r="P331" s="30">
        <v>204000</v>
      </c>
      <c r="Q331" s="30">
        <v>3</v>
      </c>
      <c r="R331" s="30" t="s">
        <v>31</v>
      </c>
      <c r="S331" s="30" t="s">
        <v>32</v>
      </c>
      <c r="T331" s="30" t="s">
        <v>93</v>
      </c>
      <c r="U331" s="30">
        <v>9755583734</v>
      </c>
      <c r="V331" s="30" t="s">
        <v>52</v>
      </c>
    </row>
    <row r="332" spans="1:22" ht="15" thickBot="1" x14ac:dyDescent="0.4">
      <c r="A332" s="27" t="s">
        <v>441</v>
      </c>
      <c r="B332" s="27" t="s">
        <v>45</v>
      </c>
      <c r="C332" s="27" t="s">
        <v>82</v>
      </c>
      <c r="D332" s="28">
        <v>46105</v>
      </c>
      <c r="E332" s="28">
        <v>46116</v>
      </c>
      <c r="F332" s="27" t="s">
        <v>101</v>
      </c>
      <c r="G332" s="27" t="s">
        <v>26</v>
      </c>
      <c r="H332" s="28">
        <v>37654</v>
      </c>
      <c r="I332" s="27" t="s">
        <v>121</v>
      </c>
      <c r="J332" s="27" t="s">
        <v>38</v>
      </c>
      <c r="K332" s="27" t="s">
        <v>83</v>
      </c>
      <c r="L332" s="27" t="s">
        <v>84</v>
      </c>
      <c r="M332" s="27">
        <v>13</v>
      </c>
      <c r="N332" s="27">
        <v>60</v>
      </c>
      <c r="O332" s="27">
        <v>10</v>
      </c>
      <c r="P332" s="27">
        <v>702</v>
      </c>
      <c r="Q332" s="27">
        <v>5</v>
      </c>
      <c r="R332" s="27" t="s">
        <v>31</v>
      </c>
      <c r="S332" s="27" t="s">
        <v>32</v>
      </c>
      <c r="T332" s="27" t="s">
        <v>51</v>
      </c>
      <c r="U332" s="27">
        <v>9186592813</v>
      </c>
      <c r="V332" s="27" t="s">
        <v>52</v>
      </c>
    </row>
    <row r="333" spans="1:22" ht="15" thickBot="1" x14ac:dyDescent="0.4">
      <c r="A333" s="30" t="s">
        <v>442</v>
      </c>
      <c r="B333" s="30" t="s">
        <v>55</v>
      </c>
      <c r="C333" s="30" t="s">
        <v>46</v>
      </c>
      <c r="D333" s="31">
        <v>45785</v>
      </c>
      <c r="E333" s="31">
        <v>45796</v>
      </c>
      <c r="F333" s="30" t="s">
        <v>57</v>
      </c>
      <c r="G333" s="30" t="s">
        <v>58</v>
      </c>
      <c r="H333" s="31">
        <v>35019</v>
      </c>
      <c r="I333" s="30" t="s">
        <v>79</v>
      </c>
      <c r="J333" s="30" t="s">
        <v>75</v>
      </c>
      <c r="K333" s="30" t="s">
        <v>39</v>
      </c>
      <c r="L333" s="30" t="s">
        <v>49</v>
      </c>
      <c r="M333" s="30">
        <v>13</v>
      </c>
      <c r="N333" s="30">
        <v>55000</v>
      </c>
      <c r="O333" s="30">
        <v>5</v>
      </c>
      <c r="P333" s="30">
        <v>679250</v>
      </c>
      <c r="Q333" s="30">
        <v>1</v>
      </c>
      <c r="R333" s="30" t="s">
        <v>65</v>
      </c>
      <c r="S333" s="30" t="s">
        <v>96</v>
      </c>
      <c r="T333" s="30" t="s">
        <v>61</v>
      </c>
      <c r="U333" s="30">
        <v>9203482008</v>
      </c>
      <c r="V333" s="30" t="s">
        <v>52</v>
      </c>
    </row>
    <row r="334" spans="1:22" ht="15" thickBot="1" x14ac:dyDescent="0.4">
      <c r="A334" s="27" t="s">
        <v>443</v>
      </c>
      <c r="B334" s="27" t="s">
        <v>72</v>
      </c>
      <c r="C334" s="27" t="s">
        <v>56</v>
      </c>
      <c r="D334" s="28">
        <v>46088</v>
      </c>
      <c r="E334" s="28">
        <v>46091</v>
      </c>
      <c r="F334" s="27" t="s">
        <v>73</v>
      </c>
      <c r="G334" s="27" t="s">
        <v>26</v>
      </c>
      <c r="H334" s="28">
        <v>32836</v>
      </c>
      <c r="I334" s="27" t="s">
        <v>48</v>
      </c>
      <c r="J334" s="27" t="s">
        <v>28</v>
      </c>
      <c r="K334" s="27" t="s">
        <v>39</v>
      </c>
      <c r="L334" s="27" t="s">
        <v>59</v>
      </c>
      <c r="M334" s="27">
        <v>7</v>
      </c>
      <c r="N334" s="27">
        <v>1200</v>
      </c>
      <c r="O334" s="27">
        <v>15</v>
      </c>
      <c r="P334" s="27">
        <v>7140</v>
      </c>
      <c r="Q334" s="27">
        <v>5</v>
      </c>
      <c r="R334" s="27" t="s">
        <v>65</v>
      </c>
      <c r="S334" s="27" t="s">
        <v>42</v>
      </c>
      <c r="T334" s="27" t="s">
        <v>93</v>
      </c>
      <c r="U334" s="27">
        <v>9829888777</v>
      </c>
      <c r="V334" s="27" t="s">
        <v>52</v>
      </c>
    </row>
    <row r="335" spans="1:22" ht="15" thickBot="1" x14ac:dyDescent="0.4">
      <c r="A335" s="30" t="s">
        <v>444</v>
      </c>
      <c r="B335" s="30" t="s">
        <v>63</v>
      </c>
      <c r="C335" s="30" t="s">
        <v>36</v>
      </c>
      <c r="D335" s="31">
        <v>46017</v>
      </c>
      <c r="E335" s="31">
        <v>46021</v>
      </c>
      <c r="F335" s="30" t="s">
        <v>110</v>
      </c>
      <c r="G335" s="30" t="s">
        <v>58</v>
      </c>
      <c r="H335" s="31">
        <v>32253</v>
      </c>
      <c r="I335" s="30" t="s">
        <v>121</v>
      </c>
      <c r="J335" s="30" t="s">
        <v>38</v>
      </c>
      <c r="K335" s="30" t="s">
        <v>39</v>
      </c>
      <c r="L335" s="30" t="s">
        <v>40</v>
      </c>
      <c r="M335" s="30">
        <v>17</v>
      </c>
      <c r="N335" s="30">
        <v>12000</v>
      </c>
      <c r="O335" s="30">
        <v>5</v>
      </c>
      <c r="P335" s="30">
        <v>193800</v>
      </c>
      <c r="Q335" s="30">
        <v>1</v>
      </c>
      <c r="R335" s="30" t="s">
        <v>31</v>
      </c>
      <c r="S335" s="30" t="s">
        <v>50</v>
      </c>
      <c r="T335" s="30" t="s">
        <v>66</v>
      </c>
      <c r="U335" s="30">
        <v>9566101317</v>
      </c>
      <c r="V335" s="30" t="s">
        <v>53</v>
      </c>
    </row>
    <row r="336" spans="1:22" ht="15" thickBot="1" x14ac:dyDescent="0.4">
      <c r="A336" s="27" t="s">
        <v>445</v>
      </c>
      <c r="B336" s="27" t="s">
        <v>63</v>
      </c>
      <c r="C336" s="27" t="s">
        <v>125</v>
      </c>
      <c r="D336" s="28">
        <v>46131</v>
      </c>
      <c r="E336" s="28">
        <v>46137</v>
      </c>
      <c r="F336" s="27" t="s">
        <v>110</v>
      </c>
      <c r="G336" s="27" t="s">
        <v>58</v>
      </c>
      <c r="H336" s="28">
        <v>28796</v>
      </c>
      <c r="I336" s="27" t="s">
        <v>48</v>
      </c>
      <c r="J336" s="27" t="s">
        <v>28</v>
      </c>
      <c r="K336" s="27" t="s">
        <v>83</v>
      </c>
      <c r="L336" s="27" t="s">
        <v>127</v>
      </c>
      <c r="M336" s="27">
        <v>10</v>
      </c>
      <c r="N336" s="27">
        <v>20</v>
      </c>
      <c r="O336" s="27">
        <v>5</v>
      </c>
      <c r="P336" s="27">
        <v>190</v>
      </c>
      <c r="Q336" s="27">
        <v>2</v>
      </c>
      <c r="R336" s="27" t="s">
        <v>31</v>
      </c>
      <c r="S336" s="27" t="s">
        <v>50</v>
      </c>
      <c r="T336" s="27" t="s">
        <v>66</v>
      </c>
      <c r="U336" s="27">
        <v>9706240823</v>
      </c>
      <c r="V336" s="27" t="s">
        <v>53</v>
      </c>
    </row>
    <row r="337" spans="1:22" ht="15" thickBot="1" x14ac:dyDescent="0.4">
      <c r="A337" s="30" t="s">
        <v>446</v>
      </c>
      <c r="B337" s="30" t="s">
        <v>104</v>
      </c>
      <c r="C337" s="30" t="s">
        <v>24</v>
      </c>
      <c r="D337" s="31">
        <v>45966</v>
      </c>
      <c r="E337" s="31">
        <v>45969</v>
      </c>
      <c r="F337" s="30" t="s">
        <v>166</v>
      </c>
      <c r="G337" s="30" t="s">
        <v>26</v>
      </c>
      <c r="H337" s="31">
        <v>32855</v>
      </c>
      <c r="I337" s="30" t="s">
        <v>37</v>
      </c>
      <c r="J337" s="30" t="s">
        <v>38</v>
      </c>
      <c r="K337" s="30" t="s">
        <v>29</v>
      </c>
      <c r="L337" s="30" t="s">
        <v>30</v>
      </c>
      <c r="M337" s="30">
        <v>11</v>
      </c>
      <c r="N337" s="30">
        <v>2200</v>
      </c>
      <c r="O337" s="30">
        <v>5</v>
      </c>
      <c r="P337" s="30">
        <v>22990</v>
      </c>
      <c r="Q337" s="30">
        <v>5</v>
      </c>
      <c r="R337" s="30" t="s">
        <v>60</v>
      </c>
      <c r="S337" s="30" t="s">
        <v>42</v>
      </c>
      <c r="T337" s="30" t="s">
        <v>108</v>
      </c>
      <c r="U337" s="30">
        <v>9259943760</v>
      </c>
      <c r="V337" s="30" t="s">
        <v>52</v>
      </c>
    </row>
    <row r="338" spans="1:22" ht="15" thickBot="1" x14ac:dyDescent="0.4">
      <c r="A338" s="27" t="s">
        <v>447</v>
      </c>
      <c r="B338" s="27" t="s">
        <v>72</v>
      </c>
      <c r="C338" s="27" t="s">
        <v>82</v>
      </c>
      <c r="D338" s="28">
        <v>46077</v>
      </c>
      <c r="E338" s="28">
        <v>46081</v>
      </c>
      <c r="F338" s="27" t="s">
        <v>73</v>
      </c>
      <c r="G338" s="27" t="s">
        <v>26</v>
      </c>
      <c r="H338" s="28">
        <v>34707</v>
      </c>
      <c r="I338" s="27" t="s">
        <v>121</v>
      </c>
      <c r="J338" s="27" t="s">
        <v>38</v>
      </c>
      <c r="K338" s="27" t="s">
        <v>83</v>
      </c>
      <c r="L338" s="27" t="s">
        <v>84</v>
      </c>
      <c r="M338" s="27">
        <v>8</v>
      </c>
      <c r="N338" s="27">
        <v>60</v>
      </c>
      <c r="O338" s="27">
        <v>15</v>
      </c>
      <c r="P338" s="27">
        <v>408</v>
      </c>
      <c r="Q338" s="27">
        <v>4</v>
      </c>
      <c r="R338" s="27" t="s">
        <v>31</v>
      </c>
      <c r="S338" s="27" t="s">
        <v>42</v>
      </c>
      <c r="T338" s="27" t="s">
        <v>93</v>
      </c>
      <c r="U338" s="27">
        <v>9527326977</v>
      </c>
      <c r="V338" s="27" t="s">
        <v>52</v>
      </c>
    </row>
    <row r="339" spans="1:22" ht="15" thickBot="1" x14ac:dyDescent="0.4">
      <c r="A339" s="30" t="s">
        <v>448</v>
      </c>
      <c r="B339" s="30" t="s">
        <v>124</v>
      </c>
      <c r="C339" s="30" t="s">
        <v>138</v>
      </c>
      <c r="D339" s="31">
        <v>45739</v>
      </c>
      <c r="E339" s="31">
        <v>45741</v>
      </c>
      <c r="F339" s="30" t="s">
        <v>126</v>
      </c>
      <c r="G339" s="30" t="s">
        <v>58</v>
      </c>
      <c r="H339" s="31">
        <v>34630</v>
      </c>
      <c r="I339" s="30" t="s">
        <v>37</v>
      </c>
      <c r="J339" s="30" t="s">
        <v>38</v>
      </c>
      <c r="K339" s="30" t="s">
        <v>83</v>
      </c>
      <c r="L339" s="30" t="s">
        <v>139</v>
      </c>
      <c r="M339" s="30">
        <v>17</v>
      </c>
      <c r="N339" s="30">
        <v>45</v>
      </c>
      <c r="O339" s="30">
        <v>15</v>
      </c>
      <c r="P339" s="30">
        <v>650.25</v>
      </c>
      <c r="Q339" s="30">
        <v>2</v>
      </c>
      <c r="R339" s="30" t="s">
        <v>65</v>
      </c>
      <c r="S339" s="30" t="s">
        <v>96</v>
      </c>
      <c r="T339" s="30" t="s">
        <v>128</v>
      </c>
      <c r="U339" s="30">
        <v>9886970990</v>
      </c>
      <c r="V339" s="22" t="s">
        <v>34</v>
      </c>
    </row>
    <row r="340" spans="1:22" ht="29.5" thickBot="1" x14ac:dyDescent="0.4">
      <c r="A340" s="27" t="s">
        <v>449</v>
      </c>
      <c r="B340" s="27" t="s">
        <v>156</v>
      </c>
      <c r="C340" s="27" t="s">
        <v>112</v>
      </c>
      <c r="D340" s="28">
        <v>45715</v>
      </c>
      <c r="E340" s="28">
        <v>45726</v>
      </c>
      <c r="F340" s="27" t="s">
        <v>106</v>
      </c>
      <c r="G340" s="27" t="s">
        <v>58</v>
      </c>
      <c r="H340" s="28">
        <v>35206</v>
      </c>
      <c r="I340" s="27" t="s">
        <v>121</v>
      </c>
      <c r="J340" s="27" t="s">
        <v>38</v>
      </c>
      <c r="K340" s="27" t="s">
        <v>39</v>
      </c>
      <c r="L340" s="27" t="s">
        <v>114</v>
      </c>
      <c r="M340" s="27">
        <v>14</v>
      </c>
      <c r="N340" s="27">
        <v>700</v>
      </c>
      <c r="O340" s="27">
        <v>15</v>
      </c>
      <c r="P340" s="27">
        <v>8330</v>
      </c>
      <c r="Q340" s="27">
        <v>1</v>
      </c>
      <c r="R340" s="27" t="s">
        <v>60</v>
      </c>
      <c r="S340" s="27" t="s">
        <v>80</v>
      </c>
      <c r="T340" s="27" t="s">
        <v>158</v>
      </c>
      <c r="U340" s="27">
        <v>9106930369</v>
      </c>
      <c r="V340" s="21" t="s">
        <v>34</v>
      </c>
    </row>
    <row r="341" spans="1:22" ht="15" thickBot="1" x14ac:dyDescent="0.4">
      <c r="A341" s="30" t="s">
        <v>450</v>
      </c>
      <c r="B341" s="30" t="s">
        <v>63</v>
      </c>
      <c r="C341" s="30" t="s">
        <v>56</v>
      </c>
      <c r="D341" s="31">
        <v>45811</v>
      </c>
      <c r="E341" s="31">
        <v>45822</v>
      </c>
      <c r="F341" s="30" t="s">
        <v>110</v>
      </c>
      <c r="G341" s="30" t="s">
        <v>58</v>
      </c>
      <c r="H341" s="31">
        <v>30097</v>
      </c>
      <c r="I341" s="30" t="s">
        <v>79</v>
      </c>
      <c r="J341" s="30" t="s">
        <v>75</v>
      </c>
      <c r="K341" s="30" t="s">
        <v>39</v>
      </c>
      <c r="L341" s="30" t="s">
        <v>59</v>
      </c>
      <c r="M341" s="30">
        <v>3</v>
      </c>
      <c r="N341" s="30">
        <v>1200</v>
      </c>
      <c r="O341" s="30">
        <v>5</v>
      </c>
      <c r="P341" s="30">
        <v>3420</v>
      </c>
      <c r="Q341" s="30">
        <v>3</v>
      </c>
      <c r="R341" s="30" t="s">
        <v>41</v>
      </c>
      <c r="S341" s="30" t="s">
        <v>96</v>
      </c>
      <c r="T341" s="30" t="s">
        <v>66</v>
      </c>
      <c r="U341" s="30">
        <v>9342009114</v>
      </c>
      <c r="V341" s="22" t="s">
        <v>34</v>
      </c>
    </row>
    <row r="342" spans="1:22" ht="15" thickBot="1" x14ac:dyDescent="0.4">
      <c r="A342" s="27" t="s">
        <v>451</v>
      </c>
      <c r="B342" s="27" t="s">
        <v>23</v>
      </c>
      <c r="C342" s="27" t="s">
        <v>56</v>
      </c>
      <c r="D342" s="28">
        <v>45845</v>
      </c>
      <c r="E342" s="28">
        <v>45854</v>
      </c>
      <c r="F342" s="27" t="s">
        <v>25</v>
      </c>
      <c r="G342" s="27" t="s">
        <v>26</v>
      </c>
      <c r="H342" s="28">
        <v>37217</v>
      </c>
      <c r="I342" s="27" t="s">
        <v>91</v>
      </c>
      <c r="J342" s="27" t="s">
        <v>75</v>
      </c>
      <c r="K342" s="27" t="s">
        <v>39</v>
      </c>
      <c r="L342" s="27" t="s">
        <v>59</v>
      </c>
      <c r="M342" s="27">
        <v>9</v>
      </c>
      <c r="N342" s="27">
        <v>1200</v>
      </c>
      <c r="O342" s="27">
        <v>15</v>
      </c>
      <c r="P342" s="27">
        <v>9180</v>
      </c>
      <c r="Q342" s="27">
        <v>3</v>
      </c>
      <c r="R342" s="27" t="s">
        <v>31</v>
      </c>
      <c r="S342" s="27" t="s">
        <v>42</v>
      </c>
      <c r="T342" s="27" t="s">
        <v>43</v>
      </c>
      <c r="U342" s="27">
        <v>9992739960</v>
      </c>
      <c r="V342" s="21" t="s">
        <v>34</v>
      </c>
    </row>
    <row r="343" spans="1:22" ht="15" thickBot="1" x14ac:dyDescent="0.4">
      <c r="A343" s="30" t="s">
        <v>452</v>
      </c>
      <c r="B343" s="30" t="s">
        <v>134</v>
      </c>
      <c r="C343" s="30" t="s">
        <v>125</v>
      </c>
      <c r="D343" s="31">
        <v>46132</v>
      </c>
      <c r="E343" s="31">
        <v>46133</v>
      </c>
      <c r="F343" s="30" t="s">
        <v>135</v>
      </c>
      <c r="G343" s="30" t="s">
        <v>26</v>
      </c>
      <c r="H343" s="31">
        <v>32565</v>
      </c>
      <c r="I343" s="30" t="s">
        <v>74</v>
      </c>
      <c r="J343" s="30" t="s">
        <v>75</v>
      </c>
      <c r="K343" s="30" t="s">
        <v>83</v>
      </c>
      <c r="L343" s="30" t="s">
        <v>127</v>
      </c>
      <c r="M343" s="30">
        <v>5</v>
      </c>
      <c r="N343" s="30">
        <v>20</v>
      </c>
      <c r="O343" s="30">
        <v>5</v>
      </c>
      <c r="P343" s="30">
        <v>95</v>
      </c>
      <c r="Q343" s="30">
        <v>4</v>
      </c>
      <c r="R343" s="30" t="s">
        <v>31</v>
      </c>
      <c r="S343" s="30" t="s">
        <v>96</v>
      </c>
      <c r="T343" s="30" t="s">
        <v>136</v>
      </c>
      <c r="U343" s="30">
        <v>9241987748</v>
      </c>
      <c r="V343" s="22" t="s">
        <v>34</v>
      </c>
    </row>
    <row r="344" spans="1:22" ht="15" thickBot="1" x14ac:dyDescent="0.4">
      <c r="A344" s="27" t="s">
        <v>453</v>
      </c>
      <c r="B344" s="27" t="s">
        <v>134</v>
      </c>
      <c r="C344" s="27" t="s">
        <v>24</v>
      </c>
      <c r="D344" s="28">
        <v>46001</v>
      </c>
      <c r="E344" s="28">
        <v>46012</v>
      </c>
      <c r="F344" s="27" t="s">
        <v>135</v>
      </c>
      <c r="G344" s="27" t="s">
        <v>26</v>
      </c>
      <c r="H344" s="28">
        <v>31277</v>
      </c>
      <c r="I344" s="27" t="s">
        <v>91</v>
      </c>
      <c r="J344" s="27" t="s">
        <v>75</v>
      </c>
      <c r="K344" s="27" t="s">
        <v>29</v>
      </c>
      <c r="L344" s="27" t="s">
        <v>30</v>
      </c>
      <c r="M344" s="27">
        <v>8</v>
      </c>
      <c r="N344" s="27">
        <v>2200</v>
      </c>
      <c r="O344" s="27">
        <v>10</v>
      </c>
      <c r="P344" s="27">
        <v>15840</v>
      </c>
      <c r="Q344" s="27">
        <v>4</v>
      </c>
      <c r="R344" s="27" t="s">
        <v>65</v>
      </c>
      <c r="S344" s="27" t="s">
        <v>50</v>
      </c>
      <c r="T344" s="27" t="s">
        <v>136</v>
      </c>
      <c r="U344" s="27">
        <v>9571990711</v>
      </c>
      <c r="V344" s="27" t="s">
        <v>53</v>
      </c>
    </row>
    <row r="345" spans="1:22" ht="15" thickBot="1" x14ac:dyDescent="0.4">
      <c r="A345" s="30" t="s">
        <v>454</v>
      </c>
      <c r="B345" s="30" t="s">
        <v>134</v>
      </c>
      <c r="C345" s="30" t="s">
        <v>112</v>
      </c>
      <c r="D345" s="31">
        <v>46089</v>
      </c>
      <c r="E345" s="31">
        <v>46093</v>
      </c>
      <c r="F345" s="30" t="s">
        <v>135</v>
      </c>
      <c r="G345" s="30" t="s">
        <v>26</v>
      </c>
      <c r="H345" s="31">
        <v>29223</v>
      </c>
      <c r="I345" s="30" t="s">
        <v>74</v>
      </c>
      <c r="J345" s="30" t="s">
        <v>75</v>
      </c>
      <c r="K345" s="30" t="s">
        <v>39</v>
      </c>
      <c r="L345" s="30" t="s">
        <v>114</v>
      </c>
      <c r="M345" s="30">
        <v>10</v>
      </c>
      <c r="N345" s="30">
        <v>700</v>
      </c>
      <c r="O345" s="30">
        <v>20</v>
      </c>
      <c r="P345" s="30">
        <v>5600</v>
      </c>
      <c r="Q345" s="30">
        <v>1</v>
      </c>
      <c r="R345" s="30" t="s">
        <v>65</v>
      </c>
      <c r="S345" s="30" t="s">
        <v>80</v>
      </c>
      <c r="T345" s="30" t="s">
        <v>136</v>
      </c>
      <c r="U345" s="30">
        <v>9219231183</v>
      </c>
      <c r="V345" s="22" t="s">
        <v>34</v>
      </c>
    </row>
    <row r="346" spans="1:22" ht="15" thickBot="1" x14ac:dyDescent="0.4">
      <c r="A346" s="27" t="s">
        <v>455</v>
      </c>
      <c r="B346" s="27" t="s">
        <v>63</v>
      </c>
      <c r="C346" s="27" t="s">
        <v>112</v>
      </c>
      <c r="D346" s="28">
        <v>45986</v>
      </c>
      <c r="E346" s="28">
        <v>45989</v>
      </c>
      <c r="F346" s="27" t="s">
        <v>110</v>
      </c>
      <c r="G346" s="27" t="s">
        <v>58</v>
      </c>
      <c r="H346" s="28">
        <v>28498</v>
      </c>
      <c r="I346" s="27" t="s">
        <v>48</v>
      </c>
      <c r="J346" s="27" t="s">
        <v>28</v>
      </c>
      <c r="K346" s="27" t="s">
        <v>39</v>
      </c>
      <c r="L346" s="27" t="s">
        <v>114</v>
      </c>
      <c r="M346" s="27">
        <v>2</v>
      </c>
      <c r="N346" s="27">
        <v>700</v>
      </c>
      <c r="O346" s="27">
        <v>20</v>
      </c>
      <c r="P346" s="27">
        <v>1120</v>
      </c>
      <c r="Q346" s="27">
        <v>2</v>
      </c>
      <c r="R346" s="27" t="s">
        <v>31</v>
      </c>
      <c r="S346" s="27" t="s">
        <v>80</v>
      </c>
      <c r="T346" s="27" t="s">
        <v>66</v>
      </c>
      <c r="U346" s="27">
        <v>9847386174</v>
      </c>
      <c r="V346" s="27" t="s">
        <v>52</v>
      </c>
    </row>
    <row r="347" spans="1:22" ht="15" thickBot="1" x14ac:dyDescent="0.4">
      <c r="A347" s="30" t="s">
        <v>456</v>
      </c>
      <c r="B347" s="30" t="s">
        <v>124</v>
      </c>
      <c r="C347" s="30" t="s">
        <v>68</v>
      </c>
      <c r="D347" s="31">
        <v>45827</v>
      </c>
      <c r="E347" s="31">
        <v>45836</v>
      </c>
      <c r="F347" s="30" t="s">
        <v>126</v>
      </c>
      <c r="G347" s="30" t="s">
        <v>58</v>
      </c>
      <c r="H347" s="31">
        <v>33821</v>
      </c>
      <c r="I347" s="30" t="s">
        <v>79</v>
      </c>
      <c r="J347" s="30" t="s">
        <v>75</v>
      </c>
      <c r="K347" s="30" t="s">
        <v>29</v>
      </c>
      <c r="L347" s="30" t="s">
        <v>70</v>
      </c>
      <c r="M347" s="30">
        <v>16</v>
      </c>
      <c r="N347" s="30">
        <v>3500</v>
      </c>
      <c r="O347" s="30">
        <v>20</v>
      </c>
      <c r="P347" s="30">
        <v>44800</v>
      </c>
      <c r="Q347" s="30">
        <v>2</v>
      </c>
      <c r="R347" s="30" t="s">
        <v>65</v>
      </c>
      <c r="S347" s="30" t="s">
        <v>32</v>
      </c>
      <c r="T347" s="30" t="s">
        <v>128</v>
      </c>
      <c r="U347" s="30">
        <v>9941274924</v>
      </c>
      <c r="V347" s="30" t="s">
        <v>52</v>
      </c>
    </row>
    <row r="348" spans="1:22" ht="15" thickBot="1" x14ac:dyDescent="0.4">
      <c r="A348" s="27" t="s">
        <v>457</v>
      </c>
      <c r="B348" s="27" t="s">
        <v>104</v>
      </c>
      <c r="C348" s="27" t="s">
        <v>68</v>
      </c>
      <c r="D348" s="28">
        <v>45860</v>
      </c>
      <c r="E348" s="28">
        <v>45870</v>
      </c>
      <c r="F348" s="27" t="s">
        <v>166</v>
      </c>
      <c r="G348" s="27" t="s">
        <v>26</v>
      </c>
      <c r="H348" s="28">
        <v>38349</v>
      </c>
      <c r="I348" s="27" t="s">
        <v>37</v>
      </c>
      <c r="J348" s="27" t="s">
        <v>38</v>
      </c>
      <c r="K348" s="27" t="s">
        <v>29</v>
      </c>
      <c r="L348" s="27" t="s">
        <v>70</v>
      </c>
      <c r="M348" s="27">
        <v>9</v>
      </c>
      <c r="N348" s="27">
        <v>3500</v>
      </c>
      <c r="O348" s="27">
        <v>20</v>
      </c>
      <c r="P348" s="27">
        <v>25200</v>
      </c>
      <c r="Q348" s="27">
        <v>1</v>
      </c>
      <c r="R348" s="27" t="s">
        <v>60</v>
      </c>
      <c r="S348" s="27" t="s">
        <v>42</v>
      </c>
      <c r="T348" s="27" t="s">
        <v>108</v>
      </c>
      <c r="U348" s="27">
        <v>9950650508</v>
      </c>
      <c r="V348" s="27" t="s">
        <v>53</v>
      </c>
    </row>
    <row r="349" spans="1:22" ht="15" thickBot="1" x14ac:dyDescent="0.4">
      <c r="A349" s="30" t="s">
        <v>458</v>
      </c>
      <c r="B349" s="30" t="s">
        <v>87</v>
      </c>
      <c r="C349" s="30" t="s">
        <v>112</v>
      </c>
      <c r="D349" s="31">
        <v>45959</v>
      </c>
      <c r="E349" s="31">
        <v>45960</v>
      </c>
      <c r="F349" s="30" t="s">
        <v>88</v>
      </c>
      <c r="G349" s="30" t="s">
        <v>58</v>
      </c>
      <c r="H349" s="31">
        <v>37628</v>
      </c>
      <c r="I349" s="30" t="s">
        <v>27</v>
      </c>
      <c r="J349" s="30" t="s">
        <v>28</v>
      </c>
      <c r="K349" s="30" t="s">
        <v>39</v>
      </c>
      <c r="L349" s="30" t="s">
        <v>114</v>
      </c>
      <c r="M349" s="30">
        <v>15</v>
      </c>
      <c r="N349" s="30">
        <v>700</v>
      </c>
      <c r="O349" s="30">
        <v>5</v>
      </c>
      <c r="P349" s="30">
        <v>9975</v>
      </c>
      <c r="Q349" s="30">
        <v>1</v>
      </c>
      <c r="R349" s="30" t="s">
        <v>31</v>
      </c>
      <c r="S349" s="30" t="s">
        <v>42</v>
      </c>
      <c r="T349" s="30" t="s">
        <v>89</v>
      </c>
      <c r="U349" s="30">
        <v>9464035549</v>
      </c>
      <c r="V349" s="30" t="s">
        <v>53</v>
      </c>
    </row>
    <row r="350" spans="1:22" ht="15" thickBot="1" x14ac:dyDescent="0.4">
      <c r="A350" s="27" t="s">
        <v>459</v>
      </c>
      <c r="B350" s="27" t="s">
        <v>45</v>
      </c>
      <c r="C350" s="27" t="s">
        <v>56</v>
      </c>
      <c r="D350" s="28">
        <v>46086</v>
      </c>
      <c r="E350" s="28">
        <v>46091</v>
      </c>
      <c r="F350" s="27" t="s">
        <v>101</v>
      </c>
      <c r="G350" s="27" t="s">
        <v>26</v>
      </c>
      <c r="H350" s="28">
        <v>34037</v>
      </c>
      <c r="I350" s="27" t="s">
        <v>91</v>
      </c>
      <c r="J350" s="27" t="s">
        <v>75</v>
      </c>
      <c r="K350" s="27" t="s">
        <v>39</v>
      </c>
      <c r="L350" s="27" t="s">
        <v>59</v>
      </c>
      <c r="M350" s="27">
        <v>13</v>
      </c>
      <c r="N350" s="27">
        <v>1200</v>
      </c>
      <c r="O350" s="27">
        <v>0</v>
      </c>
      <c r="P350" s="27">
        <v>15600</v>
      </c>
      <c r="Q350" s="27">
        <v>3</v>
      </c>
      <c r="R350" s="27" t="s">
        <v>41</v>
      </c>
      <c r="S350" s="27" t="s">
        <v>80</v>
      </c>
      <c r="T350" s="27" t="s">
        <v>51</v>
      </c>
      <c r="U350" s="27">
        <v>9142334315</v>
      </c>
      <c r="V350" s="27" t="s">
        <v>53</v>
      </c>
    </row>
    <row r="351" spans="1:22" ht="29.5" thickBot="1" x14ac:dyDescent="0.4">
      <c r="A351" s="30" t="s">
        <v>460</v>
      </c>
      <c r="B351" s="30" t="s">
        <v>156</v>
      </c>
      <c r="C351" s="30" t="s">
        <v>36</v>
      </c>
      <c r="D351" s="31">
        <v>45895</v>
      </c>
      <c r="E351" s="31">
        <v>45907</v>
      </c>
      <c r="F351" s="30" t="s">
        <v>106</v>
      </c>
      <c r="G351" s="30" t="s">
        <v>58</v>
      </c>
      <c r="H351" s="31">
        <v>34123</v>
      </c>
      <c r="I351" s="30" t="s">
        <v>37</v>
      </c>
      <c r="J351" s="30" t="s">
        <v>38</v>
      </c>
      <c r="K351" s="30" t="s">
        <v>39</v>
      </c>
      <c r="L351" s="30" t="s">
        <v>40</v>
      </c>
      <c r="M351" s="30">
        <v>5</v>
      </c>
      <c r="N351" s="30">
        <v>12000</v>
      </c>
      <c r="O351" s="30">
        <v>10</v>
      </c>
      <c r="P351" s="30">
        <v>54000</v>
      </c>
      <c r="Q351" s="30">
        <v>3</v>
      </c>
      <c r="R351" s="30" t="s">
        <v>65</v>
      </c>
      <c r="S351" s="30" t="s">
        <v>42</v>
      </c>
      <c r="T351" s="30" t="s">
        <v>158</v>
      </c>
      <c r="U351" s="30">
        <v>9123961962</v>
      </c>
      <c r="V351" s="22" t="s">
        <v>34</v>
      </c>
    </row>
    <row r="352" spans="1:22" ht="15" thickBot="1" x14ac:dyDescent="0.4">
      <c r="A352" s="27" t="s">
        <v>461</v>
      </c>
      <c r="B352" s="27" t="s">
        <v>45</v>
      </c>
      <c r="C352" s="27" t="s">
        <v>138</v>
      </c>
      <c r="D352" s="28">
        <v>45752</v>
      </c>
      <c r="E352" s="28">
        <v>45755</v>
      </c>
      <c r="F352" s="27" t="s">
        <v>101</v>
      </c>
      <c r="G352" s="27" t="s">
        <v>26</v>
      </c>
      <c r="H352" s="28">
        <v>36504</v>
      </c>
      <c r="I352" s="27" t="s">
        <v>48</v>
      </c>
      <c r="J352" s="27" t="s">
        <v>28</v>
      </c>
      <c r="K352" s="27" t="s">
        <v>83</v>
      </c>
      <c r="L352" s="27" t="s">
        <v>139</v>
      </c>
      <c r="M352" s="27">
        <v>12</v>
      </c>
      <c r="N352" s="27">
        <v>45</v>
      </c>
      <c r="O352" s="27">
        <v>20</v>
      </c>
      <c r="P352" s="27">
        <v>432</v>
      </c>
      <c r="Q352" s="27">
        <v>3</v>
      </c>
      <c r="R352" s="27" t="s">
        <v>41</v>
      </c>
      <c r="S352" s="27" t="s">
        <v>50</v>
      </c>
      <c r="T352" s="27" t="s">
        <v>51</v>
      </c>
      <c r="U352" s="27">
        <v>9741953402</v>
      </c>
      <c r="V352" s="21" t="s">
        <v>34</v>
      </c>
    </row>
    <row r="353" spans="1:22" ht="15" thickBot="1" x14ac:dyDescent="0.4">
      <c r="A353" s="30" t="s">
        <v>462</v>
      </c>
      <c r="B353" s="30" t="s">
        <v>23</v>
      </c>
      <c r="C353" s="30" t="s">
        <v>68</v>
      </c>
      <c r="D353" s="31">
        <v>45756</v>
      </c>
      <c r="E353" s="31">
        <v>45761</v>
      </c>
      <c r="F353" s="30" t="s">
        <v>25</v>
      </c>
      <c r="G353" s="30" t="s">
        <v>26</v>
      </c>
      <c r="H353" s="31">
        <v>27917</v>
      </c>
      <c r="I353" s="30" t="s">
        <v>48</v>
      </c>
      <c r="J353" s="30" t="s">
        <v>28</v>
      </c>
      <c r="K353" s="30" t="s">
        <v>29</v>
      </c>
      <c r="L353" s="30" t="s">
        <v>70</v>
      </c>
      <c r="M353" s="30">
        <v>2</v>
      </c>
      <c r="N353" s="30">
        <v>3500</v>
      </c>
      <c r="O353" s="30">
        <v>0</v>
      </c>
      <c r="P353" s="30">
        <v>7000</v>
      </c>
      <c r="Q353" s="30">
        <v>1</v>
      </c>
      <c r="R353" s="30" t="s">
        <v>41</v>
      </c>
      <c r="S353" s="30" t="s">
        <v>80</v>
      </c>
      <c r="T353" s="30" t="s">
        <v>43</v>
      </c>
      <c r="U353" s="30">
        <v>9404733633</v>
      </c>
      <c r="V353" s="30" t="s">
        <v>52</v>
      </c>
    </row>
    <row r="354" spans="1:22" ht="15" thickBot="1" x14ac:dyDescent="0.4">
      <c r="A354" s="27" t="s">
        <v>463</v>
      </c>
      <c r="B354" s="27" t="s">
        <v>23</v>
      </c>
      <c r="C354" s="27" t="s">
        <v>24</v>
      </c>
      <c r="D354" s="28">
        <v>46155</v>
      </c>
      <c r="E354" s="28">
        <v>46158</v>
      </c>
      <c r="F354" s="27" t="s">
        <v>25</v>
      </c>
      <c r="G354" s="27" t="s">
        <v>26</v>
      </c>
      <c r="H354" s="28">
        <v>30982</v>
      </c>
      <c r="I354" s="27" t="s">
        <v>79</v>
      </c>
      <c r="J354" s="27" t="s">
        <v>75</v>
      </c>
      <c r="K354" s="27" t="s">
        <v>29</v>
      </c>
      <c r="L354" s="27" t="s">
        <v>30</v>
      </c>
      <c r="M354" s="27">
        <v>15</v>
      </c>
      <c r="N354" s="27">
        <v>2200</v>
      </c>
      <c r="O354" s="27">
        <v>15</v>
      </c>
      <c r="P354" s="27">
        <v>28050</v>
      </c>
      <c r="Q354" s="27">
        <v>2</v>
      </c>
      <c r="R354" s="27" t="s">
        <v>41</v>
      </c>
      <c r="S354" s="27" t="s">
        <v>42</v>
      </c>
      <c r="T354" s="27" t="s">
        <v>43</v>
      </c>
      <c r="U354" s="27">
        <v>9297492337</v>
      </c>
      <c r="V354" s="27" t="s">
        <v>52</v>
      </c>
    </row>
    <row r="355" spans="1:22" ht="15" thickBot="1" x14ac:dyDescent="0.4">
      <c r="A355" s="30" t="s">
        <v>464</v>
      </c>
      <c r="B355" s="30" t="s">
        <v>72</v>
      </c>
      <c r="C355" s="30" t="s">
        <v>125</v>
      </c>
      <c r="D355" s="31">
        <v>45995</v>
      </c>
      <c r="E355" s="31">
        <v>46003</v>
      </c>
      <c r="F355" s="30" t="s">
        <v>73</v>
      </c>
      <c r="G355" s="30" t="s">
        <v>26</v>
      </c>
      <c r="H355" s="31">
        <v>27453</v>
      </c>
      <c r="I355" s="30" t="s">
        <v>91</v>
      </c>
      <c r="J355" s="30" t="s">
        <v>75</v>
      </c>
      <c r="K355" s="30" t="s">
        <v>83</v>
      </c>
      <c r="L355" s="30" t="s">
        <v>127</v>
      </c>
      <c r="M355" s="30">
        <v>8</v>
      </c>
      <c r="N355" s="30">
        <v>20</v>
      </c>
      <c r="O355" s="30">
        <v>20</v>
      </c>
      <c r="P355" s="30">
        <v>128</v>
      </c>
      <c r="Q355" s="30">
        <v>5</v>
      </c>
      <c r="R355" s="30" t="s">
        <v>65</v>
      </c>
      <c r="S355" s="30" t="s">
        <v>42</v>
      </c>
      <c r="T355" s="30" t="s">
        <v>93</v>
      </c>
      <c r="U355" s="30">
        <v>9350338928</v>
      </c>
      <c r="V355" s="22" t="s">
        <v>34</v>
      </c>
    </row>
    <row r="356" spans="1:22" ht="15" thickBot="1" x14ac:dyDescent="0.4">
      <c r="A356" s="27" t="s">
        <v>465</v>
      </c>
      <c r="B356" s="27" t="s">
        <v>87</v>
      </c>
      <c r="C356" s="27" t="s">
        <v>125</v>
      </c>
      <c r="D356" s="28">
        <v>46089</v>
      </c>
      <c r="E356" s="28">
        <v>46091</v>
      </c>
      <c r="F356" s="27" t="s">
        <v>88</v>
      </c>
      <c r="G356" s="27" t="s">
        <v>58</v>
      </c>
      <c r="H356" s="28">
        <v>34261</v>
      </c>
      <c r="I356" s="27" t="s">
        <v>27</v>
      </c>
      <c r="J356" s="27" t="s">
        <v>28</v>
      </c>
      <c r="K356" s="27" t="s">
        <v>83</v>
      </c>
      <c r="L356" s="27" t="s">
        <v>127</v>
      </c>
      <c r="M356" s="27">
        <v>1</v>
      </c>
      <c r="N356" s="27">
        <v>20</v>
      </c>
      <c r="O356" s="27">
        <v>0</v>
      </c>
      <c r="P356" s="27">
        <v>20</v>
      </c>
      <c r="Q356" s="27">
        <v>3</v>
      </c>
      <c r="R356" s="27" t="s">
        <v>65</v>
      </c>
      <c r="S356" s="27" t="s">
        <v>32</v>
      </c>
      <c r="T356" s="27" t="s">
        <v>89</v>
      </c>
      <c r="U356" s="27">
        <v>9933894798</v>
      </c>
      <c r="V356" s="21" t="s">
        <v>34</v>
      </c>
    </row>
    <row r="357" spans="1:22" ht="15" thickBot="1" x14ac:dyDescent="0.4">
      <c r="A357" s="30" t="s">
        <v>466</v>
      </c>
      <c r="B357" s="30" t="s">
        <v>23</v>
      </c>
      <c r="C357" s="30" t="s">
        <v>112</v>
      </c>
      <c r="D357" s="31">
        <v>46027</v>
      </c>
      <c r="E357" s="31">
        <v>46038</v>
      </c>
      <c r="F357" s="30" t="s">
        <v>25</v>
      </c>
      <c r="G357" s="30" t="s">
        <v>26</v>
      </c>
      <c r="H357" s="31">
        <v>30614</v>
      </c>
      <c r="I357" s="30" t="s">
        <v>121</v>
      </c>
      <c r="J357" s="30" t="s">
        <v>38</v>
      </c>
      <c r="K357" s="30" t="s">
        <v>39</v>
      </c>
      <c r="L357" s="30" t="s">
        <v>114</v>
      </c>
      <c r="M357" s="30">
        <v>15</v>
      </c>
      <c r="N357" s="30">
        <v>700</v>
      </c>
      <c r="O357" s="30">
        <v>0</v>
      </c>
      <c r="P357" s="30">
        <v>10500</v>
      </c>
      <c r="Q357" s="30">
        <v>2</v>
      </c>
      <c r="R357" s="30" t="s">
        <v>65</v>
      </c>
      <c r="S357" s="30" t="s">
        <v>42</v>
      </c>
      <c r="T357" s="30" t="s">
        <v>43</v>
      </c>
      <c r="U357" s="30">
        <v>9705218824</v>
      </c>
      <c r="V357" s="22" t="s">
        <v>34</v>
      </c>
    </row>
    <row r="358" spans="1:22" ht="29.5" thickBot="1" x14ac:dyDescent="0.4">
      <c r="A358" s="27" t="s">
        <v>467</v>
      </c>
      <c r="B358" s="27" t="s">
        <v>156</v>
      </c>
      <c r="C358" s="27" t="s">
        <v>68</v>
      </c>
      <c r="D358" s="28">
        <v>45695</v>
      </c>
      <c r="E358" s="28">
        <v>45698</v>
      </c>
      <c r="F358" s="27" t="s">
        <v>106</v>
      </c>
      <c r="G358" s="27" t="s">
        <v>58</v>
      </c>
      <c r="H358" s="28">
        <v>30324</v>
      </c>
      <c r="I358" s="27" t="s">
        <v>27</v>
      </c>
      <c r="J358" s="27" t="s">
        <v>28</v>
      </c>
      <c r="K358" s="27" t="s">
        <v>29</v>
      </c>
      <c r="L358" s="27" t="s">
        <v>70</v>
      </c>
      <c r="M358" s="27">
        <v>15</v>
      </c>
      <c r="N358" s="27">
        <v>3500</v>
      </c>
      <c r="O358" s="27">
        <v>10</v>
      </c>
      <c r="P358" s="27">
        <v>47250</v>
      </c>
      <c r="Q358" s="27">
        <v>3</v>
      </c>
      <c r="R358" s="27" t="s">
        <v>31</v>
      </c>
      <c r="S358" s="27" t="s">
        <v>96</v>
      </c>
      <c r="T358" s="27" t="s">
        <v>158</v>
      </c>
      <c r="U358" s="27">
        <v>9229164453</v>
      </c>
      <c r="V358" s="27" t="s">
        <v>52</v>
      </c>
    </row>
    <row r="359" spans="1:22" ht="15" thickBot="1" x14ac:dyDescent="0.4">
      <c r="A359" s="30" t="s">
        <v>468</v>
      </c>
      <c r="B359" s="30" t="s">
        <v>23</v>
      </c>
      <c r="C359" s="30" t="s">
        <v>82</v>
      </c>
      <c r="D359" s="31">
        <v>45866</v>
      </c>
      <c r="E359" s="31">
        <v>45876</v>
      </c>
      <c r="F359" s="30" t="s">
        <v>25</v>
      </c>
      <c r="G359" s="30" t="s">
        <v>26</v>
      </c>
      <c r="H359" s="31">
        <v>30664</v>
      </c>
      <c r="I359" s="30" t="s">
        <v>147</v>
      </c>
      <c r="J359" s="30" t="s">
        <v>148</v>
      </c>
      <c r="K359" s="30" t="s">
        <v>83</v>
      </c>
      <c r="L359" s="30" t="s">
        <v>84</v>
      </c>
      <c r="M359" s="30">
        <v>16</v>
      </c>
      <c r="N359" s="30">
        <v>60</v>
      </c>
      <c r="O359" s="30">
        <v>10</v>
      </c>
      <c r="P359" s="30">
        <v>864</v>
      </c>
      <c r="Q359" s="30">
        <v>4</v>
      </c>
      <c r="R359" s="30" t="s">
        <v>60</v>
      </c>
      <c r="S359" s="30" t="s">
        <v>50</v>
      </c>
      <c r="T359" s="30" t="s">
        <v>43</v>
      </c>
      <c r="U359" s="30">
        <v>9219806176</v>
      </c>
      <c r="V359" s="22" t="s">
        <v>34</v>
      </c>
    </row>
    <row r="360" spans="1:22" ht="15" thickBot="1" x14ac:dyDescent="0.4">
      <c r="A360" s="27" t="s">
        <v>469</v>
      </c>
      <c r="B360" s="27" t="s">
        <v>87</v>
      </c>
      <c r="C360" s="27" t="s">
        <v>138</v>
      </c>
      <c r="D360" s="28">
        <v>45945</v>
      </c>
      <c r="E360" s="28">
        <v>45951</v>
      </c>
      <c r="F360" s="27" t="s">
        <v>88</v>
      </c>
      <c r="G360" s="27" t="s">
        <v>58</v>
      </c>
      <c r="H360" s="28">
        <v>30585</v>
      </c>
      <c r="I360" s="27" t="s">
        <v>37</v>
      </c>
      <c r="J360" s="27" t="s">
        <v>38</v>
      </c>
      <c r="K360" s="27" t="s">
        <v>83</v>
      </c>
      <c r="L360" s="27" t="s">
        <v>139</v>
      </c>
      <c r="M360" s="27">
        <v>2</v>
      </c>
      <c r="N360" s="27">
        <v>45</v>
      </c>
      <c r="O360" s="27">
        <v>15</v>
      </c>
      <c r="P360" s="27">
        <v>76.5</v>
      </c>
      <c r="Q360" s="27">
        <v>1</v>
      </c>
      <c r="R360" s="27" t="s">
        <v>65</v>
      </c>
      <c r="S360" s="27" t="s">
        <v>96</v>
      </c>
      <c r="T360" s="27" t="s">
        <v>89</v>
      </c>
      <c r="U360" s="27">
        <v>9630210250</v>
      </c>
      <c r="V360" s="27" t="s">
        <v>53</v>
      </c>
    </row>
    <row r="361" spans="1:22" ht="15" thickBot="1" x14ac:dyDescent="0.4">
      <c r="A361" s="30" t="s">
        <v>470</v>
      </c>
      <c r="B361" s="30" t="s">
        <v>104</v>
      </c>
      <c r="C361" s="30" t="s">
        <v>82</v>
      </c>
      <c r="D361" s="31">
        <v>45997</v>
      </c>
      <c r="E361" s="31">
        <v>46006</v>
      </c>
      <c r="F361" s="30" t="s">
        <v>166</v>
      </c>
      <c r="G361" s="30" t="s">
        <v>26</v>
      </c>
      <c r="H361" s="31">
        <v>27537</v>
      </c>
      <c r="I361" s="30" t="s">
        <v>37</v>
      </c>
      <c r="J361" s="30" t="s">
        <v>38</v>
      </c>
      <c r="K361" s="30" t="s">
        <v>83</v>
      </c>
      <c r="L361" s="30" t="s">
        <v>84</v>
      </c>
      <c r="M361" s="30">
        <v>13</v>
      </c>
      <c r="N361" s="30">
        <v>60</v>
      </c>
      <c r="O361" s="30">
        <v>15</v>
      </c>
      <c r="P361" s="30">
        <v>663</v>
      </c>
      <c r="Q361" s="30">
        <v>2</v>
      </c>
      <c r="R361" s="30" t="s">
        <v>41</v>
      </c>
      <c r="S361" s="30" t="s">
        <v>50</v>
      </c>
      <c r="T361" s="30" t="s">
        <v>108</v>
      </c>
      <c r="U361" s="30">
        <v>9583354052</v>
      </c>
      <c r="V361" s="30" t="s">
        <v>53</v>
      </c>
    </row>
    <row r="362" spans="1:22" ht="15" thickBot="1" x14ac:dyDescent="0.4">
      <c r="A362" s="27" t="s">
        <v>471</v>
      </c>
      <c r="B362" s="27" t="s">
        <v>63</v>
      </c>
      <c r="C362" s="27" t="s">
        <v>36</v>
      </c>
      <c r="D362" s="28">
        <v>45797</v>
      </c>
      <c r="E362" s="28">
        <v>45799</v>
      </c>
      <c r="F362" s="27" t="s">
        <v>110</v>
      </c>
      <c r="G362" s="27" t="s">
        <v>58</v>
      </c>
      <c r="H362" s="28">
        <v>34647</v>
      </c>
      <c r="I362" s="27" t="s">
        <v>37</v>
      </c>
      <c r="J362" s="27" t="s">
        <v>38</v>
      </c>
      <c r="K362" s="27" t="s">
        <v>39</v>
      </c>
      <c r="L362" s="27" t="s">
        <v>40</v>
      </c>
      <c r="M362" s="27">
        <v>15</v>
      </c>
      <c r="N362" s="27">
        <v>12000</v>
      </c>
      <c r="O362" s="27">
        <v>20</v>
      </c>
      <c r="P362" s="27">
        <v>144000</v>
      </c>
      <c r="Q362" s="27">
        <v>3</v>
      </c>
      <c r="R362" s="27" t="s">
        <v>60</v>
      </c>
      <c r="S362" s="27" t="s">
        <v>32</v>
      </c>
      <c r="T362" s="27" t="s">
        <v>66</v>
      </c>
      <c r="U362" s="27">
        <v>9242534507</v>
      </c>
      <c r="V362" s="27" t="s">
        <v>53</v>
      </c>
    </row>
    <row r="363" spans="1:22" ht="29.5" thickBot="1" x14ac:dyDescent="0.4">
      <c r="A363" s="30" t="s">
        <v>472</v>
      </c>
      <c r="B363" s="30" t="s">
        <v>156</v>
      </c>
      <c r="C363" s="30" t="s">
        <v>125</v>
      </c>
      <c r="D363" s="31">
        <v>45863</v>
      </c>
      <c r="E363" s="31">
        <v>45871</v>
      </c>
      <c r="F363" s="30" t="s">
        <v>106</v>
      </c>
      <c r="G363" s="30" t="s">
        <v>58</v>
      </c>
      <c r="H363" s="31">
        <v>32128</v>
      </c>
      <c r="I363" s="30" t="s">
        <v>37</v>
      </c>
      <c r="J363" s="30" t="s">
        <v>38</v>
      </c>
      <c r="K363" s="30" t="s">
        <v>83</v>
      </c>
      <c r="L363" s="30" t="s">
        <v>127</v>
      </c>
      <c r="M363" s="30">
        <v>2</v>
      </c>
      <c r="N363" s="30">
        <v>20</v>
      </c>
      <c r="O363" s="30">
        <v>20</v>
      </c>
      <c r="P363" s="30">
        <v>32</v>
      </c>
      <c r="Q363" s="30">
        <v>4</v>
      </c>
      <c r="R363" s="30" t="s">
        <v>31</v>
      </c>
      <c r="S363" s="30" t="s">
        <v>32</v>
      </c>
      <c r="T363" s="30" t="s">
        <v>158</v>
      </c>
      <c r="U363" s="30">
        <v>9291239150</v>
      </c>
      <c r="V363" s="30" t="s">
        <v>52</v>
      </c>
    </row>
    <row r="364" spans="1:22" ht="15" thickBot="1" x14ac:dyDescent="0.4">
      <c r="A364" s="27" t="s">
        <v>473</v>
      </c>
      <c r="B364" s="27" t="s">
        <v>87</v>
      </c>
      <c r="C364" s="27" t="s">
        <v>68</v>
      </c>
      <c r="D364" s="28">
        <v>45874</v>
      </c>
      <c r="E364" s="28">
        <v>45886</v>
      </c>
      <c r="F364" s="27" t="s">
        <v>88</v>
      </c>
      <c r="G364" s="27" t="s">
        <v>58</v>
      </c>
      <c r="H364" s="28">
        <v>27564</v>
      </c>
      <c r="I364" s="27" t="s">
        <v>48</v>
      </c>
      <c r="J364" s="27" t="s">
        <v>28</v>
      </c>
      <c r="K364" s="27" t="s">
        <v>29</v>
      </c>
      <c r="L364" s="27" t="s">
        <v>70</v>
      </c>
      <c r="M364" s="27">
        <v>16</v>
      </c>
      <c r="N364" s="27">
        <v>3500</v>
      </c>
      <c r="O364" s="27">
        <v>0</v>
      </c>
      <c r="P364" s="27">
        <v>56000</v>
      </c>
      <c r="Q364" s="27">
        <v>4</v>
      </c>
      <c r="R364" s="27" t="s">
        <v>31</v>
      </c>
      <c r="S364" s="27" t="s">
        <v>80</v>
      </c>
      <c r="T364" s="27" t="s">
        <v>89</v>
      </c>
      <c r="U364" s="27">
        <v>9550820904</v>
      </c>
      <c r="V364" s="21" t="s">
        <v>34</v>
      </c>
    </row>
    <row r="365" spans="1:22" ht="15" thickBot="1" x14ac:dyDescent="0.4">
      <c r="A365" s="30" t="s">
        <v>474</v>
      </c>
      <c r="B365" s="30" t="s">
        <v>45</v>
      </c>
      <c r="C365" s="30" t="s">
        <v>68</v>
      </c>
      <c r="D365" s="31">
        <v>46071</v>
      </c>
      <c r="E365" s="31">
        <v>46078</v>
      </c>
      <c r="F365" s="30" t="s">
        <v>101</v>
      </c>
      <c r="G365" s="30" t="s">
        <v>26</v>
      </c>
      <c r="H365" s="31">
        <v>28134</v>
      </c>
      <c r="I365" s="30" t="s">
        <v>91</v>
      </c>
      <c r="J365" s="30" t="s">
        <v>75</v>
      </c>
      <c r="K365" s="30" t="s">
        <v>29</v>
      </c>
      <c r="L365" s="30" t="s">
        <v>70</v>
      </c>
      <c r="M365" s="30">
        <v>18</v>
      </c>
      <c r="N365" s="30">
        <v>3500</v>
      </c>
      <c r="O365" s="30">
        <v>15</v>
      </c>
      <c r="P365" s="30">
        <v>53550</v>
      </c>
      <c r="Q365" s="30">
        <v>5</v>
      </c>
      <c r="R365" s="30" t="s">
        <v>31</v>
      </c>
      <c r="S365" s="30" t="s">
        <v>96</v>
      </c>
      <c r="T365" s="30" t="s">
        <v>51</v>
      </c>
      <c r="U365" s="30">
        <v>9294486423</v>
      </c>
      <c r="V365" s="30" t="s">
        <v>53</v>
      </c>
    </row>
    <row r="366" spans="1:22" ht="15" thickBot="1" x14ac:dyDescent="0.4">
      <c r="A366" s="27" t="s">
        <v>475</v>
      </c>
      <c r="B366" s="27" t="s">
        <v>23</v>
      </c>
      <c r="C366" s="27" t="s">
        <v>138</v>
      </c>
      <c r="D366" s="28">
        <v>46102</v>
      </c>
      <c r="E366" s="28">
        <v>46107</v>
      </c>
      <c r="F366" s="27" t="s">
        <v>25</v>
      </c>
      <c r="G366" s="27" t="s">
        <v>26</v>
      </c>
      <c r="H366" s="28">
        <v>34232</v>
      </c>
      <c r="I366" s="27" t="s">
        <v>91</v>
      </c>
      <c r="J366" s="27" t="s">
        <v>75</v>
      </c>
      <c r="K366" s="27" t="s">
        <v>83</v>
      </c>
      <c r="L366" s="27" t="s">
        <v>139</v>
      </c>
      <c r="M366" s="27">
        <v>20</v>
      </c>
      <c r="N366" s="27">
        <v>45</v>
      </c>
      <c r="O366" s="27">
        <v>15</v>
      </c>
      <c r="P366" s="27">
        <v>765</v>
      </c>
      <c r="Q366" s="27">
        <v>4</v>
      </c>
      <c r="R366" s="27" t="s">
        <v>31</v>
      </c>
      <c r="S366" s="27" t="s">
        <v>96</v>
      </c>
      <c r="T366" s="27" t="s">
        <v>43</v>
      </c>
      <c r="U366" s="27">
        <v>9260258621</v>
      </c>
      <c r="V366" s="27" t="s">
        <v>53</v>
      </c>
    </row>
    <row r="367" spans="1:22" ht="15" thickBot="1" x14ac:dyDescent="0.4">
      <c r="A367" s="30" t="s">
        <v>476</v>
      </c>
      <c r="B367" s="30" t="s">
        <v>134</v>
      </c>
      <c r="C367" s="30" t="s">
        <v>24</v>
      </c>
      <c r="D367" s="31">
        <v>46128</v>
      </c>
      <c r="E367" s="31">
        <v>46131</v>
      </c>
      <c r="F367" s="30" t="s">
        <v>135</v>
      </c>
      <c r="G367" s="30" t="s">
        <v>26</v>
      </c>
      <c r="H367" s="31">
        <v>35494</v>
      </c>
      <c r="I367" s="30" t="s">
        <v>37</v>
      </c>
      <c r="J367" s="30" t="s">
        <v>38</v>
      </c>
      <c r="K367" s="30" t="s">
        <v>29</v>
      </c>
      <c r="L367" s="30" t="s">
        <v>30</v>
      </c>
      <c r="M367" s="30">
        <v>13</v>
      </c>
      <c r="N367" s="30">
        <v>2200</v>
      </c>
      <c r="O367" s="30">
        <v>15</v>
      </c>
      <c r="P367" s="30">
        <v>24310</v>
      </c>
      <c r="Q367" s="30">
        <v>2</v>
      </c>
      <c r="R367" s="30" t="s">
        <v>41</v>
      </c>
      <c r="S367" s="30" t="s">
        <v>80</v>
      </c>
      <c r="T367" s="30" t="s">
        <v>136</v>
      </c>
      <c r="U367" s="30">
        <v>9697433584</v>
      </c>
      <c r="V367" s="30" t="s">
        <v>52</v>
      </c>
    </row>
    <row r="368" spans="1:22" ht="15" thickBot="1" x14ac:dyDescent="0.4">
      <c r="A368" s="27" t="s">
        <v>477</v>
      </c>
      <c r="B368" s="27" t="s">
        <v>45</v>
      </c>
      <c r="C368" s="27" t="s">
        <v>478</v>
      </c>
      <c r="D368" s="28">
        <v>45943</v>
      </c>
      <c r="E368" s="28">
        <v>45944</v>
      </c>
      <c r="F368" s="27" t="s">
        <v>101</v>
      </c>
      <c r="G368" s="27" t="s">
        <v>26</v>
      </c>
      <c r="H368" s="28">
        <v>37447</v>
      </c>
      <c r="I368" s="27" t="s">
        <v>147</v>
      </c>
      <c r="J368" s="27" t="s">
        <v>148</v>
      </c>
      <c r="K368" s="27" t="s">
        <v>29</v>
      </c>
      <c r="L368" s="27" t="s">
        <v>107</v>
      </c>
      <c r="M368" s="27">
        <v>11</v>
      </c>
      <c r="N368" s="27">
        <v>8500</v>
      </c>
      <c r="O368" s="27">
        <v>5</v>
      </c>
      <c r="P368" s="27">
        <v>88825</v>
      </c>
      <c r="Q368" s="27">
        <v>1</v>
      </c>
      <c r="R368" s="27" t="s">
        <v>65</v>
      </c>
      <c r="S368" s="27" t="s">
        <v>80</v>
      </c>
      <c r="T368" s="27" t="s">
        <v>51</v>
      </c>
      <c r="U368" s="27">
        <v>9837969758</v>
      </c>
      <c r="V368" s="27" t="s">
        <v>53</v>
      </c>
    </row>
    <row r="369" spans="1:22" ht="15" thickBot="1" x14ac:dyDescent="0.4">
      <c r="A369" s="30" t="s">
        <v>479</v>
      </c>
      <c r="B369" s="30" t="s">
        <v>45</v>
      </c>
      <c r="C369" s="30" t="s">
        <v>24</v>
      </c>
      <c r="D369" s="31">
        <v>45996</v>
      </c>
      <c r="E369" s="31">
        <v>46001</v>
      </c>
      <c r="F369" s="30" t="s">
        <v>101</v>
      </c>
      <c r="G369" s="30" t="s">
        <v>26</v>
      </c>
      <c r="H369" s="31">
        <v>30790</v>
      </c>
      <c r="I369" s="30" t="s">
        <v>121</v>
      </c>
      <c r="J369" s="30" t="s">
        <v>38</v>
      </c>
      <c r="K369" s="30" t="s">
        <v>29</v>
      </c>
      <c r="L369" s="30" t="s">
        <v>30</v>
      </c>
      <c r="M369" s="30">
        <v>2</v>
      </c>
      <c r="N369" s="30">
        <v>2200</v>
      </c>
      <c r="O369" s="30">
        <v>0</v>
      </c>
      <c r="P369" s="30">
        <v>4400</v>
      </c>
      <c r="Q369" s="30">
        <v>4</v>
      </c>
      <c r="R369" s="30" t="s">
        <v>65</v>
      </c>
      <c r="S369" s="30" t="s">
        <v>96</v>
      </c>
      <c r="T369" s="30" t="s">
        <v>51</v>
      </c>
      <c r="U369" s="30">
        <v>9209736419</v>
      </c>
      <c r="V369" s="30" t="s">
        <v>52</v>
      </c>
    </row>
    <row r="370" spans="1:22" ht="15" thickBot="1" x14ac:dyDescent="0.4">
      <c r="A370" s="27" t="s">
        <v>480</v>
      </c>
      <c r="B370" s="27" t="s">
        <v>63</v>
      </c>
      <c r="C370" s="27" t="s">
        <v>112</v>
      </c>
      <c r="D370" s="28">
        <v>45868</v>
      </c>
      <c r="E370" s="28">
        <v>45873</v>
      </c>
      <c r="F370" s="27" t="s">
        <v>110</v>
      </c>
      <c r="G370" s="27" t="s">
        <v>58</v>
      </c>
      <c r="H370" s="28">
        <v>37803</v>
      </c>
      <c r="I370" s="27" t="s">
        <v>74</v>
      </c>
      <c r="J370" s="27" t="s">
        <v>75</v>
      </c>
      <c r="K370" s="27" t="s">
        <v>39</v>
      </c>
      <c r="L370" s="27" t="s">
        <v>114</v>
      </c>
      <c r="M370" s="27">
        <v>15</v>
      </c>
      <c r="N370" s="27">
        <v>700</v>
      </c>
      <c r="O370" s="27">
        <v>15</v>
      </c>
      <c r="P370" s="27">
        <v>8925</v>
      </c>
      <c r="Q370" s="27">
        <v>3</v>
      </c>
      <c r="R370" s="27" t="s">
        <v>41</v>
      </c>
      <c r="S370" s="27" t="s">
        <v>80</v>
      </c>
      <c r="T370" s="27" t="s">
        <v>66</v>
      </c>
      <c r="U370" s="27">
        <v>9645907237</v>
      </c>
      <c r="V370" s="21" t="s">
        <v>34</v>
      </c>
    </row>
    <row r="371" spans="1:22" ht="15" thickBot="1" x14ac:dyDescent="0.4">
      <c r="A371" s="30" t="s">
        <v>481</v>
      </c>
      <c r="B371" s="30" t="s">
        <v>87</v>
      </c>
      <c r="C371" s="30" t="s">
        <v>24</v>
      </c>
      <c r="D371" s="31">
        <v>45856</v>
      </c>
      <c r="E371" s="31">
        <v>45862</v>
      </c>
      <c r="F371" s="30" t="s">
        <v>88</v>
      </c>
      <c r="G371" s="30" t="s">
        <v>58</v>
      </c>
      <c r="H371" s="31">
        <v>33902</v>
      </c>
      <c r="I371" s="30" t="s">
        <v>91</v>
      </c>
      <c r="J371" s="30" t="s">
        <v>75</v>
      </c>
      <c r="K371" s="30" t="s">
        <v>29</v>
      </c>
      <c r="L371" s="30" t="s">
        <v>30</v>
      </c>
      <c r="M371" s="30">
        <v>5</v>
      </c>
      <c r="N371" s="30">
        <v>2200</v>
      </c>
      <c r="O371" s="30">
        <v>15</v>
      </c>
      <c r="P371" s="30">
        <v>9350</v>
      </c>
      <c r="Q371" s="30">
        <v>1</v>
      </c>
      <c r="R371" s="30" t="s">
        <v>41</v>
      </c>
      <c r="S371" s="30" t="s">
        <v>80</v>
      </c>
      <c r="T371" s="30" t="s">
        <v>89</v>
      </c>
      <c r="U371" s="30">
        <v>9566149945</v>
      </c>
      <c r="V371" s="30" t="s">
        <v>52</v>
      </c>
    </row>
    <row r="372" spans="1:22" ht="15" thickBot="1" x14ac:dyDescent="0.4">
      <c r="A372" s="27" t="s">
        <v>482</v>
      </c>
      <c r="B372" s="27" t="s">
        <v>63</v>
      </c>
      <c r="C372" s="27" t="s">
        <v>56</v>
      </c>
      <c r="D372" s="28">
        <v>46092</v>
      </c>
      <c r="E372" s="28">
        <v>46093</v>
      </c>
      <c r="F372" s="27" t="s">
        <v>110</v>
      </c>
      <c r="G372" s="27" t="s">
        <v>58</v>
      </c>
      <c r="H372" s="28">
        <v>32360</v>
      </c>
      <c r="I372" s="27" t="s">
        <v>91</v>
      </c>
      <c r="J372" s="27" t="s">
        <v>75</v>
      </c>
      <c r="K372" s="27" t="s">
        <v>39</v>
      </c>
      <c r="L372" s="27" t="s">
        <v>59</v>
      </c>
      <c r="M372" s="27">
        <v>15</v>
      </c>
      <c r="N372" s="27">
        <v>1200</v>
      </c>
      <c r="O372" s="27">
        <v>0</v>
      </c>
      <c r="P372" s="27">
        <v>18000</v>
      </c>
      <c r="Q372" s="27">
        <v>3</v>
      </c>
      <c r="R372" s="27" t="s">
        <v>41</v>
      </c>
      <c r="S372" s="27" t="s">
        <v>50</v>
      </c>
      <c r="T372" s="27" t="s">
        <v>66</v>
      </c>
      <c r="U372" s="27">
        <v>9935018068</v>
      </c>
      <c r="V372" s="27" t="s">
        <v>53</v>
      </c>
    </row>
    <row r="373" spans="1:22" ht="15" thickBot="1" x14ac:dyDescent="0.4">
      <c r="A373" s="30" t="s">
        <v>483</v>
      </c>
      <c r="B373" s="30" t="s">
        <v>134</v>
      </c>
      <c r="C373" s="30" t="s">
        <v>56</v>
      </c>
      <c r="D373" s="31">
        <v>46120</v>
      </c>
      <c r="E373" s="31">
        <v>46122</v>
      </c>
      <c r="F373" s="30" t="s">
        <v>135</v>
      </c>
      <c r="G373" s="30" t="s">
        <v>26</v>
      </c>
      <c r="H373" s="31">
        <v>31952</v>
      </c>
      <c r="I373" s="30" t="s">
        <v>74</v>
      </c>
      <c r="J373" s="30" t="s">
        <v>75</v>
      </c>
      <c r="K373" s="30" t="s">
        <v>39</v>
      </c>
      <c r="L373" s="30" t="s">
        <v>59</v>
      </c>
      <c r="M373" s="30">
        <v>19</v>
      </c>
      <c r="N373" s="30">
        <v>1200</v>
      </c>
      <c r="O373" s="30">
        <v>0</v>
      </c>
      <c r="P373" s="30">
        <v>22800</v>
      </c>
      <c r="Q373" s="30">
        <v>1</v>
      </c>
      <c r="R373" s="30" t="s">
        <v>31</v>
      </c>
      <c r="S373" s="30" t="s">
        <v>42</v>
      </c>
      <c r="T373" s="30" t="s">
        <v>136</v>
      </c>
      <c r="U373" s="30">
        <v>9171794652</v>
      </c>
      <c r="V373" s="30" t="s">
        <v>53</v>
      </c>
    </row>
    <row r="374" spans="1:22" ht="15" thickBot="1" x14ac:dyDescent="0.4">
      <c r="A374" s="27" t="s">
        <v>484</v>
      </c>
      <c r="B374" s="27" t="s">
        <v>104</v>
      </c>
      <c r="C374" s="27" t="s">
        <v>36</v>
      </c>
      <c r="D374" s="28">
        <v>45918</v>
      </c>
      <c r="E374" s="28">
        <v>45925</v>
      </c>
      <c r="F374" s="27" t="s">
        <v>166</v>
      </c>
      <c r="G374" s="27" t="s">
        <v>26</v>
      </c>
      <c r="H374" s="28">
        <v>32800</v>
      </c>
      <c r="I374" s="27" t="s">
        <v>74</v>
      </c>
      <c r="J374" s="27" t="s">
        <v>75</v>
      </c>
      <c r="K374" s="27" t="s">
        <v>39</v>
      </c>
      <c r="L374" s="27" t="s">
        <v>40</v>
      </c>
      <c r="M374" s="27">
        <v>9</v>
      </c>
      <c r="N374" s="27">
        <v>12000</v>
      </c>
      <c r="O374" s="27">
        <v>15</v>
      </c>
      <c r="P374" s="27">
        <v>91800</v>
      </c>
      <c r="Q374" s="27">
        <v>3</v>
      </c>
      <c r="R374" s="27" t="s">
        <v>65</v>
      </c>
      <c r="S374" s="27" t="s">
        <v>42</v>
      </c>
      <c r="T374" s="27" t="s">
        <v>108</v>
      </c>
      <c r="U374" s="27">
        <v>9671497416</v>
      </c>
      <c r="V374" s="27" t="s">
        <v>53</v>
      </c>
    </row>
    <row r="375" spans="1:22" ht="15" thickBot="1" x14ac:dyDescent="0.4">
      <c r="A375" s="30" t="s">
        <v>485</v>
      </c>
      <c r="B375" s="30" t="s">
        <v>23</v>
      </c>
      <c r="C375" s="30" t="s">
        <v>138</v>
      </c>
      <c r="D375" s="31">
        <v>45941</v>
      </c>
      <c r="E375" s="31">
        <v>45951</v>
      </c>
      <c r="F375" s="30" t="s">
        <v>25</v>
      </c>
      <c r="G375" s="30" t="s">
        <v>26</v>
      </c>
      <c r="H375" s="31">
        <v>33746</v>
      </c>
      <c r="I375" s="30" t="s">
        <v>121</v>
      </c>
      <c r="J375" s="30" t="s">
        <v>38</v>
      </c>
      <c r="K375" s="30" t="s">
        <v>83</v>
      </c>
      <c r="L375" s="30" t="s">
        <v>139</v>
      </c>
      <c r="M375" s="30">
        <v>5</v>
      </c>
      <c r="N375" s="30">
        <v>45</v>
      </c>
      <c r="O375" s="30">
        <v>5</v>
      </c>
      <c r="P375" s="30">
        <v>213.75</v>
      </c>
      <c r="Q375" s="30">
        <v>1</v>
      </c>
      <c r="R375" s="30" t="s">
        <v>60</v>
      </c>
      <c r="S375" s="30" t="s">
        <v>80</v>
      </c>
      <c r="T375" s="30" t="s">
        <v>43</v>
      </c>
      <c r="U375" s="30">
        <v>9810433484</v>
      </c>
      <c r="V375" s="22" t="s">
        <v>34</v>
      </c>
    </row>
    <row r="376" spans="1:22" ht="15" thickBot="1" x14ac:dyDescent="0.4">
      <c r="A376" s="27" t="s">
        <v>486</v>
      </c>
      <c r="B376" s="27" t="s">
        <v>134</v>
      </c>
      <c r="C376" s="27" t="s">
        <v>112</v>
      </c>
      <c r="D376" s="27" t="s">
        <v>487</v>
      </c>
      <c r="E376" s="28">
        <v>45699</v>
      </c>
      <c r="F376" s="27" t="s">
        <v>135</v>
      </c>
      <c r="G376" s="27" t="s">
        <v>26</v>
      </c>
      <c r="H376" s="28">
        <v>32822</v>
      </c>
      <c r="I376" s="27" t="s">
        <v>74</v>
      </c>
      <c r="J376" s="27" t="s">
        <v>75</v>
      </c>
      <c r="K376" s="27" t="s">
        <v>39</v>
      </c>
      <c r="L376" s="27" t="s">
        <v>114</v>
      </c>
      <c r="M376" s="27">
        <v>3</v>
      </c>
      <c r="N376" s="27">
        <v>700</v>
      </c>
      <c r="O376" s="27">
        <v>15</v>
      </c>
      <c r="P376" s="27">
        <v>1785</v>
      </c>
      <c r="Q376" s="27">
        <v>4</v>
      </c>
      <c r="R376" s="27" t="s">
        <v>31</v>
      </c>
      <c r="S376" s="27" t="s">
        <v>96</v>
      </c>
      <c r="T376" s="27" t="s">
        <v>136</v>
      </c>
      <c r="U376" s="27">
        <v>9990243436</v>
      </c>
      <c r="V376" s="21" t="s">
        <v>34</v>
      </c>
    </row>
    <row r="377" spans="1:22" ht="15" thickBot="1" x14ac:dyDescent="0.4">
      <c r="A377" s="30" t="s">
        <v>488</v>
      </c>
      <c r="B377" s="30" t="s">
        <v>55</v>
      </c>
      <c r="C377" s="30" t="s">
        <v>105</v>
      </c>
      <c r="D377" s="31">
        <v>46005</v>
      </c>
      <c r="E377" s="31">
        <v>46017</v>
      </c>
      <c r="F377" s="30" t="s">
        <v>57</v>
      </c>
      <c r="G377" s="30" t="s">
        <v>58</v>
      </c>
      <c r="H377" s="31">
        <v>29467</v>
      </c>
      <c r="I377" s="30" t="s">
        <v>121</v>
      </c>
      <c r="J377" s="30" t="s">
        <v>38</v>
      </c>
      <c r="K377" s="30" t="s">
        <v>29</v>
      </c>
      <c r="L377" s="30" t="s">
        <v>107</v>
      </c>
      <c r="M377" s="30">
        <v>12</v>
      </c>
      <c r="N377" s="30">
        <v>8500</v>
      </c>
      <c r="O377" s="30">
        <v>5</v>
      </c>
      <c r="P377" s="30">
        <v>96900</v>
      </c>
      <c r="Q377" s="30">
        <v>3</v>
      </c>
      <c r="R377" s="30" t="s">
        <v>60</v>
      </c>
      <c r="S377" s="30" t="s">
        <v>50</v>
      </c>
      <c r="T377" s="30" t="s">
        <v>61</v>
      </c>
      <c r="U377" s="30">
        <v>9396678031</v>
      </c>
      <c r="V377" s="30" t="s">
        <v>52</v>
      </c>
    </row>
    <row r="378" spans="1:22" ht="15" thickBot="1" x14ac:dyDescent="0.4">
      <c r="A378" s="27" t="s">
        <v>489</v>
      </c>
      <c r="B378" s="27" t="s">
        <v>134</v>
      </c>
      <c r="C378" s="27" t="s">
        <v>105</v>
      </c>
      <c r="D378" s="28">
        <v>46123</v>
      </c>
      <c r="E378" s="28">
        <v>46131</v>
      </c>
      <c r="F378" s="27" t="s">
        <v>135</v>
      </c>
      <c r="G378" s="27" t="s">
        <v>26</v>
      </c>
      <c r="H378" s="28">
        <v>28920</v>
      </c>
      <c r="I378" s="27" t="s">
        <v>79</v>
      </c>
      <c r="J378" s="27" t="s">
        <v>75</v>
      </c>
      <c r="K378" s="27" t="s">
        <v>29</v>
      </c>
      <c r="L378" s="27" t="s">
        <v>107</v>
      </c>
      <c r="M378" s="27">
        <v>4</v>
      </c>
      <c r="N378" s="27">
        <v>8500</v>
      </c>
      <c r="O378" s="27">
        <v>15</v>
      </c>
      <c r="P378" s="27">
        <v>28900</v>
      </c>
      <c r="Q378" s="27">
        <v>4</v>
      </c>
      <c r="R378" s="27" t="s">
        <v>41</v>
      </c>
      <c r="S378" s="27" t="s">
        <v>50</v>
      </c>
      <c r="T378" s="27" t="s">
        <v>136</v>
      </c>
      <c r="U378" s="27">
        <v>9818591245</v>
      </c>
      <c r="V378" s="27" t="s">
        <v>52</v>
      </c>
    </row>
    <row r="379" spans="1:22" ht="15" thickBot="1" x14ac:dyDescent="0.4">
      <c r="A379" s="30" t="s">
        <v>490</v>
      </c>
      <c r="B379" s="30" t="s">
        <v>87</v>
      </c>
      <c r="C379" s="30" t="s">
        <v>125</v>
      </c>
      <c r="D379" s="31">
        <v>45766</v>
      </c>
      <c r="E379" s="31">
        <v>45769</v>
      </c>
      <c r="F379" s="30" t="s">
        <v>88</v>
      </c>
      <c r="G379" s="30" t="s">
        <v>58</v>
      </c>
      <c r="H379" s="31">
        <v>35312</v>
      </c>
      <c r="I379" s="30" t="s">
        <v>121</v>
      </c>
      <c r="J379" s="30" t="s">
        <v>38</v>
      </c>
      <c r="K379" s="30" t="s">
        <v>83</v>
      </c>
      <c r="L379" s="30" t="s">
        <v>127</v>
      </c>
      <c r="M379" s="30">
        <v>16</v>
      </c>
      <c r="N379" s="30">
        <v>20</v>
      </c>
      <c r="O379" s="30">
        <v>10</v>
      </c>
      <c r="P379" s="30">
        <v>288</v>
      </c>
      <c r="Q379" s="30">
        <v>4</v>
      </c>
      <c r="R379" s="30" t="s">
        <v>31</v>
      </c>
      <c r="S379" s="30" t="s">
        <v>80</v>
      </c>
      <c r="T379" s="30" t="s">
        <v>89</v>
      </c>
      <c r="U379" s="30">
        <v>9505550047</v>
      </c>
      <c r="V379" s="30" t="s">
        <v>53</v>
      </c>
    </row>
    <row r="380" spans="1:22" ht="15" thickBot="1" x14ac:dyDescent="0.4">
      <c r="A380" s="27" t="s">
        <v>491</v>
      </c>
      <c r="B380" s="27" t="s">
        <v>87</v>
      </c>
      <c r="C380" s="27" t="s">
        <v>82</v>
      </c>
      <c r="D380" s="28">
        <v>46152</v>
      </c>
      <c r="E380" s="28">
        <v>46160</v>
      </c>
      <c r="F380" s="27" t="s">
        <v>88</v>
      </c>
      <c r="G380" s="27" t="s">
        <v>58</v>
      </c>
      <c r="H380" s="28">
        <v>36233</v>
      </c>
      <c r="I380" s="27" t="s">
        <v>74</v>
      </c>
      <c r="J380" s="27" t="s">
        <v>75</v>
      </c>
      <c r="K380" s="27" t="s">
        <v>83</v>
      </c>
      <c r="L380" s="27" t="s">
        <v>84</v>
      </c>
      <c r="M380" s="27">
        <v>3</v>
      </c>
      <c r="N380" s="27">
        <v>60</v>
      </c>
      <c r="O380" s="27">
        <v>20</v>
      </c>
      <c r="P380" s="27">
        <v>144</v>
      </c>
      <c r="Q380" s="27">
        <v>4</v>
      </c>
      <c r="R380" s="27" t="s">
        <v>65</v>
      </c>
      <c r="S380" s="27" t="s">
        <v>96</v>
      </c>
      <c r="T380" s="27" t="s">
        <v>89</v>
      </c>
      <c r="U380" s="27">
        <v>9469828772</v>
      </c>
      <c r="V380" s="27" t="s">
        <v>52</v>
      </c>
    </row>
    <row r="381" spans="1:22" ht="15" thickBot="1" x14ac:dyDescent="0.4">
      <c r="A381" s="30" t="s">
        <v>492</v>
      </c>
      <c r="B381" s="30" t="s">
        <v>55</v>
      </c>
      <c r="C381" s="30" t="s">
        <v>24</v>
      </c>
      <c r="D381" s="31">
        <v>45858</v>
      </c>
      <c r="E381" s="31">
        <v>45864</v>
      </c>
      <c r="F381" s="30" t="s">
        <v>57</v>
      </c>
      <c r="G381" s="30" t="s">
        <v>58</v>
      </c>
      <c r="H381" s="31">
        <v>30958</v>
      </c>
      <c r="I381" s="30" t="s">
        <v>74</v>
      </c>
      <c r="J381" s="30" t="s">
        <v>75</v>
      </c>
      <c r="K381" s="30" t="s">
        <v>29</v>
      </c>
      <c r="L381" s="30" t="s">
        <v>30</v>
      </c>
      <c r="M381" s="30">
        <v>19</v>
      </c>
      <c r="N381" s="30">
        <v>2200</v>
      </c>
      <c r="O381" s="30">
        <v>10</v>
      </c>
      <c r="P381" s="30">
        <v>37620</v>
      </c>
      <c r="Q381" s="30">
        <v>2</v>
      </c>
      <c r="R381" s="30" t="s">
        <v>31</v>
      </c>
      <c r="S381" s="30" t="s">
        <v>96</v>
      </c>
      <c r="T381" s="30" t="s">
        <v>61</v>
      </c>
      <c r="U381" s="30">
        <v>9885092680</v>
      </c>
      <c r="V381" s="30" t="s">
        <v>52</v>
      </c>
    </row>
    <row r="382" spans="1:22" ht="15" thickBot="1" x14ac:dyDescent="0.4">
      <c r="A382" s="27" t="s">
        <v>493</v>
      </c>
      <c r="B382" s="27" t="s">
        <v>55</v>
      </c>
      <c r="C382" s="27" t="s">
        <v>56</v>
      </c>
      <c r="D382" s="28">
        <v>46045</v>
      </c>
      <c r="E382" s="28">
        <v>46049</v>
      </c>
      <c r="F382" s="27" t="s">
        <v>57</v>
      </c>
      <c r="G382" s="27" t="s">
        <v>58</v>
      </c>
      <c r="H382" s="28">
        <v>30872</v>
      </c>
      <c r="I382" s="27" t="s">
        <v>27</v>
      </c>
      <c r="J382" s="27" t="s">
        <v>28</v>
      </c>
      <c r="K382" s="27" t="s">
        <v>39</v>
      </c>
      <c r="L382" s="27" t="s">
        <v>59</v>
      </c>
      <c r="M382" s="27">
        <v>7</v>
      </c>
      <c r="N382" s="27">
        <v>1200</v>
      </c>
      <c r="O382" s="27">
        <v>20</v>
      </c>
      <c r="P382" s="27">
        <v>6720</v>
      </c>
      <c r="Q382" s="27">
        <v>3</v>
      </c>
      <c r="R382" s="27" t="s">
        <v>60</v>
      </c>
      <c r="S382" s="27" t="s">
        <v>80</v>
      </c>
      <c r="T382" s="27" t="s">
        <v>61</v>
      </c>
      <c r="U382" s="27">
        <v>9362319457</v>
      </c>
      <c r="V382" s="27" t="s">
        <v>53</v>
      </c>
    </row>
    <row r="383" spans="1:22" ht="15" thickBot="1" x14ac:dyDescent="0.4">
      <c r="A383" s="30" t="s">
        <v>494</v>
      </c>
      <c r="B383" s="30" t="s">
        <v>45</v>
      </c>
      <c r="C383" s="30" t="s">
        <v>125</v>
      </c>
      <c r="D383" s="31">
        <v>46097</v>
      </c>
      <c r="E383" s="31">
        <v>46102</v>
      </c>
      <c r="F383" s="30" t="s">
        <v>101</v>
      </c>
      <c r="G383" s="30" t="s">
        <v>26</v>
      </c>
      <c r="H383" s="31">
        <v>32577</v>
      </c>
      <c r="I383" s="30" t="s">
        <v>48</v>
      </c>
      <c r="J383" s="30" t="s">
        <v>28</v>
      </c>
      <c r="K383" s="30" t="s">
        <v>83</v>
      </c>
      <c r="L383" s="30" t="s">
        <v>127</v>
      </c>
      <c r="M383" s="30">
        <v>20</v>
      </c>
      <c r="N383" s="30">
        <v>20</v>
      </c>
      <c r="O383" s="30">
        <v>20</v>
      </c>
      <c r="P383" s="30">
        <v>320</v>
      </c>
      <c r="Q383" s="30">
        <v>5</v>
      </c>
      <c r="R383" s="30" t="s">
        <v>60</v>
      </c>
      <c r="S383" s="30" t="s">
        <v>80</v>
      </c>
      <c r="T383" s="30" t="s">
        <v>51</v>
      </c>
      <c r="U383" s="30">
        <v>9223945130</v>
      </c>
      <c r="V383" s="30" t="s">
        <v>52</v>
      </c>
    </row>
    <row r="384" spans="1:22" ht="15" thickBot="1" x14ac:dyDescent="0.4">
      <c r="A384" s="27" t="s">
        <v>495</v>
      </c>
      <c r="B384" s="27" t="s">
        <v>72</v>
      </c>
      <c r="C384" s="27" t="s">
        <v>56</v>
      </c>
      <c r="D384" s="28">
        <v>45777</v>
      </c>
      <c r="E384" s="28">
        <v>45784</v>
      </c>
      <c r="F384" s="27" t="s">
        <v>73</v>
      </c>
      <c r="G384" s="27" t="s">
        <v>26</v>
      </c>
      <c r="H384" s="28">
        <v>31156</v>
      </c>
      <c r="I384" s="27" t="s">
        <v>27</v>
      </c>
      <c r="J384" s="27" t="s">
        <v>28</v>
      </c>
      <c r="K384" s="27" t="s">
        <v>39</v>
      </c>
      <c r="L384" s="27" t="s">
        <v>59</v>
      </c>
      <c r="M384" s="27">
        <v>19</v>
      </c>
      <c r="N384" s="27">
        <v>1200</v>
      </c>
      <c r="O384" s="27">
        <v>5</v>
      </c>
      <c r="P384" s="27">
        <v>21660</v>
      </c>
      <c r="Q384" s="27">
        <v>3</v>
      </c>
      <c r="R384" s="27" t="s">
        <v>60</v>
      </c>
      <c r="S384" s="27" t="s">
        <v>32</v>
      </c>
      <c r="T384" s="27" t="s">
        <v>93</v>
      </c>
      <c r="U384" s="27">
        <v>9910804926</v>
      </c>
      <c r="V384" s="27" t="s">
        <v>52</v>
      </c>
    </row>
    <row r="385" spans="1:22" ht="15" thickBot="1" x14ac:dyDescent="0.4">
      <c r="A385" s="30" t="s">
        <v>496</v>
      </c>
      <c r="B385" s="30" t="s">
        <v>45</v>
      </c>
      <c r="C385" s="30" t="s">
        <v>125</v>
      </c>
      <c r="D385" s="31">
        <v>45691</v>
      </c>
      <c r="E385" s="31">
        <v>45701</v>
      </c>
      <c r="F385" s="30" t="s">
        <v>101</v>
      </c>
      <c r="G385" s="30" t="s">
        <v>26</v>
      </c>
      <c r="H385" s="31">
        <v>37846</v>
      </c>
      <c r="I385" s="30" t="s">
        <v>27</v>
      </c>
      <c r="J385" s="30" t="s">
        <v>28</v>
      </c>
      <c r="K385" s="30" t="s">
        <v>83</v>
      </c>
      <c r="L385" s="30" t="s">
        <v>127</v>
      </c>
      <c r="M385" s="30">
        <v>5</v>
      </c>
      <c r="N385" s="30">
        <v>20</v>
      </c>
      <c r="O385" s="30">
        <v>0</v>
      </c>
      <c r="P385" s="30">
        <v>100</v>
      </c>
      <c r="Q385" s="30">
        <v>2</v>
      </c>
      <c r="R385" s="30" t="s">
        <v>65</v>
      </c>
      <c r="S385" s="30" t="s">
        <v>42</v>
      </c>
      <c r="T385" s="30" t="s">
        <v>51</v>
      </c>
      <c r="U385" s="30">
        <v>9274269744</v>
      </c>
      <c r="V385" s="30" t="s">
        <v>52</v>
      </c>
    </row>
    <row r="386" spans="1:22" ht="15" thickBot="1" x14ac:dyDescent="0.4">
      <c r="A386" s="27" t="s">
        <v>497</v>
      </c>
      <c r="B386" s="27" t="s">
        <v>72</v>
      </c>
      <c r="C386" s="27" t="s">
        <v>138</v>
      </c>
      <c r="D386" s="28">
        <v>46088</v>
      </c>
      <c r="E386" s="28">
        <v>46097</v>
      </c>
      <c r="F386" s="27" t="s">
        <v>73</v>
      </c>
      <c r="G386" s="27" t="s">
        <v>26</v>
      </c>
      <c r="H386" s="28">
        <v>30570</v>
      </c>
      <c r="I386" s="27" t="s">
        <v>121</v>
      </c>
      <c r="J386" s="27" t="s">
        <v>38</v>
      </c>
      <c r="K386" s="27" t="s">
        <v>83</v>
      </c>
      <c r="L386" s="27" t="s">
        <v>139</v>
      </c>
      <c r="M386" s="27">
        <v>16</v>
      </c>
      <c r="N386" s="27">
        <v>45</v>
      </c>
      <c r="O386" s="27">
        <v>15</v>
      </c>
      <c r="P386" s="27">
        <v>612</v>
      </c>
      <c r="Q386" s="27">
        <v>5</v>
      </c>
      <c r="R386" s="27" t="s">
        <v>31</v>
      </c>
      <c r="S386" s="27" t="s">
        <v>50</v>
      </c>
      <c r="T386" s="27" t="s">
        <v>93</v>
      </c>
      <c r="U386" s="27">
        <v>9223196101</v>
      </c>
      <c r="V386" s="27" t="s">
        <v>53</v>
      </c>
    </row>
    <row r="387" spans="1:22" ht="15" thickBot="1" x14ac:dyDescent="0.4">
      <c r="A387" s="30" t="s">
        <v>498</v>
      </c>
      <c r="B387" s="30" t="s">
        <v>23</v>
      </c>
      <c r="C387" s="30" t="s">
        <v>24</v>
      </c>
      <c r="D387" s="31">
        <v>45780</v>
      </c>
      <c r="E387" s="31">
        <v>45792</v>
      </c>
      <c r="F387" s="30" t="s">
        <v>25</v>
      </c>
      <c r="G387" s="30" t="s">
        <v>26</v>
      </c>
      <c r="H387" s="31">
        <v>27922</v>
      </c>
      <c r="I387" s="30" t="s">
        <v>121</v>
      </c>
      <c r="J387" s="30" t="s">
        <v>38</v>
      </c>
      <c r="K387" s="30" t="s">
        <v>29</v>
      </c>
      <c r="L387" s="30" t="s">
        <v>30</v>
      </c>
      <c r="M387" s="30">
        <v>1</v>
      </c>
      <c r="N387" s="30">
        <v>2200</v>
      </c>
      <c r="O387" s="30">
        <v>10</v>
      </c>
      <c r="P387" s="30">
        <v>1980</v>
      </c>
      <c r="Q387" s="30">
        <v>5</v>
      </c>
      <c r="R387" s="30" t="s">
        <v>60</v>
      </c>
      <c r="S387" s="30" t="s">
        <v>42</v>
      </c>
      <c r="T387" s="30" t="s">
        <v>43</v>
      </c>
      <c r="U387" s="30">
        <v>9888477457</v>
      </c>
      <c r="V387" s="22" t="s">
        <v>34</v>
      </c>
    </row>
    <row r="388" spans="1:22" ht="15" thickBot="1" x14ac:dyDescent="0.4">
      <c r="A388" s="27" t="s">
        <v>499</v>
      </c>
      <c r="B388" s="27" t="s">
        <v>45</v>
      </c>
      <c r="C388" s="27" t="s">
        <v>82</v>
      </c>
      <c r="D388" s="28">
        <v>46113</v>
      </c>
      <c r="E388" s="28">
        <v>46117</v>
      </c>
      <c r="F388" s="27" t="s">
        <v>101</v>
      </c>
      <c r="G388" s="27" t="s">
        <v>26</v>
      </c>
      <c r="H388" s="28">
        <v>31781</v>
      </c>
      <c r="I388" s="27" t="s">
        <v>27</v>
      </c>
      <c r="J388" s="27" t="s">
        <v>28</v>
      </c>
      <c r="K388" s="27" t="s">
        <v>83</v>
      </c>
      <c r="L388" s="27" t="s">
        <v>84</v>
      </c>
      <c r="M388" s="27">
        <v>19</v>
      </c>
      <c r="N388" s="27">
        <v>60</v>
      </c>
      <c r="O388" s="27">
        <v>15</v>
      </c>
      <c r="P388" s="27">
        <v>969</v>
      </c>
      <c r="Q388" s="27">
        <v>4</v>
      </c>
      <c r="R388" s="27" t="s">
        <v>41</v>
      </c>
      <c r="S388" s="27" t="s">
        <v>80</v>
      </c>
      <c r="T388" s="27" t="s">
        <v>51</v>
      </c>
      <c r="U388" s="27">
        <v>9435947486</v>
      </c>
      <c r="V388" s="27" t="s">
        <v>53</v>
      </c>
    </row>
    <row r="389" spans="1:22" ht="29.5" thickBot="1" x14ac:dyDescent="0.4">
      <c r="A389" s="30" t="s">
        <v>500</v>
      </c>
      <c r="B389" s="30" t="s">
        <v>156</v>
      </c>
      <c r="C389" s="30" t="s">
        <v>46</v>
      </c>
      <c r="D389" s="30"/>
      <c r="E389" s="31">
        <v>45690</v>
      </c>
      <c r="F389" s="30" t="s">
        <v>106</v>
      </c>
      <c r="G389" s="30" t="s">
        <v>58</v>
      </c>
      <c r="H389" s="31">
        <v>33738</v>
      </c>
      <c r="I389" s="30" t="s">
        <v>37</v>
      </c>
      <c r="J389" s="30" t="s">
        <v>38</v>
      </c>
      <c r="K389" s="30" t="s">
        <v>39</v>
      </c>
      <c r="L389" s="30" t="s">
        <v>49</v>
      </c>
      <c r="M389" s="30">
        <v>15</v>
      </c>
      <c r="N389" s="30">
        <v>55000</v>
      </c>
      <c r="O389" s="30">
        <v>0</v>
      </c>
      <c r="P389" s="30">
        <v>825000</v>
      </c>
      <c r="Q389" s="30">
        <v>5</v>
      </c>
      <c r="R389" s="30" t="s">
        <v>60</v>
      </c>
      <c r="S389" s="30" t="s">
        <v>80</v>
      </c>
      <c r="T389" s="30" t="s">
        <v>158</v>
      </c>
      <c r="U389" s="30">
        <v>9411668831</v>
      </c>
      <c r="V389" s="30" t="s">
        <v>53</v>
      </c>
    </row>
    <row r="390" spans="1:22" ht="15" thickBot="1" x14ac:dyDescent="0.4">
      <c r="A390" s="27" t="s">
        <v>501</v>
      </c>
      <c r="B390" s="27" t="s">
        <v>55</v>
      </c>
      <c r="C390" s="27" t="s">
        <v>138</v>
      </c>
      <c r="D390" s="28">
        <v>45936</v>
      </c>
      <c r="E390" s="28">
        <v>45938</v>
      </c>
      <c r="F390" s="27" t="s">
        <v>57</v>
      </c>
      <c r="G390" s="27" t="s">
        <v>58</v>
      </c>
      <c r="H390" s="28">
        <v>32631</v>
      </c>
      <c r="I390" s="27" t="s">
        <v>48</v>
      </c>
      <c r="J390" s="27" t="s">
        <v>28</v>
      </c>
      <c r="K390" s="27" t="s">
        <v>83</v>
      </c>
      <c r="L390" s="27" t="s">
        <v>139</v>
      </c>
      <c r="M390" s="27">
        <v>11</v>
      </c>
      <c r="N390" s="27">
        <v>45</v>
      </c>
      <c r="O390" s="27">
        <v>5</v>
      </c>
      <c r="P390" s="27">
        <v>470.25</v>
      </c>
      <c r="Q390" s="27">
        <v>5</v>
      </c>
      <c r="R390" s="27" t="s">
        <v>41</v>
      </c>
      <c r="S390" s="27" t="s">
        <v>96</v>
      </c>
      <c r="T390" s="27" t="s">
        <v>61</v>
      </c>
      <c r="U390" s="27">
        <v>9523682403</v>
      </c>
      <c r="V390" s="21" t="s">
        <v>34</v>
      </c>
    </row>
    <row r="391" spans="1:22" ht="15" thickBot="1" x14ac:dyDescent="0.4">
      <c r="A391" s="30" t="s">
        <v>502</v>
      </c>
      <c r="B391" s="30" t="s">
        <v>134</v>
      </c>
      <c r="C391" s="30" t="s">
        <v>125</v>
      </c>
      <c r="D391" s="31">
        <v>45820</v>
      </c>
      <c r="E391" s="31">
        <v>45825</v>
      </c>
      <c r="F391" s="30" t="s">
        <v>135</v>
      </c>
      <c r="G391" s="30" t="s">
        <v>26</v>
      </c>
      <c r="H391" s="31">
        <v>33226</v>
      </c>
      <c r="I391" s="30" t="s">
        <v>121</v>
      </c>
      <c r="J391" s="30" t="s">
        <v>38</v>
      </c>
      <c r="K391" s="30" t="s">
        <v>83</v>
      </c>
      <c r="L391" s="30" t="s">
        <v>127</v>
      </c>
      <c r="M391" s="30">
        <v>9</v>
      </c>
      <c r="N391" s="30">
        <v>20</v>
      </c>
      <c r="O391" s="30">
        <v>10</v>
      </c>
      <c r="P391" s="30">
        <v>162</v>
      </c>
      <c r="Q391" s="30">
        <v>1</v>
      </c>
      <c r="R391" s="30" t="s">
        <v>60</v>
      </c>
      <c r="S391" s="30" t="s">
        <v>42</v>
      </c>
      <c r="T391" s="30" t="s">
        <v>136</v>
      </c>
      <c r="U391" s="30">
        <v>9652936744</v>
      </c>
      <c r="V391" s="30" t="s">
        <v>53</v>
      </c>
    </row>
    <row r="392" spans="1:22" ht="15" thickBot="1" x14ac:dyDescent="0.4">
      <c r="A392" s="27" t="s">
        <v>503</v>
      </c>
      <c r="B392" s="27" t="s">
        <v>104</v>
      </c>
      <c r="C392" s="27" t="s">
        <v>138</v>
      </c>
      <c r="D392" s="28">
        <v>45979</v>
      </c>
      <c r="E392" s="28">
        <v>45981</v>
      </c>
      <c r="F392" s="27" t="s">
        <v>166</v>
      </c>
      <c r="G392" s="27" t="s">
        <v>26</v>
      </c>
      <c r="H392" s="28">
        <v>34889</v>
      </c>
      <c r="I392" s="27" t="s">
        <v>48</v>
      </c>
      <c r="J392" s="27" t="s">
        <v>28</v>
      </c>
      <c r="K392" s="27" t="s">
        <v>83</v>
      </c>
      <c r="L392" s="27" t="s">
        <v>139</v>
      </c>
      <c r="M392" s="27">
        <v>5</v>
      </c>
      <c r="N392" s="27">
        <v>45</v>
      </c>
      <c r="O392" s="27">
        <v>5</v>
      </c>
      <c r="P392" s="27">
        <v>213.75</v>
      </c>
      <c r="Q392" s="27">
        <v>3</v>
      </c>
      <c r="R392" s="27" t="s">
        <v>60</v>
      </c>
      <c r="S392" s="27" t="s">
        <v>80</v>
      </c>
      <c r="T392" s="27" t="s">
        <v>108</v>
      </c>
      <c r="U392" s="27">
        <v>9726464733</v>
      </c>
      <c r="V392" s="27" t="s">
        <v>52</v>
      </c>
    </row>
    <row r="393" spans="1:22" ht="15" thickBot="1" x14ac:dyDescent="0.4">
      <c r="A393" s="30" t="s">
        <v>504</v>
      </c>
      <c r="B393" s="30" t="s">
        <v>63</v>
      </c>
      <c r="C393" s="30" t="s">
        <v>112</v>
      </c>
      <c r="D393" s="31">
        <v>45962</v>
      </c>
      <c r="E393" s="31">
        <v>45963</v>
      </c>
      <c r="F393" s="30" t="s">
        <v>110</v>
      </c>
      <c r="G393" s="30" t="s">
        <v>58</v>
      </c>
      <c r="H393" s="31">
        <v>36152</v>
      </c>
      <c r="I393" s="30" t="s">
        <v>27</v>
      </c>
      <c r="J393" s="30" t="s">
        <v>28</v>
      </c>
      <c r="K393" s="30" t="s">
        <v>39</v>
      </c>
      <c r="L393" s="30" t="s">
        <v>114</v>
      </c>
      <c r="M393" s="30">
        <v>5</v>
      </c>
      <c r="N393" s="30">
        <v>700</v>
      </c>
      <c r="O393" s="30">
        <v>10</v>
      </c>
      <c r="P393" s="30">
        <v>3150</v>
      </c>
      <c r="Q393" s="30">
        <v>2</v>
      </c>
      <c r="R393" s="30" t="s">
        <v>65</v>
      </c>
      <c r="S393" s="30" t="s">
        <v>42</v>
      </c>
      <c r="T393" s="30" t="s">
        <v>66</v>
      </c>
      <c r="U393" s="30">
        <v>9273520544</v>
      </c>
      <c r="V393" s="22" t="s">
        <v>34</v>
      </c>
    </row>
    <row r="394" spans="1:22" ht="15" thickBot="1" x14ac:dyDescent="0.4">
      <c r="A394" s="27" t="s">
        <v>505</v>
      </c>
      <c r="B394" s="27" t="s">
        <v>124</v>
      </c>
      <c r="C394" s="27" t="s">
        <v>112</v>
      </c>
      <c r="D394" s="28">
        <v>45681</v>
      </c>
      <c r="E394" s="28">
        <v>45688</v>
      </c>
      <c r="F394" s="27" t="s">
        <v>126</v>
      </c>
      <c r="G394" s="27" t="s">
        <v>58</v>
      </c>
      <c r="H394" s="28">
        <v>29212</v>
      </c>
      <c r="I394" s="27" t="s">
        <v>147</v>
      </c>
      <c r="J394" s="27" t="s">
        <v>148</v>
      </c>
      <c r="K394" s="27" t="s">
        <v>39</v>
      </c>
      <c r="L394" s="27" t="s">
        <v>114</v>
      </c>
      <c r="M394" s="27">
        <v>1</v>
      </c>
      <c r="N394" s="27">
        <v>700</v>
      </c>
      <c r="O394" s="27">
        <v>0</v>
      </c>
      <c r="P394" s="27">
        <v>700</v>
      </c>
      <c r="Q394" s="27">
        <v>1</v>
      </c>
      <c r="R394" s="27" t="s">
        <v>65</v>
      </c>
      <c r="S394" s="27" t="s">
        <v>96</v>
      </c>
      <c r="T394" s="27" t="s">
        <v>128</v>
      </c>
      <c r="U394" s="27">
        <v>9374259988</v>
      </c>
      <c r="V394" s="21" t="s">
        <v>34</v>
      </c>
    </row>
    <row r="395" spans="1:22" ht="15" thickBot="1" x14ac:dyDescent="0.4">
      <c r="A395" s="30" t="s">
        <v>506</v>
      </c>
      <c r="B395" s="30" t="s">
        <v>23</v>
      </c>
      <c r="C395" s="30" t="s">
        <v>112</v>
      </c>
      <c r="D395" s="31">
        <v>46066</v>
      </c>
      <c r="E395" s="31">
        <v>46074</v>
      </c>
      <c r="F395" s="30" t="s">
        <v>25</v>
      </c>
      <c r="G395" s="30" t="s">
        <v>26</v>
      </c>
      <c r="H395" s="31">
        <v>27743</v>
      </c>
      <c r="I395" s="30" t="s">
        <v>74</v>
      </c>
      <c r="J395" s="30" t="s">
        <v>75</v>
      </c>
      <c r="K395" s="30" t="s">
        <v>39</v>
      </c>
      <c r="L395" s="30" t="s">
        <v>114</v>
      </c>
      <c r="M395" s="30">
        <v>13</v>
      </c>
      <c r="N395" s="30">
        <v>700</v>
      </c>
      <c r="O395" s="30">
        <v>20</v>
      </c>
      <c r="P395" s="30">
        <v>7280</v>
      </c>
      <c r="Q395" s="30">
        <v>2</v>
      </c>
      <c r="R395" s="30" t="s">
        <v>60</v>
      </c>
      <c r="S395" s="30" t="s">
        <v>32</v>
      </c>
      <c r="T395" s="30" t="s">
        <v>43</v>
      </c>
      <c r="U395" s="30">
        <v>9538129419</v>
      </c>
      <c r="V395" s="22" t="s">
        <v>34</v>
      </c>
    </row>
    <row r="396" spans="1:22" ht="15" thickBot="1" x14ac:dyDescent="0.4">
      <c r="A396" s="27" t="s">
        <v>507</v>
      </c>
      <c r="B396" s="27" t="s">
        <v>55</v>
      </c>
      <c r="C396" s="27" t="s">
        <v>36</v>
      </c>
      <c r="D396" s="28">
        <v>45696</v>
      </c>
      <c r="E396" s="28">
        <v>45707</v>
      </c>
      <c r="F396" s="27" t="s">
        <v>57</v>
      </c>
      <c r="G396" s="27" t="s">
        <v>58</v>
      </c>
      <c r="H396" s="28">
        <v>34106</v>
      </c>
      <c r="I396" s="27" t="s">
        <v>79</v>
      </c>
      <c r="J396" s="27" t="s">
        <v>75</v>
      </c>
      <c r="K396" s="27" t="s">
        <v>39</v>
      </c>
      <c r="L396" s="27" t="s">
        <v>40</v>
      </c>
      <c r="M396" s="27">
        <v>20</v>
      </c>
      <c r="N396" s="27">
        <v>12000</v>
      </c>
      <c r="O396" s="27">
        <v>0</v>
      </c>
      <c r="P396" s="27">
        <v>240000</v>
      </c>
      <c r="Q396" s="27">
        <v>2</v>
      </c>
      <c r="R396" s="27" t="s">
        <v>60</v>
      </c>
      <c r="S396" s="27" t="s">
        <v>80</v>
      </c>
      <c r="T396" s="27" t="s">
        <v>61</v>
      </c>
      <c r="U396" s="27">
        <v>9382815686</v>
      </c>
      <c r="V396" s="21" t="s">
        <v>34</v>
      </c>
    </row>
    <row r="397" spans="1:22" ht="15" thickBot="1" x14ac:dyDescent="0.4">
      <c r="A397" s="30" t="s">
        <v>508</v>
      </c>
      <c r="B397" s="30" t="s">
        <v>63</v>
      </c>
      <c r="C397" s="30" t="s">
        <v>56</v>
      </c>
      <c r="D397" s="31">
        <v>46019</v>
      </c>
      <c r="E397" s="31">
        <v>46028</v>
      </c>
      <c r="F397" s="30" t="s">
        <v>110</v>
      </c>
      <c r="G397" s="30" t="s">
        <v>58</v>
      </c>
      <c r="H397" s="31">
        <v>28020</v>
      </c>
      <c r="I397" s="30" t="s">
        <v>147</v>
      </c>
      <c r="J397" s="30" t="s">
        <v>148</v>
      </c>
      <c r="K397" s="30" t="s">
        <v>39</v>
      </c>
      <c r="L397" s="30" t="s">
        <v>59</v>
      </c>
      <c r="M397" s="30">
        <v>9</v>
      </c>
      <c r="N397" s="30">
        <v>1200</v>
      </c>
      <c r="O397" s="30">
        <v>15</v>
      </c>
      <c r="P397" s="30">
        <v>9180</v>
      </c>
      <c r="Q397" s="30">
        <v>1</v>
      </c>
      <c r="R397" s="30" t="s">
        <v>65</v>
      </c>
      <c r="S397" s="30" t="s">
        <v>32</v>
      </c>
      <c r="T397" s="30" t="s">
        <v>66</v>
      </c>
      <c r="U397" s="30">
        <v>9450746157</v>
      </c>
      <c r="V397" s="30" t="s">
        <v>52</v>
      </c>
    </row>
    <row r="398" spans="1:22" ht="15" thickBot="1" x14ac:dyDescent="0.4">
      <c r="A398" s="27" t="s">
        <v>509</v>
      </c>
      <c r="B398" s="27" t="s">
        <v>63</v>
      </c>
      <c r="C398" s="27" t="s">
        <v>125</v>
      </c>
      <c r="D398" s="28">
        <v>45931</v>
      </c>
      <c r="E398" s="28">
        <v>45933</v>
      </c>
      <c r="F398" s="27" t="s">
        <v>110</v>
      </c>
      <c r="G398" s="27" t="s">
        <v>58</v>
      </c>
      <c r="H398" s="28">
        <v>35421</v>
      </c>
      <c r="I398" s="27" t="s">
        <v>121</v>
      </c>
      <c r="J398" s="27" t="s">
        <v>38</v>
      </c>
      <c r="K398" s="27" t="s">
        <v>83</v>
      </c>
      <c r="L398" s="27" t="s">
        <v>127</v>
      </c>
      <c r="M398" s="27">
        <v>3</v>
      </c>
      <c r="N398" s="27">
        <v>20</v>
      </c>
      <c r="O398" s="27">
        <v>15</v>
      </c>
      <c r="P398" s="27">
        <v>51</v>
      </c>
      <c r="Q398" s="27">
        <v>3</v>
      </c>
      <c r="R398" s="27" t="s">
        <v>31</v>
      </c>
      <c r="S398" s="27" t="s">
        <v>80</v>
      </c>
      <c r="T398" s="27" t="s">
        <v>66</v>
      </c>
      <c r="U398" s="27">
        <v>9349012570</v>
      </c>
      <c r="V398" s="27" t="s">
        <v>52</v>
      </c>
    </row>
    <row r="399" spans="1:22" ht="15" thickBot="1" x14ac:dyDescent="0.4">
      <c r="A399" s="30" t="s">
        <v>510</v>
      </c>
      <c r="B399" s="30" t="s">
        <v>134</v>
      </c>
      <c r="C399" s="30" t="s">
        <v>46</v>
      </c>
      <c r="D399" s="31">
        <v>46009</v>
      </c>
      <c r="E399" s="31">
        <v>46010</v>
      </c>
      <c r="F399" s="30" t="s">
        <v>135</v>
      </c>
      <c r="G399" s="30" t="s">
        <v>26</v>
      </c>
      <c r="H399" s="31">
        <v>35058</v>
      </c>
      <c r="I399" s="30" t="s">
        <v>37</v>
      </c>
      <c r="J399" s="30" t="s">
        <v>38</v>
      </c>
      <c r="K399" s="30" t="s">
        <v>39</v>
      </c>
      <c r="L399" s="30" t="s">
        <v>49</v>
      </c>
      <c r="M399" s="30">
        <v>8</v>
      </c>
      <c r="N399" s="30">
        <v>55000</v>
      </c>
      <c r="O399" s="30">
        <v>20</v>
      </c>
      <c r="P399" s="30">
        <v>352000</v>
      </c>
      <c r="Q399" s="30">
        <v>5</v>
      </c>
      <c r="R399" s="30" t="s">
        <v>60</v>
      </c>
      <c r="S399" s="30" t="s">
        <v>96</v>
      </c>
      <c r="T399" s="30" t="s">
        <v>136</v>
      </c>
      <c r="U399" s="30">
        <v>9442163790</v>
      </c>
      <c r="V399" s="30" t="s">
        <v>52</v>
      </c>
    </row>
    <row r="400" spans="1:22" ht="15" thickBot="1" x14ac:dyDescent="0.4">
      <c r="A400" s="27" t="s">
        <v>511</v>
      </c>
      <c r="B400" s="27" t="s">
        <v>134</v>
      </c>
      <c r="C400" s="27" t="s">
        <v>82</v>
      </c>
      <c r="D400" s="28">
        <v>45929</v>
      </c>
      <c r="E400" s="28">
        <v>45937</v>
      </c>
      <c r="F400" s="27" t="s">
        <v>135</v>
      </c>
      <c r="G400" s="27" t="s">
        <v>26</v>
      </c>
      <c r="H400" s="28">
        <v>31221</v>
      </c>
      <c r="I400" s="27" t="s">
        <v>37</v>
      </c>
      <c r="J400" s="27" t="s">
        <v>38</v>
      </c>
      <c r="K400" s="27" t="s">
        <v>83</v>
      </c>
      <c r="L400" s="27" t="s">
        <v>84</v>
      </c>
      <c r="M400" s="27">
        <v>17</v>
      </c>
      <c r="N400" s="27">
        <v>60</v>
      </c>
      <c r="O400" s="27">
        <v>20</v>
      </c>
      <c r="P400" s="27">
        <v>816</v>
      </c>
      <c r="Q400" s="27">
        <v>1</v>
      </c>
      <c r="R400" s="27" t="s">
        <v>65</v>
      </c>
      <c r="S400" s="27" t="s">
        <v>32</v>
      </c>
      <c r="T400" s="27" t="s">
        <v>136</v>
      </c>
      <c r="U400" s="27">
        <v>9953329223</v>
      </c>
      <c r="V400" s="27" t="s">
        <v>52</v>
      </c>
    </row>
    <row r="401" spans="1:22" ht="15" thickBot="1" x14ac:dyDescent="0.4">
      <c r="A401" s="30" t="s">
        <v>512</v>
      </c>
      <c r="B401" s="30" t="s">
        <v>87</v>
      </c>
      <c r="C401" s="30" t="s">
        <v>125</v>
      </c>
      <c r="D401" s="31">
        <v>45791</v>
      </c>
      <c r="E401" s="31">
        <v>45799</v>
      </c>
      <c r="F401" s="30" t="s">
        <v>88</v>
      </c>
      <c r="G401" s="30" t="s">
        <v>58</v>
      </c>
      <c r="H401" s="31">
        <v>30722</v>
      </c>
      <c r="I401" s="30" t="s">
        <v>48</v>
      </c>
      <c r="J401" s="30" t="s">
        <v>28</v>
      </c>
      <c r="K401" s="30" t="s">
        <v>83</v>
      </c>
      <c r="L401" s="30" t="s">
        <v>127</v>
      </c>
      <c r="M401" s="30">
        <v>4</v>
      </c>
      <c r="N401" s="30">
        <v>20</v>
      </c>
      <c r="O401" s="30">
        <v>15</v>
      </c>
      <c r="P401" s="30">
        <v>68</v>
      </c>
      <c r="Q401" s="30">
        <v>3</v>
      </c>
      <c r="R401" s="30" t="s">
        <v>41</v>
      </c>
      <c r="S401" s="30" t="s">
        <v>50</v>
      </c>
      <c r="T401" s="30" t="s">
        <v>89</v>
      </c>
      <c r="U401" s="30">
        <v>9202321359</v>
      </c>
      <c r="V401" s="30" t="s">
        <v>52</v>
      </c>
    </row>
    <row r="402" spans="1:22" ht="15" thickBot="1" x14ac:dyDescent="0.4">
      <c r="A402" s="27" t="s">
        <v>513</v>
      </c>
      <c r="B402" s="27" t="s">
        <v>87</v>
      </c>
      <c r="C402" s="27" t="s">
        <v>24</v>
      </c>
      <c r="D402" s="28">
        <v>45748</v>
      </c>
      <c r="E402" s="28">
        <v>45758</v>
      </c>
      <c r="F402" s="27" t="s">
        <v>88</v>
      </c>
      <c r="G402" s="27" t="s">
        <v>58</v>
      </c>
      <c r="H402" s="28">
        <v>37348</v>
      </c>
      <c r="I402" s="27" t="s">
        <v>147</v>
      </c>
      <c r="J402" s="27" t="s">
        <v>148</v>
      </c>
      <c r="K402" s="27" t="s">
        <v>29</v>
      </c>
      <c r="L402" s="27" t="s">
        <v>30</v>
      </c>
      <c r="M402" s="27">
        <v>2</v>
      </c>
      <c r="N402" s="27">
        <v>2200</v>
      </c>
      <c r="O402" s="27">
        <v>10</v>
      </c>
      <c r="P402" s="27">
        <v>3960</v>
      </c>
      <c r="Q402" s="27">
        <v>2</v>
      </c>
      <c r="R402" s="27" t="s">
        <v>65</v>
      </c>
      <c r="S402" s="27" t="s">
        <v>42</v>
      </c>
      <c r="T402" s="27" t="s">
        <v>89</v>
      </c>
      <c r="U402" s="27">
        <v>9812564160</v>
      </c>
      <c r="V402" s="27" t="s">
        <v>52</v>
      </c>
    </row>
    <row r="403" spans="1:22" ht="15" thickBot="1" x14ac:dyDescent="0.4">
      <c r="A403" s="30" t="s">
        <v>514</v>
      </c>
      <c r="B403" s="30" t="s">
        <v>124</v>
      </c>
      <c r="C403" s="30" t="s">
        <v>82</v>
      </c>
      <c r="D403" s="31">
        <v>45754</v>
      </c>
      <c r="E403" s="31">
        <v>45765</v>
      </c>
      <c r="F403" s="30" t="s">
        <v>126</v>
      </c>
      <c r="G403" s="30" t="s">
        <v>58</v>
      </c>
      <c r="H403" s="31">
        <v>37819</v>
      </c>
      <c r="I403" s="30" t="s">
        <v>48</v>
      </c>
      <c r="J403" s="30" t="s">
        <v>28</v>
      </c>
      <c r="K403" s="30" t="s">
        <v>83</v>
      </c>
      <c r="L403" s="30" t="s">
        <v>84</v>
      </c>
      <c r="M403" s="30">
        <v>5</v>
      </c>
      <c r="N403" s="30">
        <v>60</v>
      </c>
      <c r="O403" s="30">
        <v>5</v>
      </c>
      <c r="P403" s="30">
        <v>285</v>
      </c>
      <c r="Q403" s="30">
        <v>1</v>
      </c>
      <c r="R403" s="30" t="s">
        <v>65</v>
      </c>
      <c r="S403" s="30" t="s">
        <v>32</v>
      </c>
      <c r="T403" s="30" t="s">
        <v>128</v>
      </c>
      <c r="U403" s="30">
        <v>9688458222</v>
      </c>
      <c r="V403" s="30" t="s">
        <v>53</v>
      </c>
    </row>
    <row r="404" spans="1:22" ht="15" thickBot="1" x14ac:dyDescent="0.4">
      <c r="A404" s="27" t="s">
        <v>515</v>
      </c>
      <c r="B404" s="27" t="s">
        <v>87</v>
      </c>
      <c r="C404" s="27" t="s">
        <v>24</v>
      </c>
      <c r="D404" s="28">
        <v>46072</v>
      </c>
      <c r="E404" s="28">
        <v>46076</v>
      </c>
      <c r="F404" s="27" t="s">
        <v>88</v>
      </c>
      <c r="G404" s="27" t="s">
        <v>58</v>
      </c>
      <c r="H404" s="28">
        <v>33517</v>
      </c>
      <c r="I404" s="27" t="s">
        <v>37</v>
      </c>
      <c r="J404" s="27" t="s">
        <v>38</v>
      </c>
      <c r="K404" s="27" t="s">
        <v>29</v>
      </c>
      <c r="L404" s="27" t="s">
        <v>30</v>
      </c>
      <c r="M404" s="27">
        <v>17</v>
      </c>
      <c r="N404" s="27">
        <v>2200</v>
      </c>
      <c r="O404" s="27">
        <v>0</v>
      </c>
      <c r="P404" s="27">
        <v>37400</v>
      </c>
      <c r="Q404" s="27">
        <v>2</v>
      </c>
      <c r="R404" s="27" t="s">
        <v>65</v>
      </c>
      <c r="S404" s="27" t="s">
        <v>96</v>
      </c>
      <c r="T404" s="27" t="s">
        <v>89</v>
      </c>
      <c r="U404" s="27">
        <v>9634473337</v>
      </c>
      <c r="V404" s="27" t="s">
        <v>53</v>
      </c>
    </row>
    <row r="405" spans="1:22" ht="15" thickBot="1" x14ac:dyDescent="0.4">
      <c r="A405" s="30" t="s">
        <v>516</v>
      </c>
      <c r="B405" s="30" t="s">
        <v>104</v>
      </c>
      <c r="C405" s="30" t="s">
        <v>82</v>
      </c>
      <c r="D405" s="31">
        <v>45995</v>
      </c>
      <c r="E405" s="31">
        <v>46002</v>
      </c>
      <c r="F405" s="30" t="s">
        <v>166</v>
      </c>
      <c r="G405" s="30" t="s">
        <v>26</v>
      </c>
      <c r="H405" s="31">
        <v>30686</v>
      </c>
      <c r="I405" s="30" t="s">
        <v>91</v>
      </c>
      <c r="J405" s="30" t="s">
        <v>75</v>
      </c>
      <c r="K405" s="30" t="s">
        <v>83</v>
      </c>
      <c r="L405" s="30" t="s">
        <v>84</v>
      </c>
      <c r="M405" s="30">
        <v>7</v>
      </c>
      <c r="N405" s="30">
        <v>60</v>
      </c>
      <c r="O405" s="30">
        <v>0</v>
      </c>
      <c r="P405" s="30">
        <v>420</v>
      </c>
      <c r="Q405" s="30">
        <v>2</v>
      </c>
      <c r="R405" s="30" t="s">
        <v>65</v>
      </c>
      <c r="S405" s="30" t="s">
        <v>50</v>
      </c>
      <c r="T405" s="30" t="s">
        <v>108</v>
      </c>
      <c r="U405" s="30">
        <v>9608737026</v>
      </c>
      <c r="V405" s="30" t="s">
        <v>52</v>
      </c>
    </row>
    <row r="406" spans="1:22" ht="15" thickBot="1" x14ac:dyDescent="0.4">
      <c r="A406" s="27" t="s">
        <v>517</v>
      </c>
      <c r="B406" s="27" t="s">
        <v>124</v>
      </c>
      <c r="C406" s="27" t="s">
        <v>46</v>
      </c>
      <c r="D406" s="28">
        <v>45950</v>
      </c>
      <c r="E406" s="28">
        <v>45954</v>
      </c>
      <c r="F406" s="27" t="s">
        <v>126</v>
      </c>
      <c r="G406" s="27" t="s">
        <v>58</v>
      </c>
      <c r="H406" s="28">
        <v>27465</v>
      </c>
      <c r="I406" s="27" t="s">
        <v>27</v>
      </c>
      <c r="J406" s="27" t="s">
        <v>28</v>
      </c>
      <c r="K406" s="27" t="s">
        <v>39</v>
      </c>
      <c r="L406" s="27" t="s">
        <v>49</v>
      </c>
      <c r="M406" s="27">
        <v>6</v>
      </c>
      <c r="N406" s="27">
        <v>55000</v>
      </c>
      <c r="O406" s="27">
        <v>5</v>
      </c>
      <c r="P406" s="27">
        <v>313500</v>
      </c>
      <c r="Q406" s="27">
        <v>4</v>
      </c>
      <c r="R406" s="27" t="s">
        <v>60</v>
      </c>
      <c r="S406" s="27" t="s">
        <v>50</v>
      </c>
      <c r="T406" s="27" t="s">
        <v>128</v>
      </c>
      <c r="U406" s="27">
        <v>9804498139</v>
      </c>
      <c r="V406" s="21" t="s">
        <v>34</v>
      </c>
    </row>
    <row r="407" spans="1:22" ht="15" thickBot="1" x14ac:dyDescent="0.4">
      <c r="A407" s="30" t="s">
        <v>518</v>
      </c>
      <c r="B407" s="30" t="s">
        <v>55</v>
      </c>
      <c r="C407" s="30" t="s">
        <v>125</v>
      </c>
      <c r="D407" s="31">
        <v>46043</v>
      </c>
      <c r="E407" s="31">
        <v>46047</v>
      </c>
      <c r="F407" s="30" t="s">
        <v>57</v>
      </c>
      <c r="G407" s="30" t="s">
        <v>58</v>
      </c>
      <c r="H407" s="31">
        <v>30390</v>
      </c>
      <c r="I407" s="30" t="s">
        <v>27</v>
      </c>
      <c r="J407" s="30" t="s">
        <v>28</v>
      </c>
      <c r="K407" s="30" t="s">
        <v>83</v>
      </c>
      <c r="L407" s="30" t="s">
        <v>127</v>
      </c>
      <c r="M407" s="30">
        <v>16</v>
      </c>
      <c r="N407" s="30">
        <v>20</v>
      </c>
      <c r="O407" s="30">
        <v>5</v>
      </c>
      <c r="P407" s="30">
        <v>304</v>
      </c>
      <c r="Q407" s="30">
        <v>1</v>
      </c>
      <c r="R407" s="30" t="s">
        <v>60</v>
      </c>
      <c r="S407" s="30" t="s">
        <v>42</v>
      </c>
      <c r="T407" s="30" t="s">
        <v>61</v>
      </c>
      <c r="U407" s="30">
        <v>9798643580</v>
      </c>
      <c r="V407" s="22" t="s">
        <v>34</v>
      </c>
    </row>
    <row r="408" spans="1:22" ht="15" thickBot="1" x14ac:dyDescent="0.4">
      <c r="A408" s="27" t="s">
        <v>519</v>
      </c>
      <c r="B408" s="27" t="s">
        <v>23</v>
      </c>
      <c r="C408" s="27" t="s">
        <v>24</v>
      </c>
      <c r="D408" s="28">
        <v>45682</v>
      </c>
      <c r="E408" s="28">
        <v>45685</v>
      </c>
      <c r="F408" s="27" t="s">
        <v>25</v>
      </c>
      <c r="G408" s="27" t="s">
        <v>26</v>
      </c>
      <c r="H408" s="28">
        <v>27870</v>
      </c>
      <c r="I408" s="27" t="s">
        <v>147</v>
      </c>
      <c r="J408" s="27" t="s">
        <v>148</v>
      </c>
      <c r="K408" s="27" t="s">
        <v>29</v>
      </c>
      <c r="L408" s="27" t="s">
        <v>30</v>
      </c>
      <c r="M408" s="27">
        <v>11</v>
      </c>
      <c r="N408" s="27">
        <v>2200</v>
      </c>
      <c r="O408" s="27">
        <v>15</v>
      </c>
      <c r="P408" s="27">
        <v>20570</v>
      </c>
      <c r="Q408" s="27">
        <v>1</v>
      </c>
      <c r="R408" s="27" t="s">
        <v>41</v>
      </c>
      <c r="S408" s="27" t="s">
        <v>80</v>
      </c>
      <c r="T408" s="27" t="s">
        <v>43</v>
      </c>
      <c r="U408" s="27">
        <v>9809823278</v>
      </c>
      <c r="V408" s="27" t="s">
        <v>53</v>
      </c>
    </row>
    <row r="409" spans="1:22" ht="15" thickBot="1" x14ac:dyDescent="0.4">
      <c r="A409" s="30" t="s">
        <v>520</v>
      </c>
      <c r="B409" s="30" t="s">
        <v>72</v>
      </c>
      <c r="C409" s="30" t="s">
        <v>125</v>
      </c>
      <c r="D409" s="31">
        <v>45716</v>
      </c>
      <c r="E409" s="31">
        <v>45718</v>
      </c>
      <c r="F409" s="30" t="s">
        <v>73</v>
      </c>
      <c r="G409" s="30" t="s">
        <v>26</v>
      </c>
      <c r="H409" s="31">
        <v>31454</v>
      </c>
      <c r="I409" s="30" t="s">
        <v>79</v>
      </c>
      <c r="J409" s="30" t="s">
        <v>75</v>
      </c>
      <c r="K409" s="30" t="s">
        <v>83</v>
      </c>
      <c r="L409" s="30" t="s">
        <v>127</v>
      </c>
      <c r="M409" s="30">
        <v>19</v>
      </c>
      <c r="N409" s="30">
        <v>20</v>
      </c>
      <c r="O409" s="30">
        <v>5</v>
      </c>
      <c r="P409" s="30">
        <v>361</v>
      </c>
      <c r="Q409" s="30">
        <v>4</v>
      </c>
      <c r="R409" s="30" t="s">
        <v>65</v>
      </c>
      <c r="S409" s="30" t="s">
        <v>32</v>
      </c>
      <c r="T409" s="30" t="s">
        <v>93</v>
      </c>
      <c r="U409" s="30">
        <v>9177767854</v>
      </c>
      <c r="V409" s="30" t="s">
        <v>52</v>
      </c>
    </row>
    <row r="410" spans="1:22" ht="15" thickBot="1" x14ac:dyDescent="0.4">
      <c r="A410" s="27" t="s">
        <v>521</v>
      </c>
      <c r="B410" s="27" t="s">
        <v>72</v>
      </c>
      <c r="C410" s="27" t="s">
        <v>56</v>
      </c>
      <c r="D410" s="28">
        <v>45828</v>
      </c>
      <c r="E410" s="28">
        <v>45829</v>
      </c>
      <c r="F410" s="27" t="s">
        <v>73</v>
      </c>
      <c r="G410" s="27" t="s">
        <v>26</v>
      </c>
      <c r="H410" s="28">
        <v>28570</v>
      </c>
      <c r="I410" s="27" t="s">
        <v>79</v>
      </c>
      <c r="J410" s="27" t="s">
        <v>75</v>
      </c>
      <c r="K410" s="27" t="s">
        <v>39</v>
      </c>
      <c r="L410" s="27" t="s">
        <v>59</v>
      </c>
      <c r="M410" s="27">
        <v>20</v>
      </c>
      <c r="N410" s="27">
        <v>1200</v>
      </c>
      <c r="O410" s="27">
        <v>15</v>
      </c>
      <c r="P410" s="27">
        <v>20400</v>
      </c>
      <c r="Q410" s="27">
        <v>4</v>
      </c>
      <c r="R410" s="27" t="s">
        <v>60</v>
      </c>
      <c r="S410" s="27" t="s">
        <v>32</v>
      </c>
      <c r="T410" s="27" t="s">
        <v>93</v>
      </c>
      <c r="U410" s="27">
        <v>9643440006</v>
      </c>
      <c r="V410" s="27" t="s">
        <v>52</v>
      </c>
    </row>
    <row r="411" spans="1:22" ht="15" thickBot="1" x14ac:dyDescent="0.4">
      <c r="A411" s="30" t="s">
        <v>522</v>
      </c>
      <c r="B411" s="30" t="s">
        <v>45</v>
      </c>
      <c r="C411" s="30" t="s">
        <v>125</v>
      </c>
      <c r="D411" s="31">
        <v>45805</v>
      </c>
      <c r="E411" s="31">
        <v>45814</v>
      </c>
      <c r="F411" s="30" t="s">
        <v>101</v>
      </c>
      <c r="G411" s="30" t="s">
        <v>26</v>
      </c>
      <c r="H411" s="31">
        <v>35258</v>
      </c>
      <c r="I411" s="30" t="s">
        <v>27</v>
      </c>
      <c r="J411" s="30" t="s">
        <v>28</v>
      </c>
      <c r="K411" s="30" t="s">
        <v>83</v>
      </c>
      <c r="L411" s="30" t="s">
        <v>127</v>
      </c>
      <c r="M411" s="30">
        <v>13</v>
      </c>
      <c r="N411" s="30">
        <v>20</v>
      </c>
      <c r="O411" s="30">
        <v>15</v>
      </c>
      <c r="P411" s="30">
        <v>221</v>
      </c>
      <c r="Q411" s="30">
        <v>4</v>
      </c>
      <c r="R411" s="30" t="s">
        <v>31</v>
      </c>
      <c r="S411" s="30" t="s">
        <v>32</v>
      </c>
      <c r="T411" s="30" t="s">
        <v>51</v>
      </c>
      <c r="U411" s="30">
        <v>9673698825</v>
      </c>
      <c r="V411" s="30" t="s">
        <v>52</v>
      </c>
    </row>
    <row r="412" spans="1:22" ht="15" thickBot="1" x14ac:dyDescent="0.4">
      <c r="A412" s="27" t="s">
        <v>523</v>
      </c>
      <c r="B412" s="27" t="s">
        <v>134</v>
      </c>
      <c r="C412" s="27" t="s">
        <v>56</v>
      </c>
      <c r="D412" s="28">
        <v>45660</v>
      </c>
      <c r="E412" s="28">
        <v>45665</v>
      </c>
      <c r="F412" s="27" t="s">
        <v>135</v>
      </c>
      <c r="G412" s="27" t="s">
        <v>26</v>
      </c>
      <c r="H412" s="28">
        <v>33940</v>
      </c>
      <c r="I412" s="27" t="s">
        <v>37</v>
      </c>
      <c r="J412" s="27" t="s">
        <v>38</v>
      </c>
      <c r="K412" s="27" t="s">
        <v>39</v>
      </c>
      <c r="L412" s="27" t="s">
        <v>59</v>
      </c>
      <c r="M412" s="27">
        <v>12</v>
      </c>
      <c r="N412" s="27">
        <v>1200</v>
      </c>
      <c r="O412" s="27">
        <v>10</v>
      </c>
      <c r="P412" s="27">
        <v>12960</v>
      </c>
      <c r="Q412" s="27">
        <v>3</v>
      </c>
      <c r="R412" s="27" t="s">
        <v>41</v>
      </c>
      <c r="S412" s="27" t="s">
        <v>32</v>
      </c>
      <c r="T412" s="27" t="s">
        <v>136</v>
      </c>
      <c r="U412" s="27">
        <v>9706238784</v>
      </c>
      <c r="V412" s="27" t="s">
        <v>52</v>
      </c>
    </row>
    <row r="413" spans="1:22" ht="15" thickBot="1" x14ac:dyDescent="0.4">
      <c r="A413" s="30" t="s">
        <v>524</v>
      </c>
      <c r="B413" s="30" t="s">
        <v>72</v>
      </c>
      <c r="C413" s="30" t="s">
        <v>105</v>
      </c>
      <c r="D413" s="31">
        <v>45685</v>
      </c>
      <c r="E413" s="31">
        <v>45686</v>
      </c>
      <c r="F413" s="30" t="s">
        <v>73</v>
      </c>
      <c r="G413" s="30" t="s">
        <v>26</v>
      </c>
      <c r="H413" s="31">
        <v>35147</v>
      </c>
      <c r="I413" s="30" t="s">
        <v>147</v>
      </c>
      <c r="J413" s="30" t="s">
        <v>148</v>
      </c>
      <c r="K413" s="30" t="s">
        <v>29</v>
      </c>
      <c r="L413" s="30" t="s">
        <v>107</v>
      </c>
      <c r="M413" s="30">
        <v>6</v>
      </c>
      <c r="N413" s="30">
        <v>8500</v>
      </c>
      <c r="O413" s="30">
        <v>5</v>
      </c>
      <c r="P413" s="30">
        <v>48450</v>
      </c>
      <c r="Q413" s="30">
        <v>5</v>
      </c>
      <c r="R413" s="30" t="s">
        <v>31</v>
      </c>
      <c r="S413" s="30" t="s">
        <v>80</v>
      </c>
      <c r="T413" s="30" t="s">
        <v>93</v>
      </c>
      <c r="U413" s="30">
        <v>9132959877</v>
      </c>
      <c r="V413" s="30" t="s">
        <v>53</v>
      </c>
    </row>
    <row r="414" spans="1:22" ht="15" thickBot="1" x14ac:dyDescent="0.4">
      <c r="A414" s="27" t="s">
        <v>525</v>
      </c>
      <c r="B414" s="27" t="s">
        <v>23</v>
      </c>
      <c r="C414" s="27" t="s">
        <v>105</v>
      </c>
      <c r="D414" s="28">
        <v>46071</v>
      </c>
      <c r="E414" s="28">
        <v>46079</v>
      </c>
      <c r="F414" s="27" t="s">
        <v>25</v>
      </c>
      <c r="G414" s="27" t="s">
        <v>26</v>
      </c>
      <c r="H414" s="28">
        <v>34508</v>
      </c>
      <c r="I414" s="27" t="s">
        <v>91</v>
      </c>
      <c r="J414" s="27" t="s">
        <v>75</v>
      </c>
      <c r="K414" s="27" t="s">
        <v>29</v>
      </c>
      <c r="L414" s="27" t="s">
        <v>107</v>
      </c>
      <c r="M414" s="27">
        <v>15</v>
      </c>
      <c r="N414" s="27">
        <v>8500</v>
      </c>
      <c r="O414" s="27">
        <v>10</v>
      </c>
      <c r="P414" s="27">
        <v>114750</v>
      </c>
      <c r="Q414" s="27">
        <v>1</v>
      </c>
      <c r="R414" s="27" t="s">
        <v>31</v>
      </c>
      <c r="S414" s="27" t="s">
        <v>80</v>
      </c>
      <c r="T414" s="27" t="s">
        <v>43</v>
      </c>
      <c r="U414" s="27">
        <v>9295011645</v>
      </c>
      <c r="V414" s="21" t="s">
        <v>34</v>
      </c>
    </row>
    <row r="415" spans="1:22" ht="15" thickBot="1" x14ac:dyDescent="0.4">
      <c r="A415" s="30" t="s">
        <v>526</v>
      </c>
      <c r="B415" s="30" t="s">
        <v>87</v>
      </c>
      <c r="C415" s="30" t="s">
        <v>36</v>
      </c>
      <c r="D415" s="31">
        <v>45872</v>
      </c>
      <c r="E415" s="31">
        <v>45884</v>
      </c>
      <c r="F415" s="30" t="s">
        <v>88</v>
      </c>
      <c r="G415" s="30" t="s">
        <v>58</v>
      </c>
      <c r="H415" s="31">
        <v>29253</v>
      </c>
      <c r="I415" s="30" t="s">
        <v>27</v>
      </c>
      <c r="J415" s="30" t="s">
        <v>28</v>
      </c>
      <c r="K415" s="30" t="s">
        <v>39</v>
      </c>
      <c r="L415" s="30" t="s">
        <v>40</v>
      </c>
      <c r="M415" s="30">
        <v>19</v>
      </c>
      <c r="N415" s="30">
        <v>12000</v>
      </c>
      <c r="O415" s="30">
        <v>20</v>
      </c>
      <c r="P415" s="30">
        <v>182400</v>
      </c>
      <c r="Q415" s="30">
        <v>5</v>
      </c>
      <c r="R415" s="30" t="s">
        <v>31</v>
      </c>
      <c r="S415" s="30" t="s">
        <v>80</v>
      </c>
      <c r="T415" s="30" t="s">
        <v>89</v>
      </c>
      <c r="U415" s="30">
        <v>9677606427</v>
      </c>
      <c r="V415" s="22" t="s">
        <v>34</v>
      </c>
    </row>
    <row r="416" spans="1:22" ht="15" thickBot="1" x14ac:dyDescent="0.4">
      <c r="A416" s="27" t="s">
        <v>527</v>
      </c>
      <c r="B416" s="27" t="s">
        <v>63</v>
      </c>
      <c r="C416" s="27" t="s">
        <v>112</v>
      </c>
      <c r="D416" s="28">
        <v>45672</v>
      </c>
      <c r="E416" s="28">
        <v>45675</v>
      </c>
      <c r="F416" s="27" t="s">
        <v>110</v>
      </c>
      <c r="G416" s="27" t="s">
        <v>58</v>
      </c>
      <c r="H416" s="28">
        <v>33109</v>
      </c>
      <c r="I416" s="27" t="s">
        <v>37</v>
      </c>
      <c r="J416" s="27" t="s">
        <v>38</v>
      </c>
      <c r="K416" s="27" t="s">
        <v>39</v>
      </c>
      <c r="L416" s="27" t="s">
        <v>114</v>
      </c>
      <c r="M416" s="27">
        <v>5</v>
      </c>
      <c r="N416" s="27">
        <v>700</v>
      </c>
      <c r="O416" s="27">
        <v>0</v>
      </c>
      <c r="P416" s="27">
        <v>3500</v>
      </c>
      <c r="Q416" s="27">
        <v>2</v>
      </c>
      <c r="R416" s="27" t="s">
        <v>60</v>
      </c>
      <c r="S416" s="27" t="s">
        <v>50</v>
      </c>
      <c r="T416" s="27" t="s">
        <v>66</v>
      </c>
      <c r="U416" s="27">
        <v>9161631566</v>
      </c>
      <c r="V416" s="27" t="s">
        <v>53</v>
      </c>
    </row>
    <row r="417" spans="1:22" ht="15" thickBot="1" x14ac:dyDescent="0.4">
      <c r="A417" s="30" t="s">
        <v>528</v>
      </c>
      <c r="B417" s="30" t="s">
        <v>63</v>
      </c>
      <c r="C417" s="30" t="s">
        <v>36</v>
      </c>
      <c r="D417" s="31">
        <v>45688</v>
      </c>
      <c r="E417" s="31">
        <v>45692</v>
      </c>
      <c r="F417" s="30" t="s">
        <v>110</v>
      </c>
      <c r="G417" s="30" t="s">
        <v>58</v>
      </c>
      <c r="H417" s="31">
        <v>28834</v>
      </c>
      <c r="I417" s="30" t="s">
        <v>147</v>
      </c>
      <c r="J417" s="30" t="s">
        <v>148</v>
      </c>
      <c r="K417" s="30" t="s">
        <v>39</v>
      </c>
      <c r="L417" s="30" t="s">
        <v>40</v>
      </c>
      <c r="M417" s="30">
        <v>19</v>
      </c>
      <c r="N417" s="30">
        <v>12000</v>
      </c>
      <c r="O417" s="30">
        <v>0</v>
      </c>
      <c r="P417" s="30">
        <v>228000</v>
      </c>
      <c r="Q417" s="30">
        <v>4</v>
      </c>
      <c r="R417" s="30" t="s">
        <v>65</v>
      </c>
      <c r="S417" s="30" t="s">
        <v>50</v>
      </c>
      <c r="T417" s="30" t="s">
        <v>66</v>
      </c>
      <c r="U417" s="30">
        <v>9136906750</v>
      </c>
      <c r="V417" s="30" t="s">
        <v>52</v>
      </c>
    </row>
    <row r="418" spans="1:22" ht="29.5" thickBot="1" x14ac:dyDescent="0.4">
      <c r="A418" s="27" t="s">
        <v>529</v>
      </c>
      <c r="B418" s="27" t="s">
        <v>156</v>
      </c>
      <c r="C418" s="27" t="s">
        <v>112</v>
      </c>
      <c r="D418" s="27"/>
      <c r="E418" s="28">
        <v>45964</v>
      </c>
      <c r="F418" s="27" t="s">
        <v>106</v>
      </c>
      <c r="G418" s="27" t="s">
        <v>58</v>
      </c>
      <c r="H418" s="28">
        <v>29099</v>
      </c>
      <c r="I418" s="27" t="s">
        <v>48</v>
      </c>
      <c r="J418" s="27" t="s">
        <v>28</v>
      </c>
      <c r="K418" s="27" t="s">
        <v>39</v>
      </c>
      <c r="L418" s="27" t="s">
        <v>114</v>
      </c>
      <c r="M418" s="27">
        <v>12</v>
      </c>
      <c r="N418" s="27">
        <v>700</v>
      </c>
      <c r="O418" s="27">
        <v>15</v>
      </c>
      <c r="P418" s="27">
        <v>7140</v>
      </c>
      <c r="Q418" s="27">
        <v>3</v>
      </c>
      <c r="R418" s="27" t="s">
        <v>60</v>
      </c>
      <c r="S418" s="27" t="s">
        <v>32</v>
      </c>
      <c r="T418" s="27" t="s">
        <v>158</v>
      </c>
      <c r="U418" s="27">
        <v>9485286324</v>
      </c>
      <c r="V418" s="21" t="s">
        <v>34</v>
      </c>
    </row>
    <row r="419" spans="1:22" ht="15" thickBot="1" x14ac:dyDescent="0.4">
      <c r="A419" s="30" t="s">
        <v>530</v>
      </c>
      <c r="B419" s="30" t="s">
        <v>23</v>
      </c>
      <c r="C419" s="30" t="s">
        <v>56</v>
      </c>
      <c r="D419" s="31">
        <v>45790</v>
      </c>
      <c r="E419" s="31">
        <v>45798</v>
      </c>
      <c r="F419" s="30" t="s">
        <v>25</v>
      </c>
      <c r="G419" s="30" t="s">
        <v>26</v>
      </c>
      <c r="H419" s="31">
        <v>36989</v>
      </c>
      <c r="I419" s="30" t="s">
        <v>37</v>
      </c>
      <c r="J419" s="30" t="s">
        <v>38</v>
      </c>
      <c r="K419" s="30" t="s">
        <v>39</v>
      </c>
      <c r="L419" s="30" t="s">
        <v>59</v>
      </c>
      <c r="M419" s="30">
        <v>16</v>
      </c>
      <c r="N419" s="30">
        <v>1200</v>
      </c>
      <c r="O419" s="30">
        <v>20</v>
      </c>
      <c r="P419" s="30">
        <v>15360</v>
      </c>
      <c r="Q419" s="30">
        <v>1</v>
      </c>
      <c r="R419" s="30" t="s">
        <v>31</v>
      </c>
      <c r="S419" s="30" t="s">
        <v>42</v>
      </c>
      <c r="T419" s="30" t="s">
        <v>43</v>
      </c>
      <c r="U419" s="30">
        <v>9414633966</v>
      </c>
      <c r="V419" s="30" t="s">
        <v>52</v>
      </c>
    </row>
    <row r="420" spans="1:22" ht="15" thickBot="1" x14ac:dyDescent="0.4">
      <c r="A420" s="27" t="s">
        <v>531</v>
      </c>
      <c r="B420" s="27" t="s">
        <v>55</v>
      </c>
      <c r="C420" s="27" t="s">
        <v>105</v>
      </c>
      <c r="D420" s="28">
        <v>46018</v>
      </c>
      <c r="E420" s="28">
        <v>46026</v>
      </c>
      <c r="F420" s="27" t="s">
        <v>57</v>
      </c>
      <c r="G420" s="27" t="s">
        <v>58</v>
      </c>
      <c r="H420" s="28">
        <v>30317</v>
      </c>
      <c r="I420" s="27" t="s">
        <v>27</v>
      </c>
      <c r="J420" s="27" t="s">
        <v>28</v>
      </c>
      <c r="K420" s="27" t="s">
        <v>29</v>
      </c>
      <c r="L420" s="27" t="s">
        <v>107</v>
      </c>
      <c r="M420" s="27">
        <v>10</v>
      </c>
      <c r="N420" s="27">
        <v>8500</v>
      </c>
      <c r="O420" s="27">
        <v>5</v>
      </c>
      <c r="P420" s="27">
        <v>80750</v>
      </c>
      <c r="Q420" s="27">
        <v>5</v>
      </c>
      <c r="R420" s="27" t="s">
        <v>41</v>
      </c>
      <c r="S420" s="27" t="s">
        <v>32</v>
      </c>
      <c r="T420" s="27" t="s">
        <v>61</v>
      </c>
      <c r="U420" s="27">
        <v>9833735234</v>
      </c>
      <c r="V420" s="21" t="s">
        <v>34</v>
      </c>
    </row>
    <row r="421" spans="1:22" ht="15" thickBot="1" x14ac:dyDescent="0.4">
      <c r="A421" s="30" t="s">
        <v>532</v>
      </c>
      <c r="B421" s="30" t="s">
        <v>23</v>
      </c>
      <c r="C421" s="30" t="s">
        <v>125</v>
      </c>
      <c r="D421" s="31">
        <v>45699</v>
      </c>
      <c r="E421" s="31">
        <v>45709</v>
      </c>
      <c r="F421" s="30" t="s">
        <v>25</v>
      </c>
      <c r="G421" s="30" t="s">
        <v>26</v>
      </c>
      <c r="H421" s="31">
        <v>32729</v>
      </c>
      <c r="I421" s="30" t="s">
        <v>91</v>
      </c>
      <c r="J421" s="30" t="s">
        <v>75</v>
      </c>
      <c r="K421" s="30" t="s">
        <v>83</v>
      </c>
      <c r="L421" s="30" t="s">
        <v>127</v>
      </c>
      <c r="M421" s="30">
        <v>18</v>
      </c>
      <c r="N421" s="30">
        <v>20</v>
      </c>
      <c r="O421" s="30">
        <v>20</v>
      </c>
      <c r="P421" s="30">
        <v>288</v>
      </c>
      <c r="Q421" s="30">
        <v>1</v>
      </c>
      <c r="R421" s="30" t="s">
        <v>65</v>
      </c>
      <c r="S421" s="30" t="s">
        <v>32</v>
      </c>
      <c r="T421" s="30" t="s">
        <v>43</v>
      </c>
      <c r="U421" s="30">
        <v>9523689108</v>
      </c>
      <c r="V421" s="30" t="s">
        <v>52</v>
      </c>
    </row>
    <row r="422" spans="1:22" ht="15" thickBot="1" x14ac:dyDescent="0.4">
      <c r="A422" s="27" t="s">
        <v>533</v>
      </c>
      <c r="B422" s="27" t="s">
        <v>55</v>
      </c>
      <c r="C422" s="27" t="s">
        <v>105</v>
      </c>
      <c r="D422" s="28">
        <v>46094</v>
      </c>
      <c r="E422" s="28">
        <v>46100</v>
      </c>
      <c r="F422" s="27" t="s">
        <v>57</v>
      </c>
      <c r="G422" s="27" t="s">
        <v>58</v>
      </c>
      <c r="H422" s="28">
        <v>34264</v>
      </c>
      <c r="I422" s="27" t="s">
        <v>74</v>
      </c>
      <c r="J422" s="27" t="s">
        <v>75</v>
      </c>
      <c r="K422" s="27" t="s">
        <v>29</v>
      </c>
      <c r="L422" s="27" t="s">
        <v>107</v>
      </c>
      <c r="M422" s="27">
        <v>9</v>
      </c>
      <c r="N422" s="27">
        <v>8500</v>
      </c>
      <c r="O422" s="27">
        <v>0</v>
      </c>
      <c r="P422" s="27">
        <v>76500</v>
      </c>
      <c r="Q422" s="27">
        <v>2</v>
      </c>
      <c r="R422" s="27" t="s">
        <v>60</v>
      </c>
      <c r="S422" s="27" t="s">
        <v>32</v>
      </c>
      <c r="T422" s="27" t="s">
        <v>61</v>
      </c>
      <c r="U422" s="27">
        <v>9812909831</v>
      </c>
      <c r="V422" s="27" t="s">
        <v>52</v>
      </c>
    </row>
    <row r="423" spans="1:22" ht="15" thickBot="1" x14ac:dyDescent="0.4">
      <c r="A423" s="30" t="s">
        <v>534</v>
      </c>
      <c r="B423" s="30" t="s">
        <v>23</v>
      </c>
      <c r="C423" s="30" t="s">
        <v>105</v>
      </c>
      <c r="D423" s="31">
        <v>45931</v>
      </c>
      <c r="E423" s="31">
        <v>45942</v>
      </c>
      <c r="F423" s="30" t="s">
        <v>25</v>
      </c>
      <c r="G423" s="30" t="s">
        <v>26</v>
      </c>
      <c r="H423" s="31">
        <v>36651</v>
      </c>
      <c r="I423" s="30" t="s">
        <v>74</v>
      </c>
      <c r="J423" s="30" t="s">
        <v>75</v>
      </c>
      <c r="K423" s="30" t="s">
        <v>29</v>
      </c>
      <c r="L423" s="30" t="s">
        <v>107</v>
      </c>
      <c r="M423" s="30">
        <v>8</v>
      </c>
      <c r="N423" s="30">
        <v>8500</v>
      </c>
      <c r="O423" s="30">
        <v>10</v>
      </c>
      <c r="P423" s="30">
        <v>61200</v>
      </c>
      <c r="Q423" s="30">
        <v>4</v>
      </c>
      <c r="R423" s="30" t="s">
        <v>31</v>
      </c>
      <c r="S423" s="30" t="s">
        <v>80</v>
      </c>
      <c r="T423" s="30" t="s">
        <v>43</v>
      </c>
      <c r="U423" s="30">
        <v>9106290987</v>
      </c>
      <c r="V423" s="30" t="s">
        <v>53</v>
      </c>
    </row>
    <row r="424" spans="1:22" ht="15" thickBot="1" x14ac:dyDescent="0.4">
      <c r="A424" s="27" t="s">
        <v>535</v>
      </c>
      <c r="B424" s="27" t="s">
        <v>45</v>
      </c>
      <c r="C424" s="27" t="s">
        <v>125</v>
      </c>
      <c r="D424" s="28">
        <v>46048</v>
      </c>
      <c r="E424" s="28">
        <v>46054</v>
      </c>
      <c r="F424" s="27" t="s">
        <v>101</v>
      </c>
      <c r="G424" s="27" t="s">
        <v>26</v>
      </c>
      <c r="H424" s="28">
        <v>30730</v>
      </c>
      <c r="I424" s="27" t="s">
        <v>79</v>
      </c>
      <c r="J424" s="27" t="s">
        <v>75</v>
      </c>
      <c r="K424" s="27" t="s">
        <v>83</v>
      </c>
      <c r="L424" s="27" t="s">
        <v>127</v>
      </c>
      <c r="M424" s="27">
        <v>3</v>
      </c>
      <c r="N424" s="27">
        <v>20</v>
      </c>
      <c r="O424" s="27">
        <v>10</v>
      </c>
      <c r="P424" s="27">
        <v>54</v>
      </c>
      <c r="Q424" s="27">
        <v>3</v>
      </c>
      <c r="R424" s="27" t="s">
        <v>60</v>
      </c>
      <c r="S424" s="27" t="s">
        <v>96</v>
      </c>
      <c r="T424" s="27" t="s">
        <v>51</v>
      </c>
      <c r="U424" s="27">
        <v>9767727724</v>
      </c>
      <c r="V424" s="27" t="s">
        <v>52</v>
      </c>
    </row>
    <row r="425" spans="1:22" ht="15" thickBot="1" x14ac:dyDescent="0.4">
      <c r="A425" s="30" t="s">
        <v>536</v>
      </c>
      <c r="B425" s="30" t="s">
        <v>104</v>
      </c>
      <c r="C425" s="30" t="s">
        <v>105</v>
      </c>
      <c r="D425" s="31">
        <v>45840</v>
      </c>
      <c r="E425" s="31">
        <v>45850</v>
      </c>
      <c r="F425" s="30" t="s">
        <v>166</v>
      </c>
      <c r="G425" s="30" t="s">
        <v>26</v>
      </c>
      <c r="H425" s="31">
        <v>33402</v>
      </c>
      <c r="I425" s="30" t="s">
        <v>147</v>
      </c>
      <c r="J425" s="30" t="s">
        <v>148</v>
      </c>
      <c r="K425" s="30" t="s">
        <v>29</v>
      </c>
      <c r="L425" s="30" t="s">
        <v>107</v>
      </c>
      <c r="M425" s="30">
        <v>18</v>
      </c>
      <c r="N425" s="30">
        <v>8500</v>
      </c>
      <c r="O425" s="30">
        <v>10</v>
      </c>
      <c r="P425" s="30">
        <v>137700</v>
      </c>
      <c r="Q425" s="30">
        <v>4</v>
      </c>
      <c r="R425" s="30" t="s">
        <v>31</v>
      </c>
      <c r="S425" s="30" t="s">
        <v>42</v>
      </c>
      <c r="T425" s="30" t="s">
        <v>108</v>
      </c>
      <c r="U425" s="30">
        <v>9865401727</v>
      </c>
      <c r="V425" s="30" t="s">
        <v>53</v>
      </c>
    </row>
    <row r="426" spans="1:22" ht="15" thickBot="1" x14ac:dyDescent="0.4">
      <c r="A426" s="27" t="s">
        <v>537</v>
      </c>
      <c r="B426" s="27" t="s">
        <v>45</v>
      </c>
      <c r="C426" s="27" t="s">
        <v>138</v>
      </c>
      <c r="D426" s="28">
        <v>45935</v>
      </c>
      <c r="E426" s="28">
        <v>45939</v>
      </c>
      <c r="F426" s="27" t="s">
        <v>101</v>
      </c>
      <c r="G426" s="27" t="s">
        <v>26</v>
      </c>
      <c r="H426" s="28">
        <v>35204</v>
      </c>
      <c r="I426" s="27" t="s">
        <v>79</v>
      </c>
      <c r="J426" s="27" t="s">
        <v>75</v>
      </c>
      <c r="K426" s="27" t="s">
        <v>83</v>
      </c>
      <c r="L426" s="27" t="s">
        <v>139</v>
      </c>
      <c r="M426" s="27">
        <v>5</v>
      </c>
      <c r="N426" s="27">
        <v>45</v>
      </c>
      <c r="O426" s="27">
        <v>10</v>
      </c>
      <c r="P426" s="27">
        <v>202.5</v>
      </c>
      <c r="Q426" s="27">
        <v>3</v>
      </c>
      <c r="R426" s="27" t="s">
        <v>31</v>
      </c>
      <c r="S426" s="27" t="s">
        <v>80</v>
      </c>
      <c r="T426" s="27" t="s">
        <v>51</v>
      </c>
      <c r="U426" s="27">
        <v>9603848571</v>
      </c>
      <c r="V426" s="27" t="s">
        <v>52</v>
      </c>
    </row>
    <row r="427" spans="1:22" ht="15" thickBot="1" x14ac:dyDescent="0.4">
      <c r="A427" s="30" t="s">
        <v>538</v>
      </c>
      <c r="B427" s="30" t="s">
        <v>55</v>
      </c>
      <c r="C427" s="30" t="s">
        <v>138</v>
      </c>
      <c r="D427" s="31">
        <v>45807</v>
      </c>
      <c r="E427" s="31">
        <v>45810</v>
      </c>
      <c r="F427" s="30" t="s">
        <v>57</v>
      </c>
      <c r="G427" s="30" t="s">
        <v>58</v>
      </c>
      <c r="H427" s="31">
        <v>33747</v>
      </c>
      <c r="I427" s="30" t="s">
        <v>74</v>
      </c>
      <c r="J427" s="30" t="s">
        <v>75</v>
      </c>
      <c r="K427" s="30" t="s">
        <v>83</v>
      </c>
      <c r="L427" s="30" t="s">
        <v>139</v>
      </c>
      <c r="M427" s="30">
        <v>2</v>
      </c>
      <c r="N427" s="30">
        <v>45</v>
      </c>
      <c r="O427" s="30">
        <v>20</v>
      </c>
      <c r="P427" s="30">
        <v>72</v>
      </c>
      <c r="Q427" s="30">
        <v>5</v>
      </c>
      <c r="R427" s="30" t="s">
        <v>65</v>
      </c>
      <c r="S427" s="30" t="s">
        <v>50</v>
      </c>
      <c r="T427" s="30" t="s">
        <v>61</v>
      </c>
      <c r="U427" s="30">
        <v>9101231789</v>
      </c>
      <c r="V427" s="30" t="s">
        <v>53</v>
      </c>
    </row>
    <row r="428" spans="1:22" ht="15" thickBot="1" x14ac:dyDescent="0.4">
      <c r="A428" s="27" t="s">
        <v>539</v>
      </c>
      <c r="B428" s="27" t="s">
        <v>72</v>
      </c>
      <c r="C428" s="27" t="s">
        <v>138</v>
      </c>
      <c r="D428" s="28">
        <v>45684</v>
      </c>
      <c r="E428" s="28">
        <v>45694</v>
      </c>
      <c r="F428" s="27" t="s">
        <v>73</v>
      </c>
      <c r="G428" s="27" t="s">
        <v>26</v>
      </c>
      <c r="H428" s="28">
        <v>32309</v>
      </c>
      <c r="I428" s="27" t="s">
        <v>27</v>
      </c>
      <c r="J428" s="27" t="s">
        <v>28</v>
      </c>
      <c r="K428" s="27" t="s">
        <v>83</v>
      </c>
      <c r="L428" s="27" t="s">
        <v>139</v>
      </c>
      <c r="M428" s="27">
        <v>18</v>
      </c>
      <c r="N428" s="27">
        <v>45</v>
      </c>
      <c r="O428" s="27">
        <v>10</v>
      </c>
      <c r="P428" s="27">
        <v>729</v>
      </c>
      <c r="Q428" s="27">
        <v>2</v>
      </c>
      <c r="R428" s="27" t="s">
        <v>41</v>
      </c>
      <c r="S428" s="27" t="s">
        <v>80</v>
      </c>
      <c r="T428" s="27" t="s">
        <v>93</v>
      </c>
      <c r="U428" s="27">
        <v>9485017802</v>
      </c>
      <c r="V428" s="27" t="s">
        <v>52</v>
      </c>
    </row>
    <row r="429" spans="1:22" ht="15" thickBot="1" x14ac:dyDescent="0.4">
      <c r="A429" s="30" t="s">
        <v>540</v>
      </c>
      <c r="B429" s="30" t="s">
        <v>87</v>
      </c>
      <c r="C429" s="30" t="s">
        <v>56</v>
      </c>
      <c r="D429" s="31">
        <v>46015</v>
      </c>
      <c r="E429" s="31">
        <v>46023</v>
      </c>
      <c r="F429" s="30" t="s">
        <v>88</v>
      </c>
      <c r="G429" s="30" t="s">
        <v>58</v>
      </c>
      <c r="H429" s="31">
        <v>34172</v>
      </c>
      <c r="I429" s="30" t="s">
        <v>147</v>
      </c>
      <c r="J429" s="30" t="s">
        <v>148</v>
      </c>
      <c r="K429" s="30" t="s">
        <v>39</v>
      </c>
      <c r="L429" s="30" t="s">
        <v>59</v>
      </c>
      <c r="M429" s="30">
        <v>13</v>
      </c>
      <c r="N429" s="30">
        <v>1200</v>
      </c>
      <c r="O429" s="30">
        <v>5</v>
      </c>
      <c r="P429" s="30">
        <v>14820</v>
      </c>
      <c r="Q429" s="30">
        <v>4</v>
      </c>
      <c r="R429" s="30" t="s">
        <v>60</v>
      </c>
      <c r="S429" s="30" t="s">
        <v>80</v>
      </c>
      <c r="T429" s="30" t="s">
        <v>89</v>
      </c>
      <c r="U429" s="30">
        <v>9815464650</v>
      </c>
      <c r="V429" s="22" t="s">
        <v>34</v>
      </c>
    </row>
    <row r="430" spans="1:22" ht="15" thickBot="1" x14ac:dyDescent="0.4">
      <c r="A430" s="27" t="s">
        <v>541</v>
      </c>
      <c r="B430" s="27" t="s">
        <v>23</v>
      </c>
      <c r="C430" s="27" t="s">
        <v>125</v>
      </c>
      <c r="D430" s="28">
        <v>46153</v>
      </c>
      <c r="E430" s="28">
        <v>46159</v>
      </c>
      <c r="F430" s="27" t="s">
        <v>25</v>
      </c>
      <c r="G430" s="27" t="s">
        <v>26</v>
      </c>
      <c r="H430" s="28">
        <v>38020</v>
      </c>
      <c r="I430" s="27" t="s">
        <v>27</v>
      </c>
      <c r="J430" s="27" t="s">
        <v>28</v>
      </c>
      <c r="K430" s="27" t="s">
        <v>83</v>
      </c>
      <c r="L430" s="27" t="s">
        <v>127</v>
      </c>
      <c r="M430" s="27">
        <v>14</v>
      </c>
      <c r="N430" s="27">
        <v>20</v>
      </c>
      <c r="O430" s="27">
        <v>20</v>
      </c>
      <c r="P430" s="27">
        <v>224</v>
      </c>
      <c r="Q430" s="27">
        <v>5</v>
      </c>
      <c r="R430" s="27" t="s">
        <v>65</v>
      </c>
      <c r="S430" s="27" t="s">
        <v>42</v>
      </c>
      <c r="T430" s="27" t="s">
        <v>43</v>
      </c>
      <c r="U430" s="27">
        <v>9860715839</v>
      </c>
      <c r="V430" s="27" t="s">
        <v>52</v>
      </c>
    </row>
    <row r="431" spans="1:22" ht="15" thickBot="1" x14ac:dyDescent="0.4">
      <c r="A431" s="30" t="s">
        <v>542</v>
      </c>
      <c r="B431" s="30" t="s">
        <v>72</v>
      </c>
      <c r="C431" s="30" t="s">
        <v>68</v>
      </c>
      <c r="D431" s="31">
        <v>46064</v>
      </c>
      <c r="E431" s="31">
        <v>46076</v>
      </c>
      <c r="F431" s="30" t="s">
        <v>73</v>
      </c>
      <c r="G431" s="30" t="s">
        <v>26</v>
      </c>
      <c r="H431" s="31">
        <v>28847</v>
      </c>
      <c r="I431" s="30" t="s">
        <v>27</v>
      </c>
      <c r="J431" s="30" t="s">
        <v>28</v>
      </c>
      <c r="K431" s="30" t="s">
        <v>29</v>
      </c>
      <c r="L431" s="30" t="s">
        <v>70</v>
      </c>
      <c r="M431" s="30">
        <v>16</v>
      </c>
      <c r="N431" s="30">
        <v>3500</v>
      </c>
      <c r="O431" s="30">
        <v>15</v>
      </c>
      <c r="P431" s="30">
        <v>47600</v>
      </c>
      <c r="Q431" s="30">
        <v>3</v>
      </c>
      <c r="R431" s="30" t="s">
        <v>65</v>
      </c>
      <c r="S431" s="30" t="s">
        <v>50</v>
      </c>
      <c r="T431" s="30" t="s">
        <v>93</v>
      </c>
      <c r="U431" s="30">
        <v>9207561051</v>
      </c>
      <c r="V431" s="30" t="s">
        <v>53</v>
      </c>
    </row>
    <row r="432" spans="1:22" ht="15" thickBot="1" x14ac:dyDescent="0.4">
      <c r="A432" s="27" t="s">
        <v>543</v>
      </c>
      <c r="B432" s="27" t="s">
        <v>134</v>
      </c>
      <c r="C432" s="27" t="s">
        <v>125</v>
      </c>
      <c r="D432" s="28">
        <v>45704</v>
      </c>
      <c r="E432" s="28">
        <v>45712</v>
      </c>
      <c r="F432" s="27" t="s">
        <v>135</v>
      </c>
      <c r="G432" s="27" t="s">
        <v>26</v>
      </c>
      <c r="H432" s="28">
        <v>34257</v>
      </c>
      <c r="I432" s="27" t="s">
        <v>48</v>
      </c>
      <c r="J432" s="27" t="s">
        <v>28</v>
      </c>
      <c r="K432" s="27" t="s">
        <v>83</v>
      </c>
      <c r="L432" s="27" t="s">
        <v>127</v>
      </c>
      <c r="M432" s="27">
        <v>20</v>
      </c>
      <c r="N432" s="27">
        <v>20</v>
      </c>
      <c r="O432" s="27">
        <v>15</v>
      </c>
      <c r="P432" s="27">
        <v>340</v>
      </c>
      <c r="Q432" s="27">
        <v>1</v>
      </c>
      <c r="R432" s="27" t="s">
        <v>41</v>
      </c>
      <c r="S432" s="27" t="s">
        <v>50</v>
      </c>
      <c r="T432" s="27" t="s">
        <v>136</v>
      </c>
      <c r="U432" s="27">
        <v>9159894508</v>
      </c>
      <c r="V432" s="27" t="s">
        <v>53</v>
      </c>
    </row>
    <row r="433" spans="1:22" ht="15" thickBot="1" x14ac:dyDescent="0.4">
      <c r="A433" s="30" t="s">
        <v>544</v>
      </c>
      <c r="B433" s="30" t="s">
        <v>104</v>
      </c>
      <c r="C433" s="30" t="s">
        <v>46</v>
      </c>
      <c r="D433" s="31">
        <v>45756</v>
      </c>
      <c r="E433" s="31">
        <v>45761</v>
      </c>
      <c r="F433" s="30" t="s">
        <v>166</v>
      </c>
      <c r="G433" s="30" t="s">
        <v>26</v>
      </c>
      <c r="H433" s="31">
        <v>29201</v>
      </c>
      <c r="I433" s="30" t="s">
        <v>91</v>
      </c>
      <c r="J433" s="30" t="s">
        <v>75</v>
      </c>
      <c r="K433" s="30" t="s">
        <v>39</v>
      </c>
      <c r="L433" s="30" t="s">
        <v>49</v>
      </c>
      <c r="M433" s="30">
        <v>1</v>
      </c>
      <c r="N433" s="30">
        <v>55000</v>
      </c>
      <c r="O433" s="30">
        <v>15</v>
      </c>
      <c r="P433" s="30">
        <v>46750</v>
      </c>
      <c r="Q433" s="30">
        <v>2</v>
      </c>
      <c r="R433" s="30" t="s">
        <v>65</v>
      </c>
      <c r="S433" s="30" t="s">
        <v>80</v>
      </c>
      <c r="T433" s="30" t="s">
        <v>108</v>
      </c>
      <c r="U433" s="30">
        <v>9531465024</v>
      </c>
      <c r="V433" s="30" t="s">
        <v>53</v>
      </c>
    </row>
    <row r="434" spans="1:22" ht="15" thickBot="1" x14ac:dyDescent="0.4">
      <c r="A434" s="27" t="s">
        <v>545</v>
      </c>
      <c r="B434" s="27" t="s">
        <v>72</v>
      </c>
      <c r="C434" s="27" t="s">
        <v>82</v>
      </c>
      <c r="D434" s="28">
        <v>45672</v>
      </c>
      <c r="E434" s="28">
        <v>45677</v>
      </c>
      <c r="F434" s="27" t="s">
        <v>73</v>
      </c>
      <c r="G434" s="27" t="s">
        <v>26</v>
      </c>
      <c r="H434" s="28">
        <v>37400</v>
      </c>
      <c r="I434" s="27" t="s">
        <v>91</v>
      </c>
      <c r="J434" s="27" t="s">
        <v>75</v>
      </c>
      <c r="K434" s="27" t="s">
        <v>83</v>
      </c>
      <c r="L434" s="27" t="s">
        <v>84</v>
      </c>
      <c r="M434" s="27">
        <v>15</v>
      </c>
      <c r="N434" s="27">
        <v>60</v>
      </c>
      <c r="O434" s="27">
        <v>5</v>
      </c>
      <c r="P434" s="27">
        <v>855</v>
      </c>
      <c r="Q434" s="27">
        <v>4</v>
      </c>
      <c r="R434" s="27" t="s">
        <v>41</v>
      </c>
      <c r="S434" s="27" t="s">
        <v>50</v>
      </c>
      <c r="T434" s="27" t="s">
        <v>93</v>
      </c>
      <c r="U434" s="27">
        <v>9158813608</v>
      </c>
      <c r="V434" s="21" t="s">
        <v>34</v>
      </c>
    </row>
    <row r="435" spans="1:22" ht="15" thickBot="1" x14ac:dyDescent="0.4">
      <c r="A435" s="30" t="s">
        <v>546</v>
      </c>
      <c r="B435" s="30" t="s">
        <v>63</v>
      </c>
      <c r="C435" s="30" t="s">
        <v>112</v>
      </c>
      <c r="D435" s="31">
        <v>46108</v>
      </c>
      <c r="E435" s="31">
        <v>46114</v>
      </c>
      <c r="F435" s="30" t="s">
        <v>110</v>
      </c>
      <c r="G435" s="30" t="s">
        <v>58</v>
      </c>
      <c r="H435" s="31">
        <v>27828</v>
      </c>
      <c r="I435" s="30" t="s">
        <v>74</v>
      </c>
      <c r="J435" s="30" t="s">
        <v>75</v>
      </c>
      <c r="K435" s="30" t="s">
        <v>39</v>
      </c>
      <c r="L435" s="30" t="s">
        <v>114</v>
      </c>
      <c r="M435" s="30">
        <v>15</v>
      </c>
      <c r="N435" s="30">
        <v>700</v>
      </c>
      <c r="O435" s="30">
        <v>0</v>
      </c>
      <c r="P435" s="30">
        <v>10500</v>
      </c>
      <c r="Q435" s="30">
        <v>5</v>
      </c>
      <c r="R435" s="30" t="s">
        <v>41</v>
      </c>
      <c r="S435" s="30" t="s">
        <v>80</v>
      </c>
      <c r="T435" s="30" t="s">
        <v>66</v>
      </c>
      <c r="U435" s="30">
        <v>9308461700</v>
      </c>
      <c r="V435" s="22" t="s">
        <v>34</v>
      </c>
    </row>
    <row r="436" spans="1:22" ht="15" thickBot="1" x14ac:dyDescent="0.4">
      <c r="A436" s="27" t="s">
        <v>547</v>
      </c>
      <c r="B436" s="27" t="s">
        <v>124</v>
      </c>
      <c r="C436" s="27" t="s">
        <v>36</v>
      </c>
      <c r="D436" s="28">
        <v>46027</v>
      </c>
      <c r="E436" s="28">
        <v>46031</v>
      </c>
      <c r="F436" s="27" t="s">
        <v>126</v>
      </c>
      <c r="G436" s="27" t="s">
        <v>58</v>
      </c>
      <c r="H436" s="28">
        <v>29484</v>
      </c>
      <c r="I436" s="27" t="s">
        <v>147</v>
      </c>
      <c r="J436" s="27" t="s">
        <v>148</v>
      </c>
      <c r="K436" s="27" t="s">
        <v>39</v>
      </c>
      <c r="L436" s="27" t="s">
        <v>40</v>
      </c>
      <c r="M436" s="27">
        <v>13</v>
      </c>
      <c r="N436" s="27">
        <v>12000</v>
      </c>
      <c r="O436" s="27">
        <v>10</v>
      </c>
      <c r="P436" s="27">
        <v>140400</v>
      </c>
      <c r="Q436" s="27">
        <v>1</v>
      </c>
      <c r="R436" s="27" t="s">
        <v>31</v>
      </c>
      <c r="S436" s="27" t="s">
        <v>96</v>
      </c>
      <c r="T436" s="27" t="s">
        <v>128</v>
      </c>
      <c r="U436" s="27">
        <v>9882279049</v>
      </c>
      <c r="V436" s="27" t="s">
        <v>53</v>
      </c>
    </row>
    <row r="437" spans="1:22" ht="15" thickBot="1" x14ac:dyDescent="0.4">
      <c r="A437" s="30" t="s">
        <v>548</v>
      </c>
      <c r="B437" s="30" t="s">
        <v>63</v>
      </c>
      <c r="C437" s="30" t="s">
        <v>36</v>
      </c>
      <c r="D437" s="31">
        <v>46129</v>
      </c>
      <c r="E437" s="31">
        <v>46141</v>
      </c>
      <c r="F437" s="30" t="s">
        <v>110</v>
      </c>
      <c r="G437" s="30" t="s">
        <v>58</v>
      </c>
      <c r="H437" s="31">
        <v>32318</v>
      </c>
      <c r="I437" s="30" t="s">
        <v>27</v>
      </c>
      <c r="J437" s="30" t="s">
        <v>28</v>
      </c>
      <c r="K437" s="30" t="s">
        <v>39</v>
      </c>
      <c r="L437" s="30" t="s">
        <v>40</v>
      </c>
      <c r="M437" s="30">
        <v>12</v>
      </c>
      <c r="N437" s="30">
        <v>12000</v>
      </c>
      <c r="O437" s="30">
        <v>20</v>
      </c>
      <c r="P437" s="30">
        <v>115200</v>
      </c>
      <c r="Q437" s="30">
        <v>2</v>
      </c>
      <c r="R437" s="30" t="s">
        <v>31</v>
      </c>
      <c r="S437" s="30" t="s">
        <v>32</v>
      </c>
      <c r="T437" s="30" t="s">
        <v>66</v>
      </c>
      <c r="U437" s="30">
        <v>9961801338</v>
      </c>
      <c r="V437" s="22" t="s">
        <v>34</v>
      </c>
    </row>
    <row r="438" spans="1:22" ht="15" thickBot="1" x14ac:dyDescent="0.4">
      <c r="A438" s="27" t="s">
        <v>549</v>
      </c>
      <c r="B438" s="27" t="s">
        <v>63</v>
      </c>
      <c r="C438" s="27" t="s">
        <v>138</v>
      </c>
      <c r="D438" s="28">
        <v>45741</v>
      </c>
      <c r="E438" s="28">
        <v>45745</v>
      </c>
      <c r="F438" s="27" t="s">
        <v>110</v>
      </c>
      <c r="G438" s="27" t="s">
        <v>58</v>
      </c>
      <c r="H438" s="28">
        <v>37783</v>
      </c>
      <c r="I438" s="27" t="s">
        <v>74</v>
      </c>
      <c r="J438" s="27" t="s">
        <v>75</v>
      </c>
      <c r="K438" s="27" t="s">
        <v>83</v>
      </c>
      <c r="L438" s="27" t="s">
        <v>139</v>
      </c>
      <c r="M438" s="27">
        <v>10</v>
      </c>
      <c r="N438" s="27">
        <v>45</v>
      </c>
      <c r="O438" s="27">
        <v>0</v>
      </c>
      <c r="P438" s="27">
        <v>450</v>
      </c>
      <c r="Q438" s="27">
        <v>5</v>
      </c>
      <c r="R438" s="27" t="s">
        <v>60</v>
      </c>
      <c r="S438" s="27" t="s">
        <v>80</v>
      </c>
      <c r="T438" s="27" t="s">
        <v>66</v>
      </c>
      <c r="U438" s="27">
        <v>9853525026</v>
      </c>
      <c r="V438" s="27" t="s">
        <v>53</v>
      </c>
    </row>
    <row r="439" spans="1:22" ht="15" thickBot="1" x14ac:dyDescent="0.4">
      <c r="A439" s="30" t="s">
        <v>550</v>
      </c>
      <c r="B439" s="30" t="s">
        <v>87</v>
      </c>
      <c r="C439" s="30" t="s">
        <v>56</v>
      </c>
      <c r="D439" s="31">
        <v>45774</v>
      </c>
      <c r="E439" s="31">
        <v>45786</v>
      </c>
      <c r="F439" s="30" t="s">
        <v>88</v>
      </c>
      <c r="G439" s="30" t="s">
        <v>58</v>
      </c>
      <c r="H439" s="31">
        <v>29930</v>
      </c>
      <c r="I439" s="30" t="s">
        <v>74</v>
      </c>
      <c r="J439" s="30" t="s">
        <v>75</v>
      </c>
      <c r="K439" s="30" t="s">
        <v>39</v>
      </c>
      <c r="L439" s="30" t="s">
        <v>59</v>
      </c>
      <c r="M439" s="30">
        <v>20</v>
      </c>
      <c r="N439" s="30">
        <v>1200</v>
      </c>
      <c r="O439" s="30">
        <v>20</v>
      </c>
      <c r="P439" s="30">
        <v>19200</v>
      </c>
      <c r="Q439" s="30">
        <v>5</v>
      </c>
      <c r="R439" s="30" t="s">
        <v>41</v>
      </c>
      <c r="S439" s="30" t="s">
        <v>50</v>
      </c>
      <c r="T439" s="30" t="s">
        <v>89</v>
      </c>
      <c r="U439" s="30">
        <v>9209649485</v>
      </c>
      <c r="V439" s="30" t="s">
        <v>53</v>
      </c>
    </row>
    <row r="440" spans="1:22" ht="15" thickBot="1" x14ac:dyDescent="0.4">
      <c r="A440" s="27" t="s">
        <v>551</v>
      </c>
      <c r="B440" s="27" t="s">
        <v>55</v>
      </c>
      <c r="C440" s="27" t="s">
        <v>56</v>
      </c>
      <c r="D440" s="28">
        <v>45919</v>
      </c>
      <c r="E440" s="28">
        <v>45926</v>
      </c>
      <c r="F440" s="27" t="s">
        <v>57</v>
      </c>
      <c r="G440" s="27" t="s">
        <v>58</v>
      </c>
      <c r="H440" s="28">
        <v>27449</v>
      </c>
      <c r="I440" s="27" t="s">
        <v>79</v>
      </c>
      <c r="J440" s="27" t="s">
        <v>75</v>
      </c>
      <c r="K440" s="27" t="s">
        <v>39</v>
      </c>
      <c r="L440" s="27" t="s">
        <v>59</v>
      </c>
      <c r="M440" s="27">
        <v>8</v>
      </c>
      <c r="N440" s="27">
        <v>1200</v>
      </c>
      <c r="O440" s="27">
        <v>10</v>
      </c>
      <c r="P440" s="27">
        <v>8640</v>
      </c>
      <c r="Q440" s="27">
        <v>4</v>
      </c>
      <c r="R440" s="27" t="s">
        <v>41</v>
      </c>
      <c r="S440" s="27" t="s">
        <v>50</v>
      </c>
      <c r="T440" s="27" t="s">
        <v>61</v>
      </c>
      <c r="U440" s="27">
        <v>9712905525</v>
      </c>
      <c r="V440" s="21" t="s">
        <v>34</v>
      </c>
    </row>
    <row r="441" spans="1:22" ht="15" thickBot="1" x14ac:dyDescent="0.4">
      <c r="A441" s="30" t="s">
        <v>552</v>
      </c>
      <c r="B441" s="30" t="s">
        <v>87</v>
      </c>
      <c r="C441" s="30" t="s">
        <v>56</v>
      </c>
      <c r="D441" s="31">
        <v>45795</v>
      </c>
      <c r="E441" s="31">
        <v>45797</v>
      </c>
      <c r="F441" s="30" t="s">
        <v>88</v>
      </c>
      <c r="G441" s="30" t="s">
        <v>58</v>
      </c>
      <c r="H441" s="31">
        <v>28395</v>
      </c>
      <c r="I441" s="30" t="s">
        <v>121</v>
      </c>
      <c r="J441" s="30" t="s">
        <v>38</v>
      </c>
      <c r="K441" s="30" t="s">
        <v>39</v>
      </c>
      <c r="L441" s="30" t="s">
        <v>59</v>
      </c>
      <c r="M441" s="30">
        <v>8</v>
      </c>
      <c r="N441" s="30">
        <v>1200</v>
      </c>
      <c r="O441" s="30">
        <v>10</v>
      </c>
      <c r="P441" s="30">
        <v>8640</v>
      </c>
      <c r="Q441" s="30">
        <v>5</v>
      </c>
      <c r="R441" s="30" t="s">
        <v>60</v>
      </c>
      <c r="S441" s="30" t="s">
        <v>42</v>
      </c>
      <c r="T441" s="30" t="s">
        <v>89</v>
      </c>
      <c r="U441" s="30">
        <v>9812472447</v>
      </c>
      <c r="V441" s="30" t="s">
        <v>53</v>
      </c>
    </row>
    <row r="442" spans="1:22" ht="29.5" thickBot="1" x14ac:dyDescent="0.4">
      <c r="A442" s="27" t="s">
        <v>553</v>
      </c>
      <c r="B442" s="27" t="s">
        <v>156</v>
      </c>
      <c r="C442" s="27" t="s">
        <v>24</v>
      </c>
      <c r="D442" s="28">
        <v>46020</v>
      </c>
      <c r="E442" s="28">
        <v>46021</v>
      </c>
      <c r="F442" s="27" t="s">
        <v>106</v>
      </c>
      <c r="G442" s="27" t="s">
        <v>58</v>
      </c>
      <c r="H442" s="28">
        <v>32136</v>
      </c>
      <c r="I442" s="27" t="s">
        <v>121</v>
      </c>
      <c r="J442" s="27" t="s">
        <v>38</v>
      </c>
      <c r="K442" s="27" t="s">
        <v>29</v>
      </c>
      <c r="L442" s="27" t="s">
        <v>30</v>
      </c>
      <c r="M442" s="27">
        <v>9</v>
      </c>
      <c r="N442" s="27">
        <v>2200</v>
      </c>
      <c r="O442" s="27">
        <v>20</v>
      </c>
      <c r="P442" s="27">
        <v>15840</v>
      </c>
      <c r="Q442" s="27">
        <v>1</v>
      </c>
      <c r="R442" s="27" t="s">
        <v>41</v>
      </c>
      <c r="S442" s="27" t="s">
        <v>80</v>
      </c>
      <c r="T442" s="27" t="s">
        <v>158</v>
      </c>
      <c r="U442" s="27">
        <v>9281127052</v>
      </c>
      <c r="V442" s="21" t="s">
        <v>34</v>
      </c>
    </row>
    <row r="443" spans="1:22" ht="15" thickBot="1" x14ac:dyDescent="0.4">
      <c r="A443" s="30" t="s">
        <v>554</v>
      </c>
      <c r="B443" s="30" t="s">
        <v>87</v>
      </c>
      <c r="C443" s="30" t="s">
        <v>125</v>
      </c>
      <c r="D443" s="31">
        <v>45669</v>
      </c>
      <c r="E443" s="31">
        <v>45673</v>
      </c>
      <c r="F443" s="30" t="s">
        <v>88</v>
      </c>
      <c r="G443" s="30" t="s">
        <v>58</v>
      </c>
      <c r="H443" s="31">
        <v>36973</v>
      </c>
      <c r="I443" s="30" t="s">
        <v>147</v>
      </c>
      <c r="J443" s="30" t="s">
        <v>148</v>
      </c>
      <c r="K443" s="30" t="s">
        <v>83</v>
      </c>
      <c r="L443" s="30" t="s">
        <v>127</v>
      </c>
      <c r="M443" s="30">
        <v>8</v>
      </c>
      <c r="N443" s="30">
        <v>20</v>
      </c>
      <c r="O443" s="30">
        <v>20</v>
      </c>
      <c r="P443" s="30">
        <v>128</v>
      </c>
      <c r="Q443" s="30">
        <v>4</v>
      </c>
      <c r="R443" s="30" t="s">
        <v>31</v>
      </c>
      <c r="S443" s="30" t="s">
        <v>32</v>
      </c>
      <c r="T443" s="30" t="s">
        <v>89</v>
      </c>
      <c r="U443" s="30">
        <v>9346312555</v>
      </c>
      <c r="V443" s="30" t="s">
        <v>53</v>
      </c>
    </row>
    <row r="444" spans="1:22" ht="15" thickBot="1" x14ac:dyDescent="0.4">
      <c r="A444" s="27" t="s">
        <v>555</v>
      </c>
      <c r="B444" s="27" t="s">
        <v>124</v>
      </c>
      <c r="C444" s="27" t="s">
        <v>46</v>
      </c>
      <c r="D444" s="28">
        <v>46035</v>
      </c>
      <c r="E444" s="28">
        <v>46044</v>
      </c>
      <c r="F444" s="27" t="s">
        <v>126</v>
      </c>
      <c r="G444" s="27" t="s">
        <v>58</v>
      </c>
      <c r="H444" s="28">
        <v>30216</v>
      </c>
      <c r="I444" s="27" t="s">
        <v>79</v>
      </c>
      <c r="J444" s="27" t="s">
        <v>75</v>
      </c>
      <c r="K444" s="27" t="s">
        <v>39</v>
      </c>
      <c r="L444" s="27" t="s">
        <v>49</v>
      </c>
      <c r="M444" s="27">
        <v>5</v>
      </c>
      <c r="N444" s="27">
        <v>55000</v>
      </c>
      <c r="O444" s="27">
        <v>0</v>
      </c>
      <c r="P444" s="27">
        <v>275000</v>
      </c>
      <c r="Q444" s="27">
        <v>1</v>
      </c>
      <c r="R444" s="27" t="s">
        <v>60</v>
      </c>
      <c r="S444" s="27" t="s">
        <v>80</v>
      </c>
      <c r="T444" s="27" t="s">
        <v>128</v>
      </c>
      <c r="U444" s="27">
        <v>9443786067</v>
      </c>
      <c r="V444" s="21" t="s">
        <v>34</v>
      </c>
    </row>
    <row r="445" spans="1:22" ht="15" thickBot="1" x14ac:dyDescent="0.4">
      <c r="A445" s="30" t="s">
        <v>556</v>
      </c>
      <c r="B445" s="30" t="s">
        <v>72</v>
      </c>
      <c r="C445" s="30" t="s">
        <v>56</v>
      </c>
      <c r="D445" s="31">
        <v>46096</v>
      </c>
      <c r="E445" s="31">
        <v>46099</v>
      </c>
      <c r="F445" s="30" t="s">
        <v>73</v>
      </c>
      <c r="G445" s="30" t="s">
        <v>26</v>
      </c>
      <c r="H445" s="31">
        <v>31670</v>
      </c>
      <c r="I445" s="30" t="s">
        <v>74</v>
      </c>
      <c r="J445" s="30" t="s">
        <v>75</v>
      </c>
      <c r="K445" s="30" t="s">
        <v>39</v>
      </c>
      <c r="L445" s="30" t="s">
        <v>59</v>
      </c>
      <c r="M445" s="30">
        <v>13</v>
      </c>
      <c r="N445" s="30">
        <v>1200</v>
      </c>
      <c r="O445" s="30">
        <v>5</v>
      </c>
      <c r="P445" s="30">
        <v>14820</v>
      </c>
      <c r="Q445" s="30">
        <v>2</v>
      </c>
      <c r="R445" s="30" t="s">
        <v>60</v>
      </c>
      <c r="S445" s="30" t="s">
        <v>32</v>
      </c>
      <c r="T445" s="30" t="s">
        <v>93</v>
      </c>
      <c r="U445" s="30">
        <v>9452540528</v>
      </c>
      <c r="V445" s="30" t="s">
        <v>53</v>
      </c>
    </row>
    <row r="446" spans="1:22" ht="15" thickBot="1" x14ac:dyDescent="0.4">
      <c r="A446" s="27" t="s">
        <v>557</v>
      </c>
      <c r="B446" s="27" t="s">
        <v>63</v>
      </c>
      <c r="C446" s="27" t="s">
        <v>105</v>
      </c>
      <c r="D446" s="28">
        <v>45986</v>
      </c>
      <c r="E446" s="28">
        <v>45991</v>
      </c>
      <c r="F446" s="27" t="s">
        <v>110</v>
      </c>
      <c r="G446" s="27" t="s">
        <v>58</v>
      </c>
      <c r="H446" s="28">
        <v>37602</v>
      </c>
      <c r="I446" s="27" t="s">
        <v>121</v>
      </c>
      <c r="J446" s="27" t="s">
        <v>38</v>
      </c>
      <c r="K446" s="27" t="s">
        <v>29</v>
      </c>
      <c r="L446" s="27" t="s">
        <v>107</v>
      </c>
      <c r="M446" s="27">
        <v>13</v>
      </c>
      <c r="N446" s="27">
        <v>8500</v>
      </c>
      <c r="O446" s="27">
        <v>20</v>
      </c>
      <c r="P446" s="27">
        <v>88400</v>
      </c>
      <c r="Q446" s="27">
        <v>5</v>
      </c>
      <c r="R446" s="27" t="s">
        <v>31</v>
      </c>
      <c r="S446" s="27" t="s">
        <v>42</v>
      </c>
      <c r="T446" s="27" t="s">
        <v>66</v>
      </c>
      <c r="U446" s="27">
        <v>9750918728</v>
      </c>
      <c r="V446" s="27" t="s">
        <v>52</v>
      </c>
    </row>
    <row r="447" spans="1:22" ht="15" thickBot="1" x14ac:dyDescent="0.4">
      <c r="A447" s="30" t="s">
        <v>558</v>
      </c>
      <c r="B447" s="30" t="s">
        <v>55</v>
      </c>
      <c r="C447" s="30" t="s">
        <v>82</v>
      </c>
      <c r="D447" s="31">
        <v>45692</v>
      </c>
      <c r="E447" s="31">
        <v>45703</v>
      </c>
      <c r="F447" s="30" t="s">
        <v>57</v>
      </c>
      <c r="G447" s="30" t="s">
        <v>58</v>
      </c>
      <c r="H447" s="31">
        <v>36053</v>
      </c>
      <c r="I447" s="30" t="s">
        <v>79</v>
      </c>
      <c r="J447" s="30" t="s">
        <v>75</v>
      </c>
      <c r="K447" s="30" t="s">
        <v>83</v>
      </c>
      <c r="L447" s="30" t="s">
        <v>84</v>
      </c>
      <c r="M447" s="30">
        <v>14</v>
      </c>
      <c r="N447" s="30">
        <v>60</v>
      </c>
      <c r="O447" s="30">
        <v>10</v>
      </c>
      <c r="P447" s="30">
        <v>756</v>
      </c>
      <c r="Q447" s="30">
        <v>1</v>
      </c>
      <c r="R447" s="30" t="s">
        <v>31</v>
      </c>
      <c r="S447" s="30" t="s">
        <v>50</v>
      </c>
      <c r="T447" s="30" t="s">
        <v>61</v>
      </c>
      <c r="U447" s="30">
        <v>9375975834</v>
      </c>
      <c r="V447" s="30" t="s">
        <v>53</v>
      </c>
    </row>
    <row r="448" spans="1:22" ht="15" thickBot="1" x14ac:dyDescent="0.4">
      <c r="A448" s="27" t="s">
        <v>559</v>
      </c>
      <c r="B448" s="27" t="s">
        <v>134</v>
      </c>
      <c r="C448" s="27" t="s">
        <v>24</v>
      </c>
      <c r="D448" s="28">
        <v>45775</v>
      </c>
      <c r="E448" s="28">
        <v>45776</v>
      </c>
      <c r="F448" s="27" t="s">
        <v>135</v>
      </c>
      <c r="G448" s="27" t="s">
        <v>26</v>
      </c>
      <c r="H448" s="28">
        <v>31337</v>
      </c>
      <c r="I448" s="27" t="s">
        <v>48</v>
      </c>
      <c r="J448" s="27" t="s">
        <v>28</v>
      </c>
      <c r="K448" s="27" t="s">
        <v>29</v>
      </c>
      <c r="L448" s="27" t="s">
        <v>30</v>
      </c>
      <c r="M448" s="27">
        <v>15</v>
      </c>
      <c r="N448" s="27">
        <v>2200</v>
      </c>
      <c r="O448" s="27">
        <v>0</v>
      </c>
      <c r="P448" s="27">
        <v>33000</v>
      </c>
      <c r="Q448" s="27">
        <v>1</v>
      </c>
      <c r="R448" s="27" t="s">
        <v>31</v>
      </c>
      <c r="S448" s="27" t="s">
        <v>50</v>
      </c>
      <c r="T448" s="27" t="s">
        <v>136</v>
      </c>
      <c r="U448" s="27">
        <v>9497321112</v>
      </c>
      <c r="V448" s="21" t="s">
        <v>34</v>
      </c>
    </row>
    <row r="449" spans="1:22" ht="15" thickBot="1" x14ac:dyDescent="0.4">
      <c r="A449" s="30" t="s">
        <v>560</v>
      </c>
      <c r="B449" s="30" t="s">
        <v>63</v>
      </c>
      <c r="C449" s="30" t="s">
        <v>82</v>
      </c>
      <c r="D449" s="31">
        <v>45896</v>
      </c>
      <c r="E449" s="31">
        <v>45898</v>
      </c>
      <c r="F449" s="30" t="s">
        <v>110</v>
      </c>
      <c r="G449" s="30" t="s">
        <v>58</v>
      </c>
      <c r="H449" s="31">
        <v>34926</v>
      </c>
      <c r="I449" s="30" t="s">
        <v>121</v>
      </c>
      <c r="J449" s="30" t="s">
        <v>38</v>
      </c>
      <c r="K449" s="30" t="s">
        <v>83</v>
      </c>
      <c r="L449" s="30" t="s">
        <v>84</v>
      </c>
      <c r="M449" s="30">
        <v>19</v>
      </c>
      <c r="N449" s="30">
        <v>60</v>
      </c>
      <c r="O449" s="30">
        <v>20</v>
      </c>
      <c r="P449" s="30">
        <v>912</v>
      </c>
      <c r="Q449" s="30">
        <v>3</v>
      </c>
      <c r="R449" s="30" t="s">
        <v>31</v>
      </c>
      <c r="S449" s="30" t="s">
        <v>96</v>
      </c>
      <c r="T449" s="30" t="s">
        <v>66</v>
      </c>
      <c r="U449" s="30">
        <v>9828749888</v>
      </c>
      <c r="V449" s="30" t="s">
        <v>52</v>
      </c>
    </row>
    <row r="450" spans="1:22" ht="15" thickBot="1" x14ac:dyDescent="0.4">
      <c r="A450" s="27" t="s">
        <v>561</v>
      </c>
      <c r="B450" s="27" t="s">
        <v>45</v>
      </c>
      <c r="C450" s="27" t="s">
        <v>138</v>
      </c>
      <c r="D450" s="28">
        <v>45942</v>
      </c>
      <c r="E450" s="28">
        <v>45953</v>
      </c>
      <c r="F450" s="27" t="s">
        <v>101</v>
      </c>
      <c r="G450" s="27" t="s">
        <v>26</v>
      </c>
      <c r="H450" s="28">
        <v>31286</v>
      </c>
      <c r="I450" s="27" t="s">
        <v>121</v>
      </c>
      <c r="J450" s="27" t="s">
        <v>38</v>
      </c>
      <c r="K450" s="27" t="s">
        <v>83</v>
      </c>
      <c r="L450" s="27" t="s">
        <v>139</v>
      </c>
      <c r="M450" s="27">
        <v>13</v>
      </c>
      <c r="N450" s="27">
        <v>45</v>
      </c>
      <c r="O450" s="27">
        <v>15</v>
      </c>
      <c r="P450" s="27">
        <v>497.25</v>
      </c>
      <c r="Q450" s="27">
        <v>2</v>
      </c>
      <c r="R450" s="27" t="s">
        <v>31</v>
      </c>
      <c r="S450" s="27" t="s">
        <v>42</v>
      </c>
      <c r="T450" s="27" t="s">
        <v>51</v>
      </c>
      <c r="U450" s="27">
        <v>9814267382</v>
      </c>
      <c r="V450" s="21" t="s">
        <v>34</v>
      </c>
    </row>
    <row r="451" spans="1:22" ht="15" thickBot="1" x14ac:dyDescent="0.4">
      <c r="A451" s="30" t="s">
        <v>562</v>
      </c>
      <c r="B451" s="30" t="s">
        <v>134</v>
      </c>
      <c r="C451" s="30" t="s">
        <v>36</v>
      </c>
      <c r="D451" s="31">
        <v>46036</v>
      </c>
      <c r="E451" s="31">
        <v>46046</v>
      </c>
      <c r="F451" s="30" t="s">
        <v>135</v>
      </c>
      <c r="G451" s="30" t="s">
        <v>26</v>
      </c>
      <c r="H451" s="31">
        <v>27550</v>
      </c>
      <c r="I451" s="30" t="s">
        <v>74</v>
      </c>
      <c r="J451" s="30" t="s">
        <v>75</v>
      </c>
      <c r="K451" s="30" t="s">
        <v>39</v>
      </c>
      <c r="L451" s="30" t="s">
        <v>40</v>
      </c>
      <c r="M451" s="30">
        <v>7</v>
      </c>
      <c r="N451" s="30">
        <v>12000</v>
      </c>
      <c r="O451" s="30">
        <v>5</v>
      </c>
      <c r="P451" s="30">
        <v>79800</v>
      </c>
      <c r="Q451" s="30">
        <v>4</v>
      </c>
      <c r="R451" s="30" t="s">
        <v>60</v>
      </c>
      <c r="S451" s="30" t="s">
        <v>96</v>
      </c>
      <c r="T451" s="30" t="s">
        <v>136</v>
      </c>
      <c r="U451" s="30">
        <v>9937007439</v>
      </c>
      <c r="V451" s="30" t="s">
        <v>53</v>
      </c>
    </row>
    <row r="452" spans="1:22" ht="29.5" thickBot="1" x14ac:dyDescent="0.4">
      <c r="A452" s="27" t="s">
        <v>563</v>
      </c>
      <c r="B452" s="27" t="s">
        <v>156</v>
      </c>
      <c r="C452" s="27" t="s">
        <v>125</v>
      </c>
      <c r="D452" s="23">
        <v>46152</v>
      </c>
      <c r="E452" s="27"/>
      <c r="F452" s="27" t="s">
        <v>106</v>
      </c>
      <c r="G452" s="27" t="s">
        <v>58</v>
      </c>
      <c r="H452" s="28">
        <v>35514</v>
      </c>
      <c r="I452" s="27" t="s">
        <v>147</v>
      </c>
      <c r="J452" s="27" t="s">
        <v>148</v>
      </c>
      <c r="K452" s="27" t="s">
        <v>83</v>
      </c>
      <c r="L452" s="27" t="s">
        <v>127</v>
      </c>
      <c r="M452" s="27">
        <v>8</v>
      </c>
      <c r="N452" s="27">
        <v>20</v>
      </c>
      <c r="O452" s="27">
        <v>0</v>
      </c>
      <c r="P452" s="27">
        <v>160</v>
      </c>
      <c r="Q452" s="27">
        <v>4</v>
      </c>
      <c r="R452" s="27" t="s">
        <v>60</v>
      </c>
      <c r="S452" s="27" t="s">
        <v>50</v>
      </c>
      <c r="T452" s="27" t="s">
        <v>158</v>
      </c>
      <c r="U452" s="27">
        <v>9657513435</v>
      </c>
      <c r="V452" s="27" t="s">
        <v>52</v>
      </c>
    </row>
    <row r="453" spans="1:22" ht="15" thickBot="1" x14ac:dyDescent="0.4">
      <c r="A453" s="30" t="s">
        <v>564</v>
      </c>
      <c r="B453" s="30" t="s">
        <v>23</v>
      </c>
      <c r="C453" s="30" t="s">
        <v>68</v>
      </c>
      <c r="D453" s="31">
        <v>45689</v>
      </c>
      <c r="E453" s="31">
        <v>45694</v>
      </c>
      <c r="F453" s="30" t="s">
        <v>25</v>
      </c>
      <c r="G453" s="30" t="s">
        <v>26</v>
      </c>
      <c r="H453" s="31">
        <v>35538</v>
      </c>
      <c r="I453" s="30" t="s">
        <v>147</v>
      </c>
      <c r="J453" s="30" t="s">
        <v>148</v>
      </c>
      <c r="K453" s="30" t="s">
        <v>29</v>
      </c>
      <c r="L453" s="30" t="s">
        <v>70</v>
      </c>
      <c r="M453" s="30">
        <v>16</v>
      </c>
      <c r="N453" s="30">
        <v>3500</v>
      </c>
      <c r="O453" s="30">
        <v>5</v>
      </c>
      <c r="P453" s="30">
        <v>53200</v>
      </c>
      <c r="Q453" s="30">
        <v>1</v>
      </c>
      <c r="R453" s="30" t="s">
        <v>60</v>
      </c>
      <c r="S453" s="30" t="s">
        <v>50</v>
      </c>
      <c r="T453" s="30" t="s">
        <v>43</v>
      </c>
      <c r="U453" s="30">
        <v>9999406260</v>
      </c>
      <c r="V453" s="30" t="s">
        <v>53</v>
      </c>
    </row>
    <row r="454" spans="1:22" ht="29.5" thickBot="1" x14ac:dyDescent="0.4">
      <c r="A454" s="27" t="s">
        <v>565</v>
      </c>
      <c r="B454" s="27" t="s">
        <v>156</v>
      </c>
      <c r="C454" s="27" t="s">
        <v>105</v>
      </c>
      <c r="D454" s="28">
        <v>45710</v>
      </c>
      <c r="E454" s="28">
        <v>45720</v>
      </c>
      <c r="F454" s="27" t="s">
        <v>106</v>
      </c>
      <c r="G454" s="27" t="s">
        <v>58</v>
      </c>
      <c r="H454" s="28">
        <v>36308</v>
      </c>
      <c r="I454" s="27" t="s">
        <v>74</v>
      </c>
      <c r="J454" s="27" t="s">
        <v>75</v>
      </c>
      <c r="K454" s="27" t="s">
        <v>29</v>
      </c>
      <c r="L454" s="27" t="s">
        <v>107</v>
      </c>
      <c r="M454" s="27">
        <v>12</v>
      </c>
      <c r="N454" s="27">
        <v>8500</v>
      </c>
      <c r="O454" s="27">
        <v>10</v>
      </c>
      <c r="P454" s="27">
        <v>91800</v>
      </c>
      <c r="Q454" s="27">
        <v>3</v>
      </c>
      <c r="R454" s="27" t="s">
        <v>60</v>
      </c>
      <c r="S454" s="27" t="s">
        <v>32</v>
      </c>
      <c r="T454" s="27" t="s">
        <v>158</v>
      </c>
      <c r="U454" s="27">
        <v>9233727886</v>
      </c>
      <c r="V454" s="21" t="s">
        <v>34</v>
      </c>
    </row>
    <row r="455" spans="1:22" ht="15" thickBot="1" x14ac:dyDescent="0.4">
      <c r="A455" s="30" t="s">
        <v>566</v>
      </c>
      <c r="B455" s="30" t="s">
        <v>23</v>
      </c>
      <c r="C455" s="30" t="s">
        <v>82</v>
      </c>
      <c r="D455" s="31">
        <v>45765</v>
      </c>
      <c r="E455" s="31">
        <v>45767</v>
      </c>
      <c r="F455" s="30" t="s">
        <v>25</v>
      </c>
      <c r="G455" s="30" t="s">
        <v>26</v>
      </c>
      <c r="H455" s="31">
        <v>30492</v>
      </c>
      <c r="I455" s="30" t="s">
        <v>91</v>
      </c>
      <c r="J455" s="30" t="s">
        <v>75</v>
      </c>
      <c r="K455" s="30" t="s">
        <v>83</v>
      </c>
      <c r="L455" s="30" t="s">
        <v>84</v>
      </c>
      <c r="M455" s="30">
        <v>1</v>
      </c>
      <c r="N455" s="30">
        <v>60</v>
      </c>
      <c r="O455" s="30">
        <v>20</v>
      </c>
      <c r="P455" s="30">
        <v>48</v>
      </c>
      <c r="Q455" s="30">
        <v>2</v>
      </c>
      <c r="R455" s="30" t="s">
        <v>60</v>
      </c>
      <c r="S455" s="30" t="s">
        <v>96</v>
      </c>
      <c r="T455" s="30" t="s">
        <v>43</v>
      </c>
      <c r="U455" s="30">
        <v>9831688801</v>
      </c>
      <c r="V455" s="22" t="s">
        <v>34</v>
      </c>
    </row>
    <row r="456" spans="1:22" ht="15" thickBot="1" x14ac:dyDescent="0.4">
      <c r="A456" s="27" t="s">
        <v>567</v>
      </c>
      <c r="B456" s="27" t="s">
        <v>87</v>
      </c>
      <c r="C456" s="27" t="s">
        <v>82</v>
      </c>
      <c r="D456" s="28">
        <v>45967</v>
      </c>
      <c r="E456" s="28">
        <v>45972</v>
      </c>
      <c r="F456" s="27" t="s">
        <v>88</v>
      </c>
      <c r="G456" s="27" t="s">
        <v>58</v>
      </c>
      <c r="H456" s="28">
        <v>33995</v>
      </c>
      <c r="I456" s="27" t="s">
        <v>27</v>
      </c>
      <c r="J456" s="27" t="s">
        <v>28</v>
      </c>
      <c r="K456" s="27" t="s">
        <v>83</v>
      </c>
      <c r="L456" s="27" t="s">
        <v>84</v>
      </c>
      <c r="M456" s="27">
        <v>3</v>
      </c>
      <c r="N456" s="27">
        <v>60</v>
      </c>
      <c r="O456" s="27">
        <v>15</v>
      </c>
      <c r="P456" s="27">
        <v>153</v>
      </c>
      <c r="Q456" s="27">
        <v>4</v>
      </c>
      <c r="R456" s="27" t="s">
        <v>60</v>
      </c>
      <c r="S456" s="27" t="s">
        <v>32</v>
      </c>
      <c r="T456" s="27" t="s">
        <v>89</v>
      </c>
      <c r="U456" s="27">
        <v>9982849508</v>
      </c>
      <c r="V456" s="21" t="s">
        <v>34</v>
      </c>
    </row>
    <row r="457" spans="1:22" ht="15" thickBot="1" x14ac:dyDescent="0.4">
      <c r="A457" s="30" t="s">
        <v>568</v>
      </c>
      <c r="B457" s="30" t="s">
        <v>72</v>
      </c>
      <c r="C457" s="30" t="s">
        <v>112</v>
      </c>
      <c r="D457" s="31">
        <v>45736</v>
      </c>
      <c r="E457" s="31">
        <v>45741</v>
      </c>
      <c r="F457" s="30" t="s">
        <v>73</v>
      </c>
      <c r="G457" s="30" t="s">
        <v>26</v>
      </c>
      <c r="H457" s="31">
        <v>28917</v>
      </c>
      <c r="I457" s="30" t="s">
        <v>147</v>
      </c>
      <c r="J457" s="30" t="s">
        <v>148</v>
      </c>
      <c r="K457" s="30" t="s">
        <v>39</v>
      </c>
      <c r="L457" s="30" t="s">
        <v>114</v>
      </c>
      <c r="M457" s="30">
        <v>10</v>
      </c>
      <c r="N457" s="30">
        <v>700</v>
      </c>
      <c r="O457" s="30">
        <v>15</v>
      </c>
      <c r="P457" s="30">
        <v>5950</v>
      </c>
      <c r="Q457" s="30">
        <v>3</v>
      </c>
      <c r="R457" s="30" t="s">
        <v>41</v>
      </c>
      <c r="S457" s="30" t="s">
        <v>32</v>
      </c>
      <c r="T457" s="30" t="s">
        <v>93</v>
      </c>
      <c r="U457" s="30">
        <v>9288309246</v>
      </c>
      <c r="V457" s="30" t="s">
        <v>52</v>
      </c>
    </row>
    <row r="458" spans="1:22" ht="15" thickBot="1" x14ac:dyDescent="0.4">
      <c r="A458" s="27" t="s">
        <v>569</v>
      </c>
      <c r="B458" s="27" t="s">
        <v>63</v>
      </c>
      <c r="C458" s="27" t="s">
        <v>125</v>
      </c>
      <c r="D458" s="28">
        <v>45952</v>
      </c>
      <c r="E458" s="28">
        <v>45955</v>
      </c>
      <c r="F458" s="27" t="s">
        <v>110</v>
      </c>
      <c r="G458" s="27" t="s">
        <v>58</v>
      </c>
      <c r="H458" s="28">
        <v>28016</v>
      </c>
      <c r="I458" s="27" t="s">
        <v>91</v>
      </c>
      <c r="J458" s="27" t="s">
        <v>75</v>
      </c>
      <c r="K458" s="27" t="s">
        <v>83</v>
      </c>
      <c r="L458" s="27" t="s">
        <v>127</v>
      </c>
      <c r="M458" s="27">
        <v>2</v>
      </c>
      <c r="N458" s="27">
        <v>20</v>
      </c>
      <c r="O458" s="27">
        <v>10</v>
      </c>
      <c r="P458" s="27">
        <v>36</v>
      </c>
      <c r="Q458" s="27">
        <v>2</v>
      </c>
      <c r="R458" s="27" t="s">
        <v>65</v>
      </c>
      <c r="S458" s="27" t="s">
        <v>50</v>
      </c>
      <c r="T458" s="27" t="s">
        <v>66</v>
      </c>
      <c r="U458" s="27">
        <v>9808476235</v>
      </c>
      <c r="V458" s="21" t="s">
        <v>34</v>
      </c>
    </row>
    <row r="459" spans="1:22" ht="15" thickBot="1" x14ac:dyDescent="0.4">
      <c r="A459" s="30" t="s">
        <v>570</v>
      </c>
      <c r="B459" s="30" t="s">
        <v>63</v>
      </c>
      <c r="C459" s="30" t="s">
        <v>125</v>
      </c>
      <c r="D459" s="31">
        <v>46022</v>
      </c>
      <c r="E459" s="31">
        <v>46027</v>
      </c>
      <c r="F459" s="30" t="s">
        <v>110</v>
      </c>
      <c r="G459" s="30" t="s">
        <v>58</v>
      </c>
      <c r="H459" s="31">
        <v>33446</v>
      </c>
      <c r="I459" s="30" t="s">
        <v>37</v>
      </c>
      <c r="J459" s="30" t="s">
        <v>38</v>
      </c>
      <c r="K459" s="30" t="s">
        <v>83</v>
      </c>
      <c r="L459" s="30" t="s">
        <v>127</v>
      </c>
      <c r="M459" s="30">
        <v>14</v>
      </c>
      <c r="N459" s="30">
        <v>20</v>
      </c>
      <c r="O459" s="30">
        <v>20</v>
      </c>
      <c r="P459" s="30">
        <v>224</v>
      </c>
      <c r="Q459" s="30">
        <v>5</v>
      </c>
      <c r="R459" s="30" t="s">
        <v>31</v>
      </c>
      <c r="S459" s="30" t="s">
        <v>96</v>
      </c>
      <c r="T459" s="30" t="s">
        <v>66</v>
      </c>
      <c r="U459" s="30">
        <v>9869056117</v>
      </c>
      <c r="V459" s="30" t="s">
        <v>52</v>
      </c>
    </row>
    <row r="460" spans="1:22" ht="29.5" thickBot="1" x14ac:dyDescent="0.4">
      <c r="A460" s="27" t="s">
        <v>571</v>
      </c>
      <c r="B460" s="27" t="s">
        <v>156</v>
      </c>
      <c r="C460" s="27" t="s">
        <v>68</v>
      </c>
      <c r="D460" s="28">
        <v>45829</v>
      </c>
      <c r="E460" s="28">
        <v>45833</v>
      </c>
      <c r="F460" s="27" t="s">
        <v>106</v>
      </c>
      <c r="G460" s="27" t="s">
        <v>58</v>
      </c>
      <c r="H460" s="28">
        <v>32075</v>
      </c>
      <c r="I460" s="27" t="s">
        <v>91</v>
      </c>
      <c r="J460" s="27" t="s">
        <v>75</v>
      </c>
      <c r="K460" s="27" t="s">
        <v>29</v>
      </c>
      <c r="L460" s="27" t="s">
        <v>70</v>
      </c>
      <c r="M460" s="27">
        <v>4</v>
      </c>
      <c r="N460" s="27">
        <v>3500</v>
      </c>
      <c r="O460" s="27">
        <v>0</v>
      </c>
      <c r="P460" s="27">
        <v>14000</v>
      </c>
      <c r="Q460" s="27">
        <v>2</v>
      </c>
      <c r="R460" s="27" t="s">
        <v>65</v>
      </c>
      <c r="S460" s="27" t="s">
        <v>32</v>
      </c>
      <c r="T460" s="27" t="s">
        <v>158</v>
      </c>
      <c r="U460" s="27">
        <v>9734229772</v>
      </c>
      <c r="V460" s="27" t="s">
        <v>53</v>
      </c>
    </row>
    <row r="461" spans="1:22" ht="15" thickBot="1" x14ac:dyDescent="0.4">
      <c r="A461" s="30" t="s">
        <v>572</v>
      </c>
      <c r="B461" s="30" t="s">
        <v>63</v>
      </c>
      <c r="C461" s="30" t="s">
        <v>68</v>
      </c>
      <c r="D461" s="31">
        <v>45812</v>
      </c>
      <c r="E461" s="31">
        <v>45813</v>
      </c>
      <c r="F461" s="30" t="s">
        <v>110</v>
      </c>
      <c r="G461" s="30" t="s">
        <v>58</v>
      </c>
      <c r="H461" s="31">
        <v>30629</v>
      </c>
      <c r="I461" s="30" t="s">
        <v>121</v>
      </c>
      <c r="J461" s="30" t="s">
        <v>38</v>
      </c>
      <c r="K461" s="30" t="s">
        <v>29</v>
      </c>
      <c r="L461" s="30" t="s">
        <v>70</v>
      </c>
      <c r="M461" s="30">
        <v>9</v>
      </c>
      <c r="N461" s="30">
        <v>3500</v>
      </c>
      <c r="O461" s="30">
        <v>5</v>
      </c>
      <c r="P461" s="30">
        <v>29925</v>
      </c>
      <c r="Q461" s="30">
        <v>3</v>
      </c>
      <c r="R461" s="30" t="s">
        <v>60</v>
      </c>
      <c r="S461" s="30" t="s">
        <v>50</v>
      </c>
      <c r="T461" s="30" t="s">
        <v>66</v>
      </c>
      <c r="U461" s="30">
        <v>9791617906</v>
      </c>
      <c r="V461" s="22" t="s">
        <v>34</v>
      </c>
    </row>
    <row r="462" spans="1:22" ht="15" thickBot="1" x14ac:dyDescent="0.4">
      <c r="A462" s="27" t="s">
        <v>573</v>
      </c>
      <c r="B462" s="27" t="s">
        <v>87</v>
      </c>
      <c r="C462" s="27" t="s">
        <v>82</v>
      </c>
      <c r="D462" s="28">
        <v>45807</v>
      </c>
      <c r="E462" s="28">
        <v>45811</v>
      </c>
      <c r="F462" s="27" t="s">
        <v>88</v>
      </c>
      <c r="G462" s="27" t="s">
        <v>58</v>
      </c>
      <c r="H462" s="28">
        <v>30678</v>
      </c>
      <c r="I462" s="27" t="s">
        <v>74</v>
      </c>
      <c r="J462" s="27" t="s">
        <v>75</v>
      </c>
      <c r="K462" s="27" t="s">
        <v>83</v>
      </c>
      <c r="L462" s="27" t="s">
        <v>84</v>
      </c>
      <c r="M462" s="27">
        <v>9</v>
      </c>
      <c r="N462" s="27">
        <v>60</v>
      </c>
      <c r="O462" s="27">
        <v>0</v>
      </c>
      <c r="P462" s="27">
        <v>540</v>
      </c>
      <c r="Q462" s="27">
        <v>3</v>
      </c>
      <c r="R462" s="27" t="s">
        <v>65</v>
      </c>
      <c r="S462" s="27" t="s">
        <v>32</v>
      </c>
      <c r="T462" s="27" t="s">
        <v>89</v>
      </c>
      <c r="U462" s="27">
        <v>9286316823</v>
      </c>
      <c r="V462" s="27" t="s">
        <v>52</v>
      </c>
    </row>
    <row r="463" spans="1:22" ht="15" thickBot="1" x14ac:dyDescent="0.4">
      <c r="A463" s="30" t="s">
        <v>574</v>
      </c>
      <c r="B463" s="30" t="s">
        <v>104</v>
      </c>
      <c r="C463" s="30" t="s">
        <v>56</v>
      </c>
      <c r="D463" s="31">
        <v>45779</v>
      </c>
      <c r="E463" s="31">
        <v>45780</v>
      </c>
      <c r="F463" s="30" t="s">
        <v>166</v>
      </c>
      <c r="G463" s="30" t="s">
        <v>26</v>
      </c>
      <c r="H463" s="31">
        <v>33862</v>
      </c>
      <c r="I463" s="30" t="s">
        <v>91</v>
      </c>
      <c r="J463" s="30" t="s">
        <v>75</v>
      </c>
      <c r="K463" s="30" t="s">
        <v>39</v>
      </c>
      <c r="L463" s="30" t="s">
        <v>59</v>
      </c>
      <c r="M463" s="30">
        <v>4</v>
      </c>
      <c r="N463" s="30">
        <v>1200</v>
      </c>
      <c r="O463" s="30">
        <v>0</v>
      </c>
      <c r="P463" s="30">
        <v>4800</v>
      </c>
      <c r="Q463" s="30">
        <v>1</v>
      </c>
      <c r="R463" s="30" t="s">
        <v>41</v>
      </c>
      <c r="S463" s="30" t="s">
        <v>50</v>
      </c>
      <c r="T463" s="30" t="s">
        <v>108</v>
      </c>
      <c r="U463" s="30">
        <v>9810569252</v>
      </c>
      <c r="V463" s="22" t="s">
        <v>34</v>
      </c>
    </row>
    <row r="464" spans="1:22" ht="15" thickBot="1" x14ac:dyDescent="0.4">
      <c r="A464" s="27" t="s">
        <v>575</v>
      </c>
      <c r="B464" s="27" t="s">
        <v>45</v>
      </c>
      <c r="C464" s="27" t="s">
        <v>46</v>
      </c>
      <c r="D464" s="28">
        <v>45691</v>
      </c>
      <c r="E464" s="28">
        <v>45701</v>
      </c>
      <c r="F464" s="27" t="s">
        <v>101</v>
      </c>
      <c r="G464" s="27" t="s">
        <v>26</v>
      </c>
      <c r="H464" s="28">
        <v>36381</v>
      </c>
      <c r="I464" s="27" t="s">
        <v>27</v>
      </c>
      <c r="J464" s="27" t="s">
        <v>28</v>
      </c>
      <c r="K464" s="27" t="s">
        <v>39</v>
      </c>
      <c r="L464" s="27" t="s">
        <v>49</v>
      </c>
      <c r="M464" s="27">
        <v>10</v>
      </c>
      <c r="N464" s="27">
        <v>55000</v>
      </c>
      <c r="O464" s="27">
        <v>5</v>
      </c>
      <c r="P464" s="27">
        <v>522500</v>
      </c>
      <c r="Q464" s="27">
        <v>5</v>
      </c>
      <c r="R464" s="27" t="s">
        <v>65</v>
      </c>
      <c r="S464" s="27" t="s">
        <v>80</v>
      </c>
      <c r="T464" s="27" t="s">
        <v>51</v>
      </c>
      <c r="U464" s="27">
        <v>9771745925</v>
      </c>
      <c r="V464" s="21" t="s">
        <v>34</v>
      </c>
    </row>
    <row r="465" spans="1:22" ht="15" thickBot="1" x14ac:dyDescent="0.4">
      <c r="A465" s="30" t="s">
        <v>576</v>
      </c>
      <c r="B465" s="30" t="s">
        <v>124</v>
      </c>
      <c r="C465" s="30" t="s">
        <v>138</v>
      </c>
      <c r="D465" s="31">
        <v>45837</v>
      </c>
      <c r="E465" s="31">
        <v>45844</v>
      </c>
      <c r="F465" s="30" t="s">
        <v>126</v>
      </c>
      <c r="G465" s="30" t="s">
        <v>58</v>
      </c>
      <c r="H465" s="31">
        <v>32931</v>
      </c>
      <c r="I465" s="30" t="s">
        <v>27</v>
      </c>
      <c r="J465" s="30" t="s">
        <v>28</v>
      </c>
      <c r="K465" s="30" t="s">
        <v>83</v>
      </c>
      <c r="L465" s="30" t="s">
        <v>139</v>
      </c>
      <c r="M465" s="30">
        <v>20</v>
      </c>
      <c r="N465" s="30">
        <v>45</v>
      </c>
      <c r="O465" s="30">
        <v>15</v>
      </c>
      <c r="P465" s="30">
        <v>765</v>
      </c>
      <c r="Q465" s="30">
        <v>2</v>
      </c>
      <c r="R465" s="30" t="s">
        <v>60</v>
      </c>
      <c r="S465" s="30" t="s">
        <v>32</v>
      </c>
      <c r="T465" s="30" t="s">
        <v>128</v>
      </c>
      <c r="U465" s="30">
        <v>9820683063</v>
      </c>
      <c r="V465" s="30" t="s">
        <v>53</v>
      </c>
    </row>
    <row r="466" spans="1:22" ht="15" thickBot="1" x14ac:dyDescent="0.4">
      <c r="A466" s="27" t="s">
        <v>577</v>
      </c>
      <c r="B466" s="27" t="s">
        <v>23</v>
      </c>
      <c r="C466" s="27" t="s">
        <v>125</v>
      </c>
      <c r="D466" s="28">
        <v>46065</v>
      </c>
      <c r="E466" s="28">
        <v>46075</v>
      </c>
      <c r="F466" s="27" t="s">
        <v>25</v>
      </c>
      <c r="G466" s="27" t="s">
        <v>26</v>
      </c>
      <c r="H466" s="28">
        <v>34420</v>
      </c>
      <c r="I466" s="27" t="s">
        <v>74</v>
      </c>
      <c r="J466" s="27" t="s">
        <v>75</v>
      </c>
      <c r="K466" s="27" t="s">
        <v>83</v>
      </c>
      <c r="L466" s="27" t="s">
        <v>127</v>
      </c>
      <c r="M466" s="27">
        <v>9</v>
      </c>
      <c r="N466" s="27">
        <v>20</v>
      </c>
      <c r="O466" s="27">
        <v>20</v>
      </c>
      <c r="P466" s="27">
        <v>144</v>
      </c>
      <c r="Q466" s="27">
        <v>3</v>
      </c>
      <c r="R466" s="27" t="s">
        <v>60</v>
      </c>
      <c r="S466" s="27" t="s">
        <v>50</v>
      </c>
      <c r="T466" s="27" t="s">
        <v>43</v>
      </c>
      <c r="U466" s="27">
        <v>9292891941</v>
      </c>
      <c r="V466" s="21" t="s">
        <v>34</v>
      </c>
    </row>
    <row r="467" spans="1:22" ht="15" thickBot="1" x14ac:dyDescent="0.4">
      <c r="A467" s="30" t="s">
        <v>578</v>
      </c>
      <c r="B467" s="30" t="s">
        <v>23</v>
      </c>
      <c r="C467" s="30" t="s">
        <v>46</v>
      </c>
      <c r="D467" s="31">
        <v>45719</v>
      </c>
      <c r="E467" s="31">
        <v>45730</v>
      </c>
      <c r="F467" s="30" t="s">
        <v>25</v>
      </c>
      <c r="G467" s="30" t="s">
        <v>26</v>
      </c>
      <c r="H467" s="31">
        <v>29383</v>
      </c>
      <c r="I467" s="30" t="s">
        <v>79</v>
      </c>
      <c r="J467" s="30" t="s">
        <v>75</v>
      </c>
      <c r="K467" s="30" t="s">
        <v>39</v>
      </c>
      <c r="L467" s="30" t="s">
        <v>49</v>
      </c>
      <c r="M467" s="30">
        <v>8</v>
      </c>
      <c r="N467" s="30">
        <v>55000</v>
      </c>
      <c r="O467" s="30">
        <v>0</v>
      </c>
      <c r="P467" s="30">
        <v>440000</v>
      </c>
      <c r="Q467" s="30">
        <v>4</v>
      </c>
      <c r="R467" s="30" t="s">
        <v>31</v>
      </c>
      <c r="S467" s="30" t="s">
        <v>80</v>
      </c>
      <c r="T467" s="30" t="s">
        <v>43</v>
      </c>
      <c r="U467" s="30">
        <v>9413789556</v>
      </c>
      <c r="V467" s="22" t="s">
        <v>34</v>
      </c>
    </row>
    <row r="468" spans="1:22" ht="29.5" thickBot="1" x14ac:dyDescent="0.4">
      <c r="A468" s="27" t="s">
        <v>579</v>
      </c>
      <c r="B468" s="27" t="s">
        <v>156</v>
      </c>
      <c r="C468" s="27" t="s">
        <v>56</v>
      </c>
      <c r="D468" s="28">
        <v>46136</v>
      </c>
      <c r="E468" s="28">
        <v>46140</v>
      </c>
      <c r="F468" s="27" t="s">
        <v>106</v>
      </c>
      <c r="G468" s="27" t="s">
        <v>58</v>
      </c>
      <c r="H468" s="28">
        <v>36687</v>
      </c>
      <c r="I468" s="27" t="s">
        <v>91</v>
      </c>
      <c r="J468" s="27" t="s">
        <v>75</v>
      </c>
      <c r="K468" s="27" t="s">
        <v>39</v>
      </c>
      <c r="L468" s="27" t="s">
        <v>59</v>
      </c>
      <c r="M468" s="27">
        <v>4</v>
      </c>
      <c r="N468" s="27">
        <v>1200</v>
      </c>
      <c r="O468" s="27">
        <v>10</v>
      </c>
      <c r="P468" s="27">
        <v>4320</v>
      </c>
      <c r="Q468" s="27">
        <v>4</v>
      </c>
      <c r="R468" s="27" t="s">
        <v>65</v>
      </c>
      <c r="S468" s="27" t="s">
        <v>32</v>
      </c>
      <c r="T468" s="29" t="s">
        <v>580</v>
      </c>
      <c r="U468" s="27">
        <v>98765</v>
      </c>
      <c r="V468" s="27" t="s">
        <v>53</v>
      </c>
    </row>
    <row r="469" spans="1:22" ht="29.5" thickBot="1" x14ac:dyDescent="0.4">
      <c r="A469" s="30" t="s">
        <v>581</v>
      </c>
      <c r="B469" s="30" t="s">
        <v>156</v>
      </c>
      <c r="C469" s="30" t="s">
        <v>105</v>
      </c>
      <c r="D469" s="31">
        <v>46145</v>
      </c>
      <c r="E469" s="31">
        <v>46155</v>
      </c>
      <c r="F469" s="30" t="s">
        <v>106</v>
      </c>
      <c r="G469" s="30" t="s">
        <v>58</v>
      </c>
      <c r="H469" s="31">
        <v>35906</v>
      </c>
      <c r="I469" s="30" t="s">
        <v>147</v>
      </c>
      <c r="J469" s="30" t="s">
        <v>148</v>
      </c>
      <c r="K469" s="30" t="s">
        <v>29</v>
      </c>
      <c r="L469" s="30" t="s">
        <v>107</v>
      </c>
      <c r="M469" s="30">
        <v>14</v>
      </c>
      <c r="N469" s="30">
        <v>8500</v>
      </c>
      <c r="O469" s="30">
        <v>10</v>
      </c>
      <c r="P469" s="30">
        <v>107100</v>
      </c>
      <c r="Q469" s="30">
        <v>4</v>
      </c>
      <c r="R469" s="30" t="s">
        <v>31</v>
      </c>
      <c r="S469" s="30" t="s">
        <v>32</v>
      </c>
      <c r="T469" s="30" t="s">
        <v>158</v>
      </c>
      <c r="U469" s="30">
        <v>9211936331</v>
      </c>
      <c r="V469" s="22" t="s">
        <v>34</v>
      </c>
    </row>
    <row r="470" spans="1:22" ht="15" thickBot="1" x14ac:dyDescent="0.4">
      <c r="A470" s="27" t="s">
        <v>582</v>
      </c>
      <c r="B470" s="27" t="s">
        <v>55</v>
      </c>
      <c r="C470" s="27" t="s">
        <v>138</v>
      </c>
      <c r="D470" s="28">
        <v>45807</v>
      </c>
      <c r="E470" s="28">
        <v>45815</v>
      </c>
      <c r="F470" s="27" t="s">
        <v>57</v>
      </c>
      <c r="G470" s="27" t="s">
        <v>58</v>
      </c>
      <c r="H470" s="28">
        <v>30812</v>
      </c>
      <c r="I470" s="27" t="s">
        <v>27</v>
      </c>
      <c r="J470" s="27" t="s">
        <v>28</v>
      </c>
      <c r="K470" s="27" t="s">
        <v>83</v>
      </c>
      <c r="L470" s="27" t="s">
        <v>139</v>
      </c>
      <c r="M470" s="27">
        <v>1</v>
      </c>
      <c r="N470" s="27">
        <v>45</v>
      </c>
      <c r="O470" s="27">
        <v>0</v>
      </c>
      <c r="P470" s="27">
        <v>45</v>
      </c>
      <c r="Q470" s="27">
        <v>3</v>
      </c>
      <c r="R470" s="27" t="s">
        <v>65</v>
      </c>
      <c r="S470" s="27" t="s">
        <v>96</v>
      </c>
      <c r="T470" s="27" t="s">
        <v>61</v>
      </c>
      <c r="U470" s="27">
        <v>9167291747</v>
      </c>
      <c r="V470" s="27" t="s">
        <v>53</v>
      </c>
    </row>
    <row r="471" spans="1:22" ht="15" thickBot="1" x14ac:dyDescent="0.4">
      <c r="A471" s="30" t="s">
        <v>583</v>
      </c>
      <c r="B471" s="30" t="s">
        <v>55</v>
      </c>
      <c r="C471" s="30" t="s">
        <v>46</v>
      </c>
      <c r="D471" s="31">
        <v>45705</v>
      </c>
      <c r="E471" s="31">
        <v>45716</v>
      </c>
      <c r="F471" s="30" t="s">
        <v>57</v>
      </c>
      <c r="G471" s="30" t="s">
        <v>58</v>
      </c>
      <c r="H471" s="31">
        <v>31692</v>
      </c>
      <c r="I471" s="30" t="s">
        <v>37</v>
      </c>
      <c r="J471" s="30" t="s">
        <v>38</v>
      </c>
      <c r="K471" s="30" t="s">
        <v>39</v>
      </c>
      <c r="L471" s="30" t="s">
        <v>49</v>
      </c>
      <c r="M471" s="30">
        <v>16</v>
      </c>
      <c r="N471" s="30">
        <v>55000</v>
      </c>
      <c r="O471" s="30">
        <v>15</v>
      </c>
      <c r="P471" s="30">
        <v>748000</v>
      </c>
      <c r="Q471" s="30">
        <v>1</v>
      </c>
      <c r="R471" s="30" t="s">
        <v>60</v>
      </c>
      <c r="S471" s="30" t="s">
        <v>96</v>
      </c>
      <c r="T471" s="30" t="s">
        <v>61</v>
      </c>
      <c r="U471" s="30">
        <v>9637283597</v>
      </c>
      <c r="V471" s="30" t="s">
        <v>53</v>
      </c>
    </row>
    <row r="472" spans="1:22" ht="15" thickBot="1" x14ac:dyDescent="0.4">
      <c r="A472" s="27" t="s">
        <v>584</v>
      </c>
      <c r="B472" s="27" t="s">
        <v>45</v>
      </c>
      <c r="C472" s="27" t="s">
        <v>112</v>
      </c>
      <c r="D472" s="28">
        <v>46103</v>
      </c>
      <c r="E472" s="28">
        <v>46110</v>
      </c>
      <c r="F472" s="27" t="s">
        <v>101</v>
      </c>
      <c r="G472" s="27" t="s">
        <v>26</v>
      </c>
      <c r="H472" s="28">
        <v>37926</v>
      </c>
      <c r="I472" s="27" t="s">
        <v>91</v>
      </c>
      <c r="J472" s="27" t="s">
        <v>75</v>
      </c>
      <c r="K472" s="27" t="s">
        <v>39</v>
      </c>
      <c r="L472" s="27" t="s">
        <v>114</v>
      </c>
      <c r="M472" s="27">
        <v>8</v>
      </c>
      <c r="N472" s="27">
        <v>700</v>
      </c>
      <c r="O472" s="27">
        <v>0</v>
      </c>
      <c r="P472" s="27">
        <v>5600</v>
      </c>
      <c r="Q472" s="27">
        <v>3</v>
      </c>
      <c r="R472" s="27" t="s">
        <v>31</v>
      </c>
      <c r="S472" s="27" t="s">
        <v>42</v>
      </c>
      <c r="T472" s="27" t="s">
        <v>51</v>
      </c>
      <c r="U472" s="27">
        <v>9514269002</v>
      </c>
      <c r="V472" s="21" t="s">
        <v>34</v>
      </c>
    </row>
    <row r="473" spans="1:22" ht="15" thickBot="1" x14ac:dyDescent="0.4">
      <c r="A473" s="30" t="s">
        <v>585</v>
      </c>
      <c r="B473" s="30" t="s">
        <v>134</v>
      </c>
      <c r="C473" s="30" t="s">
        <v>56</v>
      </c>
      <c r="D473" s="31">
        <v>46114</v>
      </c>
      <c r="E473" s="31">
        <v>46125</v>
      </c>
      <c r="F473" s="30" t="s">
        <v>135</v>
      </c>
      <c r="G473" s="30" t="s">
        <v>26</v>
      </c>
      <c r="H473" s="31">
        <v>37782</v>
      </c>
      <c r="I473" s="30" t="s">
        <v>91</v>
      </c>
      <c r="J473" s="30" t="s">
        <v>75</v>
      </c>
      <c r="K473" s="30" t="s">
        <v>39</v>
      </c>
      <c r="L473" s="30" t="s">
        <v>59</v>
      </c>
      <c r="M473" s="30">
        <v>3</v>
      </c>
      <c r="N473" s="30">
        <v>1200</v>
      </c>
      <c r="O473" s="30">
        <v>0</v>
      </c>
      <c r="P473" s="30">
        <v>3600</v>
      </c>
      <c r="Q473" s="30">
        <v>1</v>
      </c>
      <c r="R473" s="30" t="s">
        <v>60</v>
      </c>
      <c r="S473" s="30" t="s">
        <v>42</v>
      </c>
      <c r="T473" s="30" t="s">
        <v>136</v>
      </c>
      <c r="U473" s="30">
        <v>9778908233</v>
      </c>
      <c r="V473" s="30" t="s">
        <v>53</v>
      </c>
    </row>
    <row r="474" spans="1:22" ht="15" thickBot="1" x14ac:dyDescent="0.4">
      <c r="A474" s="27" t="s">
        <v>586</v>
      </c>
      <c r="B474" s="27" t="s">
        <v>55</v>
      </c>
      <c r="C474" s="27" t="s">
        <v>68</v>
      </c>
      <c r="D474" s="28">
        <v>45706</v>
      </c>
      <c r="E474" s="28">
        <v>45714</v>
      </c>
      <c r="F474" s="27" t="s">
        <v>57</v>
      </c>
      <c r="G474" s="27" t="s">
        <v>58</v>
      </c>
      <c r="H474" s="28">
        <v>32959</v>
      </c>
      <c r="I474" s="27" t="s">
        <v>147</v>
      </c>
      <c r="J474" s="27" t="s">
        <v>148</v>
      </c>
      <c r="K474" s="27" t="s">
        <v>29</v>
      </c>
      <c r="L474" s="27" t="s">
        <v>70</v>
      </c>
      <c r="M474" s="27">
        <v>7</v>
      </c>
      <c r="N474" s="27">
        <v>3500</v>
      </c>
      <c r="O474" s="27">
        <v>15</v>
      </c>
      <c r="P474" s="27">
        <v>20825</v>
      </c>
      <c r="Q474" s="27">
        <v>4</v>
      </c>
      <c r="R474" s="27" t="s">
        <v>60</v>
      </c>
      <c r="S474" s="27" t="s">
        <v>50</v>
      </c>
      <c r="T474" s="27" t="s">
        <v>61</v>
      </c>
      <c r="U474" s="27">
        <v>9981118755</v>
      </c>
      <c r="V474" s="27" t="s">
        <v>52</v>
      </c>
    </row>
    <row r="475" spans="1:22" ht="15" thickBot="1" x14ac:dyDescent="0.4">
      <c r="A475" s="30" t="s">
        <v>587</v>
      </c>
      <c r="B475" s="30" t="s">
        <v>45</v>
      </c>
      <c r="C475" s="30" t="s">
        <v>46</v>
      </c>
      <c r="D475" s="31">
        <v>46110</v>
      </c>
      <c r="E475" s="31">
        <v>46116</v>
      </c>
      <c r="F475" s="30" t="s">
        <v>101</v>
      </c>
      <c r="G475" s="30" t="s">
        <v>26</v>
      </c>
      <c r="H475" s="31">
        <v>37769</v>
      </c>
      <c r="I475" s="30" t="s">
        <v>79</v>
      </c>
      <c r="J475" s="30" t="s">
        <v>75</v>
      </c>
      <c r="K475" s="30" t="s">
        <v>39</v>
      </c>
      <c r="L475" s="30" t="s">
        <v>49</v>
      </c>
      <c r="M475" s="30">
        <v>9</v>
      </c>
      <c r="N475" s="30">
        <v>55000</v>
      </c>
      <c r="O475" s="30">
        <v>15</v>
      </c>
      <c r="P475" s="30">
        <v>420750</v>
      </c>
      <c r="Q475" s="30">
        <v>3</v>
      </c>
      <c r="R475" s="30" t="s">
        <v>65</v>
      </c>
      <c r="S475" s="30" t="s">
        <v>32</v>
      </c>
      <c r="T475" s="30" t="s">
        <v>51</v>
      </c>
      <c r="U475" s="30">
        <v>9887896743</v>
      </c>
      <c r="V475" s="30" t="s">
        <v>53</v>
      </c>
    </row>
    <row r="476" spans="1:22" ht="29.5" thickBot="1" x14ac:dyDescent="0.4">
      <c r="A476" s="27" t="s">
        <v>588</v>
      </c>
      <c r="B476" s="27" t="s">
        <v>156</v>
      </c>
      <c r="C476" s="27" t="s">
        <v>36</v>
      </c>
      <c r="D476" s="28">
        <v>45992</v>
      </c>
      <c r="E476" s="28">
        <v>45993</v>
      </c>
      <c r="F476" s="27" t="s">
        <v>106</v>
      </c>
      <c r="G476" s="27" t="s">
        <v>58</v>
      </c>
      <c r="H476" s="28">
        <v>34006</v>
      </c>
      <c r="I476" s="27" t="s">
        <v>48</v>
      </c>
      <c r="J476" s="27" t="s">
        <v>28</v>
      </c>
      <c r="K476" s="27" t="s">
        <v>39</v>
      </c>
      <c r="L476" s="27" t="s">
        <v>40</v>
      </c>
      <c r="M476" s="27">
        <v>12</v>
      </c>
      <c r="N476" s="27">
        <v>12000</v>
      </c>
      <c r="O476" s="27">
        <v>0</v>
      </c>
      <c r="P476" s="27">
        <v>144000</v>
      </c>
      <c r="Q476" s="27">
        <v>3</v>
      </c>
      <c r="R476" s="27" t="s">
        <v>60</v>
      </c>
      <c r="S476" s="27" t="s">
        <v>96</v>
      </c>
      <c r="T476" s="27" t="s">
        <v>158</v>
      </c>
      <c r="U476" s="27">
        <v>9585330043</v>
      </c>
      <c r="V476" s="27" t="s">
        <v>53</v>
      </c>
    </row>
    <row r="477" spans="1:22" ht="15" thickBot="1" x14ac:dyDescent="0.4">
      <c r="A477" s="30" t="s">
        <v>589</v>
      </c>
      <c r="B477" s="30" t="s">
        <v>72</v>
      </c>
      <c r="C477" s="30" t="s">
        <v>82</v>
      </c>
      <c r="D477" s="31">
        <v>45781</v>
      </c>
      <c r="E477" s="31">
        <v>45788</v>
      </c>
      <c r="F477" s="30" t="s">
        <v>73</v>
      </c>
      <c r="G477" s="30" t="s">
        <v>26</v>
      </c>
      <c r="H477" s="31">
        <v>27639</v>
      </c>
      <c r="I477" s="30" t="s">
        <v>91</v>
      </c>
      <c r="J477" s="30" t="s">
        <v>75</v>
      </c>
      <c r="K477" s="30" t="s">
        <v>83</v>
      </c>
      <c r="L477" s="30" t="s">
        <v>84</v>
      </c>
      <c r="M477" s="30">
        <v>7</v>
      </c>
      <c r="N477" s="30">
        <v>60</v>
      </c>
      <c r="O477" s="30">
        <v>10</v>
      </c>
      <c r="P477" s="30">
        <v>378</v>
      </c>
      <c r="Q477" s="30">
        <v>4</v>
      </c>
      <c r="R477" s="30" t="s">
        <v>31</v>
      </c>
      <c r="S477" s="30" t="s">
        <v>42</v>
      </c>
      <c r="T477" s="30" t="s">
        <v>93</v>
      </c>
      <c r="U477" s="30">
        <v>9423719975</v>
      </c>
      <c r="V477" s="30" t="s">
        <v>53</v>
      </c>
    </row>
    <row r="478" spans="1:22" ht="15" thickBot="1" x14ac:dyDescent="0.4">
      <c r="A478" s="27" t="s">
        <v>590</v>
      </c>
      <c r="B478" s="27" t="s">
        <v>124</v>
      </c>
      <c r="C478" s="27" t="s">
        <v>24</v>
      </c>
      <c r="D478" s="28">
        <v>45892</v>
      </c>
      <c r="E478" s="28">
        <v>45900</v>
      </c>
      <c r="F478" s="27" t="s">
        <v>126</v>
      </c>
      <c r="G478" s="27" t="s">
        <v>58</v>
      </c>
      <c r="H478" s="28">
        <v>34586</v>
      </c>
      <c r="I478" s="27" t="s">
        <v>74</v>
      </c>
      <c r="J478" s="27" t="s">
        <v>75</v>
      </c>
      <c r="K478" s="27" t="s">
        <v>29</v>
      </c>
      <c r="L478" s="27" t="s">
        <v>30</v>
      </c>
      <c r="M478" s="27">
        <v>17</v>
      </c>
      <c r="N478" s="27">
        <v>2200</v>
      </c>
      <c r="O478" s="27">
        <v>15</v>
      </c>
      <c r="P478" s="27">
        <v>31790</v>
      </c>
      <c r="Q478" s="27">
        <v>3</v>
      </c>
      <c r="R478" s="27" t="s">
        <v>65</v>
      </c>
      <c r="S478" s="27" t="s">
        <v>96</v>
      </c>
      <c r="T478" s="27" t="s">
        <v>128</v>
      </c>
      <c r="U478" s="27">
        <v>9270746961</v>
      </c>
      <c r="V478" s="27" t="s">
        <v>52</v>
      </c>
    </row>
    <row r="479" spans="1:22" ht="29.5" thickBot="1" x14ac:dyDescent="0.4">
      <c r="A479" s="30" t="s">
        <v>591</v>
      </c>
      <c r="B479" s="30" t="s">
        <v>156</v>
      </c>
      <c r="C479" s="30" t="s">
        <v>112</v>
      </c>
      <c r="D479" s="31">
        <v>45988</v>
      </c>
      <c r="E479" s="31">
        <v>45997</v>
      </c>
      <c r="F479" s="30" t="s">
        <v>106</v>
      </c>
      <c r="G479" s="30" t="s">
        <v>58</v>
      </c>
      <c r="H479" s="31">
        <v>33884</v>
      </c>
      <c r="I479" s="30" t="s">
        <v>48</v>
      </c>
      <c r="J479" s="30" t="s">
        <v>28</v>
      </c>
      <c r="K479" s="30" t="s">
        <v>39</v>
      </c>
      <c r="L479" s="30" t="s">
        <v>114</v>
      </c>
      <c r="M479" s="30">
        <v>17</v>
      </c>
      <c r="N479" s="30">
        <v>700</v>
      </c>
      <c r="O479" s="30">
        <v>10</v>
      </c>
      <c r="P479" s="30">
        <v>10710</v>
      </c>
      <c r="Q479" s="30">
        <v>2</v>
      </c>
      <c r="R479" s="30" t="s">
        <v>31</v>
      </c>
      <c r="S479" s="30" t="s">
        <v>50</v>
      </c>
      <c r="T479" s="30" t="s">
        <v>158</v>
      </c>
      <c r="U479" s="30">
        <v>9333162025</v>
      </c>
      <c r="V479" s="30" t="s">
        <v>52</v>
      </c>
    </row>
    <row r="480" spans="1:22" ht="29.5" thickBot="1" x14ac:dyDescent="0.4">
      <c r="A480" s="27" t="s">
        <v>592</v>
      </c>
      <c r="B480" s="27" t="s">
        <v>156</v>
      </c>
      <c r="C480" s="27" t="s">
        <v>46</v>
      </c>
      <c r="D480" s="28">
        <v>45806</v>
      </c>
      <c r="E480" s="28">
        <v>45809</v>
      </c>
      <c r="F480" s="27" t="s">
        <v>106</v>
      </c>
      <c r="G480" s="27" t="s">
        <v>58</v>
      </c>
      <c r="H480" s="28">
        <v>37454</v>
      </c>
      <c r="I480" s="27" t="s">
        <v>37</v>
      </c>
      <c r="J480" s="27" t="s">
        <v>38</v>
      </c>
      <c r="K480" s="27" t="s">
        <v>39</v>
      </c>
      <c r="L480" s="27" t="s">
        <v>49</v>
      </c>
      <c r="M480" s="27">
        <v>19</v>
      </c>
      <c r="N480" s="27">
        <v>55000</v>
      </c>
      <c r="O480" s="27">
        <v>20</v>
      </c>
      <c r="P480" s="27">
        <v>836000</v>
      </c>
      <c r="Q480" s="27">
        <v>5</v>
      </c>
      <c r="R480" s="27" t="s">
        <v>41</v>
      </c>
      <c r="S480" s="27" t="s">
        <v>50</v>
      </c>
      <c r="T480" s="27" t="s">
        <v>158</v>
      </c>
      <c r="U480" s="27">
        <v>9247023285</v>
      </c>
      <c r="V480" s="21" t="s">
        <v>34</v>
      </c>
    </row>
    <row r="481" spans="1:22" ht="15" thickBot="1" x14ac:dyDescent="0.4">
      <c r="A481" s="30" t="s">
        <v>593</v>
      </c>
      <c r="B481" s="30" t="s">
        <v>87</v>
      </c>
      <c r="C481" s="30" t="s">
        <v>82</v>
      </c>
      <c r="D481" s="31">
        <v>45912</v>
      </c>
      <c r="E481" s="31">
        <v>45919</v>
      </c>
      <c r="F481" s="30" t="s">
        <v>88</v>
      </c>
      <c r="G481" s="30" t="s">
        <v>58</v>
      </c>
      <c r="H481" s="31">
        <v>36925</v>
      </c>
      <c r="I481" s="30" t="s">
        <v>37</v>
      </c>
      <c r="J481" s="30" t="s">
        <v>38</v>
      </c>
      <c r="K481" s="30" t="s">
        <v>83</v>
      </c>
      <c r="L481" s="30" t="s">
        <v>84</v>
      </c>
      <c r="M481" s="30">
        <v>1</v>
      </c>
      <c r="N481" s="30">
        <v>60</v>
      </c>
      <c r="O481" s="30">
        <v>10</v>
      </c>
      <c r="P481" s="30">
        <v>54</v>
      </c>
      <c r="Q481" s="30">
        <v>4</v>
      </c>
      <c r="R481" s="22" t="s">
        <v>41</v>
      </c>
      <c r="S481" s="30"/>
      <c r="T481" s="32" t="s">
        <v>594</v>
      </c>
      <c r="U481" s="30">
        <v>9448658297</v>
      </c>
      <c r="V481" s="30" t="s">
        <v>53</v>
      </c>
    </row>
    <row r="482" spans="1:22" ht="15" thickBot="1" x14ac:dyDescent="0.4">
      <c r="A482" s="27" t="s">
        <v>595</v>
      </c>
      <c r="B482" s="27" t="s">
        <v>55</v>
      </c>
      <c r="C482" s="27" t="s">
        <v>68</v>
      </c>
      <c r="D482" s="28">
        <v>46085</v>
      </c>
      <c r="E482" s="28">
        <v>46092</v>
      </c>
      <c r="F482" s="27" t="s">
        <v>57</v>
      </c>
      <c r="G482" s="27" t="s">
        <v>58</v>
      </c>
      <c r="H482" s="28">
        <v>33047</v>
      </c>
      <c r="I482" s="27" t="s">
        <v>27</v>
      </c>
      <c r="J482" s="27" t="s">
        <v>28</v>
      </c>
      <c r="K482" s="27" t="s">
        <v>29</v>
      </c>
      <c r="L482" s="27" t="s">
        <v>70</v>
      </c>
      <c r="M482" s="27">
        <v>16</v>
      </c>
      <c r="N482" s="27">
        <v>3500</v>
      </c>
      <c r="O482" s="27">
        <v>0</v>
      </c>
      <c r="P482" s="27">
        <v>56000</v>
      </c>
      <c r="Q482" s="27">
        <v>4</v>
      </c>
      <c r="R482" s="27" t="s">
        <v>41</v>
      </c>
      <c r="S482" s="27" t="s">
        <v>32</v>
      </c>
      <c r="T482" s="27" t="s">
        <v>61</v>
      </c>
      <c r="U482" s="27">
        <v>9906748486</v>
      </c>
      <c r="V482" s="27" t="s">
        <v>52</v>
      </c>
    </row>
    <row r="483" spans="1:22" ht="15" thickBot="1" x14ac:dyDescent="0.4">
      <c r="A483" s="30" t="s">
        <v>596</v>
      </c>
      <c r="B483" s="30" t="s">
        <v>87</v>
      </c>
      <c r="C483" s="30" t="s">
        <v>125</v>
      </c>
      <c r="D483" s="31">
        <v>45681</v>
      </c>
      <c r="E483" s="31">
        <v>45693</v>
      </c>
      <c r="F483" s="30" t="s">
        <v>88</v>
      </c>
      <c r="G483" s="30" t="s">
        <v>58</v>
      </c>
      <c r="H483" s="31">
        <v>28623</v>
      </c>
      <c r="I483" s="30" t="s">
        <v>79</v>
      </c>
      <c r="J483" s="30" t="s">
        <v>75</v>
      </c>
      <c r="K483" s="30" t="s">
        <v>83</v>
      </c>
      <c r="L483" s="30" t="s">
        <v>127</v>
      </c>
      <c r="M483" s="30">
        <v>14</v>
      </c>
      <c r="N483" s="30">
        <v>20</v>
      </c>
      <c r="O483" s="30">
        <v>10</v>
      </c>
      <c r="P483" s="30">
        <v>252</v>
      </c>
      <c r="Q483" s="30">
        <v>1</v>
      </c>
      <c r="R483" s="30" t="s">
        <v>41</v>
      </c>
      <c r="S483" s="30" t="s">
        <v>50</v>
      </c>
      <c r="T483" s="30" t="s">
        <v>89</v>
      </c>
      <c r="U483" s="30">
        <v>9365182725</v>
      </c>
      <c r="V483" s="30" t="s">
        <v>52</v>
      </c>
    </row>
    <row r="484" spans="1:22" ht="15" thickBot="1" x14ac:dyDescent="0.4">
      <c r="A484" s="27" t="s">
        <v>597</v>
      </c>
      <c r="B484" s="27" t="s">
        <v>55</v>
      </c>
      <c r="C484" s="27" t="s">
        <v>24</v>
      </c>
      <c r="D484" s="28">
        <v>46004</v>
      </c>
      <c r="E484" s="28">
        <v>46005</v>
      </c>
      <c r="F484" s="27" t="s">
        <v>57</v>
      </c>
      <c r="G484" s="27" t="s">
        <v>58</v>
      </c>
      <c r="H484" s="28">
        <v>36729</v>
      </c>
      <c r="I484" s="27" t="s">
        <v>48</v>
      </c>
      <c r="J484" s="27" t="s">
        <v>28</v>
      </c>
      <c r="K484" s="27" t="s">
        <v>29</v>
      </c>
      <c r="L484" s="27" t="s">
        <v>30</v>
      </c>
      <c r="M484" s="27">
        <v>11</v>
      </c>
      <c r="N484" s="27">
        <v>2200</v>
      </c>
      <c r="O484" s="27">
        <v>15</v>
      </c>
      <c r="P484" s="27">
        <v>20570</v>
      </c>
      <c r="Q484" s="27">
        <v>4</v>
      </c>
      <c r="R484" s="27" t="s">
        <v>41</v>
      </c>
      <c r="S484" s="27" t="s">
        <v>42</v>
      </c>
      <c r="T484" s="27" t="s">
        <v>61</v>
      </c>
      <c r="U484" s="27">
        <v>9937119494</v>
      </c>
      <c r="V484" s="27" t="s">
        <v>53</v>
      </c>
    </row>
    <row r="485" spans="1:22" ht="15" thickBot="1" x14ac:dyDescent="0.4">
      <c r="A485" s="30" t="s">
        <v>598</v>
      </c>
      <c r="B485" s="30" t="s">
        <v>63</v>
      </c>
      <c r="C485" s="30" t="s">
        <v>46</v>
      </c>
      <c r="D485" s="31">
        <v>45870</v>
      </c>
      <c r="E485" s="31">
        <v>45878</v>
      </c>
      <c r="F485" s="30" t="s">
        <v>110</v>
      </c>
      <c r="G485" s="30" t="s">
        <v>58</v>
      </c>
      <c r="H485" s="31">
        <v>31126</v>
      </c>
      <c r="I485" s="30" t="s">
        <v>121</v>
      </c>
      <c r="J485" s="30" t="s">
        <v>38</v>
      </c>
      <c r="K485" s="30" t="s">
        <v>39</v>
      </c>
      <c r="L485" s="30" t="s">
        <v>49</v>
      </c>
      <c r="M485" s="30">
        <v>2</v>
      </c>
      <c r="N485" s="30">
        <v>55000</v>
      </c>
      <c r="O485" s="30">
        <v>0</v>
      </c>
      <c r="P485" s="30">
        <v>110000</v>
      </c>
      <c r="Q485" s="30">
        <v>4</v>
      </c>
      <c r="R485" s="30" t="s">
        <v>41</v>
      </c>
      <c r="S485" s="30" t="s">
        <v>42</v>
      </c>
      <c r="T485" s="30" t="s">
        <v>66</v>
      </c>
      <c r="U485" s="30">
        <v>9828015293</v>
      </c>
      <c r="V485" s="30" t="s">
        <v>53</v>
      </c>
    </row>
    <row r="486" spans="1:22" ht="15" thickBot="1" x14ac:dyDescent="0.4">
      <c r="A486" s="27" t="s">
        <v>599</v>
      </c>
      <c r="B486" s="27" t="s">
        <v>45</v>
      </c>
      <c r="C486" s="27" t="s">
        <v>24</v>
      </c>
      <c r="D486" s="28">
        <v>45658</v>
      </c>
      <c r="E486" s="28">
        <v>45664</v>
      </c>
      <c r="F486" s="27" t="s">
        <v>101</v>
      </c>
      <c r="G486" s="27" t="s">
        <v>26</v>
      </c>
      <c r="H486" s="28">
        <v>32181</v>
      </c>
      <c r="I486" s="27" t="s">
        <v>79</v>
      </c>
      <c r="J486" s="27" t="s">
        <v>75</v>
      </c>
      <c r="K486" s="27" t="s">
        <v>29</v>
      </c>
      <c r="L486" s="27" t="s">
        <v>30</v>
      </c>
      <c r="M486" s="27">
        <v>7</v>
      </c>
      <c r="N486" s="27">
        <v>2200</v>
      </c>
      <c r="O486" s="27">
        <v>5</v>
      </c>
      <c r="P486" s="27">
        <v>14630</v>
      </c>
      <c r="Q486" s="27">
        <v>4</v>
      </c>
      <c r="R486" s="27" t="s">
        <v>60</v>
      </c>
      <c r="S486" s="27" t="s">
        <v>80</v>
      </c>
      <c r="T486" s="27" t="s">
        <v>51</v>
      </c>
      <c r="U486" s="27">
        <v>9864206250</v>
      </c>
      <c r="V486" s="27" t="s">
        <v>53</v>
      </c>
    </row>
    <row r="487" spans="1:22" ht="15" thickBot="1" x14ac:dyDescent="0.4">
      <c r="A487" s="30" t="s">
        <v>600</v>
      </c>
      <c r="B487" s="30" t="s">
        <v>23</v>
      </c>
      <c r="C487" s="30" t="s">
        <v>138</v>
      </c>
      <c r="D487" s="31">
        <v>45755</v>
      </c>
      <c r="E487" s="31">
        <v>45759</v>
      </c>
      <c r="F487" s="30" t="s">
        <v>25</v>
      </c>
      <c r="G487" s="30" t="s">
        <v>26</v>
      </c>
      <c r="H487" s="31">
        <v>35546</v>
      </c>
      <c r="I487" s="30" t="s">
        <v>91</v>
      </c>
      <c r="J487" s="30" t="s">
        <v>75</v>
      </c>
      <c r="K487" s="30" t="s">
        <v>83</v>
      </c>
      <c r="L487" s="30" t="s">
        <v>139</v>
      </c>
      <c r="M487" s="30">
        <v>11</v>
      </c>
      <c r="N487" s="30">
        <v>45</v>
      </c>
      <c r="O487" s="30">
        <v>15</v>
      </c>
      <c r="P487" s="30">
        <v>420.75</v>
      </c>
      <c r="Q487" s="30">
        <v>4</v>
      </c>
      <c r="R487" s="30" t="s">
        <v>60</v>
      </c>
      <c r="S487" s="30" t="s">
        <v>50</v>
      </c>
      <c r="T487" s="30" t="s">
        <v>43</v>
      </c>
      <c r="U487" s="30">
        <v>9519293104</v>
      </c>
      <c r="V487" s="30" t="s">
        <v>52</v>
      </c>
    </row>
    <row r="488" spans="1:22" ht="15" thickBot="1" x14ac:dyDescent="0.4">
      <c r="A488" s="27" t="s">
        <v>601</v>
      </c>
      <c r="B488" s="27" t="s">
        <v>72</v>
      </c>
      <c r="C488" s="27" t="s">
        <v>82</v>
      </c>
      <c r="D488" s="28">
        <v>45767</v>
      </c>
      <c r="E488" s="28">
        <v>45777</v>
      </c>
      <c r="F488" s="27" t="s">
        <v>73</v>
      </c>
      <c r="G488" s="27" t="s">
        <v>26</v>
      </c>
      <c r="H488" s="28">
        <v>37033</v>
      </c>
      <c r="I488" s="27" t="s">
        <v>74</v>
      </c>
      <c r="J488" s="27" t="s">
        <v>75</v>
      </c>
      <c r="K488" s="27" t="s">
        <v>83</v>
      </c>
      <c r="L488" s="27" t="s">
        <v>84</v>
      </c>
      <c r="M488" s="27">
        <v>16</v>
      </c>
      <c r="N488" s="27">
        <v>60</v>
      </c>
      <c r="O488" s="27">
        <v>5</v>
      </c>
      <c r="P488" s="27">
        <v>912</v>
      </c>
      <c r="Q488" s="27">
        <v>2</v>
      </c>
      <c r="R488" s="27" t="s">
        <v>31</v>
      </c>
      <c r="S488" s="27" t="s">
        <v>80</v>
      </c>
      <c r="T488" s="27" t="s">
        <v>93</v>
      </c>
      <c r="U488" s="27">
        <v>9296075245</v>
      </c>
      <c r="V488" s="27" t="s">
        <v>53</v>
      </c>
    </row>
    <row r="489" spans="1:22" ht="29.5" thickBot="1" x14ac:dyDescent="0.4">
      <c r="A489" s="30" t="s">
        <v>602</v>
      </c>
      <c r="B489" s="30" t="s">
        <v>156</v>
      </c>
      <c r="C489" s="30" t="s">
        <v>46</v>
      </c>
      <c r="D489" s="31">
        <v>45963</v>
      </c>
      <c r="E489" s="31">
        <v>45965</v>
      </c>
      <c r="F489" s="30" t="s">
        <v>106</v>
      </c>
      <c r="G489" s="30" t="s">
        <v>58</v>
      </c>
      <c r="H489" s="31">
        <v>30121</v>
      </c>
      <c r="I489" s="30" t="s">
        <v>79</v>
      </c>
      <c r="J489" s="30" t="s">
        <v>75</v>
      </c>
      <c r="K489" s="30" t="s">
        <v>39</v>
      </c>
      <c r="L489" s="30" t="s">
        <v>49</v>
      </c>
      <c r="M489" s="30">
        <v>18</v>
      </c>
      <c r="N489" s="30">
        <v>55000</v>
      </c>
      <c r="O489" s="30">
        <v>0</v>
      </c>
      <c r="P489" s="30">
        <v>990000</v>
      </c>
      <c r="Q489" s="30">
        <v>5</v>
      </c>
      <c r="R489" s="30" t="s">
        <v>41</v>
      </c>
      <c r="S489" s="30" t="s">
        <v>42</v>
      </c>
      <c r="T489" s="30" t="s">
        <v>158</v>
      </c>
      <c r="U489" s="30">
        <v>9316770206</v>
      </c>
      <c r="V489" s="30" t="s">
        <v>52</v>
      </c>
    </row>
    <row r="490" spans="1:22" ht="15" thickBot="1" x14ac:dyDescent="0.4">
      <c r="A490" s="27" t="s">
        <v>603</v>
      </c>
      <c r="B490" s="27" t="s">
        <v>23</v>
      </c>
      <c r="C490" s="27" t="s">
        <v>56</v>
      </c>
      <c r="D490" s="28">
        <v>45948</v>
      </c>
      <c r="E490" s="28">
        <v>45952</v>
      </c>
      <c r="F490" s="27" t="s">
        <v>25</v>
      </c>
      <c r="G490" s="27" t="s">
        <v>26</v>
      </c>
      <c r="H490" s="28">
        <v>36334</v>
      </c>
      <c r="I490" s="27" t="s">
        <v>48</v>
      </c>
      <c r="J490" s="27" t="s">
        <v>28</v>
      </c>
      <c r="K490" s="27" t="s">
        <v>39</v>
      </c>
      <c r="L490" s="27" t="s">
        <v>59</v>
      </c>
      <c r="M490" s="27">
        <v>17</v>
      </c>
      <c r="N490" s="27">
        <v>1200</v>
      </c>
      <c r="O490" s="27">
        <v>5</v>
      </c>
      <c r="P490" s="27">
        <v>19380</v>
      </c>
      <c r="Q490" s="27">
        <v>1</v>
      </c>
      <c r="R490" s="27" t="s">
        <v>41</v>
      </c>
      <c r="S490" s="27" t="s">
        <v>32</v>
      </c>
      <c r="T490" s="27" t="s">
        <v>43</v>
      </c>
      <c r="U490" s="27">
        <v>9706553861</v>
      </c>
      <c r="V490" s="27" t="s">
        <v>52</v>
      </c>
    </row>
    <row r="491" spans="1:22" ht="15" thickBot="1" x14ac:dyDescent="0.4">
      <c r="A491" s="30" t="s">
        <v>604</v>
      </c>
      <c r="B491" s="30" t="s">
        <v>45</v>
      </c>
      <c r="C491" s="30" t="s">
        <v>46</v>
      </c>
      <c r="D491" s="31">
        <v>45774</v>
      </c>
      <c r="E491" s="31">
        <v>45782</v>
      </c>
      <c r="F491" s="30" t="s">
        <v>101</v>
      </c>
      <c r="G491" s="30" t="s">
        <v>26</v>
      </c>
      <c r="H491" s="31">
        <v>36924</v>
      </c>
      <c r="I491" s="30" t="s">
        <v>79</v>
      </c>
      <c r="J491" s="30" t="s">
        <v>75</v>
      </c>
      <c r="K491" s="30" t="s">
        <v>39</v>
      </c>
      <c r="L491" s="30" t="s">
        <v>49</v>
      </c>
      <c r="M491" s="30">
        <v>11</v>
      </c>
      <c r="N491" s="30">
        <v>55000</v>
      </c>
      <c r="O491" s="30">
        <v>0</v>
      </c>
      <c r="P491" s="30">
        <v>605000</v>
      </c>
      <c r="Q491" s="30">
        <v>2</v>
      </c>
      <c r="R491" s="30" t="s">
        <v>31</v>
      </c>
      <c r="S491" s="30" t="s">
        <v>50</v>
      </c>
      <c r="T491" s="30" t="s">
        <v>51</v>
      </c>
      <c r="U491" s="30">
        <v>9524904662</v>
      </c>
      <c r="V491" s="30" t="s">
        <v>52</v>
      </c>
    </row>
    <row r="492" spans="1:22" ht="15" thickBot="1" x14ac:dyDescent="0.4">
      <c r="A492" s="27" t="s">
        <v>605</v>
      </c>
      <c r="B492" s="27" t="s">
        <v>134</v>
      </c>
      <c r="C492" s="27" t="s">
        <v>112</v>
      </c>
      <c r="D492" s="28">
        <v>45799</v>
      </c>
      <c r="E492" s="28">
        <v>45808</v>
      </c>
      <c r="F492" s="27" t="s">
        <v>135</v>
      </c>
      <c r="G492" s="27" t="s">
        <v>26</v>
      </c>
      <c r="H492" s="28">
        <v>36200</v>
      </c>
      <c r="I492" s="27" t="s">
        <v>37</v>
      </c>
      <c r="J492" s="27" t="s">
        <v>38</v>
      </c>
      <c r="K492" s="27" t="s">
        <v>39</v>
      </c>
      <c r="L492" s="27" t="s">
        <v>114</v>
      </c>
      <c r="M492" s="27">
        <v>20</v>
      </c>
      <c r="N492" s="27">
        <v>700</v>
      </c>
      <c r="O492" s="27">
        <v>20</v>
      </c>
      <c r="P492" s="27">
        <v>11200</v>
      </c>
      <c r="Q492" s="27">
        <v>5</v>
      </c>
      <c r="R492" s="27" t="s">
        <v>41</v>
      </c>
      <c r="S492" s="27" t="s">
        <v>50</v>
      </c>
      <c r="T492" s="27" t="s">
        <v>136</v>
      </c>
      <c r="U492" s="27">
        <v>9577624596</v>
      </c>
      <c r="V492" s="21" t="s">
        <v>34</v>
      </c>
    </row>
    <row r="493" spans="1:22" ht="15" thickBot="1" x14ac:dyDescent="0.4">
      <c r="A493" s="30" t="s">
        <v>606</v>
      </c>
      <c r="B493" s="30" t="s">
        <v>55</v>
      </c>
      <c r="C493" s="30" t="s">
        <v>125</v>
      </c>
      <c r="D493" s="31">
        <v>46050</v>
      </c>
      <c r="E493" s="31">
        <v>46061</v>
      </c>
      <c r="F493" s="30" t="s">
        <v>57</v>
      </c>
      <c r="G493" s="30" t="s">
        <v>58</v>
      </c>
      <c r="H493" s="31">
        <v>32269</v>
      </c>
      <c r="I493" s="30" t="s">
        <v>37</v>
      </c>
      <c r="J493" s="30" t="s">
        <v>38</v>
      </c>
      <c r="K493" s="30" t="s">
        <v>83</v>
      </c>
      <c r="L493" s="30" t="s">
        <v>127</v>
      </c>
      <c r="M493" s="30">
        <v>5</v>
      </c>
      <c r="N493" s="30">
        <v>20</v>
      </c>
      <c r="O493" s="30">
        <v>5</v>
      </c>
      <c r="P493" s="30">
        <v>95</v>
      </c>
      <c r="Q493" s="30">
        <v>4</v>
      </c>
      <c r="R493" s="30" t="s">
        <v>31</v>
      </c>
      <c r="S493" s="30" t="s">
        <v>42</v>
      </c>
      <c r="T493" s="30" t="s">
        <v>61</v>
      </c>
      <c r="U493" s="30">
        <v>9898452436</v>
      </c>
      <c r="V493" s="30" t="s">
        <v>53</v>
      </c>
    </row>
    <row r="494" spans="1:22" ht="29.5" thickBot="1" x14ac:dyDescent="0.4">
      <c r="A494" s="27" t="s">
        <v>607</v>
      </c>
      <c r="B494" s="27" t="s">
        <v>156</v>
      </c>
      <c r="C494" s="27" t="s">
        <v>46</v>
      </c>
      <c r="D494" s="28">
        <v>45692</v>
      </c>
      <c r="E494" s="28">
        <v>45699</v>
      </c>
      <c r="F494" s="27" t="s">
        <v>106</v>
      </c>
      <c r="G494" s="27" t="s">
        <v>58</v>
      </c>
      <c r="H494" s="28">
        <v>27437</v>
      </c>
      <c r="I494" s="27" t="s">
        <v>74</v>
      </c>
      <c r="J494" s="27" t="s">
        <v>75</v>
      </c>
      <c r="K494" s="27" t="s">
        <v>39</v>
      </c>
      <c r="L494" s="27" t="s">
        <v>49</v>
      </c>
      <c r="M494" s="27">
        <v>13</v>
      </c>
      <c r="N494" s="27">
        <v>55000</v>
      </c>
      <c r="O494" s="27">
        <v>5</v>
      </c>
      <c r="P494" s="27">
        <v>679250</v>
      </c>
      <c r="Q494" s="27">
        <v>1</v>
      </c>
      <c r="R494" s="27" t="s">
        <v>41</v>
      </c>
      <c r="S494" s="27" t="s">
        <v>42</v>
      </c>
      <c r="T494" s="27" t="s">
        <v>158</v>
      </c>
      <c r="U494" s="27">
        <v>9960757012</v>
      </c>
      <c r="V494" s="27" t="s">
        <v>52</v>
      </c>
    </row>
    <row r="495" spans="1:22" ht="15" thickBot="1" x14ac:dyDescent="0.4">
      <c r="A495" s="30" t="s">
        <v>608</v>
      </c>
      <c r="B495" s="30" t="s">
        <v>87</v>
      </c>
      <c r="C495" s="30" t="s">
        <v>46</v>
      </c>
      <c r="D495" s="31">
        <v>45766</v>
      </c>
      <c r="E495" s="31">
        <v>45767</v>
      </c>
      <c r="F495" s="30" t="s">
        <v>88</v>
      </c>
      <c r="G495" s="30" t="s">
        <v>58</v>
      </c>
      <c r="H495" s="31">
        <v>37987</v>
      </c>
      <c r="I495" s="30" t="s">
        <v>147</v>
      </c>
      <c r="J495" s="30" t="s">
        <v>148</v>
      </c>
      <c r="K495" s="30" t="s">
        <v>39</v>
      </c>
      <c r="L495" s="30" t="s">
        <v>49</v>
      </c>
      <c r="M495" s="30">
        <v>12</v>
      </c>
      <c r="N495" s="30">
        <v>55000</v>
      </c>
      <c r="O495" s="30">
        <v>5</v>
      </c>
      <c r="P495" s="30">
        <v>627000</v>
      </c>
      <c r="Q495" s="30">
        <v>1</v>
      </c>
      <c r="R495" s="30" t="s">
        <v>41</v>
      </c>
      <c r="S495" s="30" t="s">
        <v>80</v>
      </c>
      <c r="T495" s="30" t="s">
        <v>89</v>
      </c>
      <c r="U495" s="30">
        <v>9331268182</v>
      </c>
      <c r="V495" s="30" t="s">
        <v>53</v>
      </c>
    </row>
    <row r="496" spans="1:22" ht="15" thickBot="1" x14ac:dyDescent="0.4">
      <c r="A496" s="27" t="s">
        <v>609</v>
      </c>
      <c r="B496" s="27" t="s">
        <v>45</v>
      </c>
      <c r="C496" s="27" t="s">
        <v>138</v>
      </c>
      <c r="D496" s="28">
        <v>45678</v>
      </c>
      <c r="E496" s="28">
        <v>45685</v>
      </c>
      <c r="F496" s="27" t="s">
        <v>101</v>
      </c>
      <c r="G496" s="27" t="s">
        <v>26</v>
      </c>
      <c r="H496" s="28">
        <v>37126</v>
      </c>
      <c r="I496" s="27" t="s">
        <v>74</v>
      </c>
      <c r="J496" s="27" t="s">
        <v>75</v>
      </c>
      <c r="K496" s="27" t="s">
        <v>83</v>
      </c>
      <c r="L496" s="27" t="s">
        <v>139</v>
      </c>
      <c r="M496" s="27">
        <v>16</v>
      </c>
      <c r="N496" s="27">
        <v>45</v>
      </c>
      <c r="O496" s="27">
        <v>20</v>
      </c>
      <c r="P496" s="27">
        <v>576</v>
      </c>
      <c r="Q496" s="27">
        <v>2</v>
      </c>
      <c r="R496" s="27" t="s">
        <v>31</v>
      </c>
      <c r="S496" s="27" t="s">
        <v>42</v>
      </c>
      <c r="T496" s="27" t="s">
        <v>51</v>
      </c>
      <c r="U496" s="27">
        <v>9135996862</v>
      </c>
      <c r="V496" s="27" t="s">
        <v>52</v>
      </c>
    </row>
    <row r="497" spans="1:22" ht="15" thickBot="1" x14ac:dyDescent="0.4">
      <c r="A497" s="30" t="s">
        <v>610</v>
      </c>
      <c r="B497" s="30" t="s">
        <v>23</v>
      </c>
      <c r="C497" s="30" t="s">
        <v>56</v>
      </c>
      <c r="D497" s="31">
        <v>45918</v>
      </c>
      <c r="E497" s="31">
        <v>45927</v>
      </c>
      <c r="F497" s="30" t="s">
        <v>25</v>
      </c>
      <c r="G497" s="30" t="s">
        <v>26</v>
      </c>
      <c r="H497" s="31">
        <v>35818</v>
      </c>
      <c r="I497" s="30" t="s">
        <v>48</v>
      </c>
      <c r="J497" s="30" t="s">
        <v>28</v>
      </c>
      <c r="K497" s="30" t="s">
        <v>39</v>
      </c>
      <c r="L497" s="30" t="s">
        <v>59</v>
      </c>
      <c r="M497" s="30">
        <v>5</v>
      </c>
      <c r="N497" s="30">
        <v>1200</v>
      </c>
      <c r="O497" s="30">
        <v>10</v>
      </c>
      <c r="P497" s="30">
        <v>5400</v>
      </c>
      <c r="Q497" s="30">
        <v>1</v>
      </c>
      <c r="R497" s="30" t="s">
        <v>31</v>
      </c>
      <c r="S497" s="30"/>
      <c r="T497" s="32" t="s">
        <v>611</v>
      </c>
      <c r="U497" s="30">
        <v>9540813143</v>
      </c>
      <c r="V497" s="22" t="s">
        <v>34</v>
      </c>
    </row>
    <row r="498" spans="1:22" ht="15" thickBot="1" x14ac:dyDescent="0.4">
      <c r="A498" s="27" t="s">
        <v>612</v>
      </c>
      <c r="B498" s="27" t="s">
        <v>104</v>
      </c>
      <c r="C498" s="27" t="s">
        <v>138</v>
      </c>
      <c r="D498" s="28">
        <v>45949</v>
      </c>
      <c r="E498" s="28">
        <v>45950</v>
      </c>
      <c r="F498" s="27" t="s">
        <v>166</v>
      </c>
      <c r="G498" s="27" t="s">
        <v>26</v>
      </c>
      <c r="H498" s="28">
        <v>38135</v>
      </c>
      <c r="I498" s="27" t="s">
        <v>147</v>
      </c>
      <c r="J498" s="27" t="s">
        <v>148</v>
      </c>
      <c r="K498" s="27" t="s">
        <v>83</v>
      </c>
      <c r="L498" s="27" t="s">
        <v>139</v>
      </c>
      <c r="M498" s="27">
        <v>2</v>
      </c>
      <c r="N498" s="27">
        <v>45</v>
      </c>
      <c r="O498" s="27">
        <v>10</v>
      </c>
      <c r="P498" s="27">
        <v>81</v>
      </c>
      <c r="Q498" s="27">
        <v>4</v>
      </c>
      <c r="R498" s="27" t="s">
        <v>65</v>
      </c>
      <c r="S498" s="27" t="s">
        <v>42</v>
      </c>
      <c r="T498" s="27" t="s">
        <v>108</v>
      </c>
      <c r="U498" s="27">
        <v>9910913552</v>
      </c>
      <c r="V498" s="27" t="s">
        <v>52</v>
      </c>
    </row>
    <row r="499" spans="1:22" ht="15" thickBot="1" x14ac:dyDescent="0.4">
      <c r="A499" s="30" t="s">
        <v>613</v>
      </c>
      <c r="B499" s="30" t="s">
        <v>87</v>
      </c>
      <c r="C499" s="30" t="s">
        <v>36</v>
      </c>
      <c r="D499" s="31">
        <v>46034</v>
      </c>
      <c r="E499" s="31">
        <v>46040</v>
      </c>
      <c r="F499" s="30" t="s">
        <v>88</v>
      </c>
      <c r="G499" s="30" t="s">
        <v>58</v>
      </c>
      <c r="H499" s="31">
        <v>31112</v>
      </c>
      <c r="I499" s="30" t="s">
        <v>91</v>
      </c>
      <c r="J499" s="30" t="s">
        <v>75</v>
      </c>
      <c r="K499" s="30" t="s">
        <v>39</v>
      </c>
      <c r="L499" s="30" t="s">
        <v>40</v>
      </c>
      <c r="M499" s="30">
        <v>3</v>
      </c>
      <c r="N499" s="30">
        <v>12000</v>
      </c>
      <c r="O499" s="30">
        <v>0</v>
      </c>
      <c r="P499" s="30">
        <v>36000</v>
      </c>
      <c r="Q499" s="30">
        <v>2</v>
      </c>
      <c r="R499" s="30" t="s">
        <v>65</v>
      </c>
      <c r="S499" s="30" t="s">
        <v>96</v>
      </c>
      <c r="T499" s="30" t="s">
        <v>89</v>
      </c>
      <c r="U499" s="30">
        <v>9282751683</v>
      </c>
      <c r="V499" s="30" t="s">
        <v>52</v>
      </c>
    </row>
    <row r="500" spans="1:22" ht="15" thickBot="1" x14ac:dyDescent="0.4">
      <c r="A500" s="27" t="s">
        <v>614</v>
      </c>
      <c r="B500" s="27" t="s">
        <v>23</v>
      </c>
      <c r="C500" s="27" t="s">
        <v>36</v>
      </c>
      <c r="D500" s="28">
        <v>45683</v>
      </c>
      <c r="E500" s="28">
        <v>45689</v>
      </c>
      <c r="F500" s="27" t="s">
        <v>25</v>
      </c>
      <c r="G500" s="27" t="s">
        <v>26</v>
      </c>
      <c r="H500" s="28">
        <v>31661</v>
      </c>
      <c r="I500" s="27" t="s">
        <v>48</v>
      </c>
      <c r="J500" s="27" t="s">
        <v>28</v>
      </c>
      <c r="K500" s="27" t="s">
        <v>39</v>
      </c>
      <c r="L500" s="27" t="s">
        <v>40</v>
      </c>
      <c r="M500" s="27">
        <v>3</v>
      </c>
      <c r="N500" s="27">
        <v>12000</v>
      </c>
      <c r="O500" s="27">
        <v>20</v>
      </c>
      <c r="P500" s="27">
        <v>28800</v>
      </c>
      <c r="Q500" s="27">
        <v>3</v>
      </c>
      <c r="R500" s="27" t="s">
        <v>65</v>
      </c>
      <c r="S500" s="27" t="s">
        <v>80</v>
      </c>
      <c r="T500" s="27" t="s">
        <v>43</v>
      </c>
      <c r="U500" s="27">
        <v>9939332058</v>
      </c>
      <c r="V500" s="21" t="s">
        <v>34</v>
      </c>
    </row>
    <row r="501" spans="1:22" ht="15" thickBot="1" x14ac:dyDescent="0.4">
      <c r="A501" s="30" t="s">
        <v>615</v>
      </c>
      <c r="B501" s="30" t="s">
        <v>87</v>
      </c>
      <c r="C501" s="30" t="s">
        <v>105</v>
      </c>
      <c r="D501" s="31">
        <v>46119</v>
      </c>
      <c r="E501" s="31">
        <v>46120</v>
      </c>
      <c r="F501" s="30" t="s">
        <v>88</v>
      </c>
      <c r="G501" s="30" t="s">
        <v>58</v>
      </c>
      <c r="H501" s="31">
        <v>29819</v>
      </c>
      <c r="I501" s="30" t="s">
        <v>147</v>
      </c>
      <c r="J501" s="30" t="s">
        <v>148</v>
      </c>
      <c r="K501" s="30" t="s">
        <v>29</v>
      </c>
      <c r="L501" s="30" t="s">
        <v>107</v>
      </c>
      <c r="M501" s="30">
        <v>9</v>
      </c>
      <c r="N501" s="30">
        <v>8500</v>
      </c>
      <c r="O501" s="30">
        <v>15</v>
      </c>
      <c r="P501" s="30">
        <v>65025</v>
      </c>
      <c r="Q501" s="30">
        <v>5</v>
      </c>
      <c r="R501" s="30" t="s">
        <v>31</v>
      </c>
      <c r="S501" s="30" t="s">
        <v>42</v>
      </c>
      <c r="T501" s="30" t="s">
        <v>89</v>
      </c>
      <c r="U501" s="30">
        <v>9780626473</v>
      </c>
      <c r="V501" s="30" t="s">
        <v>52</v>
      </c>
    </row>
    <row r="502" spans="1:22" ht="15" thickBot="1" x14ac:dyDescent="0.4">
      <c r="A502" s="27" t="s">
        <v>616</v>
      </c>
      <c r="B502" s="27" t="s">
        <v>55</v>
      </c>
      <c r="C502" s="27" t="s">
        <v>112</v>
      </c>
      <c r="D502" s="28">
        <v>45834</v>
      </c>
      <c r="E502" s="28">
        <v>45844</v>
      </c>
      <c r="F502" s="27" t="s">
        <v>617</v>
      </c>
      <c r="G502" s="27" t="s">
        <v>58</v>
      </c>
      <c r="H502" s="28">
        <v>33717</v>
      </c>
      <c r="I502" s="27" t="s">
        <v>147</v>
      </c>
      <c r="J502" s="27" t="s">
        <v>148</v>
      </c>
      <c r="K502" s="27" t="s">
        <v>39</v>
      </c>
      <c r="L502" s="27" t="s">
        <v>114</v>
      </c>
      <c r="M502" s="27">
        <v>17</v>
      </c>
      <c r="N502" s="27">
        <v>700</v>
      </c>
      <c r="O502" s="27">
        <v>0</v>
      </c>
      <c r="P502" s="27">
        <v>11900</v>
      </c>
      <c r="Q502" s="27">
        <v>2</v>
      </c>
      <c r="R502" s="27" t="s">
        <v>31</v>
      </c>
      <c r="S502" s="27" t="s">
        <v>50</v>
      </c>
      <c r="T502" s="27" t="s">
        <v>61</v>
      </c>
      <c r="U502" s="27">
        <v>9347298020</v>
      </c>
      <c r="V502" s="27" t="s">
        <v>53</v>
      </c>
    </row>
    <row r="503" spans="1:22" ht="15" thickBot="1" x14ac:dyDescent="0.4">
      <c r="A503" s="30" t="s">
        <v>618</v>
      </c>
      <c r="B503" s="30" t="s">
        <v>23</v>
      </c>
      <c r="C503" s="30" t="s">
        <v>112</v>
      </c>
      <c r="D503" s="31">
        <v>45846</v>
      </c>
      <c r="E503" s="31">
        <v>45856</v>
      </c>
      <c r="F503" s="30" t="s">
        <v>25</v>
      </c>
      <c r="G503" s="30" t="s">
        <v>26</v>
      </c>
      <c r="H503" s="31">
        <v>33422</v>
      </c>
      <c r="I503" s="30" t="s">
        <v>27</v>
      </c>
      <c r="J503" s="30" t="s">
        <v>28</v>
      </c>
      <c r="K503" s="30" t="s">
        <v>39</v>
      </c>
      <c r="L503" s="30" t="s">
        <v>114</v>
      </c>
      <c r="M503" s="30">
        <v>20</v>
      </c>
      <c r="N503" s="30">
        <v>700</v>
      </c>
      <c r="O503" s="30">
        <v>5</v>
      </c>
      <c r="P503" s="30">
        <v>13300</v>
      </c>
      <c r="Q503" s="30">
        <v>2</v>
      </c>
      <c r="R503" s="30" t="s">
        <v>65</v>
      </c>
      <c r="S503" s="30" t="s">
        <v>32</v>
      </c>
      <c r="T503" s="30" t="s">
        <v>43</v>
      </c>
      <c r="U503" s="30">
        <v>9345328522</v>
      </c>
      <c r="V503" s="22" t="s">
        <v>34</v>
      </c>
    </row>
    <row r="504" spans="1:22" ht="29.5" thickBot="1" x14ac:dyDescent="0.4">
      <c r="A504" s="27" t="s">
        <v>619</v>
      </c>
      <c r="B504" s="27" t="s">
        <v>156</v>
      </c>
      <c r="C504" s="27" t="s">
        <v>56</v>
      </c>
      <c r="D504" s="28">
        <v>46092</v>
      </c>
      <c r="E504" s="28">
        <v>46102</v>
      </c>
      <c r="F504" s="27" t="s">
        <v>106</v>
      </c>
      <c r="G504" s="27" t="s">
        <v>58</v>
      </c>
      <c r="H504" s="28">
        <v>28526</v>
      </c>
      <c r="I504" s="27" t="s">
        <v>91</v>
      </c>
      <c r="J504" s="27" t="s">
        <v>75</v>
      </c>
      <c r="K504" s="27" t="s">
        <v>39</v>
      </c>
      <c r="L504" s="27" t="s">
        <v>59</v>
      </c>
      <c r="M504" s="27">
        <v>13</v>
      </c>
      <c r="N504" s="27">
        <v>1200</v>
      </c>
      <c r="O504" s="27">
        <v>20</v>
      </c>
      <c r="P504" s="27">
        <v>12480</v>
      </c>
      <c r="Q504" s="27">
        <v>5</v>
      </c>
      <c r="R504" s="27" t="s">
        <v>60</v>
      </c>
      <c r="S504" s="27" t="s">
        <v>80</v>
      </c>
      <c r="T504" s="27" t="s">
        <v>158</v>
      </c>
      <c r="U504" s="27">
        <v>9160310438</v>
      </c>
      <c r="V504" s="21" t="s">
        <v>34</v>
      </c>
    </row>
    <row r="505" spans="1:22" ht="15" thickBot="1" x14ac:dyDescent="0.4">
      <c r="A505" s="30" t="s">
        <v>620</v>
      </c>
      <c r="B505" s="30" t="s">
        <v>72</v>
      </c>
      <c r="C505" s="30" t="s">
        <v>46</v>
      </c>
      <c r="D505" s="31">
        <v>46104</v>
      </c>
      <c r="E505" s="31">
        <v>46110</v>
      </c>
      <c r="F505" s="30" t="s">
        <v>73</v>
      </c>
      <c r="G505" s="30" t="s">
        <v>26</v>
      </c>
      <c r="H505" s="31">
        <v>36359</v>
      </c>
      <c r="I505" s="30" t="s">
        <v>121</v>
      </c>
      <c r="J505" s="30" t="s">
        <v>38</v>
      </c>
      <c r="K505" s="30" t="s">
        <v>39</v>
      </c>
      <c r="L505" s="30" t="s">
        <v>49</v>
      </c>
      <c r="M505" s="30">
        <v>20</v>
      </c>
      <c r="N505" s="30">
        <v>55000</v>
      </c>
      <c r="O505" s="30">
        <v>10</v>
      </c>
      <c r="P505" s="30">
        <v>990000</v>
      </c>
      <c r="Q505" s="30">
        <v>1</v>
      </c>
      <c r="R505" s="30" t="s">
        <v>65</v>
      </c>
      <c r="S505" s="30" t="s">
        <v>32</v>
      </c>
      <c r="T505" s="30" t="s">
        <v>93</v>
      </c>
      <c r="U505" s="30">
        <v>9343776153</v>
      </c>
      <c r="V505" s="30" t="s">
        <v>52</v>
      </c>
    </row>
    <row r="506" spans="1:22" ht="15" thickBot="1" x14ac:dyDescent="0.4">
      <c r="A506" s="27" t="s">
        <v>621</v>
      </c>
      <c r="B506" s="27" t="s">
        <v>134</v>
      </c>
      <c r="C506" s="27" t="s">
        <v>56</v>
      </c>
      <c r="D506" s="28">
        <v>45961</v>
      </c>
      <c r="E506" s="28">
        <v>45966</v>
      </c>
      <c r="F506" s="27" t="s">
        <v>135</v>
      </c>
      <c r="G506" s="27" t="s">
        <v>26</v>
      </c>
      <c r="H506" s="28">
        <v>32236</v>
      </c>
      <c r="I506" s="27" t="s">
        <v>147</v>
      </c>
      <c r="J506" s="27" t="s">
        <v>148</v>
      </c>
      <c r="K506" s="27" t="s">
        <v>39</v>
      </c>
      <c r="L506" s="27" t="s">
        <v>59</v>
      </c>
      <c r="M506" s="27">
        <v>8</v>
      </c>
      <c r="N506" s="27">
        <v>1200</v>
      </c>
      <c r="O506" s="27">
        <v>0</v>
      </c>
      <c r="P506" s="27">
        <v>9600</v>
      </c>
      <c r="Q506" s="27">
        <v>2</v>
      </c>
      <c r="R506" s="27" t="s">
        <v>41</v>
      </c>
      <c r="S506" s="27" t="s">
        <v>96</v>
      </c>
      <c r="T506" s="27" t="s">
        <v>136</v>
      </c>
      <c r="U506" s="27">
        <v>9458599727</v>
      </c>
      <c r="V506" s="21" t="s">
        <v>34</v>
      </c>
    </row>
    <row r="507" spans="1:22" ht="15" thickBot="1" x14ac:dyDescent="0.4">
      <c r="A507" s="30" t="s">
        <v>622</v>
      </c>
      <c r="B507" s="30" t="s">
        <v>45</v>
      </c>
      <c r="C507" s="30" t="s">
        <v>125</v>
      </c>
      <c r="D507" s="31">
        <v>46147</v>
      </c>
      <c r="E507" s="31">
        <v>46151</v>
      </c>
      <c r="F507" s="30" t="s">
        <v>101</v>
      </c>
      <c r="G507" s="30" t="s">
        <v>26</v>
      </c>
      <c r="H507" s="31">
        <v>28805</v>
      </c>
      <c r="I507" s="30" t="s">
        <v>147</v>
      </c>
      <c r="J507" s="30" t="s">
        <v>148</v>
      </c>
      <c r="K507" s="30" t="s">
        <v>83</v>
      </c>
      <c r="L507" s="30" t="s">
        <v>127</v>
      </c>
      <c r="M507" s="30">
        <v>18</v>
      </c>
      <c r="N507" s="30">
        <v>20</v>
      </c>
      <c r="O507" s="30">
        <v>10</v>
      </c>
      <c r="P507" s="30">
        <v>324</v>
      </c>
      <c r="Q507" s="30">
        <v>5</v>
      </c>
      <c r="R507" s="30" t="s">
        <v>60</v>
      </c>
      <c r="S507" s="30"/>
      <c r="T507" s="32" t="s">
        <v>623</v>
      </c>
      <c r="U507" s="30">
        <v>9218660140</v>
      </c>
      <c r="V507" s="30" t="s">
        <v>52</v>
      </c>
    </row>
    <row r="508" spans="1:22" ht="15" thickBot="1" x14ac:dyDescent="0.4">
      <c r="A508" s="27" t="s">
        <v>624</v>
      </c>
      <c r="B508" s="27" t="s">
        <v>104</v>
      </c>
      <c r="C508" s="27" t="s">
        <v>36</v>
      </c>
      <c r="D508" s="28">
        <v>45711</v>
      </c>
      <c r="E508" s="28">
        <v>45723</v>
      </c>
      <c r="F508" s="27" t="s">
        <v>166</v>
      </c>
      <c r="G508" s="27" t="s">
        <v>26</v>
      </c>
      <c r="H508" s="28">
        <v>34426</v>
      </c>
      <c r="I508" s="27" t="s">
        <v>79</v>
      </c>
      <c r="J508" s="27" t="s">
        <v>75</v>
      </c>
      <c r="K508" s="27" t="s">
        <v>39</v>
      </c>
      <c r="L508" s="27" t="s">
        <v>40</v>
      </c>
      <c r="M508" s="27">
        <v>11</v>
      </c>
      <c r="N508" s="27">
        <v>12000</v>
      </c>
      <c r="O508" s="27">
        <v>10</v>
      </c>
      <c r="P508" s="27">
        <v>118800</v>
      </c>
      <c r="Q508" s="27">
        <v>1</v>
      </c>
      <c r="R508" s="27" t="s">
        <v>60</v>
      </c>
      <c r="S508" s="27" t="s">
        <v>42</v>
      </c>
      <c r="T508" s="27" t="s">
        <v>108</v>
      </c>
      <c r="U508" s="27">
        <v>9341979199</v>
      </c>
      <c r="V508" s="27" t="s">
        <v>53</v>
      </c>
    </row>
    <row r="509" spans="1:22" ht="29.5" thickBot="1" x14ac:dyDescent="0.4">
      <c r="A509" s="30" t="s">
        <v>625</v>
      </c>
      <c r="B509" s="30" t="s">
        <v>156</v>
      </c>
      <c r="C509" s="30" t="s">
        <v>105</v>
      </c>
      <c r="D509" s="31">
        <v>45672</v>
      </c>
      <c r="E509" s="31">
        <v>45674</v>
      </c>
      <c r="F509" s="30" t="s">
        <v>106</v>
      </c>
      <c r="G509" s="30" t="s">
        <v>58</v>
      </c>
      <c r="H509" s="31">
        <v>34098</v>
      </c>
      <c r="I509" s="30" t="s">
        <v>27</v>
      </c>
      <c r="J509" s="30" t="s">
        <v>28</v>
      </c>
      <c r="K509" s="30" t="s">
        <v>29</v>
      </c>
      <c r="L509" s="30" t="s">
        <v>107</v>
      </c>
      <c r="M509" s="30">
        <v>2</v>
      </c>
      <c r="N509" s="30">
        <v>8500</v>
      </c>
      <c r="O509" s="30">
        <v>5</v>
      </c>
      <c r="P509" s="30">
        <v>16150</v>
      </c>
      <c r="Q509" s="30">
        <v>1</v>
      </c>
      <c r="R509" s="30" t="s">
        <v>60</v>
      </c>
      <c r="S509" s="30" t="s">
        <v>50</v>
      </c>
      <c r="T509" s="30" t="s">
        <v>158</v>
      </c>
      <c r="U509" s="30">
        <v>9823080381</v>
      </c>
      <c r="V509" s="22" t="s">
        <v>34</v>
      </c>
    </row>
    <row r="510" spans="1:22" ht="15" thickBot="1" x14ac:dyDescent="0.4">
      <c r="A510" s="27" t="s">
        <v>626</v>
      </c>
      <c r="B510" s="27" t="s">
        <v>72</v>
      </c>
      <c r="C510" s="27" t="s">
        <v>24</v>
      </c>
      <c r="D510" s="28">
        <v>45746</v>
      </c>
      <c r="E510" s="28">
        <v>45755</v>
      </c>
      <c r="F510" s="27" t="s">
        <v>73</v>
      </c>
      <c r="G510" s="27" t="s">
        <v>26</v>
      </c>
      <c r="H510" s="28">
        <v>34526</v>
      </c>
      <c r="I510" s="27" t="s">
        <v>79</v>
      </c>
      <c r="J510" s="27" t="s">
        <v>75</v>
      </c>
      <c r="K510" s="27" t="s">
        <v>29</v>
      </c>
      <c r="L510" s="27" t="s">
        <v>30</v>
      </c>
      <c r="M510" s="27">
        <v>7</v>
      </c>
      <c r="N510" s="27">
        <v>2200</v>
      </c>
      <c r="O510" s="27">
        <v>0</v>
      </c>
      <c r="P510" s="27">
        <v>15400</v>
      </c>
      <c r="Q510" s="27">
        <v>5</v>
      </c>
      <c r="R510" s="27" t="s">
        <v>41</v>
      </c>
      <c r="S510" s="27" t="s">
        <v>32</v>
      </c>
      <c r="T510" s="27" t="s">
        <v>93</v>
      </c>
      <c r="U510" s="27">
        <v>9981183477</v>
      </c>
      <c r="V510" s="27" t="s">
        <v>52</v>
      </c>
    </row>
    <row r="511" spans="1:22" ht="15" thickBot="1" x14ac:dyDescent="0.4">
      <c r="A511" s="30" t="s">
        <v>627</v>
      </c>
      <c r="B511" s="30" t="s">
        <v>63</v>
      </c>
      <c r="C511" s="30" t="s">
        <v>105</v>
      </c>
      <c r="D511" s="31">
        <v>46136</v>
      </c>
      <c r="E511" s="31">
        <v>46144</v>
      </c>
      <c r="F511" s="30" t="s">
        <v>110</v>
      </c>
      <c r="G511" s="30" t="s">
        <v>58</v>
      </c>
      <c r="H511" s="31">
        <v>30304</v>
      </c>
      <c r="I511" s="30" t="s">
        <v>37</v>
      </c>
      <c r="J511" s="30" t="s">
        <v>38</v>
      </c>
      <c r="K511" s="30" t="s">
        <v>29</v>
      </c>
      <c r="L511" s="30" t="s">
        <v>107</v>
      </c>
      <c r="M511" s="30">
        <v>20</v>
      </c>
      <c r="N511" s="30">
        <v>8500</v>
      </c>
      <c r="O511" s="30">
        <v>0</v>
      </c>
      <c r="P511" s="30">
        <v>170000</v>
      </c>
      <c r="Q511" s="30">
        <v>3</v>
      </c>
      <c r="R511" s="30" t="s">
        <v>41</v>
      </c>
      <c r="S511" s="30" t="s">
        <v>42</v>
      </c>
      <c r="T511" s="30" t="s">
        <v>66</v>
      </c>
      <c r="U511" s="30">
        <v>9281596011</v>
      </c>
      <c r="V511" s="22" t="s">
        <v>34</v>
      </c>
    </row>
    <row r="512" spans="1:22" ht="15" thickBot="1" x14ac:dyDescent="0.4">
      <c r="A512" s="27" t="s">
        <v>628</v>
      </c>
      <c r="B512" s="27" t="s">
        <v>87</v>
      </c>
      <c r="C512" s="27" t="s">
        <v>56</v>
      </c>
      <c r="D512" s="28">
        <v>45858</v>
      </c>
      <c r="E512" s="28">
        <v>45867</v>
      </c>
      <c r="F512" s="27" t="s">
        <v>88</v>
      </c>
      <c r="G512" s="27" t="s">
        <v>58</v>
      </c>
      <c r="H512" s="28">
        <v>37197</v>
      </c>
      <c r="I512" s="27" t="s">
        <v>27</v>
      </c>
      <c r="J512" s="27" t="s">
        <v>28</v>
      </c>
      <c r="K512" s="27" t="s">
        <v>39</v>
      </c>
      <c r="L512" s="27" t="s">
        <v>59</v>
      </c>
      <c r="M512" s="27">
        <v>11</v>
      </c>
      <c r="N512" s="27">
        <v>1200</v>
      </c>
      <c r="O512" s="27">
        <v>5</v>
      </c>
      <c r="P512" s="27">
        <v>12540</v>
      </c>
      <c r="Q512" s="27">
        <v>2</v>
      </c>
      <c r="R512" s="27" t="s">
        <v>31</v>
      </c>
      <c r="S512" s="27" t="s">
        <v>32</v>
      </c>
      <c r="T512" s="27" t="s">
        <v>89</v>
      </c>
      <c r="U512" s="27">
        <v>9211734022</v>
      </c>
      <c r="V512" s="27" t="s">
        <v>52</v>
      </c>
    </row>
    <row r="513" spans="1:22" ht="15" thickBot="1" x14ac:dyDescent="0.4">
      <c r="A513" s="30" t="s">
        <v>629</v>
      </c>
      <c r="B513" s="30" t="s">
        <v>63</v>
      </c>
      <c r="C513" s="30" t="s">
        <v>112</v>
      </c>
      <c r="D513" s="31">
        <v>45867</v>
      </c>
      <c r="E513" s="31">
        <v>45870</v>
      </c>
      <c r="F513" s="30" t="s">
        <v>110</v>
      </c>
      <c r="G513" s="30" t="s">
        <v>58</v>
      </c>
      <c r="H513" s="31">
        <v>37182</v>
      </c>
      <c r="I513" s="30" t="s">
        <v>91</v>
      </c>
      <c r="J513" s="30" t="s">
        <v>75</v>
      </c>
      <c r="K513" s="30" t="s">
        <v>39</v>
      </c>
      <c r="L513" s="30" t="s">
        <v>114</v>
      </c>
      <c r="M513" s="30">
        <v>14</v>
      </c>
      <c r="N513" s="30">
        <v>700</v>
      </c>
      <c r="O513" s="30">
        <v>0</v>
      </c>
      <c r="P513" s="30">
        <v>9800</v>
      </c>
      <c r="Q513" s="30">
        <v>2</v>
      </c>
      <c r="R513" s="30" t="s">
        <v>60</v>
      </c>
      <c r="S513" s="30" t="s">
        <v>96</v>
      </c>
      <c r="T513" s="30" t="s">
        <v>66</v>
      </c>
      <c r="U513" s="30">
        <v>9447151666</v>
      </c>
      <c r="V513" s="30" t="s">
        <v>53</v>
      </c>
    </row>
    <row r="514" spans="1:22" ht="15" thickBot="1" x14ac:dyDescent="0.4">
      <c r="A514" s="27" t="s">
        <v>630</v>
      </c>
      <c r="B514" s="27" t="s">
        <v>55</v>
      </c>
      <c r="C514" s="27" t="s">
        <v>56</v>
      </c>
      <c r="D514" s="28">
        <v>45951</v>
      </c>
      <c r="E514" s="28">
        <v>45962</v>
      </c>
      <c r="F514" s="27" t="s">
        <v>57</v>
      </c>
      <c r="G514" s="27" t="s">
        <v>58</v>
      </c>
      <c r="H514" s="28">
        <v>36881</v>
      </c>
      <c r="I514" s="27" t="s">
        <v>79</v>
      </c>
      <c r="J514" s="27" t="s">
        <v>75</v>
      </c>
      <c r="K514" s="27" t="s">
        <v>39</v>
      </c>
      <c r="L514" s="27" t="s">
        <v>59</v>
      </c>
      <c r="M514" s="27">
        <v>16</v>
      </c>
      <c r="N514" s="27">
        <v>1200</v>
      </c>
      <c r="O514" s="27">
        <v>15</v>
      </c>
      <c r="P514" s="27">
        <v>16320</v>
      </c>
      <c r="Q514" s="27">
        <v>4</v>
      </c>
      <c r="R514" s="27" t="s">
        <v>31</v>
      </c>
      <c r="S514" s="27" t="s">
        <v>96</v>
      </c>
      <c r="T514" s="27" t="s">
        <v>61</v>
      </c>
      <c r="U514" s="27">
        <v>9345342793</v>
      </c>
      <c r="V514" s="27" t="s">
        <v>52</v>
      </c>
    </row>
    <row r="515" spans="1:22" ht="15" thickBot="1" x14ac:dyDescent="0.4">
      <c r="A515" s="30" t="s">
        <v>631</v>
      </c>
      <c r="B515" s="30" t="s">
        <v>104</v>
      </c>
      <c r="C515" s="30" t="s">
        <v>24</v>
      </c>
      <c r="D515" s="31">
        <v>46098</v>
      </c>
      <c r="E515" s="31">
        <v>46110</v>
      </c>
      <c r="F515" s="30" t="s">
        <v>166</v>
      </c>
      <c r="G515" s="30" t="s">
        <v>26</v>
      </c>
      <c r="H515" s="31">
        <v>30367</v>
      </c>
      <c r="I515" s="30" t="s">
        <v>121</v>
      </c>
      <c r="J515" s="30" t="s">
        <v>38</v>
      </c>
      <c r="K515" s="30" t="s">
        <v>29</v>
      </c>
      <c r="L515" s="30" t="s">
        <v>30</v>
      </c>
      <c r="M515" s="30">
        <v>20</v>
      </c>
      <c r="N515" s="30">
        <v>2200</v>
      </c>
      <c r="O515" s="30">
        <v>0</v>
      </c>
      <c r="P515" s="30">
        <v>44000</v>
      </c>
      <c r="Q515" s="30">
        <v>5</v>
      </c>
      <c r="R515" s="30" t="s">
        <v>31</v>
      </c>
      <c r="S515" s="30" t="s">
        <v>32</v>
      </c>
      <c r="T515" s="30" t="s">
        <v>108</v>
      </c>
      <c r="U515" s="30">
        <v>9329668173</v>
      </c>
      <c r="V515" s="30" t="s">
        <v>53</v>
      </c>
    </row>
    <row r="516" spans="1:22" ht="15" thickBot="1" x14ac:dyDescent="0.4">
      <c r="A516" s="27" t="s">
        <v>632</v>
      </c>
      <c r="B516" s="27" t="s">
        <v>63</v>
      </c>
      <c r="C516" s="27" t="s">
        <v>36</v>
      </c>
      <c r="D516" s="28">
        <v>45711</v>
      </c>
      <c r="E516" s="28">
        <v>45723</v>
      </c>
      <c r="F516" s="27" t="s">
        <v>110</v>
      </c>
      <c r="G516" s="27" t="s">
        <v>58</v>
      </c>
      <c r="H516" s="28">
        <v>32307</v>
      </c>
      <c r="I516" s="27" t="s">
        <v>121</v>
      </c>
      <c r="J516" s="27" t="s">
        <v>38</v>
      </c>
      <c r="K516" s="27" t="s">
        <v>39</v>
      </c>
      <c r="L516" s="27" t="s">
        <v>40</v>
      </c>
      <c r="M516" s="27">
        <v>12</v>
      </c>
      <c r="N516" s="27">
        <v>12000</v>
      </c>
      <c r="O516" s="27">
        <v>15</v>
      </c>
      <c r="P516" s="27">
        <v>122400</v>
      </c>
      <c r="Q516" s="27">
        <v>5</v>
      </c>
      <c r="R516" s="27" t="s">
        <v>31</v>
      </c>
      <c r="S516" s="27" t="s">
        <v>96</v>
      </c>
      <c r="T516" s="27" t="s">
        <v>66</v>
      </c>
      <c r="U516" s="27">
        <v>9294740227</v>
      </c>
      <c r="V516" s="21" t="s">
        <v>34</v>
      </c>
    </row>
    <row r="517" spans="1:22" ht="15" thickBot="1" x14ac:dyDescent="0.4">
      <c r="A517" s="30" t="s">
        <v>633</v>
      </c>
      <c r="B517" s="30" t="s">
        <v>124</v>
      </c>
      <c r="C517" s="30" t="s">
        <v>56</v>
      </c>
      <c r="D517" s="31">
        <v>46002</v>
      </c>
      <c r="E517" s="31">
        <v>46011</v>
      </c>
      <c r="F517" s="30" t="s">
        <v>126</v>
      </c>
      <c r="G517" s="30" t="s">
        <v>58</v>
      </c>
      <c r="H517" s="31">
        <v>33807</v>
      </c>
      <c r="I517" s="30" t="s">
        <v>37</v>
      </c>
      <c r="J517" s="30" t="s">
        <v>38</v>
      </c>
      <c r="K517" s="30" t="s">
        <v>39</v>
      </c>
      <c r="L517" s="30" t="s">
        <v>59</v>
      </c>
      <c r="M517" s="30">
        <v>3</v>
      </c>
      <c r="N517" s="30">
        <v>1200</v>
      </c>
      <c r="O517" s="30">
        <v>20</v>
      </c>
      <c r="P517" s="30">
        <v>2880</v>
      </c>
      <c r="Q517" s="30">
        <v>2</v>
      </c>
      <c r="R517" s="30" t="s">
        <v>41</v>
      </c>
      <c r="S517" s="30" t="s">
        <v>80</v>
      </c>
      <c r="T517" s="30" t="s">
        <v>298</v>
      </c>
      <c r="U517" s="30">
        <v>9549426303</v>
      </c>
      <c r="V517" s="30" t="s">
        <v>52</v>
      </c>
    </row>
    <row r="518" spans="1:22" ht="15" thickBot="1" x14ac:dyDescent="0.4">
      <c r="A518" s="27" t="s">
        <v>634</v>
      </c>
      <c r="B518" s="27" t="s">
        <v>72</v>
      </c>
      <c r="C518" s="27" t="s">
        <v>46</v>
      </c>
      <c r="D518" s="28">
        <v>45842</v>
      </c>
      <c r="E518" s="28">
        <v>45843</v>
      </c>
      <c r="F518" s="27" t="s">
        <v>73</v>
      </c>
      <c r="G518" s="27" t="s">
        <v>26</v>
      </c>
      <c r="H518" s="28">
        <v>29079</v>
      </c>
      <c r="I518" s="27" t="s">
        <v>74</v>
      </c>
      <c r="J518" s="27" t="s">
        <v>75</v>
      </c>
      <c r="K518" s="27" t="s">
        <v>39</v>
      </c>
      <c r="L518" s="27" t="s">
        <v>635</v>
      </c>
      <c r="M518" s="27">
        <v>6</v>
      </c>
      <c r="N518" s="27">
        <v>55000</v>
      </c>
      <c r="O518" s="27">
        <v>20</v>
      </c>
      <c r="P518" s="27">
        <v>264000</v>
      </c>
      <c r="Q518" s="27">
        <v>3</v>
      </c>
      <c r="R518" s="27" t="s">
        <v>31</v>
      </c>
      <c r="S518" s="27" t="s">
        <v>96</v>
      </c>
      <c r="T518" s="27" t="s">
        <v>93</v>
      </c>
      <c r="U518" s="27">
        <v>9374249303</v>
      </c>
      <c r="V518" s="21" t="s">
        <v>34</v>
      </c>
    </row>
    <row r="519" spans="1:22" ht="15" thickBot="1" x14ac:dyDescent="0.4">
      <c r="A519" s="33" t="s">
        <v>636</v>
      </c>
      <c r="B519" s="33" t="s">
        <v>72</v>
      </c>
      <c r="C519" s="33" t="s">
        <v>68</v>
      </c>
      <c r="D519" s="34">
        <v>45916</v>
      </c>
      <c r="E519" s="34">
        <v>45923</v>
      </c>
      <c r="F519" s="33" t="s">
        <v>73</v>
      </c>
      <c r="G519" s="33" t="s">
        <v>26</v>
      </c>
      <c r="H519" s="34">
        <v>28088</v>
      </c>
      <c r="I519" s="33" t="s">
        <v>48</v>
      </c>
      <c r="J519" s="33" t="s">
        <v>28</v>
      </c>
      <c r="K519" s="33" t="s">
        <v>29</v>
      </c>
      <c r="L519" s="33" t="s">
        <v>70</v>
      </c>
      <c r="M519" s="33">
        <v>20</v>
      </c>
      <c r="N519" s="33">
        <v>3500</v>
      </c>
      <c r="O519" s="33">
        <v>0</v>
      </c>
      <c r="P519" s="33">
        <v>70000</v>
      </c>
      <c r="Q519" s="33">
        <v>1</v>
      </c>
      <c r="R519" s="33" t="s">
        <v>41</v>
      </c>
      <c r="S519" s="33" t="s">
        <v>96</v>
      </c>
      <c r="T519" s="33" t="s">
        <v>93</v>
      </c>
      <c r="U519" s="33">
        <v>9810334941</v>
      </c>
      <c r="V519" s="33" t="s">
        <v>52</v>
      </c>
    </row>
  </sheetData>
  <mergeCells count="11">
    <mergeCell ref="A7:C7"/>
    <mergeCell ref="E6:F6"/>
    <mergeCell ref="E7:F7"/>
    <mergeCell ref="I6:J6"/>
    <mergeCell ref="I7:J7"/>
    <mergeCell ref="A10:C10"/>
    <mergeCell ref="A11:C11"/>
    <mergeCell ref="E10:F10"/>
    <mergeCell ref="E11:F11"/>
    <mergeCell ref="I10:J10"/>
    <mergeCell ref="I11:J11"/>
  </mergeCells>
  <hyperlinks>
    <hyperlink ref="T20" r:id="rId1" display="mailto:KAvya.nair@company.com" xr:uid="{F55E7A39-0BD4-4DF0-855B-77E43F814218}"/>
    <hyperlink ref="T23" r:id="rId2" display="mailto:kavya.nair@company.com" xr:uid="{839E6BED-89B1-4EED-909B-17747E606E66}"/>
    <hyperlink ref="T27" r:id="rId3" display="mailto:priYa.patel@company.com" xr:uid="{38ADF070-F2AF-4D91-8767-44E7D1908A85}"/>
    <hyperlink ref="T29" r:id="rId4" display="mailto:PRiya.patel@company.com" xr:uid="{2F5776A6-9C83-4ECA-9CC9-A1E0FA241049}"/>
    <hyperlink ref="T33" r:id="rId5" display="mailto:rOhit.singh@company.com" xr:uid="{6473B3A9-175A-466E-A8B8-B742E613C712}"/>
    <hyperlink ref="T34" r:id="rId6" display="mailto:kavya.nair@company.com" xr:uid="{263CEFB4-6ECE-4178-AFBA-753E7E5766D5}"/>
    <hyperlink ref="T38" r:id="rId7" display="mailto:arjun.Rao@company.com" xr:uid="{82FF7E0A-0252-4625-9F86-EB4E9A605516}"/>
    <hyperlink ref="T79" r:id="rId8" display="mailto:Vikas.mehta@company.com" xr:uid="{A911297B-34A1-4B6D-8FB8-C3B61D24C5EB}"/>
    <hyperlink ref="T90" r:id="rId9" display="mailto:Anita.gupta@company.com" xr:uid="{74927E1B-6843-41ED-94F9-2642AEAB3F85}"/>
    <hyperlink ref="T312" r:id="rId10" display="mailto:Pooja.shah@company.com" xr:uid="{F53E9AEC-918C-447D-97CA-6022856CCED2}"/>
    <hyperlink ref="T468" r:id="rId11" display="mailto:amit.SHarma@company.com" xr:uid="{4B41C297-67F9-4B67-B550-894831A2FC88}"/>
    <hyperlink ref="T481" r:id="rId12" display="mailto:rohit.sinGh@company.com" xr:uid="{D8D028E3-861C-4CD0-9D91-41424975AE5C}"/>
    <hyperlink ref="T497" r:id="rId13" display="mailto:kavya.Nair@company.com" xr:uid="{1D1EFB46-E32B-4CB0-90A2-1241C1692B25}"/>
    <hyperlink ref="T507" r:id="rId14" display="mailto:pOOja.shah@company.com" xr:uid="{969DBDA7-8617-44E7-8F2D-19910B906E0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0BFC6-50B7-464B-AB79-79042D9EE3CB}">
  <dimension ref="A1:V518"/>
  <sheetViews>
    <sheetView topLeftCell="B1" workbookViewId="0">
      <selection activeCell="G14" sqref="G14"/>
    </sheetView>
  </sheetViews>
  <sheetFormatPr defaultRowHeight="14.5" x14ac:dyDescent="0.35"/>
  <cols>
    <col min="1" max="1" width="9.54296875" bestFit="1" customWidth="1"/>
    <col min="2" max="2" width="14.453125" bestFit="1" customWidth="1"/>
    <col min="3" max="3" width="10" bestFit="1" customWidth="1"/>
    <col min="4" max="4" width="10.1796875" customWidth="1"/>
    <col min="5" max="5" width="14.6328125" customWidth="1"/>
    <col min="6" max="6" width="14.81640625" bestFit="1" customWidth="1"/>
    <col min="7" max="7" width="6.90625" bestFit="1" customWidth="1"/>
    <col min="8" max="8" width="10.08984375" bestFit="1" customWidth="1"/>
    <col min="9" max="9" width="10.453125" bestFit="1" customWidth="1"/>
    <col min="10" max="10" width="6.54296875" bestFit="1" customWidth="1"/>
    <col min="11" max="11" width="15" bestFit="1" customWidth="1"/>
    <col min="12" max="12" width="13.1796875" bestFit="1" customWidth="1"/>
    <col min="13" max="13" width="8" bestFit="1" customWidth="1"/>
    <col min="14" max="14" width="9.453125" bestFit="1" customWidth="1"/>
    <col min="15" max="15" width="10.7265625" bestFit="1" customWidth="1"/>
    <col min="16" max="16" width="7.81640625" bestFit="1" customWidth="1"/>
    <col min="17" max="17" width="6.1796875" bestFit="1" customWidth="1"/>
    <col min="18" max="18" width="13.6328125" bestFit="1" customWidth="1"/>
    <col min="19" max="19" width="11.08984375" bestFit="1" customWidth="1"/>
    <col min="20" max="20" width="24.81640625" bestFit="1" customWidth="1"/>
    <col min="21" max="21" width="10.81640625" bestFit="1" customWidth="1"/>
    <col min="22" max="22" width="11.6328125" bestFit="1" customWidth="1"/>
  </cols>
  <sheetData>
    <row r="1" spans="2:12" ht="15" thickBot="1" x14ac:dyDescent="0.4"/>
    <row r="2" spans="2:12" ht="19" thickBot="1" x14ac:dyDescent="0.5">
      <c r="C2" s="122" t="s">
        <v>673</v>
      </c>
      <c r="D2" s="123"/>
      <c r="E2" s="123"/>
      <c r="F2" s="123"/>
      <c r="G2" s="123"/>
      <c r="H2" s="123"/>
      <c r="I2" s="123"/>
      <c r="J2" s="123"/>
      <c r="K2" s="123"/>
      <c r="L2" s="124"/>
    </row>
    <row r="4" spans="2:12" x14ac:dyDescent="0.35">
      <c r="B4" s="85" t="s">
        <v>674</v>
      </c>
      <c r="D4" s="125" t="s">
        <v>675</v>
      </c>
      <c r="E4" s="125"/>
      <c r="G4" s="127" t="s">
        <v>676</v>
      </c>
      <c r="H4" s="127"/>
      <c r="J4" s="129" t="s">
        <v>677</v>
      </c>
      <c r="K4" s="129"/>
    </row>
    <row r="5" spans="2:12" x14ac:dyDescent="0.35">
      <c r="B5" s="86">
        <f>SUMPRODUCT($M$19:$M$518, $N$19:$N$518)</f>
        <v>36610875</v>
      </c>
      <c r="D5" s="126">
        <f>SUMPRODUCT($M$19:$M$518,$N$19:$N$518)/SUM($M$19:$M$518)</f>
        <v>6990.8105785755206</v>
      </c>
      <c r="E5" s="126"/>
      <c r="G5" s="128">
        <f>B5-SUM($P$19:$P$518)</f>
        <v>1844937.5</v>
      </c>
      <c r="H5" s="128"/>
      <c r="J5" s="130">
        <f>SUMPRODUCT($M$19:$M$518,$N$19:$N$518,$O$19:$O$518)</f>
        <v>291815150</v>
      </c>
      <c r="K5" s="130"/>
    </row>
    <row r="17" spans="1:22" ht="15" thickBot="1" x14ac:dyDescent="0.4"/>
    <row r="18" spans="1:22" ht="15" thickBot="1" x14ac:dyDescent="0.4">
      <c r="A18" s="25" t="s">
        <v>0</v>
      </c>
      <c r="B18" s="25" t="s">
        <v>1</v>
      </c>
      <c r="C18" s="25" t="s">
        <v>2</v>
      </c>
      <c r="D18" s="25" t="s">
        <v>3</v>
      </c>
      <c r="E18" s="25" t="s">
        <v>4</v>
      </c>
      <c r="F18" s="25" t="s">
        <v>5</v>
      </c>
      <c r="G18" s="25" t="s">
        <v>6</v>
      </c>
      <c r="H18" s="25" t="s">
        <v>7</v>
      </c>
      <c r="I18" s="25" t="s">
        <v>8</v>
      </c>
      <c r="J18" s="25" t="s">
        <v>9</v>
      </c>
      <c r="K18" s="25" t="s">
        <v>10</v>
      </c>
      <c r="L18" s="25" t="s">
        <v>11</v>
      </c>
      <c r="M18" s="25" t="s">
        <v>12</v>
      </c>
      <c r="N18" s="25" t="s">
        <v>13</v>
      </c>
      <c r="O18" s="25" t="s">
        <v>14</v>
      </c>
      <c r="P18" s="25" t="s">
        <v>15</v>
      </c>
      <c r="Q18" s="25" t="s">
        <v>16</v>
      </c>
      <c r="R18" s="25" t="s">
        <v>17</v>
      </c>
      <c r="S18" s="25" t="s">
        <v>18</v>
      </c>
      <c r="T18" s="25" t="s">
        <v>19</v>
      </c>
      <c r="U18" s="25" t="s">
        <v>20</v>
      </c>
      <c r="V18" s="20" t="s">
        <v>21</v>
      </c>
    </row>
    <row r="19" spans="1:22" ht="15.5" thickTop="1" thickBot="1" x14ac:dyDescent="0.4">
      <c r="A19" s="27" t="s">
        <v>22</v>
      </c>
      <c r="B19" s="27" t="s">
        <v>23</v>
      </c>
      <c r="C19" s="27" t="s">
        <v>24</v>
      </c>
      <c r="D19" s="28">
        <v>45918</v>
      </c>
      <c r="E19" s="28">
        <v>45922</v>
      </c>
      <c r="F19" s="27" t="s">
        <v>25</v>
      </c>
      <c r="G19" s="27" t="s">
        <v>26</v>
      </c>
      <c r="H19" s="28">
        <v>27973</v>
      </c>
      <c r="I19" s="27" t="s">
        <v>27</v>
      </c>
      <c r="J19" s="27" t="s">
        <v>28</v>
      </c>
      <c r="K19" s="27" t="s">
        <v>29</v>
      </c>
      <c r="L19" s="27" t="s">
        <v>30</v>
      </c>
      <c r="M19" s="27">
        <v>4</v>
      </c>
      <c r="N19" s="27">
        <v>2200</v>
      </c>
      <c r="O19" s="27">
        <v>10</v>
      </c>
      <c r="P19" s="27">
        <v>7920</v>
      </c>
      <c r="Q19" s="27">
        <v>4</v>
      </c>
      <c r="R19" s="27" t="s">
        <v>31</v>
      </c>
      <c r="S19" s="27" t="s">
        <v>32</v>
      </c>
      <c r="T19" s="29" t="s">
        <v>33</v>
      </c>
      <c r="U19" s="27">
        <v>9431429797</v>
      </c>
      <c r="V19" s="21" t="s">
        <v>34</v>
      </c>
    </row>
    <row r="20" spans="1:22" ht="15" thickBot="1" x14ac:dyDescent="0.4">
      <c r="A20" s="30" t="s">
        <v>35</v>
      </c>
      <c r="B20" s="30" t="s">
        <v>23</v>
      </c>
      <c r="C20" s="30" t="s">
        <v>36</v>
      </c>
      <c r="D20" s="31">
        <v>45774</v>
      </c>
      <c r="E20" s="31">
        <v>45781</v>
      </c>
      <c r="F20" s="30" t="s">
        <v>25</v>
      </c>
      <c r="G20" s="30" t="s">
        <v>26</v>
      </c>
      <c r="H20" s="31">
        <v>36815</v>
      </c>
      <c r="I20" s="30" t="s">
        <v>37</v>
      </c>
      <c r="J20" s="30" t="s">
        <v>38</v>
      </c>
      <c r="K20" s="30" t="s">
        <v>39</v>
      </c>
      <c r="L20" s="30" t="s">
        <v>40</v>
      </c>
      <c r="M20" s="30">
        <v>17</v>
      </c>
      <c r="N20" s="30">
        <v>12000</v>
      </c>
      <c r="O20" s="30">
        <v>10</v>
      </c>
      <c r="P20" s="30">
        <v>183600</v>
      </c>
      <c r="Q20" s="30">
        <v>1</v>
      </c>
      <c r="R20" s="30" t="s">
        <v>41</v>
      </c>
      <c r="S20" s="30" t="s">
        <v>42</v>
      </c>
      <c r="T20" s="30" t="s">
        <v>43</v>
      </c>
      <c r="U20" s="30">
        <v>9129865339</v>
      </c>
      <c r="V20" s="22" t="s">
        <v>34</v>
      </c>
    </row>
    <row r="21" spans="1:22" ht="15" thickBot="1" x14ac:dyDescent="0.4">
      <c r="A21" s="27" t="s">
        <v>44</v>
      </c>
      <c r="B21" s="27" t="s">
        <v>45</v>
      </c>
      <c r="C21" s="27" t="s">
        <v>46</v>
      </c>
      <c r="D21" s="28">
        <v>45903</v>
      </c>
      <c r="E21" s="28">
        <v>45914</v>
      </c>
      <c r="F21" s="27" t="s">
        <v>47</v>
      </c>
      <c r="G21" s="27" t="s">
        <v>26</v>
      </c>
      <c r="H21" s="28">
        <v>34593</v>
      </c>
      <c r="I21" s="27" t="s">
        <v>48</v>
      </c>
      <c r="J21" s="27" t="s">
        <v>28</v>
      </c>
      <c r="K21" s="27" t="s">
        <v>39</v>
      </c>
      <c r="L21" s="27" t="s">
        <v>49</v>
      </c>
      <c r="M21" s="27">
        <v>5</v>
      </c>
      <c r="N21" s="27">
        <v>55000</v>
      </c>
      <c r="O21" s="27">
        <v>5</v>
      </c>
      <c r="P21" s="27">
        <v>261250</v>
      </c>
      <c r="Q21" s="27">
        <v>3</v>
      </c>
      <c r="R21" s="27" t="s">
        <v>41</v>
      </c>
      <c r="S21" s="27" t="s">
        <v>50</v>
      </c>
      <c r="T21" s="27" t="s">
        <v>51</v>
      </c>
      <c r="U21" s="27">
        <v>9380975626</v>
      </c>
      <c r="V21" s="27" t="s">
        <v>52</v>
      </c>
    </row>
    <row r="22" spans="1:22" ht="15" thickBot="1" x14ac:dyDescent="0.4">
      <c r="A22" s="30" t="s">
        <v>35</v>
      </c>
      <c r="B22" s="30" t="s">
        <v>23</v>
      </c>
      <c r="C22" s="30" t="s">
        <v>24</v>
      </c>
      <c r="D22" s="31">
        <v>46102</v>
      </c>
      <c r="E22" s="31">
        <v>46114</v>
      </c>
      <c r="F22" s="30" t="s">
        <v>25</v>
      </c>
      <c r="G22" s="30" t="s">
        <v>26</v>
      </c>
      <c r="H22" s="31">
        <v>38053</v>
      </c>
      <c r="I22" s="30" t="s">
        <v>48</v>
      </c>
      <c r="J22" s="30" t="s">
        <v>28</v>
      </c>
      <c r="K22" s="30" t="s">
        <v>29</v>
      </c>
      <c r="L22" s="30" t="s">
        <v>30</v>
      </c>
      <c r="M22" s="30">
        <v>5</v>
      </c>
      <c r="N22" s="30">
        <v>2200</v>
      </c>
      <c r="O22" s="30">
        <v>5</v>
      </c>
      <c r="P22" s="30">
        <v>10450</v>
      </c>
      <c r="Q22" s="30">
        <v>5</v>
      </c>
      <c r="R22" s="30" t="s">
        <v>41</v>
      </c>
      <c r="S22" s="30" t="s">
        <v>50</v>
      </c>
      <c r="T22" s="32" t="s">
        <v>43</v>
      </c>
      <c r="U22" s="30">
        <v>9600261125</v>
      </c>
      <c r="V22" s="30" t="s">
        <v>53</v>
      </c>
    </row>
    <row r="23" spans="1:22" ht="15" thickBot="1" x14ac:dyDescent="0.4">
      <c r="A23" s="27" t="s">
        <v>54</v>
      </c>
      <c r="B23" s="27" t="s">
        <v>55</v>
      </c>
      <c r="C23" s="27" t="s">
        <v>56</v>
      </c>
      <c r="D23" s="28">
        <v>45927</v>
      </c>
      <c r="E23" s="28">
        <v>45937</v>
      </c>
      <c r="F23" s="27" t="s">
        <v>57</v>
      </c>
      <c r="G23" s="27" t="s">
        <v>58</v>
      </c>
      <c r="H23" s="28">
        <v>27863</v>
      </c>
      <c r="I23" s="27" t="s">
        <v>37</v>
      </c>
      <c r="J23" s="27" t="s">
        <v>38</v>
      </c>
      <c r="K23" s="27" t="s">
        <v>39</v>
      </c>
      <c r="L23" s="27" t="s">
        <v>59</v>
      </c>
      <c r="M23" s="27">
        <v>8</v>
      </c>
      <c r="N23" s="27">
        <v>1200</v>
      </c>
      <c r="O23" s="27">
        <v>5</v>
      </c>
      <c r="P23" s="27">
        <v>9120</v>
      </c>
      <c r="Q23" s="27">
        <v>2</v>
      </c>
      <c r="R23" s="27" t="s">
        <v>60</v>
      </c>
      <c r="S23" s="27" t="s">
        <v>50</v>
      </c>
      <c r="T23" s="27" t="s">
        <v>61</v>
      </c>
      <c r="U23" s="27">
        <v>9724635978</v>
      </c>
      <c r="V23" s="27" t="s">
        <v>52</v>
      </c>
    </row>
    <row r="24" spans="1:22" ht="15" thickBot="1" x14ac:dyDescent="0.4">
      <c r="A24" s="30" t="s">
        <v>62</v>
      </c>
      <c r="B24" s="30" t="s">
        <v>63</v>
      </c>
      <c r="C24" s="30" t="s">
        <v>24</v>
      </c>
      <c r="D24" s="31">
        <v>46026</v>
      </c>
      <c r="E24" s="31">
        <v>46034</v>
      </c>
      <c r="F24" s="30" t="s">
        <v>64</v>
      </c>
      <c r="G24" s="30" t="s">
        <v>58</v>
      </c>
      <c r="H24" s="31">
        <v>32180</v>
      </c>
      <c r="I24" s="30" t="s">
        <v>27</v>
      </c>
      <c r="J24" s="30" t="s">
        <v>28</v>
      </c>
      <c r="K24" s="30" t="s">
        <v>29</v>
      </c>
      <c r="L24" s="30" t="s">
        <v>30</v>
      </c>
      <c r="M24" s="30">
        <v>4</v>
      </c>
      <c r="N24" s="30">
        <v>2200</v>
      </c>
      <c r="O24" s="30">
        <v>0</v>
      </c>
      <c r="P24" s="30">
        <v>8800</v>
      </c>
      <c r="Q24" s="30">
        <v>1</v>
      </c>
      <c r="R24" s="30" t="s">
        <v>65</v>
      </c>
      <c r="S24" s="30" t="s">
        <v>32</v>
      </c>
      <c r="T24" s="30" t="s">
        <v>66</v>
      </c>
      <c r="U24" s="30">
        <v>9780584905</v>
      </c>
      <c r="V24" s="22" t="s">
        <v>34</v>
      </c>
    </row>
    <row r="25" spans="1:22" ht="15" thickBot="1" x14ac:dyDescent="0.4">
      <c r="A25" s="27" t="s">
        <v>67</v>
      </c>
      <c r="B25" s="27" t="s">
        <v>23</v>
      </c>
      <c r="C25" s="27" t="s">
        <v>68</v>
      </c>
      <c r="D25" s="27" t="s">
        <v>69</v>
      </c>
      <c r="E25" s="28">
        <v>46078</v>
      </c>
      <c r="F25" s="27" t="s">
        <v>25</v>
      </c>
      <c r="G25" s="27" t="s">
        <v>26</v>
      </c>
      <c r="H25" s="28">
        <v>37700</v>
      </c>
      <c r="I25" s="27" t="s">
        <v>27</v>
      </c>
      <c r="J25" s="27" t="s">
        <v>28</v>
      </c>
      <c r="K25" s="27" t="s">
        <v>29</v>
      </c>
      <c r="L25" s="27" t="s">
        <v>70</v>
      </c>
      <c r="M25" s="27">
        <v>2</v>
      </c>
      <c r="N25" s="27">
        <v>3500</v>
      </c>
      <c r="O25" s="27">
        <v>5</v>
      </c>
      <c r="P25" s="27">
        <v>6650</v>
      </c>
      <c r="Q25" s="27">
        <v>1</v>
      </c>
      <c r="R25" s="27" t="s">
        <v>65</v>
      </c>
      <c r="S25" s="27" t="s">
        <v>32</v>
      </c>
      <c r="T25" s="27" t="s">
        <v>43</v>
      </c>
      <c r="U25" s="27">
        <v>9958252176</v>
      </c>
      <c r="V25" s="21" t="s">
        <v>34</v>
      </c>
    </row>
    <row r="26" spans="1:22" ht="15" thickBot="1" x14ac:dyDescent="0.4">
      <c r="A26" s="30" t="s">
        <v>71</v>
      </c>
      <c r="B26" s="30" t="s">
        <v>72</v>
      </c>
      <c r="C26" s="30" t="s">
        <v>36</v>
      </c>
      <c r="D26" s="31">
        <v>45760</v>
      </c>
      <c r="E26" s="31">
        <v>45766</v>
      </c>
      <c r="F26" s="30" t="s">
        <v>73</v>
      </c>
      <c r="G26" s="30" t="s">
        <v>26</v>
      </c>
      <c r="H26" s="31">
        <v>34765</v>
      </c>
      <c r="I26" s="30" t="s">
        <v>74</v>
      </c>
      <c r="J26" s="30" t="s">
        <v>75</v>
      </c>
      <c r="K26" s="30" t="s">
        <v>39</v>
      </c>
      <c r="L26" s="30" t="s">
        <v>40</v>
      </c>
      <c r="M26" s="30">
        <v>14</v>
      </c>
      <c r="N26" s="30">
        <v>12000</v>
      </c>
      <c r="O26" s="30">
        <v>15</v>
      </c>
      <c r="P26" s="30">
        <v>142800</v>
      </c>
      <c r="Q26" s="30">
        <v>4</v>
      </c>
      <c r="R26" s="30" t="s">
        <v>41</v>
      </c>
      <c r="S26" s="30" t="s">
        <v>32</v>
      </c>
      <c r="T26" s="32" t="s">
        <v>76</v>
      </c>
      <c r="U26" s="30">
        <v>9705521654</v>
      </c>
      <c r="V26" s="22" t="s">
        <v>34</v>
      </c>
    </row>
    <row r="27" spans="1:22" ht="15" thickBot="1" x14ac:dyDescent="0.4">
      <c r="A27" s="27" t="s">
        <v>77</v>
      </c>
      <c r="B27" s="27" t="s">
        <v>23</v>
      </c>
      <c r="C27" s="27" t="s">
        <v>36</v>
      </c>
      <c r="D27" s="28">
        <v>46053</v>
      </c>
      <c r="E27" s="28">
        <v>46055</v>
      </c>
      <c r="F27" s="27" t="s">
        <v>78</v>
      </c>
      <c r="G27" s="27" t="s">
        <v>26</v>
      </c>
      <c r="H27" s="28">
        <v>35526</v>
      </c>
      <c r="I27" s="27" t="s">
        <v>79</v>
      </c>
      <c r="J27" s="27" t="s">
        <v>75</v>
      </c>
      <c r="K27" s="27" t="s">
        <v>39</v>
      </c>
      <c r="L27" s="27" t="s">
        <v>40</v>
      </c>
      <c r="M27" s="27">
        <v>4</v>
      </c>
      <c r="N27" s="27">
        <v>12000</v>
      </c>
      <c r="O27" s="27">
        <v>15</v>
      </c>
      <c r="P27" s="27">
        <v>40800</v>
      </c>
      <c r="Q27" s="27">
        <v>4</v>
      </c>
      <c r="R27" s="27" t="s">
        <v>65</v>
      </c>
      <c r="S27" s="27" t="s">
        <v>80</v>
      </c>
      <c r="T27" s="27" t="s">
        <v>43</v>
      </c>
      <c r="U27" s="27">
        <v>9588041011</v>
      </c>
      <c r="V27" s="21" t="s">
        <v>34</v>
      </c>
    </row>
    <row r="28" spans="1:22" ht="15" thickBot="1" x14ac:dyDescent="0.4">
      <c r="A28" s="30" t="s">
        <v>81</v>
      </c>
      <c r="B28" s="30" t="s">
        <v>72</v>
      </c>
      <c r="C28" s="30" t="s">
        <v>82</v>
      </c>
      <c r="D28" s="31">
        <v>45741</v>
      </c>
      <c r="E28" s="31">
        <v>45743</v>
      </c>
      <c r="F28" s="30" t="s">
        <v>73</v>
      </c>
      <c r="G28" s="30" t="s">
        <v>26</v>
      </c>
      <c r="H28" s="31">
        <v>32880</v>
      </c>
      <c r="I28" s="30" t="s">
        <v>74</v>
      </c>
      <c r="J28" s="30" t="s">
        <v>75</v>
      </c>
      <c r="K28" s="30" t="s">
        <v>83</v>
      </c>
      <c r="L28" s="30" t="s">
        <v>84</v>
      </c>
      <c r="M28" s="30">
        <v>6</v>
      </c>
      <c r="N28" s="30">
        <v>60</v>
      </c>
      <c r="O28" s="30">
        <v>0</v>
      </c>
      <c r="P28" s="30">
        <v>360</v>
      </c>
      <c r="Q28" s="30">
        <v>4</v>
      </c>
      <c r="R28" s="30" t="s">
        <v>60</v>
      </c>
      <c r="S28" s="30" t="s">
        <v>80</v>
      </c>
      <c r="T28" s="32" t="s">
        <v>85</v>
      </c>
      <c r="U28" s="30">
        <v>9340540608</v>
      </c>
      <c r="V28" s="22" t="s">
        <v>34</v>
      </c>
    </row>
    <row r="29" spans="1:22" ht="15" thickBot="1" x14ac:dyDescent="0.4">
      <c r="A29" s="27" t="s">
        <v>86</v>
      </c>
      <c r="B29" s="27" t="s">
        <v>87</v>
      </c>
      <c r="C29" s="27" t="s">
        <v>24</v>
      </c>
      <c r="D29" s="28">
        <v>45919</v>
      </c>
      <c r="E29" s="28">
        <v>45923</v>
      </c>
      <c r="F29" s="27" t="s">
        <v>88</v>
      </c>
      <c r="G29" s="27" t="s">
        <v>58</v>
      </c>
      <c r="H29" s="28">
        <v>30081</v>
      </c>
      <c r="I29" s="27" t="s">
        <v>37</v>
      </c>
      <c r="J29" s="27" t="s">
        <v>38</v>
      </c>
      <c r="K29" s="27" t="s">
        <v>29</v>
      </c>
      <c r="L29" s="27" t="s">
        <v>30</v>
      </c>
      <c r="M29" s="27">
        <v>-3</v>
      </c>
      <c r="N29" s="27">
        <v>2200</v>
      </c>
      <c r="O29" s="27">
        <v>0</v>
      </c>
      <c r="P29" s="27">
        <v>35200</v>
      </c>
      <c r="Q29" s="27">
        <v>2</v>
      </c>
      <c r="R29" s="27" t="s">
        <v>60</v>
      </c>
      <c r="S29" s="27" t="s">
        <v>42</v>
      </c>
      <c r="T29" s="27" t="s">
        <v>89</v>
      </c>
      <c r="U29" s="27">
        <v>9521710321</v>
      </c>
      <c r="V29" s="27" t="s">
        <v>52</v>
      </c>
    </row>
    <row r="30" spans="1:22" ht="15" thickBot="1" x14ac:dyDescent="0.4">
      <c r="A30" s="30" t="s">
        <v>90</v>
      </c>
      <c r="B30" s="30" t="s">
        <v>23</v>
      </c>
      <c r="C30" s="30" t="s">
        <v>68</v>
      </c>
      <c r="D30" s="31">
        <v>45724</v>
      </c>
      <c r="E30" s="31">
        <v>45731</v>
      </c>
      <c r="F30" s="30" t="s">
        <v>25</v>
      </c>
      <c r="G30" s="30" t="s">
        <v>26</v>
      </c>
      <c r="H30" s="31">
        <v>29974</v>
      </c>
      <c r="I30" s="30" t="s">
        <v>91</v>
      </c>
      <c r="J30" s="30" t="s">
        <v>75</v>
      </c>
      <c r="K30" s="30" t="s">
        <v>29</v>
      </c>
      <c r="L30" s="30" t="s">
        <v>70</v>
      </c>
      <c r="M30" s="30">
        <v>10</v>
      </c>
      <c r="N30" s="30">
        <v>3500</v>
      </c>
      <c r="O30" s="30">
        <v>5</v>
      </c>
      <c r="P30" s="30">
        <v>33250</v>
      </c>
      <c r="Q30" s="30">
        <v>5</v>
      </c>
      <c r="R30" s="30" t="s">
        <v>60</v>
      </c>
      <c r="S30" s="30" t="s">
        <v>50</v>
      </c>
      <c r="T30" s="30" t="s">
        <v>43</v>
      </c>
      <c r="U30" s="30">
        <v>9123535241</v>
      </c>
      <c r="V30" s="30" t="s">
        <v>53</v>
      </c>
    </row>
    <row r="31" spans="1:22" ht="15" thickBot="1" x14ac:dyDescent="0.4">
      <c r="A31" s="27" t="s">
        <v>92</v>
      </c>
      <c r="B31" s="27" t="s">
        <v>72</v>
      </c>
      <c r="C31" s="27" t="s">
        <v>24</v>
      </c>
      <c r="D31" s="28">
        <v>45667</v>
      </c>
      <c r="E31" s="28">
        <v>45672</v>
      </c>
      <c r="F31" s="27" t="s">
        <v>73</v>
      </c>
      <c r="G31" s="27" t="s">
        <v>26</v>
      </c>
      <c r="H31" s="28">
        <v>33791</v>
      </c>
      <c r="I31" s="27" t="s">
        <v>79</v>
      </c>
      <c r="J31" s="27" t="s">
        <v>75</v>
      </c>
      <c r="K31" s="27" t="s">
        <v>29</v>
      </c>
      <c r="L31" s="27" t="s">
        <v>30</v>
      </c>
      <c r="M31" s="27">
        <v>15</v>
      </c>
      <c r="N31" s="27">
        <v>2200</v>
      </c>
      <c r="O31" s="27">
        <v>10</v>
      </c>
      <c r="P31" s="27">
        <v>29700</v>
      </c>
      <c r="Q31" s="27">
        <v>1</v>
      </c>
      <c r="R31" s="27" t="s">
        <v>65</v>
      </c>
      <c r="S31" s="27" t="s">
        <v>80</v>
      </c>
      <c r="T31" s="27" t="s">
        <v>93</v>
      </c>
      <c r="U31" s="27">
        <v>9367316892</v>
      </c>
      <c r="V31" s="27" t="s">
        <v>52</v>
      </c>
    </row>
    <row r="32" spans="1:22" ht="15" thickBot="1" x14ac:dyDescent="0.4">
      <c r="A32" s="30" t="s">
        <v>94</v>
      </c>
      <c r="B32" s="30" t="s">
        <v>87</v>
      </c>
      <c r="C32" s="30" t="s">
        <v>24</v>
      </c>
      <c r="D32" s="31">
        <v>45725</v>
      </c>
      <c r="E32" s="31">
        <v>45729</v>
      </c>
      <c r="F32" s="30" t="s">
        <v>95</v>
      </c>
      <c r="G32" s="30" t="s">
        <v>58</v>
      </c>
      <c r="H32" s="31">
        <v>37334</v>
      </c>
      <c r="I32" s="30" t="s">
        <v>74</v>
      </c>
      <c r="J32" s="30" t="s">
        <v>75</v>
      </c>
      <c r="K32" s="30" t="s">
        <v>29</v>
      </c>
      <c r="L32" s="30" t="s">
        <v>30</v>
      </c>
      <c r="M32" s="30">
        <v>17</v>
      </c>
      <c r="N32" s="30">
        <v>2200</v>
      </c>
      <c r="O32" s="30">
        <v>5</v>
      </c>
      <c r="P32" s="30">
        <v>35530</v>
      </c>
      <c r="Q32" s="30">
        <v>1</v>
      </c>
      <c r="R32" s="30" t="s">
        <v>31</v>
      </c>
      <c r="S32" s="30" t="s">
        <v>96</v>
      </c>
      <c r="T32" s="32" t="s">
        <v>97</v>
      </c>
      <c r="U32" s="30">
        <v>9778489803</v>
      </c>
      <c r="V32" s="22" t="s">
        <v>34</v>
      </c>
    </row>
    <row r="33" spans="1:22" ht="15" thickBot="1" x14ac:dyDescent="0.4">
      <c r="A33" s="27" t="s">
        <v>98</v>
      </c>
      <c r="B33" s="27" t="s">
        <v>23</v>
      </c>
      <c r="C33" s="27" t="s">
        <v>68</v>
      </c>
      <c r="D33" s="28">
        <v>45864</v>
      </c>
      <c r="E33" s="28">
        <v>45876</v>
      </c>
      <c r="F33" s="27" t="s">
        <v>99</v>
      </c>
      <c r="G33" s="27" t="s">
        <v>26</v>
      </c>
      <c r="H33" s="28">
        <v>36908</v>
      </c>
      <c r="I33" s="27" t="s">
        <v>74</v>
      </c>
      <c r="J33" s="27" t="s">
        <v>75</v>
      </c>
      <c r="K33" s="27" t="s">
        <v>29</v>
      </c>
      <c r="L33" s="27" t="s">
        <v>70</v>
      </c>
      <c r="M33" s="27">
        <v>15</v>
      </c>
      <c r="N33" s="27">
        <v>3500</v>
      </c>
      <c r="O33" s="27">
        <v>15</v>
      </c>
      <c r="P33" s="27">
        <v>44625</v>
      </c>
      <c r="Q33" s="27">
        <v>2</v>
      </c>
      <c r="R33" s="27" t="s">
        <v>31</v>
      </c>
      <c r="S33" s="27" t="s">
        <v>80</v>
      </c>
      <c r="T33" s="29" t="s">
        <v>43</v>
      </c>
      <c r="U33" s="27">
        <v>9582960180</v>
      </c>
      <c r="V33" s="27" t="s">
        <v>53</v>
      </c>
    </row>
    <row r="34" spans="1:22" ht="15" thickBot="1" x14ac:dyDescent="0.4">
      <c r="A34" s="30" t="s">
        <v>100</v>
      </c>
      <c r="B34" s="30" t="s">
        <v>45</v>
      </c>
      <c r="C34" s="30" t="s">
        <v>56</v>
      </c>
      <c r="D34" s="31">
        <v>46120</v>
      </c>
      <c r="E34" s="31">
        <v>46123</v>
      </c>
      <c r="F34" s="30" t="s">
        <v>101</v>
      </c>
      <c r="G34" s="30" t="s">
        <v>26</v>
      </c>
      <c r="H34" s="31">
        <v>37357</v>
      </c>
      <c r="I34" s="30" t="s">
        <v>27</v>
      </c>
      <c r="J34" s="30" t="s">
        <v>28</v>
      </c>
      <c r="K34" s="30" t="s">
        <v>39</v>
      </c>
      <c r="L34" s="30" t="s">
        <v>59</v>
      </c>
      <c r="M34" s="30">
        <v>3</v>
      </c>
      <c r="N34" s="30">
        <v>1200</v>
      </c>
      <c r="O34" s="30">
        <v>5</v>
      </c>
      <c r="P34" s="30">
        <v>3420</v>
      </c>
      <c r="Q34" s="30">
        <v>5</v>
      </c>
      <c r="R34" s="30" t="s">
        <v>65</v>
      </c>
      <c r="S34" s="30" t="s">
        <v>32</v>
      </c>
      <c r="T34" s="30" t="s">
        <v>102</v>
      </c>
      <c r="U34" s="30">
        <v>9611394005</v>
      </c>
      <c r="V34" s="22" t="s">
        <v>34</v>
      </c>
    </row>
    <row r="35" spans="1:22" ht="15" thickBot="1" x14ac:dyDescent="0.4">
      <c r="A35" s="27" t="s">
        <v>103</v>
      </c>
      <c r="B35" s="27" t="s">
        <v>104</v>
      </c>
      <c r="C35" s="27" t="s">
        <v>105</v>
      </c>
      <c r="D35" s="28">
        <v>46075</v>
      </c>
      <c r="E35" s="28">
        <v>46084</v>
      </c>
      <c r="F35" s="27" t="s">
        <v>106</v>
      </c>
      <c r="G35" s="27" t="s">
        <v>26</v>
      </c>
      <c r="H35" s="28">
        <v>37272</v>
      </c>
      <c r="I35" s="27" t="s">
        <v>79</v>
      </c>
      <c r="J35" s="27" t="s">
        <v>75</v>
      </c>
      <c r="K35" s="27" t="s">
        <v>29</v>
      </c>
      <c r="L35" s="27" t="s">
        <v>107</v>
      </c>
      <c r="M35" s="27">
        <v>13</v>
      </c>
      <c r="N35" s="27">
        <v>8500</v>
      </c>
      <c r="O35" s="27">
        <v>20</v>
      </c>
      <c r="P35" s="27">
        <v>88400</v>
      </c>
      <c r="Q35" s="27">
        <v>4</v>
      </c>
      <c r="R35" s="27" t="s">
        <v>60</v>
      </c>
      <c r="S35" s="27" t="s">
        <v>42</v>
      </c>
      <c r="T35" s="27" t="s">
        <v>108</v>
      </c>
      <c r="U35" s="27">
        <v>9692599404</v>
      </c>
      <c r="V35" s="27" t="s">
        <v>52</v>
      </c>
    </row>
    <row r="36" spans="1:22" ht="15" thickBot="1" x14ac:dyDescent="0.4">
      <c r="A36" s="30" t="s">
        <v>109</v>
      </c>
      <c r="B36" s="30" t="s">
        <v>63</v>
      </c>
      <c r="C36" s="30" t="s">
        <v>105</v>
      </c>
      <c r="D36" s="31">
        <v>46081</v>
      </c>
      <c r="E36" s="31">
        <v>46086</v>
      </c>
      <c r="F36" s="30" t="s">
        <v>110</v>
      </c>
      <c r="G36" s="30" t="s">
        <v>58</v>
      </c>
      <c r="H36" s="31">
        <v>32790</v>
      </c>
      <c r="I36" s="30" t="s">
        <v>91</v>
      </c>
      <c r="J36" s="30" t="s">
        <v>75</v>
      </c>
      <c r="K36" s="30" t="s">
        <v>29</v>
      </c>
      <c r="L36" s="30" t="s">
        <v>107</v>
      </c>
      <c r="M36" s="30">
        <v>4</v>
      </c>
      <c r="N36" s="30">
        <v>8500</v>
      </c>
      <c r="O36" s="30">
        <v>20</v>
      </c>
      <c r="P36" s="30">
        <v>27200</v>
      </c>
      <c r="Q36" s="30">
        <v>5</v>
      </c>
      <c r="R36" s="30" t="s">
        <v>60</v>
      </c>
      <c r="S36" s="30" t="s">
        <v>50</v>
      </c>
      <c r="T36" s="30" t="s">
        <v>66</v>
      </c>
      <c r="U36" s="30">
        <v>9426119622</v>
      </c>
      <c r="V36" s="30" t="s">
        <v>52</v>
      </c>
    </row>
    <row r="37" spans="1:22" ht="15" thickBot="1" x14ac:dyDescent="0.4">
      <c r="A37" s="27" t="s">
        <v>111</v>
      </c>
      <c r="B37" s="27" t="s">
        <v>63</v>
      </c>
      <c r="C37" s="27" t="s">
        <v>112</v>
      </c>
      <c r="D37" s="28">
        <v>45992</v>
      </c>
      <c r="E37" s="28">
        <v>45995</v>
      </c>
      <c r="F37" s="27" t="s">
        <v>113</v>
      </c>
      <c r="G37" s="27" t="s">
        <v>58</v>
      </c>
      <c r="H37" s="28">
        <v>33539</v>
      </c>
      <c r="I37" s="27" t="s">
        <v>74</v>
      </c>
      <c r="J37" s="27" t="s">
        <v>75</v>
      </c>
      <c r="K37" s="27" t="s">
        <v>39</v>
      </c>
      <c r="L37" s="27" t="s">
        <v>114</v>
      </c>
      <c r="M37" s="27">
        <v>9</v>
      </c>
      <c r="N37" s="27">
        <v>700</v>
      </c>
      <c r="O37" s="27">
        <v>5</v>
      </c>
      <c r="P37" s="27">
        <v>5985</v>
      </c>
      <c r="Q37" s="27">
        <v>3</v>
      </c>
      <c r="R37" s="27" t="s">
        <v>65</v>
      </c>
      <c r="S37" s="27" t="s">
        <v>32</v>
      </c>
      <c r="T37" s="29" t="s">
        <v>115</v>
      </c>
      <c r="U37" s="27">
        <v>9184436009</v>
      </c>
      <c r="V37" s="27" t="s">
        <v>52</v>
      </c>
    </row>
    <row r="38" spans="1:22" ht="15" thickBot="1" x14ac:dyDescent="0.4">
      <c r="A38" s="30" t="s">
        <v>116</v>
      </c>
      <c r="B38" s="30" t="s">
        <v>23</v>
      </c>
      <c r="C38" s="30" t="s">
        <v>46</v>
      </c>
      <c r="D38" s="31">
        <v>45833</v>
      </c>
      <c r="E38" s="31">
        <v>45841</v>
      </c>
      <c r="F38" s="30" t="s">
        <v>25</v>
      </c>
      <c r="G38" s="30" t="s">
        <v>26</v>
      </c>
      <c r="H38" s="31">
        <v>32933</v>
      </c>
      <c r="I38" s="30" t="s">
        <v>91</v>
      </c>
      <c r="J38" s="30" t="s">
        <v>75</v>
      </c>
      <c r="K38" s="30" t="s">
        <v>39</v>
      </c>
      <c r="L38" s="30" t="s">
        <v>49</v>
      </c>
      <c r="M38" s="30">
        <v>8</v>
      </c>
      <c r="N38" s="30">
        <v>55000</v>
      </c>
      <c r="O38" s="30">
        <v>20</v>
      </c>
      <c r="P38" s="30">
        <v>352000</v>
      </c>
      <c r="Q38" s="30">
        <v>1</v>
      </c>
      <c r="R38" s="30" t="s">
        <v>31</v>
      </c>
      <c r="S38" s="30" t="s">
        <v>96</v>
      </c>
      <c r="T38" s="30" t="s">
        <v>43</v>
      </c>
      <c r="U38" s="30">
        <v>9263774934</v>
      </c>
      <c r="V38" s="22" t="s">
        <v>34</v>
      </c>
    </row>
    <row r="39" spans="1:22" ht="15" thickBot="1" x14ac:dyDescent="0.4">
      <c r="A39" s="27" t="s">
        <v>117</v>
      </c>
      <c r="B39" s="27" t="s">
        <v>87</v>
      </c>
      <c r="C39" s="27" t="s">
        <v>112</v>
      </c>
      <c r="D39" s="28">
        <v>45773</v>
      </c>
      <c r="E39" s="28">
        <v>45782</v>
      </c>
      <c r="F39" s="27" t="s">
        <v>88</v>
      </c>
      <c r="G39" s="27" t="s">
        <v>58</v>
      </c>
      <c r="H39" s="28">
        <v>37455</v>
      </c>
      <c r="I39" s="27" t="s">
        <v>37</v>
      </c>
      <c r="J39" s="27" t="s">
        <v>38</v>
      </c>
      <c r="K39" s="27" t="s">
        <v>118</v>
      </c>
      <c r="L39" s="27" t="s">
        <v>114</v>
      </c>
      <c r="M39" s="27">
        <v>10</v>
      </c>
      <c r="N39" s="27">
        <v>700</v>
      </c>
      <c r="O39" s="27">
        <v>20</v>
      </c>
      <c r="P39" s="27">
        <v>5600</v>
      </c>
      <c r="Q39" s="27">
        <v>4</v>
      </c>
      <c r="R39" s="27" t="s">
        <v>60</v>
      </c>
      <c r="S39" s="27" t="s">
        <v>50</v>
      </c>
      <c r="T39" s="27" t="s">
        <v>89</v>
      </c>
      <c r="U39" s="27">
        <v>9473159572</v>
      </c>
      <c r="V39" s="27" t="s">
        <v>53</v>
      </c>
    </row>
    <row r="40" spans="1:22" ht="15" thickBot="1" x14ac:dyDescent="0.4">
      <c r="A40" s="30" t="s">
        <v>119</v>
      </c>
      <c r="B40" s="30" t="s">
        <v>23</v>
      </c>
      <c r="C40" s="30" t="s">
        <v>68</v>
      </c>
      <c r="D40" s="31">
        <v>45660</v>
      </c>
      <c r="E40" s="31">
        <v>45665</v>
      </c>
      <c r="F40" s="30" t="s">
        <v>78</v>
      </c>
      <c r="G40" s="30" t="s">
        <v>26</v>
      </c>
      <c r="H40" s="31">
        <v>38336</v>
      </c>
      <c r="I40" s="30" t="s">
        <v>48</v>
      </c>
      <c r="J40" s="30" t="s">
        <v>28</v>
      </c>
      <c r="K40" s="30" t="s">
        <v>29</v>
      </c>
      <c r="L40" s="30" t="s">
        <v>70</v>
      </c>
      <c r="M40" s="30">
        <v>1</v>
      </c>
      <c r="N40" s="30">
        <v>3500</v>
      </c>
      <c r="O40" s="30">
        <v>5</v>
      </c>
      <c r="P40" s="30">
        <v>3325</v>
      </c>
      <c r="Q40" s="30">
        <v>3</v>
      </c>
      <c r="R40" s="30" t="s">
        <v>65</v>
      </c>
      <c r="S40" s="30" t="s">
        <v>80</v>
      </c>
      <c r="T40" s="30" t="s">
        <v>43</v>
      </c>
      <c r="U40" s="30">
        <v>9660493688</v>
      </c>
      <c r="V40" s="30" t="s">
        <v>53</v>
      </c>
    </row>
    <row r="41" spans="1:22" ht="15" thickBot="1" x14ac:dyDescent="0.4">
      <c r="A41" s="27" t="s">
        <v>120</v>
      </c>
      <c r="B41" s="27" t="s">
        <v>72</v>
      </c>
      <c r="C41" s="27" t="s">
        <v>112</v>
      </c>
      <c r="D41" s="28">
        <v>45766</v>
      </c>
      <c r="E41" s="28">
        <v>45777</v>
      </c>
      <c r="F41" s="27" t="s">
        <v>73</v>
      </c>
      <c r="G41" s="27" t="s">
        <v>26</v>
      </c>
      <c r="H41" s="28">
        <v>30867</v>
      </c>
      <c r="I41" s="27" t="s">
        <v>121</v>
      </c>
      <c r="J41" s="27" t="s">
        <v>38</v>
      </c>
      <c r="K41" s="27" t="s">
        <v>39</v>
      </c>
      <c r="L41" s="27" t="s">
        <v>114</v>
      </c>
      <c r="M41" s="27">
        <v>19</v>
      </c>
      <c r="N41" s="27">
        <v>700</v>
      </c>
      <c r="O41" s="27">
        <v>15</v>
      </c>
      <c r="P41" s="27">
        <v>11305</v>
      </c>
      <c r="Q41" s="27">
        <v>3</v>
      </c>
      <c r="R41" s="27" t="s">
        <v>41</v>
      </c>
      <c r="S41" s="27" t="s">
        <v>96</v>
      </c>
      <c r="T41" s="27" t="s">
        <v>93</v>
      </c>
      <c r="U41" s="27">
        <v>9513325819</v>
      </c>
      <c r="V41" s="27" t="s">
        <v>52</v>
      </c>
    </row>
    <row r="42" spans="1:22" ht="15" thickBot="1" x14ac:dyDescent="0.4">
      <c r="A42" s="30" t="s">
        <v>122</v>
      </c>
      <c r="B42" s="30" t="s">
        <v>55</v>
      </c>
      <c r="C42" s="30" t="s">
        <v>46</v>
      </c>
      <c r="D42" s="31">
        <v>46013</v>
      </c>
      <c r="E42" s="31">
        <v>46023</v>
      </c>
      <c r="F42" s="30" t="s">
        <v>57</v>
      </c>
      <c r="G42" s="30" t="s">
        <v>58</v>
      </c>
      <c r="H42" s="31">
        <v>28546</v>
      </c>
      <c r="I42" s="30" t="s">
        <v>48</v>
      </c>
      <c r="J42" s="30" t="s">
        <v>28</v>
      </c>
      <c r="K42" s="30" t="s">
        <v>39</v>
      </c>
      <c r="L42" s="30" t="s">
        <v>49</v>
      </c>
      <c r="M42" s="30">
        <v>12</v>
      </c>
      <c r="N42" s="30">
        <v>55000</v>
      </c>
      <c r="O42" s="30">
        <v>0</v>
      </c>
      <c r="P42" s="30">
        <v>660000</v>
      </c>
      <c r="Q42" s="30">
        <v>1</v>
      </c>
      <c r="R42" s="30" t="s">
        <v>60</v>
      </c>
      <c r="S42" s="30" t="s">
        <v>42</v>
      </c>
      <c r="T42" s="30" t="s">
        <v>61</v>
      </c>
      <c r="U42" s="30">
        <v>9641063242</v>
      </c>
      <c r="V42" s="30" t="s">
        <v>52</v>
      </c>
    </row>
    <row r="43" spans="1:22" ht="15" thickBot="1" x14ac:dyDescent="0.4">
      <c r="A43" s="27" t="s">
        <v>123</v>
      </c>
      <c r="B43" s="27" t="s">
        <v>124</v>
      </c>
      <c r="C43" s="27" t="s">
        <v>125</v>
      </c>
      <c r="D43" s="28">
        <v>46121</v>
      </c>
      <c r="E43" s="28">
        <v>46132</v>
      </c>
      <c r="F43" s="27" t="s">
        <v>126</v>
      </c>
      <c r="G43" s="27" t="s">
        <v>58</v>
      </c>
      <c r="H43" s="28">
        <v>33453</v>
      </c>
      <c r="I43" s="27" t="s">
        <v>74</v>
      </c>
      <c r="J43" s="27" t="s">
        <v>75</v>
      </c>
      <c r="K43" s="27" t="s">
        <v>83</v>
      </c>
      <c r="L43" s="27" t="s">
        <v>127</v>
      </c>
      <c r="M43" s="27">
        <v>1</v>
      </c>
      <c r="N43" s="27">
        <v>20</v>
      </c>
      <c r="O43" s="27">
        <v>5</v>
      </c>
      <c r="P43" s="27">
        <v>19</v>
      </c>
      <c r="Q43" s="27">
        <v>5</v>
      </c>
      <c r="R43" s="27" t="s">
        <v>60</v>
      </c>
      <c r="S43" s="27" t="s">
        <v>32</v>
      </c>
      <c r="T43" s="27" t="s">
        <v>128</v>
      </c>
      <c r="U43" s="27">
        <v>9277372518</v>
      </c>
      <c r="V43" s="27" t="s">
        <v>53</v>
      </c>
    </row>
    <row r="44" spans="1:22" ht="15" thickBot="1" x14ac:dyDescent="0.4">
      <c r="A44" s="30" t="s">
        <v>129</v>
      </c>
      <c r="B44" s="30" t="s">
        <v>63</v>
      </c>
      <c r="C44" s="30" t="s">
        <v>125</v>
      </c>
      <c r="D44" s="31">
        <v>45832</v>
      </c>
      <c r="E44" s="31">
        <v>45840</v>
      </c>
      <c r="F44" s="30" t="s">
        <v>110</v>
      </c>
      <c r="G44" s="30" t="s">
        <v>58</v>
      </c>
      <c r="H44" s="31">
        <v>28470</v>
      </c>
      <c r="I44" s="30" t="s">
        <v>74</v>
      </c>
      <c r="J44" s="30" t="s">
        <v>75</v>
      </c>
      <c r="K44" s="30" t="s">
        <v>83</v>
      </c>
      <c r="L44" s="30" t="s">
        <v>127</v>
      </c>
      <c r="M44" s="30">
        <v>2</v>
      </c>
      <c r="N44" s="30">
        <v>20</v>
      </c>
      <c r="O44" s="30">
        <v>15</v>
      </c>
      <c r="P44" s="30">
        <v>34</v>
      </c>
      <c r="Q44" s="30">
        <v>1</v>
      </c>
      <c r="R44" s="30" t="s">
        <v>65</v>
      </c>
      <c r="S44" s="30" t="s">
        <v>32</v>
      </c>
      <c r="T44" s="30" t="s">
        <v>66</v>
      </c>
      <c r="U44" s="30">
        <v>9193154372</v>
      </c>
      <c r="V44" s="30" t="s">
        <v>52</v>
      </c>
    </row>
    <row r="45" spans="1:22" ht="15" thickBot="1" x14ac:dyDescent="0.4">
      <c r="A45" s="27" t="s">
        <v>130</v>
      </c>
      <c r="B45" s="27" t="s">
        <v>55</v>
      </c>
      <c r="C45" s="27" t="s">
        <v>68</v>
      </c>
      <c r="D45" s="28">
        <v>45799</v>
      </c>
      <c r="E45" s="28">
        <v>45802</v>
      </c>
      <c r="F45" s="27" t="s">
        <v>57</v>
      </c>
      <c r="G45" s="27" t="s">
        <v>58</v>
      </c>
      <c r="H45" s="28">
        <v>33642</v>
      </c>
      <c r="I45" s="27" t="s">
        <v>91</v>
      </c>
      <c r="J45" s="27" t="s">
        <v>75</v>
      </c>
      <c r="K45" s="27" t="s">
        <v>29</v>
      </c>
      <c r="L45" s="27" t="s">
        <v>70</v>
      </c>
      <c r="M45" s="27">
        <v>12</v>
      </c>
      <c r="N45" s="27">
        <v>3500</v>
      </c>
      <c r="O45" s="27">
        <v>15</v>
      </c>
      <c r="P45" s="27">
        <v>35700</v>
      </c>
      <c r="Q45" s="27">
        <v>4</v>
      </c>
      <c r="R45" s="27" t="s">
        <v>31</v>
      </c>
      <c r="S45" s="27" t="s">
        <v>42</v>
      </c>
      <c r="T45" s="27" t="s">
        <v>61</v>
      </c>
      <c r="U45" s="27">
        <v>9400073244</v>
      </c>
      <c r="V45" s="27" t="s">
        <v>53</v>
      </c>
    </row>
    <row r="46" spans="1:22" ht="15" thickBot="1" x14ac:dyDescent="0.4">
      <c r="A46" s="30" t="s">
        <v>131</v>
      </c>
      <c r="B46" s="30" t="s">
        <v>23</v>
      </c>
      <c r="C46" s="30" t="s">
        <v>56</v>
      </c>
      <c r="D46" s="31">
        <v>46094</v>
      </c>
      <c r="E46" s="31">
        <v>46101</v>
      </c>
      <c r="F46" s="30" t="s">
        <v>25</v>
      </c>
      <c r="G46" s="30" t="s">
        <v>26</v>
      </c>
      <c r="H46" s="31">
        <v>38143</v>
      </c>
      <c r="I46" s="30" t="s">
        <v>91</v>
      </c>
      <c r="J46" s="30" t="s">
        <v>75</v>
      </c>
      <c r="K46" s="30" t="s">
        <v>39</v>
      </c>
      <c r="L46" s="30" t="s">
        <v>59</v>
      </c>
      <c r="M46" s="30">
        <v>11</v>
      </c>
      <c r="N46" s="30">
        <v>1200</v>
      </c>
      <c r="O46" s="30">
        <v>0</v>
      </c>
      <c r="P46" s="30">
        <v>13200</v>
      </c>
      <c r="Q46" s="30">
        <v>2</v>
      </c>
      <c r="R46" s="30" t="s">
        <v>65</v>
      </c>
      <c r="S46" s="30" t="s">
        <v>96</v>
      </c>
      <c r="T46" s="30" t="s">
        <v>43</v>
      </c>
      <c r="U46" s="30">
        <v>9771556720</v>
      </c>
      <c r="V46" s="22" t="s">
        <v>34</v>
      </c>
    </row>
    <row r="47" spans="1:22" ht="15" thickBot="1" x14ac:dyDescent="0.4">
      <c r="A47" s="27" t="s">
        <v>132</v>
      </c>
      <c r="B47" s="27" t="s">
        <v>87</v>
      </c>
      <c r="C47" s="27" t="s">
        <v>105</v>
      </c>
      <c r="D47" s="28">
        <v>45908</v>
      </c>
      <c r="E47" s="28">
        <v>45920</v>
      </c>
      <c r="F47" s="27" t="s">
        <v>88</v>
      </c>
      <c r="G47" s="27" t="s">
        <v>58</v>
      </c>
      <c r="H47" s="28">
        <v>37114</v>
      </c>
      <c r="I47" s="27" t="s">
        <v>79</v>
      </c>
      <c r="J47" s="27" t="s">
        <v>75</v>
      </c>
      <c r="K47" s="27" t="s">
        <v>29</v>
      </c>
      <c r="L47" s="27" t="s">
        <v>107</v>
      </c>
      <c r="M47" s="27">
        <v>6</v>
      </c>
      <c r="N47" s="27">
        <v>8500</v>
      </c>
      <c r="O47" s="27">
        <v>65</v>
      </c>
      <c r="P47" s="27">
        <v>51000</v>
      </c>
      <c r="Q47" s="27">
        <v>1</v>
      </c>
      <c r="R47" s="27" t="s">
        <v>60</v>
      </c>
      <c r="S47" s="27" t="s">
        <v>50</v>
      </c>
      <c r="T47" s="27" t="s">
        <v>89</v>
      </c>
      <c r="U47" s="27">
        <v>9127480734</v>
      </c>
      <c r="V47" s="21" t="s">
        <v>34</v>
      </c>
    </row>
    <row r="48" spans="1:22" ht="15" thickBot="1" x14ac:dyDescent="0.4">
      <c r="A48" s="30" t="s">
        <v>133</v>
      </c>
      <c r="B48" s="30" t="s">
        <v>134</v>
      </c>
      <c r="C48" s="30" t="s">
        <v>82</v>
      </c>
      <c r="D48" s="31">
        <v>46033</v>
      </c>
      <c r="E48" s="31">
        <v>46038</v>
      </c>
      <c r="F48" s="30" t="s">
        <v>135</v>
      </c>
      <c r="G48" s="30" t="s">
        <v>26</v>
      </c>
      <c r="H48" s="31">
        <v>29680</v>
      </c>
      <c r="I48" s="30" t="s">
        <v>79</v>
      </c>
      <c r="J48" s="30" t="s">
        <v>75</v>
      </c>
      <c r="K48" s="30" t="s">
        <v>83</v>
      </c>
      <c r="L48" s="30" t="s">
        <v>84</v>
      </c>
      <c r="M48" s="30">
        <v>2</v>
      </c>
      <c r="N48" s="30">
        <v>60</v>
      </c>
      <c r="O48" s="30">
        <v>5</v>
      </c>
      <c r="P48" s="30">
        <v>114</v>
      </c>
      <c r="Q48" s="30">
        <v>3</v>
      </c>
      <c r="R48" s="30" t="s">
        <v>31</v>
      </c>
      <c r="S48" s="30" t="s">
        <v>96</v>
      </c>
      <c r="T48" s="30" t="s">
        <v>136</v>
      </c>
      <c r="U48" s="30">
        <v>9512997042</v>
      </c>
      <c r="V48" s="30" t="s">
        <v>53</v>
      </c>
    </row>
    <row r="49" spans="1:22" ht="15" thickBot="1" x14ac:dyDescent="0.4">
      <c r="A49" s="27" t="s">
        <v>137</v>
      </c>
      <c r="B49" s="27" t="s">
        <v>23</v>
      </c>
      <c r="C49" s="27" t="s">
        <v>138</v>
      </c>
      <c r="D49" s="28">
        <v>45824</v>
      </c>
      <c r="E49" s="28">
        <v>45834</v>
      </c>
      <c r="F49" s="27" t="s">
        <v>25</v>
      </c>
      <c r="G49" s="27" t="s">
        <v>26</v>
      </c>
      <c r="H49" s="28">
        <v>35248</v>
      </c>
      <c r="I49" s="27" t="s">
        <v>48</v>
      </c>
      <c r="J49" s="27" t="s">
        <v>28</v>
      </c>
      <c r="K49" s="27" t="s">
        <v>83</v>
      </c>
      <c r="L49" s="27" t="s">
        <v>139</v>
      </c>
      <c r="M49" s="27">
        <v>19</v>
      </c>
      <c r="N49" s="27">
        <v>45</v>
      </c>
      <c r="O49" s="27">
        <v>20</v>
      </c>
      <c r="P49" s="27">
        <v>684</v>
      </c>
      <c r="Q49" s="27">
        <v>4</v>
      </c>
      <c r="R49" s="27" t="s">
        <v>41</v>
      </c>
      <c r="S49" s="27" t="s">
        <v>50</v>
      </c>
      <c r="T49" s="27" t="s">
        <v>43</v>
      </c>
      <c r="U49" s="27">
        <v>9372748661</v>
      </c>
      <c r="V49" s="27" t="s">
        <v>53</v>
      </c>
    </row>
    <row r="50" spans="1:22" ht="15" thickBot="1" x14ac:dyDescent="0.4">
      <c r="A50" s="30" t="s">
        <v>140</v>
      </c>
      <c r="B50" s="30" t="s">
        <v>72</v>
      </c>
      <c r="C50" s="30" t="s">
        <v>36</v>
      </c>
      <c r="D50" s="31">
        <v>45839</v>
      </c>
      <c r="E50" s="31">
        <v>45851</v>
      </c>
      <c r="F50" s="30" t="s">
        <v>73</v>
      </c>
      <c r="G50" s="30" t="s">
        <v>26</v>
      </c>
      <c r="H50" s="31">
        <v>28079</v>
      </c>
      <c r="I50" s="30" t="s">
        <v>91</v>
      </c>
      <c r="J50" s="30" t="s">
        <v>75</v>
      </c>
      <c r="K50" s="30" t="s">
        <v>39</v>
      </c>
      <c r="L50" s="30" t="s">
        <v>40</v>
      </c>
      <c r="M50" s="30">
        <v>11</v>
      </c>
      <c r="N50" s="30">
        <v>12000</v>
      </c>
      <c r="O50" s="30">
        <v>0</v>
      </c>
      <c r="P50" s="30">
        <v>132000</v>
      </c>
      <c r="Q50" s="30">
        <v>3</v>
      </c>
      <c r="R50" s="30" t="s">
        <v>65</v>
      </c>
      <c r="S50" s="30" t="s">
        <v>32</v>
      </c>
      <c r="T50" s="30" t="s">
        <v>93</v>
      </c>
      <c r="U50" s="30">
        <v>9570437805</v>
      </c>
      <c r="V50" s="30" t="s">
        <v>52</v>
      </c>
    </row>
    <row r="51" spans="1:22" ht="15" thickBot="1" x14ac:dyDescent="0.4">
      <c r="A51" s="27" t="s">
        <v>141</v>
      </c>
      <c r="B51" s="27" t="s">
        <v>134</v>
      </c>
      <c r="C51" s="27" t="s">
        <v>24</v>
      </c>
      <c r="D51" s="28">
        <v>45723</v>
      </c>
      <c r="E51" s="28">
        <v>45731</v>
      </c>
      <c r="F51" s="27" t="s">
        <v>135</v>
      </c>
      <c r="G51" s="27" t="s">
        <v>26</v>
      </c>
      <c r="H51" s="28">
        <v>32444</v>
      </c>
      <c r="I51" s="27" t="s">
        <v>48</v>
      </c>
      <c r="J51" s="27" t="s">
        <v>28</v>
      </c>
      <c r="K51" s="27" t="s">
        <v>29</v>
      </c>
      <c r="L51" s="27" t="s">
        <v>30</v>
      </c>
      <c r="M51" s="27">
        <v>20</v>
      </c>
      <c r="N51" s="27">
        <v>2200</v>
      </c>
      <c r="O51" s="27">
        <v>5</v>
      </c>
      <c r="P51" s="27">
        <v>41800</v>
      </c>
      <c r="Q51" s="27">
        <v>1</v>
      </c>
      <c r="R51" s="27" t="s">
        <v>31</v>
      </c>
      <c r="S51" s="27" t="s">
        <v>42</v>
      </c>
      <c r="T51" s="27" t="s">
        <v>136</v>
      </c>
      <c r="U51" s="27">
        <v>9310669113</v>
      </c>
      <c r="V51" s="27" t="s">
        <v>52</v>
      </c>
    </row>
    <row r="52" spans="1:22" ht="15" thickBot="1" x14ac:dyDescent="0.4">
      <c r="A52" s="30" t="s">
        <v>142</v>
      </c>
      <c r="B52" s="30" t="s">
        <v>63</v>
      </c>
      <c r="C52" s="30" t="s">
        <v>125</v>
      </c>
      <c r="D52" s="31">
        <v>45832</v>
      </c>
      <c r="E52" s="31">
        <v>45842</v>
      </c>
      <c r="F52" s="30" t="s">
        <v>110</v>
      </c>
      <c r="G52" s="30" t="s">
        <v>58</v>
      </c>
      <c r="H52" s="31">
        <v>38161</v>
      </c>
      <c r="I52" s="30" t="s">
        <v>91</v>
      </c>
      <c r="J52" s="30" t="s">
        <v>75</v>
      </c>
      <c r="K52" s="30" t="s">
        <v>83</v>
      </c>
      <c r="L52" s="30" t="s">
        <v>127</v>
      </c>
      <c r="M52" s="30">
        <v>3</v>
      </c>
      <c r="N52" s="30">
        <v>20</v>
      </c>
      <c r="O52" s="30">
        <v>0</v>
      </c>
      <c r="P52" s="30">
        <v>60</v>
      </c>
      <c r="Q52" s="30">
        <v>2</v>
      </c>
      <c r="R52" s="30" t="s">
        <v>60</v>
      </c>
      <c r="S52" s="30" t="s">
        <v>32</v>
      </c>
      <c r="T52" s="30" t="s">
        <v>143</v>
      </c>
      <c r="U52" s="30">
        <v>9437132894</v>
      </c>
      <c r="V52" s="30" t="s">
        <v>53</v>
      </c>
    </row>
    <row r="53" spans="1:22" ht="15" thickBot="1" x14ac:dyDescent="0.4">
      <c r="A53" s="27" t="s">
        <v>144</v>
      </c>
      <c r="B53" s="27" t="s">
        <v>87</v>
      </c>
      <c r="C53" s="27" t="s">
        <v>138</v>
      </c>
      <c r="D53" s="28">
        <v>45939</v>
      </c>
      <c r="E53" s="28">
        <v>45949</v>
      </c>
      <c r="F53" s="27" t="s">
        <v>88</v>
      </c>
      <c r="G53" s="27" t="s">
        <v>58</v>
      </c>
      <c r="H53" s="28">
        <v>35177</v>
      </c>
      <c r="I53" s="27" t="s">
        <v>79</v>
      </c>
      <c r="J53" s="27" t="s">
        <v>75</v>
      </c>
      <c r="K53" s="27" t="s">
        <v>83</v>
      </c>
      <c r="L53" s="27" t="s">
        <v>139</v>
      </c>
      <c r="M53" s="27">
        <v>18</v>
      </c>
      <c r="N53" s="27">
        <v>45</v>
      </c>
      <c r="O53" s="27">
        <v>20</v>
      </c>
      <c r="P53" s="27">
        <v>648</v>
      </c>
      <c r="Q53" s="27">
        <v>4</v>
      </c>
      <c r="R53" s="27" t="s">
        <v>41</v>
      </c>
      <c r="S53" s="27" t="s">
        <v>32</v>
      </c>
      <c r="T53" s="27" t="s">
        <v>89</v>
      </c>
      <c r="U53" s="27">
        <v>9762437243</v>
      </c>
      <c r="V53" s="27" t="s">
        <v>53</v>
      </c>
    </row>
    <row r="54" spans="1:22" ht="15" thickBot="1" x14ac:dyDescent="0.4">
      <c r="A54" s="30" t="s">
        <v>145</v>
      </c>
      <c r="B54" s="30" t="s">
        <v>87</v>
      </c>
      <c r="C54" s="30" t="s">
        <v>56</v>
      </c>
      <c r="D54" s="31">
        <v>45980</v>
      </c>
      <c r="E54" s="31">
        <v>45987</v>
      </c>
      <c r="F54" s="30" t="s">
        <v>88</v>
      </c>
      <c r="G54" s="30" t="s">
        <v>58</v>
      </c>
      <c r="H54" s="31">
        <v>29043</v>
      </c>
      <c r="I54" s="30" t="s">
        <v>48</v>
      </c>
      <c r="J54" s="30" t="s">
        <v>28</v>
      </c>
      <c r="K54" s="30" t="s">
        <v>39</v>
      </c>
      <c r="L54" s="30" t="s">
        <v>59</v>
      </c>
      <c r="M54" s="30">
        <v>4</v>
      </c>
      <c r="N54" s="30">
        <v>1200</v>
      </c>
      <c r="O54" s="30">
        <v>20</v>
      </c>
      <c r="P54" s="30">
        <v>3840</v>
      </c>
      <c r="Q54" s="30">
        <v>3</v>
      </c>
      <c r="R54" s="30" t="s">
        <v>41</v>
      </c>
      <c r="S54" s="30" t="s">
        <v>50</v>
      </c>
      <c r="T54" s="30" t="s">
        <v>89</v>
      </c>
      <c r="U54" s="30">
        <v>9149046970</v>
      </c>
      <c r="V54" s="22" t="s">
        <v>34</v>
      </c>
    </row>
    <row r="55" spans="1:22" ht="15" thickBot="1" x14ac:dyDescent="0.4">
      <c r="A55" s="27" t="s">
        <v>146</v>
      </c>
      <c r="B55" s="27" t="s">
        <v>55</v>
      </c>
      <c r="C55" s="27" t="s">
        <v>46</v>
      </c>
      <c r="D55" s="28">
        <v>45966</v>
      </c>
      <c r="E55" s="28">
        <v>45975</v>
      </c>
      <c r="F55" s="27" t="s">
        <v>57</v>
      </c>
      <c r="G55" s="27" t="s">
        <v>58</v>
      </c>
      <c r="H55" s="28">
        <v>29491</v>
      </c>
      <c r="I55" s="27" t="s">
        <v>147</v>
      </c>
      <c r="J55" s="27" t="s">
        <v>148</v>
      </c>
      <c r="K55" s="27" t="s">
        <v>39</v>
      </c>
      <c r="L55" s="27" t="s">
        <v>49</v>
      </c>
      <c r="M55" s="27">
        <v>10</v>
      </c>
      <c r="N55" s="27">
        <v>55000</v>
      </c>
      <c r="O55" s="27">
        <v>0</v>
      </c>
      <c r="P55" s="27">
        <v>550000</v>
      </c>
      <c r="Q55" s="27">
        <v>1</v>
      </c>
      <c r="R55" s="27" t="s">
        <v>65</v>
      </c>
      <c r="S55" s="27" t="s">
        <v>42</v>
      </c>
      <c r="T55" s="27" t="s">
        <v>61</v>
      </c>
      <c r="U55" s="27">
        <v>9869182901</v>
      </c>
      <c r="V55" s="27" t="s">
        <v>53</v>
      </c>
    </row>
    <row r="56" spans="1:22" ht="15" thickBot="1" x14ac:dyDescent="0.4">
      <c r="A56" s="30" t="s">
        <v>149</v>
      </c>
      <c r="B56" s="30" t="s">
        <v>134</v>
      </c>
      <c r="C56" s="30" t="s">
        <v>68</v>
      </c>
      <c r="D56" s="31">
        <v>46089</v>
      </c>
      <c r="E56" s="31">
        <v>46101</v>
      </c>
      <c r="F56" s="30" t="s">
        <v>135</v>
      </c>
      <c r="G56" s="30" t="s">
        <v>26</v>
      </c>
      <c r="H56" s="31">
        <v>29393</v>
      </c>
      <c r="I56" s="30" t="s">
        <v>37</v>
      </c>
      <c r="J56" s="30" t="s">
        <v>38</v>
      </c>
      <c r="K56" s="30" t="s">
        <v>29</v>
      </c>
      <c r="L56" s="30" t="s">
        <v>70</v>
      </c>
      <c r="M56" s="30">
        <v>20</v>
      </c>
      <c r="N56" s="30">
        <v>3500</v>
      </c>
      <c r="O56" s="30">
        <v>10</v>
      </c>
      <c r="P56" s="30">
        <v>63000</v>
      </c>
      <c r="Q56" s="30">
        <v>3</v>
      </c>
      <c r="R56" s="30" t="s">
        <v>60</v>
      </c>
      <c r="S56" s="30" t="s">
        <v>42</v>
      </c>
      <c r="T56" s="30" t="s">
        <v>136</v>
      </c>
      <c r="U56" s="30">
        <v>9283578533</v>
      </c>
      <c r="V56" s="30" t="s">
        <v>53</v>
      </c>
    </row>
    <row r="57" spans="1:22" ht="15" thickBot="1" x14ac:dyDescent="0.4">
      <c r="A57" s="27" t="s">
        <v>150</v>
      </c>
      <c r="B57" s="27" t="s">
        <v>23</v>
      </c>
      <c r="C57" s="27" t="s">
        <v>125</v>
      </c>
      <c r="D57" s="28">
        <v>45701</v>
      </c>
      <c r="E57" s="28">
        <v>45707</v>
      </c>
      <c r="F57" s="27" t="s">
        <v>25</v>
      </c>
      <c r="G57" s="27" t="s">
        <v>26</v>
      </c>
      <c r="H57" s="28">
        <v>29023</v>
      </c>
      <c r="I57" s="27" t="s">
        <v>79</v>
      </c>
      <c r="J57" s="27" t="s">
        <v>75</v>
      </c>
      <c r="K57" s="27" t="s">
        <v>83</v>
      </c>
      <c r="L57" s="27" t="s">
        <v>127</v>
      </c>
      <c r="M57" s="27">
        <v>5</v>
      </c>
      <c r="N57" s="27">
        <v>1200</v>
      </c>
      <c r="O57" s="27">
        <v>0</v>
      </c>
      <c r="P57" s="27">
        <v>100</v>
      </c>
      <c r="Q57" s="27">
        <v>1</v>
      </c>
      <c r="R57" s="27" t="s">
        <v>31</v>
      </c>
      <c r="S57" s="27" t="s">
        <v>42</v>
      </c>
      <c r="T57" s="27" t="s">
        <v>43</v>
      </c>
      <c r="U57" s="27">
        <v>9963005771</v>
      </c>
      <c r="V57" s="27" t="s">
        <v>53</v>
      </c>
    </row>
    <row r="58" spans="1:22" ht="15" thickBot="1" x14ac:dyDescent="0.4">
      <c r="A58" s="30" t="s">
        <v>151</v>
      </c>
      <c r="B58" s="30" t="s">
        <v>45</v>
      </c>
      <c r="C58" s="30" t="s">
        <v>105</v>
      </c>
      <c r="D58" s="31">
        <v>45935</v>
      </c>
      <c r="E58" s="31">
        <v>45945</v>
      </c>
      <c r="F58" s="30" t="s">
        <v>101</v>
      </c>
      <c r="G58" s="30" t="s">
        <v>26</v>
      </c>
      <c r="H58" s="31">
        <v>33773</v>
      </c>
      <c r="I58" s="30" t="s">
        <v>74</v>
      </c>
      <c r="J58" s="30" t="s">
        <v>75</v>
      </c>
      <c r="K58" s="30" t="s">
        <v>29</v>
      </c>
      <c r="L58" s="30" t="s">
        <v>107</v>
      </c>
      <c r="M58" s="30">
        <v>20</v>
      </c>
      <c r="N58" s="30">
        <v>8500</v>
      </c>
      <c r="O58" s="30">
        <v>0</v>
      </c>
      <c r="P58" s="30">
        <v>170000</v>
      </c>
      <c r="Q58" s="30">
        <v>1</v>
      </c>
      <c r="R58" s="30" t="s">
        <v>65</v>
      </c>
      <c r="S58" s="30" t="s">
        <v>80</v>
      </c>
      <c r="T58" s="30" t="s">
        <v>51</v>
      </c>
      <c r="U58" s="30">
        <v>9484632635</v>
      </c>
      <c r="V58" s="30" t="s">
        <v>53</v>
      </c>
    </row>
    <row r="59" spans="1:22" ht="15" thickBot="1" x14ac:dyDescent="0.4">
      <c r="A59" s="27" t="s">
        <v>152</v>
      </c>
      <c r="B59" s="27" t="s">
        <v>63</v>
      </c>
      <c r="C59" s="27" t="s">
        <v>82</v>
      </c>
      <c r="D59" s="28">
        <v>46063</v>
      </c>
      <c r="E59" s="28">
        <v>46065</v>
      </c>
      <c r="F59" s="27" t="s">
        <v>110</v>
      </c>
      <c r="G59" s="27" t="s">
        <v>58</v>
      </c>
      <c r="H59" s="28">
        <v>34491</v>
      </c>
      <c r="I59" s="27" t="s">
        <v>48</v>
      </c>
      <c r="J59" s="27" t="s">
        <v>28</v>
      </c>
      <c r="K59" s="27" t="s">
        <v>83</v>
      </c>
      <c r="L59" s="27" t="s">
        <v>84</v>
      </c>
      <c r="M59" s="27">
        <v>8</v>
      </c>
      <c r="N59" s="27">
        <v>60</v>
      </c>
      <c r="O59" s="27">
        <v>15</v>
      </c>
      <c r="P59" s="27">
        <v>408</v>
      </c>
      <c r="Q59" s="27">
        <v>5</v>
      </c>
      <c r="R59" s="27" t="s">
        <v>65</v>
      </c>
      <c r="S59" s="27" t="s">
        <v>42</v>
      </c>
      <c r="T59" s="27" t="s">
        <v>66</v>
      </c>
      <c r="U59" s="27">
        <v>9276319484</v>
      </c>
      <c r="V59" s="27" t="s">
        <v>52</v>
      </c>
    </row>
    <row r="60" spans="1:22" ht="15" thickBot="1" x14ac:dyDescent="0.4">
      <c r="A60" s="30" t="s">
        <v>153</v>
      </c>
      <c r="B60" s="30" t="s">
        <v>45</v>
      </c>
      <c r="C60" s="30" t="s">
        <v>68</v>
      </c>
      <c r="D60" s="31">
        <v>45812</v>
      </c>
      <c r="E60" s="31">
        <v>45824</v>
      </c>
      <c r="F60" s="30" t="s">
        <v>101</v>
      </c>
      <c r="G60" s="30" t="s">
        <v>26</v>
      </c>
      <c r="H60" s="31">
        <v>32408</v>
      </c>
      <c r="I60" s="30" t="s">
        <v>79</v>
      </c>
      <c r="J60" s="30" t="s">
        <v>75</v>
      </c>
      <c r="K60" s="30" t="s">
        <v>29</v>
      </c>
      <c r="L60" s="30" t="s">
        <v>70</v>
      </c>
      <c r="M60" s="30">
        <v>8</v>
      </c>
      <c r="N60" s="30">
        <v>3500</v>
      </c>
      <c r="O60" s="30">
        <v>5</v>
      </c>
      <c r="P60" s="30">
        <v>26600</v>
      </c>
      <c r="Q60" s="30">
        <v>1</v>
      </c>
      <c r="R60" s="30" t="s">
        <v>60</v>
      </c>
      <c r="S60" s="30" t="s">
        <v>80</v>
      </c>
      <c r="T60" s="30" t="s">
        <v>51</v>
      </c>
      <c r="U60" s="30">
        <v>9619034852</v>
      </c>
      <c r="V60" s="30" t="s">
        <v>52</v>
      </c>
    </row>
    <row r="61" spans="1:22" ht="15" thickBot="1" x14ac:dyDescent="0.4">
      <c r="A61" s="27" t="s">
        <v>154</v>
      </c>
      <c r="B61" s="27" t="s">
        <v>55</v>
      </c>
      <c r="C61" s="27" t="s">
        <v>105</v>
      </c>
      <c r="D61" s="28">
        <v>46061</v>
      </c>
      <c r="E61" s="28">
        <v>46067</v>
      </c>
      <c r="F61" s="27" t="s">
        <v>57</v>
      </c>
      <c r="G61" s="27" t="s">
        <v>58</v>
      </c>
      <c r="H61" s="28">
        <v>37086</v>
      </c>
      <c r="I61" s="27" t="s">
        <v>121</v>
      </c>
      <c r="J61" s="27" t="s">
        <v>38</v>
      </c>
      <c r="K61" s="27" t="s">
        <v>29</v>
      </c>
      <c r="L61" s="27" t="s">
        <v>107</v>
      </c>
      <c r="M61" s="27">
        <v>1</v>
      </c>
      <c r="N61" s="27">
        <v>8500</v>
      </c>
      <c r="O61" s="27">
        <v>0</v>
      </c>
      <c r="P61" s="27">
        <v>8500</v>
      </c>
      <c r="Q61" s="27">
        <v>2</v>
      </c>
      <c r="R61" s="27" t="s">
        <v>60</v>
      </c>
      <c r="S61" s="27" t="s">
        <v>80</v>
      </c>
      <c r="T61" s="27" t="s">
        <v>61</v>
      </c>
      <c r="U61" s="27">
        <v>9636416962</v>
      </c>
      <c r="V61" s="27" t="s">
        <v>52</v>
      </c>
    </row>
    <row r="62" spans="1:22" ht="15" thickBot="1" x14ac:dyDescent="0.4">
      <c r="A62" s="30" t="s">
        <v>155</v>
      </c>
      <c r="B62" s="30" t="s">
        <v>156</v>
      </c>
      <c r="C62" s="30" t="s">
        <v>138</v>
      </c>
      <c r="D62" s="31">
        <v>45746</v>
      </c>
      <c r="E62" s="31">
        <v>45747</v>
      </c>
      <c r="F62" s="30" t="s">
        <v>157</v>
      </c>
      <c r="G62" s="30" t="s">
        <v>58</v>
      </c>
      <c r="H62" s="31">
        <v>33459</v>
      </c>
      <c r="I62" s="30" t="s">
        <v>79</v>
      </c>
      <c r="J62" s="30" t="s">
        <v>75</v>
      </c>
      <c r="K62" s="30" t="s">
        <v>83</v>
      </c>
      <c r="L62" s="30" t="s">
        <v>139</v>
      </c>
      <c r="M62" s="30">
        <v>8</v>
      </c>
      <c r="N62" s="30">
        <v>45</v>
      </c>
      <c r="O62" s="30">
        <v>15</v>
      </c>
      <c r="P62" s="30">
        <v>306</v>
      </c>
      <c r="Q62" s="30">
        <v>2</v>
      </c>
      <c r="R62" s="30" t="s">
        <v>60</v>
      </c>
      <c r="S62" s="30" t="s">
        <v>50</v>
      </c>
      <c r="T62" s="30" t="s">
        <v>158</v>
      </c>
      <c r="U62" s="30">
        <v>9357133880</v>
      </c>
      <c r="V62" s="22" t="s">
        <v>34</v>
      </c>
    </row>
    <row r="63" spans="1:22" ht="15" thickBot="1" x14ac:dyDescent="0.4">
      <c r="A63" s="27" t="s">
        <v>159</v>
      </c>
      <c r="B63" s="27" t="s">
        <v>134</v>
      </c>
      <c r="C63" s="27" t="s">
        <v>24</v>
      </c>
      <c r="D63" s="28">
        <v>45772</v>
      </c>
      <c r="E63" s="28">
        <v>45775</v>
      </c>
      <c r="F63" s="27" t="s">
        <v>135</v>
      </c>
      <c r="G63" s="27" t="s">
        <v>26</v>
      </c>
      <c r="H63" s="28">
        <v>32437</v>
      </c>
      <c r="I63" s="27" t="s">
        <v>79</v>
      </c>
      <c r="J63" s="27" t="s">
        <v>75</v>
      </c>
      <c r="K63" s="27" t="s">
        <v>29</v>
      </c>
      <c r="L63" s="27" t="s">
        <v>30</v>
      </c>
      <c r="M63" s="27">
        <v>16</v>
      </c>
      <c r="N63" s="27">
        <v>2200</v>
      </c>
      <c r="O63" s="27">
        <v>5</v>
      </c>
      <c r="P63" s="27">
        <v>33440</v>
      </c>
      <c r="Q63" s="27">
        <v>5</v>
      </c>
      <c r="R63" s="27" t="s">
        <v>60</v>
      </c>
      <c r="S63" s="27" t="s">
        <v>50</v>
      </c>
      <c r="T63" s="27" t="s">
        <v>136</v>
      </c>
      <c r="U63" s="27">
        <v>9575210324</v>
      </c>
      <c r="V63" s="27" t="s">
        <v>53</v>
      </c>
    </row>
    <row r="64" spans="1:22" ht="15" thickBot="1" x14ac:dyDescent="0.4">
      <c r="A64" s="30" t="s">
        <v>160</v>
      </c>
      <c r="B64" s="30" t="s">
        <v>55</v>
      </c>
      <c r="C64" s="30" t="s">
        <v>68</v>
      </c>
      <c r="D64" s="31">
        <v>45943</v>
      </c>
      <c r="E64" s="31">
        <v>45953</v>
      </c>
      <c r="F64" s="30" t="s">
        <v>57</v>
      </c>
      <c r="G64" s="30" t="s">
        <v>58</v>
      </c>
      <c r="H64" s="31">
        <v>37579</v>
      </c>
      <c r="I64" s="30" t="s">
        <v>48</v>
      </c>
      <c r="J64" s="30" t="s">
        <v>28</v>
      </c>
      <c r="K64" s="30" t="s">
        <v>29</v>
      </c>
      <c r="L64" s="30" t="s">
        <v>70</v>
      </c>
      <c r="M64" s="30">
        <v>19</v>
      </c>
      <c r="N64" s="30">
        <v>3500</v>
      </c>
      <c r="O64" s="30">
        <v>20</v>
      </c>
      <c r="P64" s="30">
        <v>53200</v>
      </c>
      <c r="Q64" s="30">
        <v>3</v>
      </c>
      <c r="R64" s="30" t="s">
        <v>31</v>
      </c>
      <c r="S64" s="30" t="s">
        <v>96</v>
      </c>
      <c r="T64" s="30" t="s">
        <v>61</v>
      </c>
      <c r="U64" s="30">
        <v>9276080204</v>
      </c>
      <c r="V64" s="30" t="s">
        <v>53</v>
      </c>
    </row>
    <row r="65" spans="1:22" ht="15" thickBot="1" x14ac:dyDescent="0.4">
      <c r="A65" s="27" t="s">
        <v>161</v>
      </c>
      <c r="B65" s="27" t="s">
        <v>134</v>
      </c>
      <c r="C65" s="27" t="s">
        <v>112</v>
      </c>
      <c r="D65" s="28">
        <v>45941</v>
      </c>
      <c r="E65" s="28">
        <v>45944</v>
      </c>
      <c r="F65" s="27" t="s">
        <v>135</v>
      </c>
      <c r="G65" s="27" t="s">
        <v>26</v>
      </c>
      <c r="H65" s="28">
        <v>36713</v>
      </c>
      <c r="I65" s="27" t="s">
        <v>79</v>
      </c>
      <c r="J65" s="27" t="s">
        <v>75</v>
      </c>
      <c r="K65" s="27" t="s">
        <v>39</v>
      </c>
      <c r="L65" s="27" t="s">
        <v>114</v>
      </c>
      <c r="M65" s="27">
        <v>15</v>
      </c>
      <c r="N65" s="27">
        <v>700</v>
      </c>
      <c r="O65" s="27">
        <v>15</v>
      </c>
      <c r="P65" s="27">
        <v>8925</v>
      </c>
      <c r="Q65" s="27">
        <v>4</v>
      </c>
      <c r="R65" s="27" t="s">
        <v>65</v>
      </c>
      <c r="S65" s="27" t="s">
        <v>80</v>
      </c>
      <c r="T65" s="27" t="s">
        <v>162</v>
      </c>
      <c r="U65" s="27">
        <v>9856624471</v>
      </c>
      <c r="V65" s="21" t="s">
        <v>34</v>
      </c>
    </row>
    <row r="66" spans="1:22" ht="15" thickBot="1" x14ac:dyDescent="0.4">
      <c r="A66" s="30" t="s">
        <v>163</v>
      </c>
      <c r="B66" s="30" t="s">
        <v>134</v>
      </c>
      <c r="C66" s="30" t="s">
        <v>112</v>
      </c>
      <c r="D66" s="31">
        <v>45988</v>
      </c>
      <c r="E66" s="31">
        <v>45994</v>
      </c>
      <c r="F66" s="30" t="s">
        <v>135</v>
      </c>
      <c r="G66" s="30" t="s">
        <v>26</v>
      </c>
      <c r="H66" s="31">
        <v>36125</v>
      </c>
      <c r="I66" s="30" t="s">
        <v>121</v>
      </c>
      <c r="J66" s="30" t="s">
        <v>38</v>
      </c>
      <c r="K66" s="30" t="s">
        <v>39</v>
      </c>
      <c r="L66" s="30" t="s">
        <v>114</v>
      </c>
      <c r="M66" s="30">
        <v>19</v>
      </c>
      <c r="N66" s="30">
        <v>700</v>
      </c>
      <c r="O66" s="30">
        <v>20</v>
      </c>
      <c r="P66" s="30">
        <v>10640</v>
      </c>
      <c r="Q66" s="30">
        <v>1</v>
      </c>
      <c r="R66" s="30" t="s">
        <v>31</v>
      </c>
      <c r="S66" s="30" t="s">
        <v>80</v>
      </c>
      <c r="T66" s="30" t="s">
        <v>136</v>
      </c>
      <c r="U66" s="30">
        <v>9238141322</v>
      </c>
      <c r="V66" s="22" t="s">
        <v>34</v>
      </c>
    </row>
    <row r="67" spans="1:22" ht="15" thickBot="1" x14ac:dyDescent="0.4">
      <c r="A67" s="27" t="s">
        <v>164</v>
      </c>
      <c r="B67" s="27" t="s">
        <v>55</v>
      </c>
      <c r="C67" s="27" t="s">
        <v>36</v>
      </c>
      <c r="D67" s="23">
        <v>46131</v>
      </c>
      <c r="E67" s="27"/>
      <c r="F67" s="27" t="s">
        <v>57</v>
      </c>
      <c r="G67" s="27" t="s">
        <v>58</v>
      </c>
      <c r="H67" s="28">
        <v>35219</v>
      </c>
      <c r="I67" s="27" t="s">
        <v>37</v>
      </c>
      <c r="J67" s="27" t="s">
        <v>38</v>
      </c>
      <c r="K67" s="27" t="s">
        <v>39</v>
      </c>
      <c r="L67" s="27" t="s">
        <v>40</v>
      </c>
      <c r="M67" s="27">
        <v>19</v>
      </c>
      <c r="N67" s="27">
        <v>12000</v>
      </c>
      <c r="O67" s="27">
        <v>0</v>
      </c>
      <c r="P67" s="27">
        <v>228000</v>
      </c>
      <c r="Q67" s="27">
        <v>1</v>
      </c>
      <c r="R67" s="27" t="s">
        <v>41</v>
      </c>
      <c r="S67" s="27" t="s">
        <v>50</v>
      </c>
      <c r="T67" s="27" t="s">
        <v>61</v>
      </c>
      <c r="U67" s="27">
        <v>9890380030</v>
      </c>
      <c r="V67" s="21" t="s">
        <v>34</v>
      </c>
    </row>
    <row r="68" spans="1:22" ht="15" thickBot="1" x14ac:dyDescent="0.4">
      <c r="A68" s="30" t="s">
        <v>165</v>
      </c>
      <c r="B68" s="30" t="s">
        <v>104</v>
      </c>
      <c r="C68" s="30" t="s">
        <v>56</v>
      </c>
      <c r="D68" s="31">
        <v>46131</v>
      </c>
      <c r="E68" s="31">
        <v>46133</v>
      </c>
      <c r="F68" s="30" t="s">
        <v>166</v>
      </c>
      <c r="G68" s="30" t="s">
        <v>26</v>
      </c>
      <c r="H68" s="31">
        <v>31851</v>
      </c>
      <c r="I68" s="30" t="s">
        <v>79</v>
      </c>
      <c r="J68" s="30" t="s">
        <v>75</v>
      </c>
      <c r="K68" s="30" t="s">
        <v>39</v>
      </c>
      <c r="L68" s="30" t="s">
        <v>59</v>
      </c>
      <c r="M68" s="30">
        <v>6</v>
      </c>
      <c r="N68" s="30">
        <v>1200</v>
      </c>
      <c r="O68" s="30">
        <v>5</v>
      </c>
      <c r="P68" s="30">
        <v>6840</v>
      </c>
      <c r="Q68" s="30">
        <v>2</v>
      </c>
      <c r="R68" s="30" t="s">
        <v>31</v>
      </c>
      <c r="S68" s="30" t="s">
        <v>32</v>
      </c>
      <c r="T68" s="30" t="s">
        <v>108</v>
      </c>
      <c r="U68" s="30">
        <v>9495893170</v>
      </c>
      <c r="V68" s="30" t="s">
        <v>52</v>
      </c>
    </row>
    <row r="69" spans="1:22" ht="15" thickBot="1" x14ac:dyDescent="0.4">
      <c r="A69" s="27" t="s">
        <v>167</v>
      </c>
      <c r="B69" s="27" t="s">
        <v>45</v>
      </c>
      <c r="C69" s="27" t="s">
        <v>24</v>
      </c>
      <c r="D69" s="28">
        <v>45744</v>
      </c>
      <c r="E69" s="28">
        <v>45754</v>
      </c>
      <c r="F69" s="27" t="s">
        <v>168</v>
      </c>
      <c r="G69" s="27" t="s">
        <v>26</v>
      </c>
      <c r="H69" s="28">
        <v>28906</v>
      </c>
      <c r="I69" s="27" t="s">
        <v>48</v>
      </c>
      <c r="J69" s="27" t="s">
        <v>28</v>
      </c>
      <c r="K69" s="27" t="s">
        <v>29</v>
      </c>
      <c r="L69" s="27" t="s">
        <v>30</v>
      </c>
      <c r="M69" s="27">
        <v>7</v>
      </c>
      <c r="N69" s="27">
        <v>2200</v>
      </c>
      <c r="O69" s="27">
        <v>15</v>
      </c>
      <c r="P69" s="27">
        <v>13090</v>
      </c>
      <c r="Q69" s="27">
        <v>1</v>
      </c>
      <c r="R69" s="27" t="s">
        <v>65</v>
      </c>
      <c r="S69" s="27" t="s">
        <v>50</v>
      </c>
      <c r="T69" s="27" t="s">
        <v>51</v>
      </c>
      <c r="U69" s="27">
        <v>9485166307</v>
      </c>
      <c r="V69" s="21" t="s">
        <v>34</v>
      </c>
    </row>
    <row r="70" spans="1:22" ht="15" thickBot="1" x14ac:dyDescent="0.4">
      <c r="A70" s="30" t="s">
        <v>169</v>
      </c>
      <c r="B70" s="30" t="s">
        <v>72</v>
      </c>
      <c r="C70" s="30" t="s">
        <v>82</v>
      </c>
      <c r="D70" s="31">
        <v>45894</v>
      </c>
      <c r="E70" s="31">
        <v>45897</v>
      </c>
      <c r="F70" s="30" t="s">
        <v>73</v>
      </c>
      <c r="G70" s="30" t="s">
        <v>26</v>
      </c>
      <c r="H70" s="31">
        <v>36747</v>
      </c>
      <c r="I70" s="30" t="s">
        <v>121</v>
      </c>
      <c r="J70" s="30" t="s">
        <v>38</v>
      </c>
      <c r="K70" s="30" t="s">
        <v>83</v>
      </c>
      <c r="L70" s="30" t="s">
        <v>84</v>
      </c>
      <c r="M70" s="30">
        <v>8</v>
      </c>
      <c r="N70" s="30">
        <v>60</v>
      </c>
      <c r="O70" s="30">
        <v>10</v>
      </c>
      <c r="P70" s="30">
        <v>432</v>
      </c>
      <c r="Q70" s="30">
        <v>5</v>
      </c>
      <c r="R70" s="30" t="s">
        <v>60</v>
      </c>
      <c r="S70" s="30" t="s">
        <v>50</v>
      </c>
      <c r="T70" s="30" t="s">
        <v>93</v>
      </c>
      <c r="U70" s="30">
        <v>9924709648</v>
      </c>
      <c r="V70" s="30" t="s">
        <v>53</v>
      </c>
    </row>
    <row r="71" spans="1:22" ht="15" thickBot="1" x14ac:dyDescent="0.4">
      <c r="A71" s="27" t="s">
        <v>170</v>
      </c>
      <c r="B71" s="27" t="s">
        <v>124</v>
      </c>
      <c r="C71" s="27" t="s">
        <v>46</v>
      </c>
      <c r="D71" s="28">
        <v>45888</v>
      </c>
      <c r="E71" s="28">
        <v>45892</v>
      </c>
      <c r="F71" s="27" t="s">
        <v>126</v>
      </c>
      <c r="G71" s="27" t="s">
        <v>58</v>
      </c>
      <c r="H71" s="28">
        <v>27776</v>
      </c>
      <c r="I71" s="27" t="s">
        <v>147</v>
      </c>
      <c r="J71" s="27" t="s">
        <v>148</v>
      </c>
      <c r="K71" s="27" t="s">
        <v>39</v>
      </c>
      <c r="L71" s="27" t="s">
        <v>49</v>
      </c>
      <c r="M71" s="27">
        <v>12</v>
      </c>
      <c r="N71" s="27">
        <v>55000</v>
      </c>
      <c r="O71" s="27">
        <v>5</v>
      </c>
      <c r="P71" s="27">
        <v>627000</v>
      </c>
      <c r="Q71" s="27">
        <v>2</v>
      </c>
      <c r="R71" s="27" t="s">
        <v>65</v>
      </c>
      <c r="S71" s="27" t="s">
        <v>42</v>
      </c>
      <c r="T71" s="27" t="s">
        <v>128</v>
      </c>
      <c r="U71" s="27">
        <v>9350554626</v>
      </c>
      <c r="V71" s="27" t="s">
        <v>52</v>
      </c>
    </row>
    <row r="72" spans="1:22" ht="15" thickBot="1" x14ac:dyDescent="0.4">
      <c r="A72" s="30" t="s">
        <v>171</v>
      </c>
      <c r="B72" s="30" t="s">
        <v>23</v>
      </c>
      <c r="C72" s="30" t="s">
        <v>112</v>
      </c>
      <c r="D72" s="31">
        <v>45865</v>
      </c>
      <c r="E72" s="31">
        <v>45874</v>
      </c>
      <c r="F72" s="30" t="s">
        <v>25</v>
      </c>
      <c r="G72" s="30" t="s">
        <v>26</v>
      </c>
      <c r="H72" s="31">
        <v>27488</v>
      </c>
      <c r="I72" s="30" t="s">
        <v>121</v>
      </c>
      <c r="J72" s="30" t="s">
        <v>38</v>
      </c>
      <c r="K72" s="30" t="s">
        <v>39</v>
      </c>
      <c r="L72" s="30" t="s">
        <v>114</v>
      </c>
      <c r="M72" s="30">
        <v>3</v>
      </c>
      <c r="N72" s="30">
        <v>700</v>
      </c>
      <c r="O72" s="30">
        <v>0</v>
      </c>
      <c r="P72" s="30">
        <v>2100</v>
      </c>
      <c r="Q72" s="30">
        <v>3</v>
      </c>
      <c r="R72" s="30" t="s">
        <v>60</v>
      </c>
      <c r="S72" s="30" t="s">
        <v>96</v>
      </c>
      <c r="T72" s="30" t="s">
        <v>43</v>
      </c>
      <c r="U72" s="30">
        <v>9743295580</v>
      </c>
      <c r="V72" s="30" t="s">
        <v>53</v>
      </c>
    </row>
    <row r="73" spans="1:22" ht="15" thickBot="1" x14ac:dyDescent="0.4">
      <c r="A73" s="27" t="s">
        <v>172</v>
      </c>
      <c r="B73" s="27" t="s">
        <v>87</v>
      </c>
      <c r="C73" s="27" t="s">
        <v>82</v>
      </c>
      <c r="D73" s="28">
        <v>45709</v>
      </c>
      <c r="E73" s="28">
        <v>45714</v>
      </c>
      <c r="F73" s="27" t="s">
        <v>173</v>
      </c>
      <c r="G73" s="27" t="s">
        <v>58</v>
      </c>
      <c r="H73" s="28">
        <v>28105</v>
      </c>
      <c r="I73" s="27" t="s">
        <v>91</v>
      </c>
      <c r="J73" s="27" t="s">
        <v>75</v>
      </c>
      <c r="K73" s="27" t="s">
        <v>83</v>
      </c>
      <c r="L73" s="27" t="s">
        <v>84</v>
      </c>
      <c r="M73" s="27">
        <v>19</v>
      </c>
      <c r="N73" s="27">
        <v>60</v>
      </c>
      <c r="O73" s="27">
        <v>15</v>
      </c>
      <c r="P73" s="27">
        <v>969</v>
      </c>
      <c r="Q73" s="27">
        <v>4</v>
      </c>
      <c r="R73" s="27" t="s">
        <v>60</v>
      </c>
      <c r="S73" s="27" t="s">
        <v>42</v>
      </c>
      <c r="T73" s="27" t="s">
        <v>89</v>
      </c>
      <c r="U73" s="27">
        <v>9822926495</v>
      </c>
      <c r="V73" s="27" t="s">
        <v>53</v>
      </c>
    </row>
    <row r="74" spans="1:22" ht="15" thickBot="1" x14ac:dyDescent="0.4">
      <c r="A74" s="30" t="s">
        <v>174</v>
      </c>
      <c r="B74" s="30" t="s">
        <v>156</v>
      </c>
      <c r="C74" s="30" t="s">
        <v>82</v>
      </c>
      <c r="D74" s="31">
        <v>45879</v>
      </c>
      <c r="E74" s="31">
        <v>45880</v>
      </c>
      <c r="F74" s="30" t="s">
        <v>106</v>
      </c>
      <c r="G74" s="30" t="s">
        <v>58</v>
      </c>
      <c r="H74" s="31">
        <v>29192</v>
      </c>
      <c r="I74" s="30" t="s">
        <v>121</v>
      </c>
      <c r="J74" s="30" t="s">
        <v>38</v>
      </c>
      <c r="K74" s="30" t="s">
        <v>83</v>
      </c>
      <c r="L74" s="30" t="s">
        <v>84</v>
      </c>
      <c r="M74" s="30">
        <v>9</v>
      </c>
      <c r="N74" s="30">
        <v>60</v>
      </c>
      <c r="O74" s="30">
        <v>20</v>
      </c>
      <c r="P74" s="30">
        <v>432</v>
      </c>
      <c r="Q74" s="30">
        <v>1</v>
      </c>
      <c r="R74" s="30" t="s">
        <v>41</v>
      </c>
      <c r="S74" s="30" t="s">
        <v>80</v>
      </c>
      <c r="T74" s="30" t="s">
        <v>158</v>
      </c>
      <c r="U74" s="30">
        <v>9518298190</v>
      </c>
      <c r="V74" s="30" t="s">
        <v>52</v>
      </c>
    </row>
    <row r="75" spans="1:22" ht="15" thickBot="1" x14ac:dyDescent="0.4">
      <c r="A75" s="27" t="s">
        <v>175</v>
      </c>
      <c r="B75" s="27" t="s">
        <v>156</v>
      </c>
      <c r="C75" s="27" t="s">
        <v>112</v>
      </c>
      <c r="D75" s="28">
        <v>46105</v>
      </c>
      <c r="E75" s="28">
        <v>46111</v>
      </c>
      <c r="F75" s="27" t="s">
        <v>106</v>
      </c>
      <c r="G75" s="27" t="s">
        <v>58</v>
      </c>
      <c r="H75" s="28">
        <v>28851</v>
      </c>
      <c r="I75" s="27" t="s">
        <v>48</v>
      </c>
      <c r="J75" s="27" t="s">
        <v>28</v>
      </c>
      <c r="K75" s="27" t="s">
        <v>39</v>
      </c>
      <c r="L75" s="27" t="s">
        <v>114</v>
      </c>
      <c r="M75" s="27">
        <v>6</v>
      </c>
      <c r="N75" s="27">
        <v>700</v>
      </c>
      <c r="O75" s="27">
        <v>0</v>
      </c>
      <c r="P75" s="27">
        <v>4200</v>
      </c>
      <c r="Q75" s="27">
        <v>4</v>
      </c>
      <c r="R75" s="27" t="s">
        <v>65</v>
      </c>
      <c r="S75" s="27" t="s">
        <v>42</v>
      </c>
      <c r="T75" s="27" t="s">
        <v>176</v>
      </c>
      <c r="U75" s="27">
        <v>9366223547</v>
      </c>
      <c r="V75" s="27" t="s">
        <v>53</v>
      </c>
    </row>
    <row r="76" spans="1:22" ht="15" thickBot="1" x14ac:dyDescent="0.4">
      <c r="A76" s="30" t="s">
        <v>177</v>
      </c>
      <c r="B76" s="30" t="s">
        <v>87</v>
      </c>
      <c r="C76" s="30" t="s">
        <v>138</v>
      </c>
      <c r="D76" s="31">
        <v>46094</v>
      </c>
      <c r="E76" s="31">
        <v>46100</v>
      </c>
      <c r="F76" s="30" t="s">
        <v>88</v>
      </c>
      <c r="G76" s="30" t="s">
        <v>58</v>
      </c>
      <c r="H76" s="31">
        <v>27499</v>
      </c>
      <c r="I76" s="30" t="s">
        <v>37</v>
      </c>
      <c r="J76" s="30" t="s">
        <v>38</v>
      </c>
      <c r="K76" s="30" t="s">
        <v>83</v>
      </c>
      <c r="L76" s="30" t="s">
        <v>139</v>
      </c>
      <c r="M76" s="30">
        <v>18</v>
      </c>
      <c r="N76" s="30">
        <v>45</v>
      </c>
      <c r="O76" s="30">
        <v>5</v>
      </c>
      <c r="P76" s="30">
        <v>769.5</v>
      </c>
      <c r="Q76" s="30">
        <v>1</v>
      </c>
      <c r="R76" s="30" t="s">
        <v>60</v>
      </c>
      <c r="S76" s="30" t="s">
        <v>50</v>
      </c>
      <c r="T76" s="30" t="s">
        <v>89</v>
      </c>
      <c r="U76" s="30">
        <v>9701988524</v>
      </c>
      <c r="V76" s="30" t="s">
        <v>52</v>
      </c>
    </row>
    <row r="77" spans="1:22" ht="15" thickBot="1" x14ac:dyDescent="0.4">
      <c r="A77" s="27" t="s">
        <v>178</v>
      </c>
      <c r="B77" s="27" t="s">
        <v>63</v>
      </c>
      <c r="C77" s="27" t="s">
        <v>125</v>
      </c>
      <c r="D77" s="28">
        <v>45823</v>
      </c>
      <c r="E77" s="28">
        <v>45834</v>
      </c>
      <c r="F77" s="27" t="s">
        <v>110</v>
      </c>
      <c r="G77" s="27" t="s">
        <v>58</v>
      </c>
      <c r="H77" s="28">
        <v>32496</v>
      </c>
      <c r="I77" s="27" t="s">
        <v>121</v>
      </c>
      <c r="J77" s="27" t="s">
        <v>38</v>
      </c>
      <c r="K77" s="27" t="s">
        <v>83</v>
      </c>
      <c r="L77" s="27" t="s">
        <v>127</v>
      </c>
      <c r="M77" s="27">
        <v>8</v>
      </c>
      <c r="N77" s="27">
        <v>20</v>
      </c>
      <c r="O77" s="27">
        <v>5</v>
      </c>
      <c r="P77" s="27">
        <v>152</v>
      </c>
      <c r="Q77" s="27">
        <v>1</v>
      </c>
      <c r="R77" s="27" t="s">
        <v>60</v>
      </c>
      <c r="S77" s="27" t="s">
        <v>32</v>
      </c>
      <c r="T77" s="27" t="s">
        <v>66</v>
      </c>
      <c r="U77" s="27">
        <v>9836327649</v>
      </c>
      <c r="V77" s="21" t="s">
        <v>179</v>
      </c>
    </row>
    <row r="78" spans="1:22" ht="15" thickBot="1" x14ac:dyDescent="0.4">
      <c r="A78" s="30" t="s">
        <v>180</v>
      </c>
      <c r="B78" s="30" t="s">
        <v>124</v>
      </c>
      <c r="C78" s="30" t="s">
        <v>112</v>
      </c>
      <c r="D78" s="31">
        <v>45721</v>
      </c>
      <c r="E78" s="31">
        <v>45722</v>
      </c>
      <c r="F78" s="30" t="s">
        <v>126</v>
      </c>
      <c r="G78" s="30" t="s">
        <v>58</v>
      </c>
      <c r="H78" s="31">
        <v>28921</v>
      </c>
      <c r="I78" s="30" t="s">
        <v>121</v>
      </c>
      <c r="J78" s="30" t="s">
        <v>38</v>
      </c>
      <c r="K78" s="30" t="s">
        <v>39</v>
      </c>
      <c r="L78" s="30" t="s">
        <v>114</v>
      </c>
      <c r="M78" s="30">
        <v>8</v>
      </c>
      <c r="N78" s="30">
        <v>700</v>
      </c>
      <c r="O78" s="30">
        <v>10</v>
      </c>
      <c r="P78" s="30">
        <v>5040</v>
      </c>
      <c r="Q78" s="30">
        <v>1</v>
      </c>
      <c r="R78" s="30" t="s">
        <v>41</v>
      </c>
      <c r="S78" s="30" t="s">
        <v>50</v>
      </c>
      <c r="T78" s="32" t="s">
        <v>181</v>
      </c>
      <c r="U78" s="30">
        <v>9261800516</v>
      </c>
      <c r="V78" s="30" t="s">
        <v>53</v>
      </c>
    </row>
    <row r="79" spans="1:22" ht="15" thickBot="1" x14ac:dyDescent="0.4">
      <c r="A79" s="27" t="s">
        <v>182</v>
      </c>
      <c r="B79" s="27" t="s">
        <v>23</v>
      </c>
      <c r="C79" s="27" t="s">
        <v>125</v>
      </c>
      <c r="D79" s="28">
        <v>46121</v>
      </c>
      <c r="E79" s="28">
        <v>46131</v>
      </c>
      <c r="F79" s="27" t="s">
        <v>25</v>
      </c>
      <c r="G79" s="27" t="s">
        <v>26</v>
      </c>
      <c r="H79" s="28">
        <v>37972</v>
      </c>
      <c r="I79" s="27" t="s">
        <v>37</v>
      </c>
      <c r="J79" s="27" t="s">
        <v>38</v>
      </c>
      <c r="K79" s="27" t="s">
        <v>83</v>
      </c>
      <c r="L79" s="27" t="s">
        <v>127</v>
      </c>
      <c r="M79" s="27">
        <v>7</v>
      </c>
      <c r="N79" s="27">
        <v>20</v>
      </c>
      <c r="O79" s="27">
        <v>15</v>
      </c>
      <c r="P79" s="27">
        <v>119</v>
      </c>
      <c r="Q79" s="27">
        <v>5</v>
      </c>
      <c r="R79" s="27" t="s">
        <v>60</v>
      </c>
      <c r="S79" s="27" t="s">
        <v>42</v>
      </c>
      <c r="T79" s="27" t="s">
        <v>43</v>
      </c>
      <c r="U79" s="27">
        <v>9950802015</v>
      </c>
      <c r="V79" s="21" t="s">
        <v>34</v>
      </c>
    </row>
    <row r="80" spans="1:22" ht="15" thickBot="1" x14ac:dyDescent="0.4">
      <c r="A80" s="30" t="s">
        <v>183</v>
      </c>
      <c r="B80" s="30" t="s">
        <v>72</v>
      </c>
      <c r="C80" s="30" t="s">
        <v>125</v>
      </c>
      <c r="D80" s="31">
        <v>45885</v>
      </c>
      <c r="E80" s="31">
        <v>45894</v>
      </c>
      <c r="F80" s="30" t="s">
        <v>73</v>
      </c>
      <c r="G80" s="30" t="s">
        <v>26</v>
      </c>
      <c r="H80" s="31">
        <v>30777</v>
      </c>
      <c r="I80" s="30" t="s">
        <v>79</v>
      </c>
      <c r="J80" s="30" t="s">
        <v>75</v>
      </c>
      <c r="K80" s="30" t="s">
        <v>83</v>
      </c>
      <c r="L80" s="30" t="s">
        <v>127</v>
      </c>
      <c r="M80" s="30">
        <v>16</v>
      </c>
      <c r="N80" s="30">
        <v>20</v>
      </c>
      <c r="O80" s="30">
        <v>0</v>
      </c>
      <c r="P80" s="30">
        <v>320</v>
      </c>
      <c r="Q80" s="30">
        <v>5</v>
      </c>
      <c r="R80" s="30" t="s">
        <v>41</v>
      </c>
      <c r="S80" s="30" t="s">
        <v>50</v>
      </c>
      <c r="T80" s="30" t="s">
        <v>93</v>
      </c>
      <c r="U80" s="30">
        <v>9595183767</v>
      </c>
      <c r="V80" s="30" t="s">
        <v>52</v>
      </c>
    </row>
    <row r="81" spans="1:22" ht="15" thickBot="1" x14ac:dyDescent="0.4">
      <c r="A81" s="27" t="s">
        <v>184</v>
      </c>
      <c r="B81" s="27" t="s">
        <v>45</v>
      </c>
      <c r="C81" s="27" t="s">
        <v>138</v>
      </c>
      <c r="D81" s="28">
        <v>46155</v>
      </c>
      <c r="E81" s="28">
        <v>46162</v>
      </c>
      <c r="F81" s="27" t="s">
        <v>101</v>
      </c>
      <c r="G81" s="27" t="s">
        <v>26</v>
      </c>
      <c r="H81" s="28">
        <v>35168</v>
      </c>
      <c r="I81" s="27" t="s">
        <v>74</v>
      </c>
      <c r="J81" s="27" t="s">
        <v>75</v>
      </c>
      <c r="K81" s="27" t="s">
        <v>83</v>
      </c>
      <c r="L81" s="27" t="s">
        <v>139</v>
      </c>
      <c r="M81" s="27">
        <v>15</v>
      </c>
      <c r="N81" s="27">
        <v>45</v>
      </c>
      <c r="O81" s="27">
        <v>0</v>
      </c>
      <c r="P81" s="27">
        <v>675</v>
      </c>
      <c r="Q81" s="27">
        <v>4</v>
      </c>
      <c r="R81" s="27" t="s">
        <v>31</v>
      </c>
      <c r="S81" s="27" t="s">
        <v>50</v>
      </c>
      <c r="T81" s="27" t="s">
        <v>51</v>
      </c>
      <c r="U81" s="27">
        <v>9560201307</v>
      </c>
      <c r="V81" s="27" t="s">
        <v>53</v>
      </c>
    </row>
    <row r="82" spans="1:22" ht="15" thickBot="1" x14ac:dyDescent="0.4">
      <c r="A82" s="30" t="s">
        <v>185</v>
      </c>
      <c r="B82" s="30" t="s">
        <v>134</v>
      </c>
      <c r="C82" s="30" t="s">
        <v>112</v>
      </c>
      <c r="D82" s="31">
        <v>45717</v>
      </c>
      <c r="E82" s="31">
        <v>45721</v>
      </c>
      <c r="F82" s="30" t="s">
        <v>135</v>
      </c>
      <c r="G82" s="30" t="s">
        <v>26</v>
      </c>
      <c r="H82" s="31">
        <v>37872</v>
      </c>
      <c r="I82" s="30" t="s">
        <v>91</v>
      </c>
      <c r="J82" s="30" t="s">
        <v>75</v>
      </c>
      <c r="K82" s="30" t="s">
        <v>39</v>
      </c>
      <c r="L82" s="30" t="s">
        <v>114</v>
      </c>
      <c r="M82" s="30">
        <v>15</v>
      </c>
      <c r="N82" s="30">
        <v>700</v>
      </c>
      <c r="O82" s="30">
        <v>10</v>
      </c>
      <c r="P82" s="30">
        <v>9450</v>
      </c>
      <c r="Q82" s="30">
        <v>3</v>
      </c>
      <c r="R82" s="30" t="s">
        <v>41</v>
      </c>
      <c r="S82" s="30" t="s">
        <v>96</v>
      </c>
      <c r="T82" s="30" t="s">
        <v>136</v>
      </c>
      <c r="U82" s="30">
        <v>9826484650</v>
      </c>
      <c r="V82" s="22" t="s">
        <v>34</v>
      </c>
    </row>
    <row r="83" spans="1:22" ht="15" thickBot="1" x14ac:dyDescent="0.4">
      <c r="A83" s="27" t="s">
        <v>186</v>
      </c>
      <c r="B83" s="27" t="s">
        <v>45</v>
      </c>
      <c r="C83" s="27" t="s">
        <v>138</v>
      </c>
      <c r="D83" s="28">
        <v>45697</v>
      </c>
      <c r="E83" s="28">
        <v>45700</v>
      </c>
      <c r="F83" s="27" t="s">
        <v>101</v>
      </c>
      <c r="G83" s="27" t="s">
        <v>26</v>
      </c>
      <c r="H83" s="28">
        <v>33871</v>
      </c>
      <c r="I83" s="27" t="s">
        <v>147</v>
      </c>
      <c r="J83" s="27" t="s">
        <v>148</v>
      </c>
      <c r="K83" s="27" t="s">
        <v>83</v>
      </c>
      <c r="L83" s="27" t="s">
        <v>139</v>
      </c>
      <c r="M83" s="27">
        <v>3</v>
      </c>
      <c r="N83" s="27">
        <v>45</v>
      </c>
      <c r="O83" s="27">
        <v>15</v>
      </c>
      <c r="P83" s="27">
        <v>114.75</v>
      </c>
      <c r="Q83" s="27">
        <v>2</v>
      </c>
      <c r="R83" s="27" t="s">
        <v>65</v>
      </c>
      <c r="S83" s="27" t="s">
        <v>80</v>
      </c>
      <c r="T83" s="27" t="s">
        <v>51</v>
      </c>
      <c r="U83" s="27">
        <v>9219978007</v>
      </c>
      <c r="V83" s="27" t="s">
        <v>52</v>
      </c>
    </row>
    <row r="84" spans="1:22" ht="15" thickBot="1" x14ac:dyDescent="0.4">
      <c r="A84" s="30" t="s">
        <v>187</v>
      </c>
      <c r="B84" s="30" t="s">
        <v>72</v>
      </c>
      <c r="C84" s="30" t="s">
        <v>24</v>
      </c>
      <c r="D84" s="31">
        <v>46031</v>
      </c>
      <c r="E84" s="31">
        <v>46032</v>
      </c>
      <c r="F84" s="30" t="s">
        <v>73</v>
      </c>
      <c r="G84" s="30" t="s">
        <v>26</v>
      </c>
      <c r="H84" s="31">
        <v>31674</v>
      </c>
      <c r="I84" s="30" t="s">
        <v>147</v>
      </c>
      <c r="J84" s="30" t="s">
        <v>148</v>
      </c>
      <c r="K84" s="30" t="s">
        <v>29</v>
      </c>
      <c r="L84" s="30" t="s">
        <v>30</v>
      </c>
      <c r="M84" s="30">
        <v>7</v>
      </c>
      <c r="N84" s="30">
        <v>2200</v>
      </c>
      <c r="O84" s="30">
        <v>15</v>
      </c>
      <c r="P84" s="30">
        <v>13090</v>
      </c>
      <c r="Q84" s="30">
        <v>5</v>
      </c>
      <c r="R84" s="30" t="s">
        <v>65</v>
      </c>
      <c r="S84" s="30" t="s">
        <v>80</v>
      </c>
      <c r="T84" s="30" t="s">
        <v>93</v>
      </c>
      <c r="U84" s="30">
        <v>9662063276</v>
      </c>
      <c r="V84" s="22" t="s">
        <v>34</v>
      </c>
    </row>
    <row r="85" spans="1:22" ht="15" thickBot="1" x14ac:dyDescent="0.4">
      <c r="A85" s="27" t="s">
        <v>188</v>
      </c>
      <c r="B85" s="27" t="s">
        <v>23</v>
      </c>
      <c r="C85" s="27" t="s">
        <v>138</v>
      </c>
      <c r="D85" s="28">
        <v>45901</v>
      </c>
      <c r="E85" s="28">
        <v>45905</v>
      </c>
      <c r="F85" s="27" t="s">
        <v>25</v>
      </c>
      <c r="G85" s="27" t="s">
        <v>26</v>
      </c>
      <c r="H85" s="28">
        <v>31195</v>
      </c>
      <c r="I85" s="27" t="s">
        <v>37</v>
      </c>
      <c r="J85" s="27" t="s">
        <v>38</v>
      </c>
      <c r="K85" s="27" t="s">
        <v>83</v>
      </c>
      <c r="L85" s="27" t="s">
        <v>139</v>
      </c>
      <c r="M85" s="27">
        <v>19</v>
      </c>
      <c r="N85" s="27">
        <v>45</v>
      </c>
      <c r="O85" s="27">
        <v>10</v>
      </c>
      <c r="P85" s="27">
        <v>769.5</v>
      </c>
      <c r="Q85" s="27">
        <v>5</v>
      </c>
      <c r="R85" s="27" t="s">
        <v>60</v>
      </c>
      <c r="S85" s="27" t="s">
        <v>80</v>
      </c>
      <c r="T85" s="27" t="s">
        <v>43</v>
      </c>
      <c r="U85" s="27">
        <v>9190393639</v>
      </c>
      <c r="V85" s="27" t="s">
        <v>53</v>
      </c>
    </row>
    <row r="86" spans="1:22" ht="15" thickBot="1" x14ac:dyDescent="0.4">
      <c r="A86" s="30" t="s">
        <v>189</v>
      </c>
      <c r="B86" s="30" t="s">
        <v>134</v>
      </c>
      <c r="C86" s="30" t="s">
        <v>68</v>
      </c>
      <c r="D86" s="31">
        <v>46062</v>
      </c>
      <c r="E86" s="31">
        <v>46067</v>
      </c>
      <c r="F86" s="30" t="s">
        <v>135</v>
      </c>
      <c r="G86" s="30" t="s">
        <v>26</v>
      </c>
      <c r="H86" s="31">
        <v>29094</v>
      </c>
      <c r="I86" s="30" t="s">
        <v>27</v>
      </c>
      <c r="J86" s="30" t="s">
        <v>28</v>
      </c>
      <c r="K86" s="30" t="s">
        <v>29</v>
      </c>
      <c r="L86" s="30" t="s">
        <v>70</v>
      </c>
      <c r="M86" s="30">
        <v>7</v>
      </c>
      <c r="N86" s="30">
        <v>3500</v>
      </c>
      <c r="O86" s="30">
        <v>15</v>
      </c>
      <c r="P86" s="30">
        <v>20825</v>
      </c>
      <c r="Q86" s="30">
        <v>1</v>
      </c>
      <c r="R86" s="30" t="s">
        <v>31</v>
      </c>
      <c r="S86" s="30" t="s">
        <v>96</v>
      </c>
      <c r="T86" s="30" t="s">
        <v>136</v>
      </c>
      <c r="U86" s="30">
        <v>9106328582</v>
      </c>
      <c r="V86" s="30" t="s">
        <v>52</v>
      </c>
    </row>
    <row r="87" spans="1:22" ht="15" thickBot="1" x14ac:dyDescent="0.4">
      <c r="A87" s="27" t="s">
        <v>190</v>
      </c>
      <c r="B87" s="27" t="s">
        <v>45</v>
      </c>
      <c r="C87" s="27" t="s">
        <v>105</v>
      </c>
      <c r="D87" s="28">
        <v>46005</v>
      </c>
      <c r="E87" s="28">
        <v>46010</v>
      </c>
      <c r="F87" s="27" t="s">
        <v>101</v>
      </c>
      <c r="G87" s="27" t="s">
        <v>26</v>
      </c>
      <c r="H87" s="28">
        <v>28116</v>
      </c>
      <c r="I87" s="27" t="s">
        <v>121</v>
      </c>
      <c r="J87" s="27" t="s">
        <v>38</v>
      </c>
      <c r="K87" s="27" t="s">
        <v>29</v>
      </c>
      <c r="L87" s="27" t="s">
        <v>107</v>
      </c>
      <c r="M87" s="27">
        <v>7</v>
      </c>
      <c r="N87" s="27">
        <v>8500</v>
      </c>
      <c r="O87" s="27">
        <v>20</v>
      </c>
      <c r="P87" s="27">
        <v>47600</v>
      </c>
      <c r="Q87" s="27">
        <v>4</v>
      </c>
      <c r="R87" s="27" t="s">
        <v>41</v>
      </c>
      <c r="S87" s="27" t="s">
        <v>80</v>
      </c>
      <c r="T87" s="27" t="s">
        <v>51</v>
      </c>
      <c r="U87" s="27">
        <v>9264401015</v>
      </c>
      <c r="V87" s="21" t="s">
        <v>34</v>
      </c>
    </row>
    <row r="88" spans="1:22" ht="15" thickBot="1" x14ac:dyDescent="0.4">
      <c r="A88" s="30" t="s">
        <v>191</v>
      </c>
      <c r="B88" s="30" t="s">
        <v>23</v>
      </c>
      <c r="C88" s="30" t="s">
        <v>46</v>
      </c>
      <c r="D88" s="31">
        <v>45754</v>
      </c>
      <c r="E88" s="31">
        <v>45757</v>
      </c>
      <c r="F88" s="30" t="s">
        <v>25</v>
      </c>
      <c r="G88" s="30" t="s">
        <v>26</v>
      </c>
      <c r="H88" s="31">
        <v>36561</v>
      </c>
      <c r="I88" s="30" t="s">
        <v>48</v>
      </c>
      <c r="J88" s="30" t="s">
        <v>28</v>
      </c>
      <c r="K88" s="30" t="s">
        <v>39</v>
      </c>
      <c r="L88" s="30" t="s">
        <v>49</v>
      </c>
      <c r="M88" s="30">
        <v>16</v>
      </c>
      <c r="N88" s="30">
        <v>55000</v>
      </c>
      <c r="O88" s="30">
        <v>10</v>
      </c>
      <c r="P88" s="30">
        <v>792000</v>
      </c>
      <c r="Q88" s="30">
        <v>1</v>
      </c>
      <c r="R88" s="30" t="s">
        <v>60</v>
      </c>
      <c r="S88" s="30" t="s">
        <v>50</v>
      </c>
      <c r="T88" s="30" t="s">
        <v>43</v>
      </c>
      <c r="U88" s="30">
        <v>9959237375</v>
      </c>
      <c r="V88" s="22" t="s">
        <v>34</v>
      </c>
    </row>
    <row r="89" spans="1:22" ht="15" thickBot="1" x14ac:dyDescent="0.4">
      <c r="A89" s="27" t="s">
        <v>192</v>
      </c>
      <c r="B89" s="27" t="s">
        <v>104</v>
      </c>
      <c r="C89" s="27" t="s">
        <v>36</v>
      </c>
      <c r="D89" s="28">
        <v>46015</v>
      </c>
      <c r="E89" s="28">
        <v>46025</v>
      </c>
      <c r="F89" s="27" t="s">
        <v>166</v>
      </c>
      <c r="G89" s="27" t="s">
        <v>26</v>
      </c>
      <c r="H89" s="28">
        <v>31832</v>
      </c>
      <c r="I89" s="27" t="s">
        <v>74</v>
      </c>
      <c r="J89" s="27" t="s">
        <v>75</v>
      </c>
      <c r="K89" s="27" t="s">
        <v>39</v>
      </c>
      <c r="L89" s="27" t="s">
        <v>40</v>
      </c>
      <c r="M89" s="27">
        <v>2</v>
      </c>
      <c r="N89" s="27">
        <v>12000</v>
      </c>
      <c r="O89" s="27">
        <v>20</v>
      </c>
      <c r="P89" s="27">
        <v>19200</v>
      </c>
      <c r="Q89" s="27">
        <v>1</v>
      </c>
      <c r="R89" s="27" t="s">
        <v>31</v>
      </c>
      <c r="S89" s="27" t="s">
        <v>96</v>
      </c>
      <c r="T89" s="29" t="s">
        <v>193</v>
      </c>
      <c r="U89" s="27">
        <v>9561836580</v>
      </c>
      <c r="V89" s="27" t="s">
        <v>52</v>
      </c>
    </row>
    <row r="90" spans="1:22" ht="15" thickBot="1" x14ac:dyDescent="0.4">
      <c r="A90" s="30" t="s">
        <v>194</v>
      </c>
      <c r="B90" s="30" t="s">
        <v>87</v>
      </c>
      <c r="C90" s="30" t="s">
        <v>138</v>
      </c>
      <c r="D90" s="31">
        <v>45899</v>
      </c>
      <c r="E90" s="31">
        <v>45905</v>
      </c>
      <c r="F90" s="30" t="s">
        <v>88</v>
      </c>
      <c r="G90" s="30" t="s">
        <v>58</v>
      </c>
      <c r="H90" s="31">
        <v>30887</v>
      </c>
      <c r="I90" s="30" t="s">
        <v>48</v>
      </c>
      <c r="J90" s="30" t="s">
        <v>28</v>
      </c>
      <c r="K90" s="30" t="s">
        <v>83</v>
      </c>
      <c r="L90" s="30" t="s">
        <v>139</v>
      </c>
      <c r="M90" s="30">
        <v>4</v>
      </c>
      <c r="N90" s="30">
        <v>45</v>
      </c>
      <c r="O90" s="30">
        <v>5</v>
      </c>
      <c r="P90" s="30">
        <v>171</v>
      </c>
      <c r="Q90" s="30">
        <v>1</v>
      </c>
      <c r="R90" s="30" t="s">
        <v>60</v>
      </c>
      <c r="S90" s="30" t="s">
        <v>42</v>
      </c>
      <c r="T90" s="30" t="s">
        <v>89</v>
      </c>
      <c r="U90" s="30">
        <v>9512666401</v>
      </c>
      <c r="V90" s="30" t="s">
        <v>52</v>
      </c>
    </row>
    <row r="91" spans="1:22" ht="15" thickBot="1" x14ac:dyDescent="0.4">
      <c r="A91" s="27" t="s">
        <v>195</v>
      </c>
      <c r="B91" s="27" t="s">
        <v>23</v>
      </c>
      <c r="C91" s="27" t="s">
        <v>56</v>
      </c>
      <c r="D91" s="28">
        <v>46004</v>
      </c>
      <c r="E91" s="28">
        <v>46014</v>
      </c>
      <c r="F91" s="27" t="s">
        <v>25</v>
      </c>
      <c r="G91" s="27" t="s">
        <v>26</v>
      </c>
      <c r="H91" s="28">
        <v>29851</v>
      </c>
      <c r="I91" s="27" t="s">
        <v>121</v>
      </c>
      <c r="J91" s="27" t="s">
        <v>38</v>
      </c>
      <c r="K91" s="27" t="s">
        <v>39</v>
      </c>
      <c r="L91" s="27" t="s">
        <v>59</v>
      </c>
      <c r="M91" s="27">
        <v>1</v>
      </c>
      <c r="N91" s="27">
        <v>1200</v>
      </c>
      <c r="O91" s="27">
        <v>5</v>
      </c>
      <c r="P91" s="27">
        <v>1140</v>
      </c>
      <c r="Q91" s="27">
        <v>3</v>
      </c>
      <c r="R91" s="27" t="s">
        <v>65</v>
      </c>
      <c r="S91" s="27" t="s">
        <v>50</v>
      </c>
      <c r="T91" s="27" t="s">
        <v>43</v>
      </c>
      <c r="U91" s="27">
        <v>9808988530</v>
      </c>
      <c r="V91" s="27" t="s">
        <v>53</v>
      </c>
    </row>
    <row r="92" spans="1:22" ht="15" thickBot="1" x14ac:dyDescent="0.4">
      <c r="A92" s="30" t="s">
        <v>196</v>
      </c>
      <c r="B92" s="30" t="s">
        <v>45</v>
      </c>
      <c r="C92" s="30" t="s">
        <v>24</v>
      </c>
      <c r="D92" s="31">
        <v>46057</v>
      </c>
      <c r="E92" s="31">
        <v>46069</v>
      </c>
      <c r="F92" s="30" t="s">
        <v>101</v>
      </c>
      <c r="G92" s="30" t="s">
        <v>26</v>
      </c>
      <c r="H92" s="24">
        <v>29392</v>
      </c>
      <c r="I92" s="30"/>
      <c r="J92" s="30" t="s">
        <v>28</v>
      </c>
      <c r="K92" s="30" t="s">
        <v>29</v>
      </c>
      <c r="L92" s="30" t="s">
        <v>30</v>
      </c>
      <c r="M92" s="30">
        <v>1</v>
      </c>
      <c r="N92" s="30">
        <v>2200</v>
      </c>
      <c r="O92" s="30">
        <v>15</v>
      </c>
      <c r="P92" s="30">
        <v>1870</v>
      </c>
      <c r="Q92" s="30">
        <v>4</v>
      </c>
      <c r="R92" s="30" t="s">
        <v>60</v>
      </c>
      <c r="S92" s="30" t="s">
        <v>50</v>
      </c>
      <c r="T92" s="30" t="s">
        <v>51</v>
      </c>
      <c r="U92" s="30">
        <v>9286410494</v>
      </c>
      <c r="V92" s="22" t="s">
        <v>34</v>
      </c>
    </row>
    <row r="93" spans="1:22" ht="15" thickBot="1" x14ac:dyDescent="0.4">
      <c r="A93" s="27" t="s">
        <v>197</v>
      </c>
      <c r="B93" s="27" t="s">
        <v>87</v>
      </c>
      <c r="C93" s="27" t="s">
        <v>56</v>
      </c>
      <c r="D93" s="28">
        <v>46048</v>
      </c>
      <c r="E93" s="28">
        <v>46050</v>
      </c>
      <c r="F93" s="27" t="s">
        <v>88</v>
      </c>
      <c r="G93" s="27" t="s">
        <v>58</v>
      </c>
      <c r="H93" s="28">
        <v>30257</v>
      </c>
      <c r="I93" s="27" t="s">
        <v>79</v>
      </c>
      <c r="J93" s="27" t="s">
        <v>75</v>
      </c>
      <c r="K93" s="27" t="s">
        <v>39</v>
      </c>
      <c r="L93" s="27" t="s">
        <v>59</v>
      </c>
      <c r="M93" s="27">
        <v>3</v>
      </c>
      <c r="N93" s="27">
        <v>1200</v>
      </c>
      <c r="O93" s="27">
        <v>10</v>
      </c>
      <c r="P93" s="27">
        <v>3240</v>
      </c>
      <c r="Q93" s="27">
        <v>5</v>
      </c>
      <c r="R93" s="27" t="s">
        <v>31</v>
      </c>
      <c r="S93" s="27" t="s">
        <v>42</v>
      </c>
      <c r="T93" s="27" t="s">
        <v>89</v>
      </c>
      <c r="U93" s="27">
        <v>9311555196</v>
      </c>
      <c r="V93" s="21" t="s">
        <v>34</v>
      </c>
    </row>
    <row r="94" spans="1:22" ht="15" thickBot="1" x14ac:dyDescent="0.4">
      <c r="A94" s="30" t="s">
        <v>198</v>
      </c>
      <c r="B94" s="30" t="s">
        <v>23</v>
      </c>
      <c r="C94" s="30" t="s">
        <v>68</v>
      </c>
      <c r="D94" s="31">
        <v>45835</v>
      </c>
      <c r="E94" s="31">
        <v>45845</v>
      </c>
      <c r="F94" s="30" t="s">
        <v>25</v>
      </c>
      <c r="G94" s="30" t="s">
        <v>26</v>
      </c>
      <c r="H94" s="31">
        <v>29230</v>
      </c>
      <c r="I94" s="30" t="s">
        <v>48</v>
      </c>
      <c r="J94" s="30" t="s">
        <v>28</v>
      </c>
      <c r="K94" s="30" t="s">
        <v>29</v>
      </c>
      <c r="L94" s="30" t="s">
        <v>70</v>
      </c>
      <c r="M94" s="30">
        <v>10</v>
      </c>
      <c r="N94" s="30">
        <v>3500</v>
      </c>
      <c r="O94" s="30">
        <v>20</v>
      </c>
      <c r="P94" s="30">
        <v>28000</v>
      </c>
      <c r="Q94" s="30">
        <v>5</v>
      </c>
      <c r="R94" s="30" t="s">
        <v>60</v>
      </c>
      <c r="S94" s="30" t="s">
        <v>32</v>
      </c>
      <c r="T94" s="30" t="s">
        <v>43</v>
      </c>
      <c r="U94" s="30">
        <v>9101810266</v>
      </c>
      <c r="V94" s="22" t="s">
        <v>34</v>
      </c>
    </row>
    <row r="95" spans="1:22" ht="15" thickBot="1" x14ac:dyDescent="0.4">
      <c r="A95" s="27" t="s">
        <v>199</v>
      </c>
      <c r="B95" s="27" t="s">
        <v>63</v>
      </c>
      <c r="C95" s="27" t="s">
        <v>112</v>
      </c>
      <c r="D95" s="28">
        <v>46098</v>
      </c>
      <c r="E95" s="28">
        <v>46100</v>
      </c>
      <c r="F95" s="27" t="s">
        <v>110</v>
      </c>
      <c r="G95" s="27" t="s">
        <v>58</v>
      </c>
      <c r="H95" s="28">
        <v>29703</v>
      </c>
      <c r="I95" s="27" t="s">
        <v>37</v>
      </c>
      <c r="J95" s="27" t="s">
        <v>38</v>
      </c>
      <c r="K95" s="27" t="s">
        <v>39</v>
      </c>
      <c r="L95" s="27" t="s">
        <v>114</v>
      </c>
      <c r="M95" s="27">
        <v>18</v>
      </c>
      <c r="N95" s="27">
        <v>700</v>
      </c>
      <c r="O95" s="27">
        <v>5</v>
      </c>
      <c r="P95" s="27">
        <v>11970</v>
      </c>
      <c r="Q95" s="27">
        <v>3</v>
      </c>
      <c r="R95" s="27" t="s">
        <v>60</v>
      </c>
      <c r="S95" s="27" t="s">
        <v>80</v>
      </c>
      <c r="T95" s="27" t="s">
        <v>66</v>
      </c>
      <c r="U95" s="27">
        <v>9464556593</v>
      </c>
      <c r="V95" s="27" t="s">
        <v>53</v>
      </c>
    </row>
    <row r="96" spans="1:22" ht="15" thickBot="1" x14ac:dyDescent="0.4">
      <c r="A96" s="30" t="s">
        <v>200</v>
      </c>
      <c r="B96" s="30" t="s">
        <v>124</v>
      </c>
      <c r="C96" s="30" t="s">
        <v>112</v>
      </c>
      <c r="D96" s="31">
        <v>45817</v>
      </c>
      <c r="E96" s="31">
        <v>45826</v>
      </c>
      <c r="F96" s="30" t="s">
        <v>126</v>
      </c>
      <c r="G96" s="30" t="s">
        <v>58</v>
      </c>
      <c r="H96" s="31">
        <v>31118</v>
      </c>
      <c r="I96" s="30" t="s">
        <v>48</v>
      </c>
      <c r="J96" s="30" t="s">
        <v>28</v>
      </c>
      <c r="K96" s="30" t="s">
        <v>39</v>
      </c>
      <c r="L96" s="30" t="s">
        <v>114</v>
      </c>
      <c r="M96" s="30">
        <v>12</v>
      </c>
      <c r="N96" s="30">
        <v>700</v>
      </c>
      <c r="O96" s="30">
        <v>15</v>
      </c>
      <c r="P96" s="30">
        <v>7140</v>
      </c>
      <c r="Q96" s="30">
        <v>2</v>
      </c>
      <c r="R96" s="30" t="s">
        <v>65</v>
      </c>
      <c r="S96" s="30" t="s">
        <v>42</v>
      </c>
      <c r="T96" s="30" t="s">
        <v>128</v>
      </c>
      <c r="U96" s="30">
        <v>9338278358</v>
      </c>
      <c r="V96" s="22" t="s">
        <v>34</v>
      </c>
    </row>
    <row r="97" spans="1:22" ht="15" thickBot="1" x14ac:dyDescent="0.4">
      <c r="A97" s="27" t="s">
        <v>201</v>
      </c>
      <c r="B97" s="27" t="s">
        <v>55</v>
      </c>
      <c r="C97" s="27" t="s">
        <v>56</v>
      </c>
      <c r="D97" s="28">
        <v>45976</v>
      </c>
      <c r="E97" s="28">
        <v>45977</v>
      </c>
      <c r="F97" s="27" t="s">
        <v>57</v>
      </c>
      <c r="G97" s="27" t="s">
        <v>58</v>
      </c>
      <c r="H97" s="28">
        <v>36234</v>
      </c>
      <c r="I97" s="27" t="s">
        <v>74</v>
      </c>
      <c r="J97" s="27" t="s">
        <v>75</v>
      </c>
      <c r="K97" s="27" t="s">
        <v>39</v>
      </c>
      <c r="L97" s="27" t="s">
        <v>59</v>
      </c>
      <c r="M97" s="27">
        <v>8</v>
      </c>
      <c r="N97" s="27">
        <v>1200</v>
      </c>
      <c r="O97" s="27">
        <v>0</v>
      </c>
      <c r="P97" s="27">
        <v>9600</v>
      </c>
      <c r="Q97" s="27">
        <v>4</v>
      </c>
      <c r="R97" s="27" t="s">
        <v>60</v>
      </c>
      <c r="S97" s="27" t="s">
        <v>42</v>
      </c>
      <c r="T97" s="27" t="s">
        <v>61</v>
      </c>
      <c r="U97" s="27">
        <v>9621410770</v>
      </c>
      <c r="V97" s="27" t="s">
        <v>52</v>
      </c>
    </row>
    <row r="98" spans="1:22" ht="15" thickBot="1" x14ac:dyDescent="0.4">
      <c r="A98" s="30" t="s">
        <v>202</v>
      </c>
      <c r="B98" s="30" t="s">
        <v>87</v>
      </c>
      <c r="C98" s="30" t="s">
        <v>82</v>
      </c>
      <c r="D98" s="31">
        <v>45967</v>
      </c>
      <c r="E98" s="31">
        <v>45971</v>
      </c>
      <c r="F98" s="30" t="s">
        <v>88</v>
      </c>
      <c r="G98" s="30" t="s">
        <v>58</v>
      </c>
      <c r="H98" s="31">
        <v>30504</v>
      </c>
      <c r="I98" s="30" t="s">
        <v>79</v>
      </c>
      <c r="J98" s="30" t="s">
        <v>75</v>
      </c>
      <c r="K98" s="30" t="s">
        <v>83</v>
      </c>
      <c r="L98" s="30" t="s">
        <v>84</v>
      </c>
      <c r="M98" s="30">
        <v>2</v>
      </c>
      <c r="N98" s="30">
        <v>60</v>
      </c>
      <c r="O98" s="30">
        <v>0</v>
      </c>
      <c r="P98" s="30">
        <v>120</v>
      </c>
      <c r="Q98" s="30">
        <v>2</v>
      </c>
      <c r="R98" s="30" t="s">
        <v>65</v>
      </c>
      <c r="S98" s="30" t="s">
        <v>42</v>
      </c>
      <c r="T98" s="30" t="s">
        <v>89</v>
      </c>
      <c r="U98" s="30">
        <v>9981333189</v>
      </c>
      <c r="V98" s="22" t="s">
        <v>34</v>
      </c>
    </row>
    <row r="99" spans="1:22" ht="15" thickBot="1" x14ac:dyDescent="0.4">
      <c r="A99" s="27" t="s">
        <v>203</v>
      </c>
      <c r="B99" s="27" t="s">
        <v>156</v>
      </c>
      <c r="C99" s="27" t="s">
        <v>138</v>
      </c>
      <c r="D99" s="28">
        <v>45658</v>
      </c>
      <c r="E99" s="28">
        <v>45664</v>
      </c>
      <c r="F99" s="27" t="s">
        <v>106</v>
      </c>
      <c r="G99" s="27" t="s">
        <v>58</v>
      </c>
      <c r="H99" s="28">
        <v>32573</v>
      </c>
      <c r="I99" s="27" t="s">
        <v>79</v>
      </c>
      <c r="J99" s="27" t="s">
        <v>75</v>
      </c>
      <c r="K99" s="27" t="s">
        <v>83</v>
      </c>
      <c r="L99" s="27" t="s">
        <v>139</v>
      </c>
      <c r="M99" s="27">
        <v>10</v>
      </c>
      <c r="N99" s="27">
        <v>45</v>
      </c>
      <c r="O99" s="27">
        <v>15</v>
      </c>
      <c r="P99" s="27">
        <v>382.5</v>
      </c>
      <c r="Q99" s="27">
        <v>3</v>
      </c>
      <c r="R99" s="27" t="s">
        <v>41</v>
      </c>
      <c r="S99" s="27" t="s">
        <v>32</v>
      </c>
      <c r="T99" s="27" t="s">
        <v>158</v>
      </c>
      <c r="U99" s="27">
        <v>9723450355</v>
      </c>
      <c r="V99" s="27" t="s">
        <v>53</v>
      </c>
    </row>
    <row r="100" spans="1:22" ht="15" thickBot="1" x14ac:dyDescent="0.4">
      <c r="A100" s="30" t="s">
        <v>204</v>
      </c>
      <c r="B100" s="30" t="s">
        <v>124</v>
      </c>
      <c r="C100" s="30" t="s">
        <v>68</v>
      </c>
      <c r="D100" s="31">
        <v>46137</v>
      </c>
      <c r="E100" s="31">
        <v>46145</v>
      </c>
      <c r="F100" s="30" t="s">
        <v>126</v>
      </c>
      <c r="G100" s="30" t="s">
        <v>58</v>
      </c>
      <c r="H100" s="31">
        <v>30122</v>
      </c>
      <c r="I100" s="30" t="s">
        <v>147</v>
      </c>
      <c r="J100" s="30" t="s">
        <v>148</v>
      </c>
      <c r="K100" s="30" t="s">
        <v>29</v>
      </c>
      <c r="L100" s="30" t="s">
        <v>70</v>
      </c>
      <c r="M100" s="30">
        <v>12</v>
      </c>
      <c r="N100" s="30">
        <v>3500</v>
      </c>
      <c r="O100" s="30">
        <v>5</v>
      </c>
      <c r="P100" s="30">
        <v>39900</v>
      </c>
      <c r="Q100" s="30">
        <v>3</v>
      </c>
      <c r="R100" s="30" t="s">
        <v>41</v>
      </c>
      <c r="S100" s="30" t="s">
        <v>50</v>
      </c>
      <c r="T100" s="30" t="s">
        <v>128</v>
      </c>
      <c r="U100" s="30">
        <v>9886243907</v>
      </c>
      <c r="V100" s="30" t="s">
        <v>52</v>
      </c>
    </row>
    <row r="101" spans="1:22" ht="15" thickBot="1" x14ac:dyDescent="0.4">
      <c r="A101" s="27" t="s">
        <v>205</v>
      </c>
      <c r="B101" s="27" t="s">
        <v>87</v>
      </c>
      <c r="C101" s="27" t="s">
        <v>82</v>
      </c>
      <c r="D101" s="28">
        <v>45919</v>
      </c>
      <c r="E101" s="28">
        <v>45927</v>
      </c>
      <c r="F101" s="27" t="s">
        <v>88</v>
      </c>
      <c r="G101" s="27" t="s">
        <v>58</v>
      </c>
      <c r="H101" s="28">
        <v>37065</v>
      </c>
      <c r="I101" s="27" t="s">
        <v>74</v>
      </c>
      <c r="J101" s="27" t="s">
        <v>75</v>
      </c>
      <c r="K101" s="27" t="s">
        <v>83</v>
      </c>
      <c r="L101" s="27" t="s">
        <v>84</v>
      </c>
      <c r="M101" s="27">
        <v>2</v>
      </c>
      <c r="N101" s="27">
        <v>60</v>
      </c>
      <c r="O101" s="27">
        <v>15</v>
      </c>
      <c r="P101" s="27">
        <v>102</v>
      </c>
      <c r="Q101" s="27">
        <v>1</v>
      </c>
      <c r="R101" s="27" t="s">
        <v>65</v>
      </c>
      <c r="S101" s="27" t="s">
        <v>80</v>
      </c>
      <c r="T101" s="27" t="s">
        <v>89</v>
      </c>
      <c r="U101" s="27">
        <v>9473931904</v>
      </c>
      <c r="V101" s="21" t="s">
        <v>34</v>
      </c>
    </row>
    <row r="102" spans="1:22" ht="15" thickBot="1" x14ac:dyDescent="0.4">
      <c r="A102" s="30" t="s">
        <v>206</v>
      </c>
      <c r="B102" s="30" t="s">
        <v>87</v>
      </c>
      <c r="C102" s="30" t="s">
        <v>56</v>
      </c>
      <c r="D102" s="31">
        <v>45734</v>
      </c>
      <c r="E102" s="31">
        <v>45737</v>
      </c>
      <c r="F102" s="30" t="s">
        <v>88</v>
      </c>
      <c r="G102" s="30" t="s">
        <v>58</v>
      </c>
      <c r="H102" s="31">
        <v>30516</v>
      </c>
      <c r="I102" s="30" t="s">
        <v>27</v>
      </c>
      <c r="J102" s="30" t="s">
        <v>28</v>
      </c>
      <c r="K102" s="30" t="s">
        <v>39</v>
      </c>
      <c r="L102" s="30" t="s">
        <v>59</v>
      </c>
      <c r="M102" s="30">
        <v>18</v>
      </c>
      <c r="N102" s="30">
        <v>1200</v>
      </c>
      <c r="O102" s="30">
        <v>15</v>
      </c>
      <c r="P102" s="30">
        <v>18360</v>
      </c>
      <c r="Q102" s="30">
        <v>3</v>
      </c>
      <c r="R102" s="30" t="s">
        <v>60</v>
      </c>
      <c r="S102" s="30" t="s">
        <v>80</v>
      </c>
      <c r="T102" s="30" t="s">
        <v>89</v>
      </c>
      <c r="U102" s="30">
        <v>9287159610</v>
      </c>
      <c r="V102" s="30" t="s">
        <v>52</v>
      </c>
    </row>
    <row r="103" spans="1:22" ht="15" thickBot="1" x14ac:dyDescent="0.4">
      <c r="A103" s="27" t="s">
        <v>207</v>
      </c>
      <c r="B103" s="27" t="s">
        <v>23</v>
      </c>
      <c r="C103" s="27" t="s">
        <v>36</v>
      </c>
      <c r="D103" s="28">
        <v>45960</v>
      </c>
      <c r="E103" s="28">
        <v>45961</v>
      </c>
      <c r="F103" s="27" t="s">
        <v>25</v>
      </c>
      <c r="G103" s="27" t="s">
        <v>26</v>
      </c>
      <c r="H103" s="28">
        <v>34052</v>
      </c>
      <c r="I103" s="27" t="s">
        <v>74</v>
      </c>
      <c r="J103" s="27" t="s">
        <v>75</v>
      </c>
      <c r="K103" s="27" t="s">
        <v>39</v>
      </c>
      <c r="L103" s="27" t="s">
        <v>40</v>
      </c>
      <c r="M103" s="27">
        <v>18</v>
      </c>
      <c r="N103" s="27">
        <v>12000</v>
      </c>
      <c r="O103" s="27">
        <v>15</v>
      </c>
      <c r="P103" s="27">
        <v>183600</v>
      </c>
      <c r="Q103" s="27">
        <v>2</v>
      </c>
      <c r="R103" s="27" t="s">
        <v>31</v>
      </c>
      <c r="S103" s="27" t="s">
        <v>42</v>
      </c>
      <c r="T103" s="27" t="s">
        <v>43</v>
      </c>
      <c r="U103" s="27">
        <v>9876513858</v>
      </c>
      <c r="V103" s="21" t="s">
        <v>34</v>
      </c>
    </row>
    <row r="104" spans="1:22" ht="15" thickBot="1" x14ac:dyDescent="0.4">
      <c r="A104" s="30" t="s">
        <v>208</v>
      </c>
      <c r="B104" s="30" t="s">
        <v>63</v>
      </c>
      <c r="C104" s="30" t="s">
        <v>125</v>
      </c>
      <c r="D104" s="31">
        <v>45961</v>
      </c>
      <c r="E104" s="31">
        <v>45972</v>
      </c>
      <c r="F104" s="30" t="s">
        <v>110</v>
      </c>
      <c r="G104" s="30" t="s">
        <v>58</v>
      </c>
      <c r="H104" s="31">
        <v>34829</v>
      </c>
      <c r="I104" s="30" t="s">
        <v>91</v>
      </c>
      <c r="J104" s="30" t="s">
        <v>75</v>
      </c>
      <c r="K104" s="30" t="s">
        <v>83</v>
      </c>
      <c r="L104" s="30" t="s">
        <v>127</v>
      </c>
      <c r="M104" s="30">
        <v>7</v>
      </c>
      <c r="N104" s="30">
        <v>20</v>
      </c>
      <c r="O104" s="30">
        <v>0</v>
      </c>
      <c r="P104" s="30">
        <v>140</v>
      </c>
      <c r="Q104" s="30">
        <v>2</v>
      </c>
      <c r="R104" s="30" t="s">
        <v>60</v>
      </c>
      <c r="S104" s="30" t="s">
        <v>32</v>
      </c>
      <c r="T104" s="30" t="s">
        <v>66</v>
      </c>
      <c r="U104" s="30">
        <v>9237400853</v>
      </c>
      <c r="V104" s="30" t="s">
        <v>53</v>
      </c>
    </row>
    <row r="105" spans="1:22" ht="15" thickBot="1" x14ac:dyDescent="0.4">
      <c r="A105" s="27" t="s">
        <v>209</v>
      </c>
      <c r="B105" s="27" t="s">
        <v>134</v>
      </c>
      <c r="C105" s="27" t="s">
        <v>68</v>
      </c>
      <c r="D105" s="28">
        <v>45757</v>
      </c>
      <c r="E105" s="28">
        <v>45765</v>
      </c>
      <c r="F105" s="27" t="s">
        <v>135</v>
      </c>
      <c r="G105" s="27" t="s">
        <v>26</v>
      </c>
      <c r="H105" s="28">
        <v>36937</v>
      </c>
      <c r="I105" s="27" t="s">
        <v>79</v>
      </c>
      <c r="J105" s="27" t="s">
        <v>75</v>
      </c>
      <c r="K105" s="27" t="s">
        <v>29</v>
      </c>
      <c r="L105" s="27" t="s">
        <v>70</v>
      </c>
      <c r="M105" s="27">
        <v>20</v>
      </c>
      <c r="N105" s="27">
        <v>3500</v>
      </c>
      <c r="O105" s="27">
        <v>20</v>
      </c>
      <c r="P105" s="27">
        <v>56000</v>
      </c>
      <c r="Q105" s="27">
        <v>4</v>
      </c>
      <c r="R105" s="27" t="s">
        <v>60</v>
      </c>
      <c r="S105" s="27" t="s">
        <v>80</v>
      </c>
      <c r="T105" s="27" t="s">
        <v>136</v>
      </c>
      <c r="U105" s="27">
        <v>9599597595</v>
      </c>
      <c r="V105" s="27" t="s">
        <v>52</v>
      </c>
    </row>
    <row r="106" spans="1:22" ht="15" thickBot="1" x14ac:dyDescent="0.4">
      <c r="A106" s="30" t="s">
        <v>210</v>
      </c>
      <c r="B106" s="30" t="s">
        <v>72</v>
      </c>
      <c r="C106" s="30" t="s">
        <v>105</v>
      </c>
      <c r="D106" s="31">
        <v>46097</v>
      </c>
      <c r="E106" s="31">
        <v>46107</v>
      </c>
      <c r="F106" s="30" t="s">
        <v>73</v>
      </c>
      <c r="G106" s="30" t="s">
        <v>26</v>
      </c>
      <c r="H106" s="31">
        <v>36386</v>
      </c>
      <c r="I106" s="30" t="s">
        <v>91</v>
      </c>
      <c r="J106" s="30" t="s">
        <v>75</v>
      </c>
      <c r="K106" s="30" t="s">
        <v>29</v>
      </c>
      <c r="L106" s="30" t="s">
        <v>107</v>
      </c>
      <c r="M106" s="30">
        <v>8</v>
      </c>
      <c r="N106" s="30">
        <v>8500</v>
      </c>
      <c r="O106" s="30">
        <v>20</v>
      </c>
      <c r="P106" s="30">
        <v>54400</v>
      </c>
      <c r="Q106" s="30">
        <v>3</v>
      </c>
      <c r="R106" s="30" t="s">
        <v>60</v>
      </c>
      <c r="S106" s="30" t="s">
        <v>80</v>
      </c>
      <c r="T106" s="30" t="s">
        <v>93</v>
      </c>
      <c r="U106" s="30">
        <v>9230007509</v>
      </c>
      <c r="V106" s="30" t="s">
        <v>52</v>
      </c>
    </row>
    <row r="107" spans="1:22" ht="15" thickBot="1" x14ac:dyDescent="0.4">
      <c r="A107" s="27" t="s">
        <v>211</v>
      </c>
      <c r="B107" s="27" t="s">
        <v>156</v>
      </c>
      <c r="C107" s="27" t="s">
        <v>36</v>
      </c>
      <c r="D107" s="28">
        <v>45915</v>
      </c>
      <c r="E107" s="28">
        <v>45924</v>
      </c>
      <c r="F107" s="27" t="s">
        <v>106</v>
      </c>
      <c r="G107" s="27" t="s">
        <v>58</v>
      </c>
      <c r="H107" s="28">
        <v>37335</v>
      </c>
      <c r="I107" s="27" t="s">
        <v>91</v>
      </c>
      <c r="J107" s="27" t="s">
        <v>212</v>
      </c>
      <c r="K107" s="27" t="s">
        <v>39</v>
      </c>
      <c r="L107" s="27" t="s">
        <v>40</v>
      </c>
      <c r="M107" s="27">
        <v>6</v>
      </c>
      <c r="N107" s="27">
        <v>12000</v>
      </c>
      <c r="O107" s="27">
        <v>5</v>
      </c>
      <c r="P107" s="27">
        <v>68400</v>
      </c>
      <c r="Q107" s="27">
        <v>4</v>
      </c>
      <c r="R107" s="27" t="s">
        <v>41</v>
      </c>
      <c r="S107" s="27" t="s">
        <v>32</v>
      </c>
      <c r="T107" s="27" t="s">
        <v>158</v>
      </c>
      <c r="U107" s="27">
        <v>9823428025</v>
      </c>
      <c r="V107" s="21" t="s">
        <v>34</v>
      </c>
    </row>
    <row r="108" spans="1:22" ht="15" thickBot="1" x14ac:dyDescent="0.4">
      <c r="A108" s="30" t="s">
        <v>213</v>
      </c>
      <c r="B108" s="30" t="s">
        <v>23</v>
      </c>
      <c r="C108" s="30" t="s">
        <v>105</v>
      </c>
      <c r="D108" s="31">
        <v>46092</v>
      </c>
      <c r="E108" s="31">
        <v>46100</v>
      </c>
      <c r="F108" s="30" t="s">
        <v>25</v>
      </c>
      <c r="G108" s="30" t="s">
        <v>26</v>
      </c>
      <c r="H108" s="31">
        <v>33768</v>
      </c>
      <c r="I108" s="30" t="s">
        <v>79</v>
      </c>
      <c r="J108" s="30" t="s">
        <v>75</v>
      </c>
      <c r="K108" s="30" t="s">
        <v>29</v>
      </c>
      <c r="L108" s="30" t="s">
        <v>107</v>
      </c>
      <c r="M108" s="30">
        <v>15</v>
      </c>
      <c r="N108" s="30">
        <v>8500</v>
      </c>
      <c r="O108" s="30">
        <v>0</v>
      </c>
      <c r="P108" s="30">
        <v>127500</v>
      </c>
      <c r="Q108" s="30">
        <v>4</v>
      </c>
      <c r="R108" s="30" t="s">
        <v>41</v>
      </c>
      <c r="S108" s="30" t="s">
        <v>32</v>
      </c>
      <c r="T108" s="30" t="s">
        <v>43</v>
      </c>
      <c r="U108" s="30">
        <v>9505048912</v>
      </c>
      <c r="V108" s="30" t="s">
        <v>53</v>
      </c>
    </row>
    <row r="109" spans="1:22" ht="15" thickBot="1" x14ac:dyDescent="0.4">
      <c r="A109" s="27" t="s">
        <v>214</v>
      </c>
      <c r="B109" s="27" t="s">
        <v>45</v>
      </c>
      <c r="C109" s="27" t="s">
        <v>56</v>
      </c>
      <c r="D109" s="28">
        <v>45889</v>
      </c>
      <c r="E109" s="28">
        <v>45892</v>
      </c>
      <c r="F109" s="27" t="s">
        <v>101</v>
      </c>
      <c r="G109" s="27" t="s">
        <v>26</v>
      </c>
      <c r="H109" s="28">
        <v>35234</v>
      </c>
      <c r="I109" s="27" t="s">
        <v>121</v>
      </c>
      <c r="J109" s="27" t="s">
        <v>38</v>
      </c>
      <c r="K109" s="27" t="s">
        <v>39</v>
      </c>
      <c r="L109" s="27" t="s">
        <v>59</v>
      </c>
      <c r="M109" s="27">
        <v>5</v>
      </c>
      <c r="N109" s="27">
        <v>1200</v>
      </c>
      <c r="O109" s="27">
        <v>15</v>
      </c>
      <c r="P109" s="27">
        <v>5100</v>
      </c>
      <c r="Q109" s="27">
        <v>1</v>
      </c>
      <c r="R109" s="27" t="s">
        <v>41</v>
      </c>
      <c r="S109" s="27" t="s">
        <v>32</v>
      </c>
      <c r="T109" s="27" t="s">
        <v>51</v>
      </c>
      <c r="U109" s="27">
        <v>9508068393</v>
      </c>
      <c r="V109" s="27" t="s">
        <v>53</v>
      </c>
    </row>
    <row r="110" spans="1:22" ht="15" thickBot="1" x14ac:dyDescent="0.4">
      <c r="A110" s="30" t="s">
        <v>215</v>
      </c>
      <c r="B110" s="30" t="s">
        <v>45</v>
      </c>
      <c r="C110" s="30" t="s">
        <v>125</v>
      </c>
      <c r="D110" s="31">
        <v>45882</v>
      </c>
      <c r="E110" s="31">
        <v>45883</v>
      </c>
      <c r="F110" s="30" t="s">
        <v>101</v>
      </c>
      <c r="G110" s="30" t="s">
        <v>26</v>
      </c>
      <c r="H110" s="31">
        <v>30263</v>
      </c>
      <c r="I110" s="30" t="s">
        <v>27</v>
      </c>
      <c r="J110" s="30" t="s">
        <v>28</v>
      </c>
      <c r="K110" s="30" t="s">
        <v>83</v>
      </c>
      <c r="L110" s="30" t="s">
        <v>127</v>
      </c>
      <c r="M110" s="30">
        <v>4</v>
      </c>
      <c r="N110" s="30">
        <v>20</v>
      </c>
      <c r="O110" s="30">
        <v>0</v>
      </c>
      <c r="P110" s="30">
        <v>80</v>
      </c>
      <c r="Q110" s="30">
        <v>4</v>
      </c>
      <c r="R110" s="30" t="s">
        <v>41</v>
      </c>
      <c r="S110" s="30" t="s">
        <v>42</v>
      </c>
      <c r="T110" s="30" t="s">
        <v>51</v>
      </c>
      <c r="U110" s="30">
        <v>9785807771</v>
      </c>
      <c r="V110" s="22" t="s">
        <v>34</v>
      </c>
    </row>
    <row r="111" spans="1:22" ht="15" thickBot="1" x14ac:dyDescent="0.4">
      <c r="A111" s="27" t="s">
        <v>216</v>
      </c>
      <c r="B111" s="27" t="s">
        <v>23</v>
      </c>
      <c r="C111" s="27" t="s">
        <v>125</v>
      </c>
      <c r="D111" s="28">
        <v>45732</v>
      </c>
      <c r="E111" s="28">
        <v>45736</v>
      </c>
      <c r="F111" s="27" t="s">
        <v>25</v>
      </c>
      <c r="G111" s="27" t="s">
        <v>26</v>
      </c>
      <c r="H111" s="28">
        <v>30858</v>
      </c>
      <c r="I111" s="27" t="s">
        <v>48</v>
      </c>
      <c r="J111" s="27" t="s">
        <v>28</v>
      </c>
      <c r="K111" s="27" t="s">
        <v>83</v>
      </c>
      <c r="L111" s="27" t="s">
        <v>127</v>
      </c>
      <c r="M111" s="27">
        <v>10</v>
      </c>
      <c r="N111" s="27">
        <v>20</v>
      </c>
      <c r="O111" s="27">
        <v>0</v>
      </c>
      <c r="P111" s="27">
        <v>200</v>
      </c>
      <c r="Q111" s="27">
        <v>3</v>
      </c>
      <c r="R111" s="27" t="s">
        <v>31</v>
      </c>
      <c r="S111" s="27" t="s">
        <v>96</v>
      </c>
      <c r="T111" s="27" t="s">
        <v>43</v>
      </c>
      <c r="U111" s="27">
        <v>9215250979</v>
      </c>
      <c r="V111" s="27" t="s">
        <v>52</v>
      </c>
    </row>
    <row r="112" spans="1:22" ht="15" thickBot="1" x14ac:dyDescent="0.4">
      <c r="A112" s="30" t="s">
        <v>217</v>
      </c>
      <c r="B112" s="30" t="s">
        <v>104</v>
      </c>
      <c r="C112" s="30" t="s">
        <v>24</v>
      </c>
      <c r="D112" s="31">
        <v>45904</v>
      </c>
      <c r="E112" s="31">
        <v>45910</v>
      </c>
      <c r="F112" s="30" t="s">
        <v>166</v>
      </c>
      <c r="G112" s="30" t="s">
        <v>26</v>
      </c>
      <c r="H112" s="31">
        <v>34506</v>
      </c>
      <c r="I112" s="30" t="s">
        <v>37</v>
      </c>
      <c r="J112" s="30" t="s">
        <v>38</v>
      </c>
      <c r="K112" s="30" t="s">
        <v>29</v>
      </c>
      <c r="L112" s="30" t="s">
        <v>30</v>
      </c>
      <c r="M112" s="30">
        <v>18</v>
      </c>
      <c r="N112" s="30">
        <v>2200</v>
      </c>
      <c r="O112" s="30">
        <v>10</v>
      </c>
      <c r="P112" s="30">
        <v>35640</v>
      </c>
      <c r="Q112" s="30">
        <v>3</v>
      </c>
      <c r="R112" s="30" t="s">
        <v>31</v>
      </c>
      <c r="S112" s="30" t="s">
        <v>32</v>
      </c>
      <c r="T112" s="30" t="s">
        <v>108</v>
      </c>
      <c r="U112" s="30">
        <v>9845884906</v>
      </c>
      <c r="V112" s="30" t="s">
        <v>53</v>
      </c>
    </row>
    <row r="113" spans="1:22" ht="15" thickBot="1" x14ac:dyDescent="0.4">
      <c r="A113" s="27" t="s">
        <v>218</v>
      </c>
      <c r="B113" s="27" t="s">
        <v>156</v>
      </c>
      <c r="C113" s="27" t="s">
        <v>68</v>
      </c>
      <c r="D113" s="28">
        <v>45759</v>
      </c>
      <c r="E113" s="28">
        <v>45762</v>
      </c>
      <c r="F113" s="27" t="s">
        <v>106</v>
      </c>
      <c r="G113" s="27" t="s">
        <v>58</v>
      </c>
      <c r="H113" s="28">
        <v>33163</v>
      </c>
      <c r="I113" s="27" t="s">
        <v>37</v>
      </c>
      <c r="J113" s="27" t="s">
        <v>38</v>
      </c>
      <c r="K113" s="27" t="s">
        <v>29</v>
      </c>
      <c r="L113" s="27" t="s">
        <v>70</v>
      </c>
      <c r="M113" s="27">
        <v>7</v>
      </c>
      <c r="N113" s="27">
        <v>3500</v>
      </c>
      <c r="O113" s="27">
        <v>15</v>
      </c>
      <c r="P113" s="27">
        <v>20825</v>
      </c>
      <c r="Q113" s="27">
        <v>3</v>
      </c>
      <c r="R113" s="27" t="s">
        <v>41</v>
      </c>
      <c r="S113" s="27" t="s">
        <v>42</v>
      </c>
      <c r="T113" s="27" t="s">
        <v>158</v>
      </c>
      <c r="U113" s="27">
        <v>9393097397</v>
      </c>
      <c r="V113" s="21" t="s">
        <v>34</v>
      </c>
    </row>
    <row r="114" spans="1:22" ht="15" thickBot="1" x14ac:dyDescent="0.4">
      <c r="A114" s="30" t="s">
        <v>219</v>
      </c>
      <c r="B114" s="30" t="s">
        <v>72</v>
      </c>
      <c r="C114" s="30" t="s">
        <v>105</v>
      </c>
      <c r="D114" s="31">
        <v>46146</v>
      </c>
      <c r="E114" s="31">
        <v>46149</v>
      </c>
      <c r="F114" s="30" t="s">
        <v>73</v>
      </c>
      <c r="G114" s="30" t="s">
        <v>26</v>
      </c>
      <c r="H114" s="31">
        <v>31805</v>
      </c>
      <c r="I114" s="30" t="s">
        <v>147</v>
      </c>
      <c r="J114" s="30" t="s">
        <v>148</v>
      </c>
      <c r="K114" s="30" t="s">
        <v>29</v>
      </c>
      <c r="L114" s="30" t="s">
        <v>107</v>
      </c>
      <c r="M114" s="30">
        <v>19</v>
      </c>
      <c r="N114" s="30">
        <v>8500</v>
      </c>
      <c r="O114" s="30">
        <v>15</v>
      </c>
      <c r="P114" s="30">
        <v>137275</v>
      </c>
      <c r="Q114" s="30">
        <v>4</v>
      </c>
      <c r="R114" s="30" t="s">
        <v>60</v>
      </c>
      <c r="S114" s="30" t="s">
        <v>96</v>
      </c>
      <c r="T114" s="30" t="s">
        <v>93</v>
      </c>
      <c r="U114" s="30">
        <v>9958032109</v>
      </c>
      <c r="V114" s="30" t="s">
        <v>52</v>
      </c>
    </row>
    <row r="115" spans="1:22" ht="15" thickBot="1" x14ac:dyDescent="0.4">
      <c r="A115" s="27" t="s">
        <v>220</v>
      </c>
      <c r="B115" s="27" t="s">
        <v>134</v>
      </c>
      <c r="C115" s="27" t="s">
        <v>36</v>
      </c>
      <c r="D115" s="28">
        <v>46040</v>
      </c>
      <c r="E115" s="28">
        <v>46049</v>
      </c>
      <c r="F115" s="27" t="s">
        <v>135</v>
      </c>
      <c r="G115" s="27" t="s">
        <v>26</v>
      </c>
      <c r="H115" s="28">
        <v>30580</v>
      </c>
      <c r="I115" s="27" t="s">
        <v>91</v>
      </c>
      <c r="J115" s="27" t="s">
        <v>75</v>
      </c>
      <c r="K115" s="27" t="s">
        <v>39</v>
      </c>
      <c r="L115" s="27" t="s">
        <v>40</v>
      </c>
      <c r="M115" s="27">
        <v>13</v>
      </c>
      <c r="N115" s="27">
        <v>12000</v>
      </c>
      <c r="O115" s="27">
        <v>15</v>
      </c>
      <c r="P115" s="27">
        <v>132600</v>
      </c>
      <c r="Q115" s="27">
        <v>4</v>
      </c>
      <c r="R115" s="27" t="s">
        <v>31</v>
      </c>
      <c r="S115" s="27" t="s">
        <v>42</v>
      </c>
      <c r="T115" s="27" t="s">
        <v>136</v>
      </c>
      <c r="U115" s="27">
        <v>9755082957</v>
      </c>
      <c r="V115" s="21" t="s">
        <v>34</v>
      </c>
    </row>
    <row r="116" spans="1:22" ht="15" thickBot="1" x14ac:dyDescent="0.4">
      <c r="A116" s="30" t="s">
        <v>221</v>
      </c>
      <c r="B116" s="30" t="s">
        <v>156</v>
      </c>
      <c r="C116" s="30" t="s">
        <v>125</v>
      </c>
      <c r="D116" s="31">
        <v>46095</v>
      </c>
      <c r="E116" s="31">
        <v>46105</v>
      </c>
      <c r="F116" s="30" t="s">
        <v>106</v>
      </c>
      <c r="G116" s="30" t="s">
        <v>58</v>
      </c>
      <c r="H116" s="31">
        <v>32602</v>
      </c>
      <c r="I116" s="30" t="s">
        <v>79</v>
      </c>
      <c r="J116" s="30" t="s">
        <v>75</v>
      </c>
      <c r="K116" s="30" t="s">
        <v>83</v>
      </c>
      <c r="L116" s="30" t="s">
        <v>127</v>
      </c>
      <c r="M116" s="30">
        <v>7</v>
      </c>
      <c r="N116" s="30">
        <v>20</v>
      </c>
      <c r="O116" s="30">
        <v>0</v>
      </c>
      <c r="P116" s="30">
        <v>140</v>
      </c>
      <c r="Q116" s="30">
        <v>1</v>
      </c>
      <c r="R116" s="30" t="s">
        <v>60</v>
      </c>
      <c r="S116" s="30" t="s">
        <v>96</v>
      </c>
      <c r="T116" s="30" t="s">
        <v>158</v>
      </c>
      <c r="U116" s="30">
        <v>9872235856</v>
      </c>
      <c r="V116" s="30" t="s">
        <v>53</v>
      </c>
    </row>
    <row r="117" spans="1:22" ht="15" thickBot="1" x14ac:dyDescent="0.4">
      <c r="A117" s="27" t="s">
        <v>222</v>
      </c>
      <c r="B117" s="27" t="s">
        <v>104</v>
      </c>
      <c r="C117" s="27" t="s">
        <v>112</v>
      </c>
      <c r="D117" s="28">
        <v>45786</v>
      </c>
      <c r="E117" s="28">
        <v>45788</v>
      </c>
      <c r="F117" s="27" t="s">
        <v>166</v>
      </c>
      <c r="G117" s="27" t="s">
        <v>26</v>
      </c>
      <c r="H117" s="28">
        <v>32045</v>
      </c>
      <c r="I117" s="27" t="s">
        <v>37</v>
      </c>
      <c r="J117" s="27" t="s">
        <v>38</v>
      </c>
      <c r="K117" s="27" t="s">
        <v>39</v>
      </c>
      <c r="L117" s="27" t="s">
        <v>114</v>
      </c>
      <c r="M117" s="27">
        <v>5</v>
      </c>
      <c r="N117" s="27">
        <v>700</v>
      </c>
      <c r="O117" s="27">
        <v>15</v>
      </c>
      <c r="P117" s="27">
        <v>999999</v>
      </c>
      <c r="Q117" s="27">
        <v>4</v>
      </c>
      <c r="R117" s="27" t="s">
        <v>60</v>
      </c>
      <c r="S117" s="27" t="s">
        <v>32</v>
      </c>
      <c r="T117" s="27" t="s">
        <v>108</v>
      </c>
      <c r="U117" s="27">
        <v>9335138816</v>
      </c>
      <c r="V117" s="27" t="s">
        <v>52</v>
      </c>
    </row>
    <row r="118" spans="1:22" ht="15" thickBot="1" x14ac:dyDescent="0.4">
      <c r="A118" s="30" t="s">
        <v>223</v>
      </c>
      <c r="B118" s="30" t="s">
        <v>63</v>
      </c>
      <c r="C118" s="30" t="s">
        <v>138</v>
      </c>
      <c r="D118" s="31">
        <v>46149</v>
      </c>
      <c r="E118" s="31">
        <v>46152</v>
      </c>
      <c r="F118" s="30" t="s">
        <v>110</v>
      </c>
      <c r="G118" s="30" t="s">
        <v>58</v>
      </c>
      <c r="H118" s="31">
        <v>30170</v>
      </c>
      <c r="I118" s="30" t="s">
        <v>48</v>
      </c>
      <c r="J118" s="30" t="s">
        <v>28</v>
      </c>
      <c r="K118" s="30" t="s">
        <v>83</v>
      </c>
      <c r="L118" s="30" t="s">
        <v>139</v>
      </c>
      <c r="M118" s="30">
        <v>9</v>
      </c>
      <c r="N118" s="30">
        <v>45</v>
      </c>
      <c r="O118" s="30">
        <v>5</v>
      </c>
      <c r="P118" s="30">
        <v>384.75</v>
      </c>
      <c r="Q118" s="30">
        <v>3</v>
      </c>
      <c r="R118" s="30" t="s">
        <v>31</v>
      </c>
      <c r="S118" s="30" t="s">
        <v>32</v>
      </c>
      <c r="T118" s="30" t="s">
        <v>66</v>
      </c>
      <c r="U118" s="30">
        <v>9750365609</v>
      </c>
      <c r="V118" s="22" t="s">
        <v>34</v>
      </c>
    </row>
    <row r="119" spans="1:22" ht="15" thickBot="1" x14ac:dyDescent="0.4">
      <c r="A119" s="27" t="s">
        <v>224</v>
      </c>
      <c r="B119" s="27" t="s">
        <v>87</v>
      </c>
      <c r="C119" s="27" t="s">
        <v>82</v>
      </c>
      <c r="D119" s="28">
        <v>45768</v>
      </c>
      <c r="E119" s="28">
        <v>45776</v>
      </c>
      <c r="F119" s="27" t="s">
        <v>88</v>
      </c>
      <c r="G119" s="27" t="s">
        <v>58</v>
      </c>
      <c r="H119" s="28">
        <v>31610</v>
      </c>
      <c r="I119" s="27" t="s">
        <v>147</v>
      </c>
      <c r="J119" s="27" t="s">
        <v>148</v>
      </c>
      <c r="K119" s="27" t="s">
        <v>83</v>
      </c>
      <c r="L119" s="27" t="s">
        <v>84</v>
      </c>
      <c r="M119" s="27">
        <v>19</v>
      </c>
      <c r="N119" s="27">
        <v>60</v>
      </c>
      <c r="O119" s="27">
        <v>10</v>
      </c>
      <c r="P119" s="27">
        <v>1026</v>
      </c>
      <c r="Q119" s="27">
        <v>5</v>
      </c>
      <c r="R119" s="27" t="s">
        <v>41</v>
      </c>
      <c r="S119" s="27" t="s">
        <v>80</v>
      </c>
      <c r="T119" s="27" t="s">
        <v>89</v>
      </c>
      <c r="U119" s="27">
        <v>9736812737</v>
      </c>
      <c r="V119" s="21" t="s">
        <v>34</v>
      </c>
    </row>
    <row r="120" spans="1:22" ht="15" thickBot="1" x14ac:dyDescent="0.4">
      <c r="A120" s="30" t="s">
        <v>225</v>
      </c>
      <c r="B120" s="30" t="s">
        <v>156</v>
      </c>
      <c r="C120" s="30" t="s">
        <v>112</v>
      </c>
      <c r="D120" s="31">
        <v>46002</v>
      </c>
      <c r="E120" s="31">
        <v>46011</v>
      </c>
      <c r="F120" s="30" t="s">
        <v>106</v>
      </c>
      <c r="G120" s="30" t="s">
        <v>58</v>
      </c>
      <c r="H120" s="31">
        <v>31873</v>
      </c>
      <c r="I120" s="30" t="s">
        <v>91</v>
      </c>
      <c r="J120" s="30" t="s">
        <v>75</v>
      </c>
      <c r="K120" s="30" t="s">
        <v>39</v>
      </c>
      <c r="L120" s="30" t="s">
        <v>114</v>
      </c>
      <c r="M120" s="30">
        <v>4</v>
      </c>
      <c r="N120" s="30">
        <v>700</v>
      </c>
      <c r="O120" s="30">
        <v>5</v>
      </c>
      <c r="P120" s="30">
        <v>2660</v>
      </c>
      <c r="Q120" s="30">
        <v>3</v>
      </c>
      <c r="R120" s="30" t="s">
        <v>41</v>
      </c>
      <c r="S120" s="30" t="s">
        <v>50</v>
      </c>
      <c r="T120" s="30" t="s">
        <v>158</v>
      </c>
      <c r="U120" s="30">
        <v>9271420931</v>
      </c>
      <c r="V120" s="22" t="s">
        <v>34</v>
      </c>
    </row>
    <row r="121" spans="1:22" ht="15" thickBot="1" x14ac:dyDescent="0.4">
      <c r="A121" s="27" t="s">
        <v>226</v>
      </c>
      <c r="B121" s="27" t="s">
        <v>156</v>
      </c>
      <c r="C121" s="27" t="s">
        <v>68</v>
      </c>
      <c r="D121" s="28">
        <v>46149</v>
      </c>
      <c r="E121" s="28">
        <v>46157</v>
      </c>
      <c r="F121" s="27" t="s">
        <v>106</v>
      </c>
      <c r="G121" s="27" t="s">
        <v>58</v>
      </c>
      <c r="H121" s="28">
        <v>38042</v>
      </c>
      <c r="I121" s="27" t="s">
        <v>79</v>
      </c>
      <c r="J121" s="27" t="s">
        <v>75</v>
      </c>
      <c r="K121" s="27" t="s">
        <v>29</v>
      </c>
      <c r="L121" s="27" t="s">
        <v>70</v>
      </c>
      <c r="M121" s="27">
        <v>16</v>
      </c>
      <c r="N121" s="27">
        <v>3500</v>
      </c>
      <c r="O121" s="27">
        <v>0</v>
      </c>
      <c r="P121" s="27">
        <v>56000</v>
      </c>
      <c r="Q121" s="27">
        <v>2</v>
      </c>
      <c r="R121" s="27" t="s">
        <v>60</v>
      </c>
      <c r="S121" s="27" t="s">
        <v>42</v>
      </c>
      <c r="T121" s="27" t="s">
        <v>158</v>
      </c>
      <c r="U121" s="27">
        <v>9781411370</v>
      </c>
      <c r="V121" s="21" t="s">
        <v>34</v>
      </c>
    </row>
    <row r="122" spans="1:22" ht="15" thickBot="1" x14ac:dyDescent="0.4">
      <c r="A122" s="30" t="s">
        <v>227</v>
      </c>
      <c r="B122" s="30" t="s">
        <v>134</v>
      </c>
      <c r="C122" s="30" t="s">
        <v>138</v>
      </c>
      <c r="D122" s="31">
        <v>45670</v>
      </c>
      <c r="E122" s="31">
        <v>45677</v>
      </c>
      <c r="F122" s="30" t="s">
        <v>135</v>
      </c>
      <c r="G122" s="30" t="s">
        <v>26</v>
      </c>
      <c r="H122" s="31">
        <v>37005</v>
      </c>
      <c r="I122" s="30" t="s">
        <v>48</v>
      </c>
      <c r="J122" s="30" t="s">
        <v>28</v>
      </c>
      <c r="K122" s="30" t="s">
        <v>83</v>
      </c>
      <c r="L122" s="30" t="s">
        <v>139</v>
      </c>
      <c r="M122" s="30">
        <v>5</v>
      </c>
      <c r="N122" s="30">
        <v>45</v>
      </c>
      <c r="O122" s="30">
        <v>20</v>
      </c>
      <c r="P122" s="30">
        <v>180</v>
      </c>
      <c r="Q122" s="30">
        <v>3</v>
      </c>
      <c r="R122" s="30" t="s">
        <v>60</v>
      </c>
      <c r="S122" s="30" t="s">
        <v>32</v>
      </c>
      <c r="T122" s="30" t="s">
        <v>136</v>
      </c>
      <c r="U122" s="30">
        <v>9584152818</v>
      </c>
      <c r="V122" s="22" t="s">
        <v>34</v>
      </c>
    </row>
    <row r="123" spans="1:22" ht="15" thickBot="1" x14ac:dyDescent="0.4">
      <c r="A123" s="27" t="s">
        <v>228</v>
      </c>
      <c r="B123" s="27" t="s">
        <v>63</v>
      </c>
      <c r="C123" s="27" t="s">
        <v>125</v>
      </c>
      <c r="D123" s="28">
        <v>45733</v>
      </c>
      <c r="E123" s="28">
        <v>45734</v>
      </c>
      <c r="F123" s="27" t="s">
        <v>110</v>
      </c>
      <c r="G123" s="27" t="s">
        <v>58</v>
      </c>
      <c r="H123" s="28">
        <v>35247</v>
      </c>
      <c r="I123" s="27" t="s">
        <v>74</v>
      </c>
      <c r="J123" s="27" t="s">
        <v>75</v>
      </c>
      <c r="K123" s="27" t="s">
        <v>83</v>
      </c>
      <c r="L123" s="27" t="s">
        <v>127</v>
      </c>
      <c r="M123" s="27">
        <v>9</v>
      </c>
      <c r="N123" s="27">
        <v>20</v>
      </c>
      <c r="O123" s="27">
        <v>10</v>
      </c>
      <c r="P123" s="27">
        <v>162</v>
      </c>
      <c r="Q123" s="27">
        <v>4</v>
      </c>
      <c r="R123" s="27" t="s">
        <v>60</v>
      </c>
      <c r="S123" s="27" t="s">
        <v>32</v>
      </c>
      <c r="T123" s="27" t="s">
        <v>66</v>
      </c>
      <c r="U123" s="27">
        <v>9507986836</v>
      </c>
      <c r="V123" s="27" t="s">
        <v>52</v>
      </c>
    </row>
    <row r="124" spans="1:22" ht="15" thickBot="1" x14ac:dyDescent="0.4">
      <c r="A124" s="30" t="s">
        <v>229</v>
      </c>
      <c r="B124" s="30" t="s">
        <v>45</v>
      </c>
      <c r="C124" s="30" t="s">
        <v>56</v>
      </c>
      <c r="D124" s="31">
        <v>45713</v>
      </c>
      <c r="E124" s="31">
        <v>45717</v>
      </c>
      <c r="F124" s="30" t="s">
        <v>101</v>
      </c>
      <c r="G124" s="30" t="s">
        <v>26</v>
      </c>
      <c r="H124" s="31">
        <v>28892</v>
      </c>
      <c r="I124" s="30" t="s">
        <v>37</v>
      </c>
      <c r="J124" s="30" t="s">
        <v>38</v>
      </c>
      <c r="K124" s="30" t="s">
        <v>39</v>
      </c>
      <c r="L124" s="30" t="s">
        <v>59</v>
      </c>
      <c r="M124" s="30">
        <v>9</v>
      </c>
      <c r="N124" s="30">
        <v>1200</v>
      </c>
      <c r="O124" s="30">
        <v>5</v>
      </c>
      <c r="P124" s="30">
        <v>10260</v>
      </c>
      <c r="Q124" s="30">
        <v>3</v>
      </c>
      <c r="R124" s="30" t="s">
        <v>65</v>
      </c>
      <c r="S124" s="30" t="s">
        <v>32</v>
      </c>
      <c r="T124" s="30" t="s">
        <v>51</v>
      </c>
      <c r="U124" s="30">
        <v>9518249687</v>
      </c>
      <c r="V124" s="30" t="s">
        <v>52</v>
      </c>
    </row>
    <row r="125" spans="1:22" ht="15" thickBot="1" x14ac:dyDescent="0.4">
      <c r="A125" s="27" t="s">
        <v>230</v>
      </c>
      <c r="B125" s="27" t="s">
        <v>72</v>
      </c>
      <c r="C125" s="27" t="s">
        <v>68</v>
      </c>
      <c r="D125" s="28">
        <v>45714</v>
      </c>
      <c r="E125" s="28">
        <v>45715</v>
      </c>
      <c r="F125" s="27" t="s">
        <v>73</v>
      </c>
      <c r="G125" s="27" t="s">
        <v>26</v>
      </c>
      <c r="H125" s="28">
        <v>31393</v>
      </c>
      <c r="I125" s="27" t="s">
        <v>37</v>
      </c>
      <c r="J125" s="27" t="s">
        <v>38</v>
      </c>
      <c r="K125" s="27" t="s">
        <v>29</v>
      </c>
      <c r="L125" s="27" t="s">
        <v>70</v>
      </c>
      <c r="M125" s="27">
        <v>3</v>
      </c>
      <c r="N125" s="27">
        <v>3500</v>
      </c>
      <c r="O125" s="27">
        <v>10</v>
      </c>
      <c r="P125" s="27">
        <v>9450</v>
      </c>
      <c r="Q125" s="27">
        <v>2</v>
      </c>
      <c r="R125" s="27" t="s">
        <v>60</v>
      </c>
      <c r="S125" s="27" t="s">
        <v>96</v>
      </c>
      <c r="T125" s="27" t="s">
        <v>93</v>
      </c>
      <c r="U125" s="27">
        <v>9179328207</v>
      </c>
      <c r="V125" s="27" t="s">
        <v>53</v>
      </c>
    </row>
    <row r="126" spans="1:22" ht="15" thickBot="1" x14ac:dyDescent="0.4">
      <c r="A126" s="30" t="s">
        <v>231</v>
      </c>
      <c r="B126" s="30" t="s">
        <v>124</v>
      </c>
      <c r="C126" s="30" t="s">
        <v>56</v>
      </c>
      <c r="D126" s="31">
        <v>46094</v>
      </c>
      <c r="E126" s="31">
        <v>46099</v>
      </c>
      <c r="F126" s="30" t="s">
        <v>126</v>
      </c>
      <c r="G126" s="30" t="s">
        <v>58</v>
      </c>
      <c r="H126" s="31">
        <v>33631</v>
      </c>
      <c r="I126" s="30" t="s">
        <v>74</v>
      </c>
      <c r="J126" s="30" t="s">
        <v>75</v>
      </c>
      <c r="K126" s="30" t="s">
        <v>39</v>
      </c>
      <c r="L126" s="30" t="s">
        <v>59</v>
      </c>
      <c r="M126" s="30">
        <v>6</v>
      </c>
      <c r="N126" s="30">
        <v>1200</v>
      </c>
      <c r="O126" s="30">
        <v>15</v>
      </c>
      <c r="P126" s="30">
        <v>6120</v>
      </c>
      <c r="Q126" s="30">
        <v>4</v>
      </c>
      <c r="R126" s="30" t="s">
        <v>65</v>
      </c>
      <c r="S126" s="30" t="s">
        <v>32</v>
      </c>
      <c r="T126" s="30" t="s">
        <v>128</v>
      </c>
      <c r="U126" s="30">
        <v>9778490728</v>
      </c>
      <c r="V126" s="30" t="s">
        <v>53</v>
      </c>
    </row>
    <row r="127" spans="1:22" ht="15" thickBot="1" x14ac:dyDescent="0.4">
      <c r="A127" s="27" t="s">
        <v>232</v>
      </c>
      <c r="B127" s="27" t="s">
        <v>63</v>
      </c>
      <c r="C127" s="27" t="s">
        <v>56</v>
      </c>
      <c r="D127" s="28">
        <v>45848</v>
      </c>
      <c r="E127" s="28">
        <v>45850</v>
      </c>
      <c r="F127" s="27" t="s">
        <v>110</v>
      </c>
      <c r="G127" s="27" t="s">
        <v>58</v>
      </c>
      <c r="H127" s="28">
        <v>34155</v>
      </c>
      <c r="I127" s="27" t="s">
        <v>121</v>
      </c>
      <c r="J127" s="27" t="s">
        <v>38</v>
      </c>
      <c r="K127" s="27" t="s">
        <v>39</v>
      </c>
      <c r="L127" s="27" t="s">
        <v>59</v>
      </c>
      <c r="M127" s="27">
        <v>17</v>
      </c>
      <c r="N127" s="27">
        <v>1200</v>
      </c>
      <c r="O127" s="27">
        <v>15</v>
      </c>
      <c r="P127" s="27">
        <v>17340</v>
      </c>
      <c r="Q127" s="27">
        <v>1</v>
      </c>
      <c r="R127" s="27" t="s">
        <v>31</v>
      </c>
      <c r="S127" s="27" t="s">
        <v>50</v>
      </c>
      <c r="T127" s="27" t="s">
        <v>66</v>
      </c>
      <c r="U127" s="27">
        <v>9223058722</v>
      </c>
      <c r="V127" s="21" t="s">
        <v>34</v>
      </c>
    </row>
    <row r="128" spans="1:22" ht="15" thickBot="1" x14ac:dyDescent="0.4">
      <c r="A128" s="30" t="s">
        <v>233</v>
      </c>
      <c r="B128" s="30" t="s">
        <v>124</v>
      </c>
      <c r="C128" s="30" t="s">
        <v>105</v>
      </c>
      <c r="D128" s="31">
        <v>45979</v>
      </c>
      <c r="E128" s="31">
        <v>45987</v>
      </c>
      <c r="F128" s="30" t="s">
        <v>126</v>
      </c>
      <c r="G128" s="30" t="s">
        <v>58</v>
      </c>
      <c r="H128" s="31">
        <v>28381</v>
      </c>
      <c r="I128" s="30" t="s">
        <v>48</v>
      </c>
      <c r="J128" s="30" t="s">
        <v>28</v>
      </c>
      <c r="K128" s="30" t="s">
        <v>29</v>
      </c>
      <c r="L128" s="30" t="s">
        <v>107</v>
      </c>
      <c r="M128" s="30">
        <v>15</v>
      </c>
      <c r="N128" s="30">
        <v>8500</v>
      </c>
      <c r="O128" s="30">
        <v>0</v>
      </c>
      <c r="P128" s="30">
        <v>127500</v>
      </c>
      <c r="Q128" s="30">
        <v>3</v>
      </c>
      <c r="R128" s="30" t="s">
        <v>31</v>
      </c>
      <c r="S128" s="30" t="s">
        <v>80</v>
      </c>
      <c r="T128" s="30" t="s">
        <v>128</v>
      </c>
      <c r="U128" s="30">
        <v>9999889465</v>
      </c>
      <c r="V128" s="30" t="s">
        <v>52</v>
      </c>
    </row>
    <row r="129" spans="1:22" ht="15" thickBot="1" x14ac:dyDescent="0.4">
      <c r="A129" s="27" t="s">
        <v>234</v>
      </c>
      <c r="B129" s="27" t="s">
        <v>87</v>
      </c>
      <c r="C129" s="27" t="s">
        <v>56</v>
      </c>
      <c r="D129" s="28">
        <v>45760</v>
      </c>
      <c r="E129" s="28">
        <v>45766</v>
      </c>
      <c r="F129" s="27" t="s">
        <v>88</v>
      </c>
      <c r="G129" s="27" t="s">
        <v>58</v>
      </c>
      <c r="H129" s="28">
        <v>31331</v>
      </c>
      <c r="I129" s="27" t="s">
        <v>27</v>
      </c>
      <c r="J129" s="27" t="s">
        <v>28</v>
      </c>
      <c r="K129" s="27" t="s">
        <v>39</v>
      </c>
      <c r="L129" s="27" t="s">
        <v>59</v>
      </c>
      <c r="M129" s="27">
        <v>1</v>
      </c>
      <c r="N129" s="27">
        <v>1200</v>
      </c>
      <c r="O129" s="27">
        <v>20</v>
      </c>
      <c r="P129" s="27">
        <v>960</v>
      </c>
      <c r="Q129" s="27">
        <v>1</v>
      </c>
      <c r="R129" s="27" t="s">
        <v>65</v>
      </c>
      <c r="S129" s="27" t="s">
        <v>80</v>
      </c>
      <c r="T129" s="27" t="s">
        <v>89</v>
      </c>
      <c r="U129" s="27">
        <v>9489687402</v>
      </c>
      <c r="V129" s="27" t="s">
        <v>52</v>
      </c>
    </row>
    <row r="130" spans="1:22" ht="15" thickBot="1" x14ac:dyDescent="0.4">
      <c r="A130" s="30" t="s">
        <v>235</v>
      </c>
      <c r="B130" s="30" t="s">
        <v>87</v>
      </c>
      <c r="C130" s="30" t="s">
        <v>105</v>
      </c>
      <c r="D130" s="31">
        <v>45756</v>
      </c>
      <c r="E130" s="31">
        <v>45765</v>
      </c>
      <c r="F130" s="30" t="s">
        <v>88</v>
      </c>
      <c r="G130" s="30" t="s">
        <v>58</v>
      </c>
      <c r="H130" s="31">
        <v>37166</v>
      </c>
      <c r="I130" s="30" t="s">
        <v>147</v>
      </c>
      <c r="J130" s="30" t="s">
        <v>148</v>
      </c>
      <c r="K130" s="30" t="s">
        <v>29</v>
      </c>
      <c r="L130" s="30" t="s">
        <v>107</v>
      </c>
      <c r="M130" s="30">
        <v>5</v>
      </c>
      <c r="N130" s="30">
        <v>8500</v>
      </c>
      <c r="O130" s="30">
        <v>10</v>
      </c>
      <c r="P130" s="30">
        <v>38250</v>
      </c>
      <c r="Q130" s="30">
        <v>1</v>
      </c>
      <c r="R130" s="30" t="s">
        <v>60</v>
      </c>
      <c r="S130" s="30" t="s">
        <v>50</v>
      </c>
      <c r="T130" s="30" t="s">
        <v>89</v>
      </c>
      <c r="U130" s="30">
        <v>9236963301</v>
      </c>
      <c r="V130" s="22" t="s">
        <v>34</v>
      </c>
    </row>
    <row r="131" spans="1:22" ht="15" thickBot="1" x14ac:dyDescent="0.4">
      <c r="A131" s="27" t="s">
        <v>236</v>
      </c>
      <c r="B131" s="27" t="s">
        <v>45</v>
      </c>
      <c r="C131" s="27" t="s">
        <v>138</v>
      </c>
      <c r="D131" s="28">
        <v>46115</v>
      </c>
      <c r="E131" s="28">
        <v>46122</v>
      </c>
      <c r="F131" s="27" t="s">
        <v>101</v>
      </c>
      <c r="G131" s="27" t="s">
        <v>26</v>
      </c>
      <c r="H131" s="28">
        <v>31510</v>
      </c>
      <c r="I131" s="27" t="s">
        <v>27</v>
      </c>
      <c r="J131" s="27" t="s">
        <v>28</v>
      </c>
      <c r="K131" s="27" t="s">
        <v>83</v>
      </c>
      <c r="L131" s="27" t="s">
        <v>139</v>
      </c>
      <c r="M131" s="27">
        <v>12</v>
      </c>
      <c r="N131" s="27">
        <v>45</v>
      </c>
      <c r="O131" s="27">
        <v>5</v>
      </c>
      <c r="P131" s="27">
        <v>513</v>
      </c>
      <c r="Q131" s="27">
        <v>2</v>
      </c>
      <c r="R131" s="27" t="s">
        <v>41</v>
      </c>
      <c r="S131" s="27" t="s">
        <v>32</v>
      </c>
      <c r="T131" s="27" t="s">
        <v>51</v>
      </c>
      <c r="U131" s="27">
        <v>9653594592</v>
      </c>
      <c r="V131" s="27" t="s">
        <v>53</v>
      </c>
    </row>
    <row r="132" spans="1:22" ht="15" thickBot="1" x14ac:dyDescent="0.4">
      <c r="A132" s="30" t="s">
        <v>237</v>
      </c>
      <c r="B132" s="30" t="s">
        <v>124</v>
      </c>
      <c r="C132" s="30" t="s">
        <v>82</v>
      </c>
      <c r="D132" s="31">
        <v>45953</v>
      </c>
      <c r="E132" s="31">
        <v>45958</v>
      </c>
      <c r="F132" s="30" t="s">
        <v>126</v>
      </c>
      <c r="G132" s="30" t="s">
        <v>58</v>
      </c>
      <c r="H132" s="31">
        <v>33075</v>
      </c>
      <c r="I132" s="30" t="s">
        <v>79</v>
      </c>
      <c r="J132" s="30" t="s">
        <v>75</v>
      </c>
      <c r="K132" s="30" t="s">
        <v>83</v>
      </c>
      <c r="L132" s="30" t="s">
        <v>84</v>
      </c>
      <c r="M132" s="30">
        <v>5</v>
      </c>
      <c r="N132" s="30">
        <v>60</v>
      </c>
      <c r="O132" s="30">
        <v>5</v>
      </c>
      <c r="P132" s="30">
        <v>285</v>
      </c>
      <c r="Q132" s="30">
        <v>2</v>
      </c>
      <c r="R132" s="30" t="s">
        <v>31</v>
      </c>
      <c r="S132" s="30" t="s">
        <v>50</v>
      </c>
      <c r="T132" s="30" t="s">
        <v>128</v>
      </c>
      <c r="U132" s="30">
        <v>9781970426</v>
      </c>
      <c r="V132" s="22" t="s">
        <v>34</v>
      </c>
    </row>
    <row r="133" spans="1:22" ht="15" thickBot="1" x14ac:dyDescent="0.4">
      <c r="A133" s="27" t="s">
        <v>238</v>
      </c>
      <c r="B133" s="27" t="s">
        <v>45</v>
      </c>
      <c r="C133" s="27" t="s">
        <v>112</v>
      </c>
      <c r="D133" s="28">
        <v>45750</v>
      </c>
      <c r="E133" s="28">
        <v>45761</v>
      </c>
      <c r="F133" s="27" t="s">
        <v>101</v>
      </c>
      <c r="G133" s="27" t="s">
        <v>26</v>
      </c>
      <c r="H133" s="28">
        <v>34435</v>
      </c>
      <c r="I133" s="27" t="s">
        <v>147</v>
      </c>
      <c r="J133" s="27" t="s">
        <v>148</v>
      </c>
      <c r="K133" s="27" t="s">
        <v>39</v>
      </c>
      <c r="L133" s="27" t="s">
        <v>114</v>
      </c>
      <c r="M133" s="27">
        <v>3</v>
      </c>
      <c r="N133" s="27">
        <v>700</v>
      </c>
      <c r="O133" s="27">
        <v>0</v>
      </c>
      <c r="P133" s="27">
        <v>2100</v>
      </c>
      <c r="Q133" s="27">
        <v>4</v>
      </c>
      <c r="R133" s="27" t="s">
        <v>60</v>
      </c>
      <c r="S133" s="27" t="s">
        <v>50</v>
      </c>
      <c r="T133" s="27" t="s">
        <v>51</v>
      </c>
      <c r="U133" s="27">
        <v>9862165194</v>
      </c>
      <c r="V133" s="21" t="s">
        <v>34</v>
      </c>
    </row>
    <row r="134" spans="1:22" ht="15" thickBot="1" x14ac:dyDescent="0.4">
      <c r="A134" s="30" t="s">
        <v>239</v>
      </c>
      <c r="B134" s="30" t="s">
        <v>104</v>
      </c>
      <c r="C134" s="30" t="s">
        <v>125</v>
      </c>
      <c r="D134" s="31">
        <v>45772</v>
      </c>
      <c r="E134" s="31">
        <v>45776</v>
      </c>
      <c r="F134" s="30" t="s">
        <v>166</v>
      </c>
      <c r="G134" s="30" t="s">
        <v>26</v>
      </c>
      <c r="H134" s="31">
        <v>33728</v>
      </c>
      <c r="I134" s="30" t="s">
        <v>37</v>
      </c>
      <c r="J134" s="30" t="s">
        <v>38</v>
      </c>
      <c r="K134" s="30" t="s">
        <v>83</v>
      </c>
      <c r="L134" s="30" t="s">
        <v>127</v>
      </c>
      <c r="M134" s="30">
        <v>6</v>
      </c>
      <c r="N134" s="30">
        <v>20</v>
      </c>
      <c r="O134" s="30">
        <v>15</v>
      </c>
      <c r="P134" s="30">
        <v>102</v>
      </c>
      <c r="Q134" s="30">
        <v>5</v>
      </c>
      <c r="R134" s="30" t="s">
        <v>60</v>
      </c>
      <c r="S134" s="30" t="s">
        <v>96</v>
      </c>
      <c r="T134" s="30" t="s">
        <v>108</v>
      </c>
      <c r="U134" s="30">
        <v>9661280388</v>
      </c>
      <c r="V134" s="22" t="s">
        <v>34</v>
      </c>
    </row>
    <row r="135" spans="1:22" ht="15" thickBot="1" x14ac:dyDescent="0.4">
      <c r="A135" s="27" t="s">
        <v>240</v>
      </c>
      <c r="B135" s="27" t="s">
        <v>72</v>
      </c>
      <c r="C135" s="27" t="s">
        <v>112</v>
      </c>
      <c r="D135" s="28">
        <v>45893</v>
      </c>
      <c r="E135" s="28">
        <v>45900</v>
      </c>
      <c r="F135" s="27" t="s">
        <v>73</v>
      </c>
      <c r="G135" s="27" t="s">
        <v>26</v>
      </c>
      <c r="H135" s="28">
        <v>29354</v>
      </c>
      <c r="I135" s="27" t="s">
        <v>48</v>
      </c>
      <c r="J135" s="27" t="s">
        <v>28</v>
      </c>
      <c r="K135" s="27" t="s">
        <v>39</v>
      </c>
      <c r="L135" s="27" t="s">
        <v>114</v>
      </c>
      <c r="M135" s="27">
        <v>2</v>
      </c>
      <c r="N135" s="27">
        <v>700</v>
      </c>
      <c r="O135" s="27">
        <v>15</v>
      </c>
      <c r="P135" s="27">
        <v>1190</v>
      </c>
      <c r="Q135" s="27">
        <v>4</v>
      </c>
      <c r="R135" s="27" t="s">
        <v>31</v>
      </c>
      <c r="S135" s="27" t="s">
        <v>96</v>
      </c>
      <c r="T135" s="27" t="s">
        <v>93</v>
      </c>
      <c r="U135" s="27">
        <v>9896985355</v>
      </c>
      <c r="V135" s="27" t="s">
        <v>52</v>
      </c>
    </row>
    <row r="136" spans="1:22" ht="15" thickBot="1" x14ac:dyDescent="0.4">
      <c r="A136" s="30" t="s">
        <v>241</v>
      </c>
      <c r="B136" s="30" t="s">
        <v>156</v>
      </c>
      <c r="C136" s="30" t="s">
        <v>138</v>
      </c>
      <c r="D136" s="31">
        <v>45808</v>
      </c>
      <c r="E136" s="31">
        <v>45819</v>
      </c>
      <c r="F136" s="30" t="s">
        <v>106</v>
      </c>
      <c r="G136" s="30" t="s">
        <v>58</v>
      </c>
      <c r="H136" s="31">
        <v>34949</v>
      </c>
      <c r="I136" s="30" t="s">
        <v>79</v>
      </c>
      <c r="J136" s="30" t="s">
        <v>75</v>
      </c>
      <c r="K136" s="30" t="s">
        <v>83</v>
      </c>
      <c r="L136" s="30" t="s">
        <v>139</v>
      </c>
      <c r="M136" s="30">
        <v>16</v>
      </c>
      <c r="N136" s="30">
        <v>45</v>
      </c>
      <c r="O136" s="30">
        <v>0</v>
      </c>
      <c r="P136" s="30">
        <v>720</v>
      </c>
      <c r="Q136" s="30">
        <v>1</v>
      </c>
      <c r="R136" s="30" t="s">
        <v>41</v>
      </c>
      <c r="S136" s="30" t="s">
        <v>50</v>
      </c>
      <c r="T136" s="30" t="s">
        <v>158</v>
      </c>
      <c r="U136" s="30">
        <v>9807154421</v>
      </c>
      <c r="V136" s="22" t="s">
        <v>34</v>
      </c>
    </row>
    <row r="137" spans="1:22" ht="15" thickBot="1" x14ac:dyDescent="0.4">
      <c r="A137" s="27" t="s">
        <v>242</v>
      </c>
      <c r="B137" s="27" t="s">
        <v>55</v>
      </c>
      <c r="C137" s="27" t="s">
        <v>56</v>
      </c>
      <c r="D137" s="28">
        <v>45807</v>
      </c>
      <c r="E137" s="28">
        <v>45810</v>
      </c>
      <c r="F137" s="27" t="s">
        <v>57</v>
      </c>
      <c r="G137" s="27" t="s">
        <v>58</v>
      </c>
      <c r="H137" s="28">
        <v>32210</v>
      </c>
      <c r="I137" s="27" t="s">
        <v>91</v>
      </c>
      <c r="J137" s="27" t="s">
        <v>75</v>
      </c>
      <c r="K137" s="27" t="s">
        <v>39</v>
      </c>
      <c r="L137" s="27" t="s">
        <v>59</v>
      </c>
      <c r="M137" s="27" t="s">
        <v>243</v>
      </c>
      <c r="N137" s="27">
        <v>1200</v>
      </c>
      <c r="O137" s="27">
        <v>15</v>
      </c>
      <c r="P137" s="27">
        <v>7140</v>
      </c>
      <c r="Q137" s="27">
        <v>4</v>
      </c>
      <c r="R137" s="27" t="s">
        <v>65</v>
      </c>
      <c r="S137" s="27" t="s">
        <v>96</v>
      </c>
      <c r="T137" s="27" t="s">
        <v>61</v>
      </c>
      <c r="U137" s="27">
        <v>9919834000</v>
      </c>
      <c r="V137" s="27" t="s">
        <v>52</v>
      </c>
    </row>
    <row r="138" spans="1:22" ht="15" thickBot="1" x14ac:dyDescent="0.4">
      <c r="A138" s="30" t="s">
        <v>244</v>
      </c>
      <c r="B138" s="30" t="s">
        <v>72</v>
      </c>
      <c r="C138" s="30" t="s">
        <v>36</v>
      </c>
      <c r="D138" s="31">
        <v>45888</v>
      </c>
      <c r="E138" s="31">
        <v>45899</v>
      </c>
      <c r="F138" s="30" t="s">
        <v>73</v>
      </c>
      <c r="G138" s="30" t="s">
        <v>26</v>
      </c>
      <c r="H138" s="31">
        <v>32696</v>
      </c>
      <c r="I138" s="30" t="s">
        <v>121</v>
      </c>
      <c r="J138" s="30" t="s">
        <v>38</v>
      </c>
      <c r="K138" s="30" t="s">
        <v>39</v>
      </c>
      <c r="L138" s="30" t="s">
        <v>40</v>
      </c>
      <c r="M138" s="30">
        <v>14</v>
      </c>
      <c r="N138" s="30">
        <v>12000</v>
      </c>
      <c r="O138" s="30">
        <v>15</v>
      </c>
      <c r="P138" s="30">
        <v>142800</v>
      </c>
      <c r="Q138" s="30">
        <v>2</v>
      </c>
      <c r="R138" s="30" t="s">
        <v>41</v>
      </c>
      <c r="S138" s="30" t="s">
        <v>50</v>
      </c>
      <c r="T138" s="30" t="s">
        <v>93</v>
      </c>
      <c r="U138" s="30">
        <v>9739798818</v>
      </c>
      <c r="V138" s="30" t="s">
        <v>52</v>
      </c>
    </row>
    <row r="139" spans="1:22" ht="15" thickBot="1" x14ac:dyDescent="0.4">
      <c r="A139" s="27" t="s">
        <v>245</v>
      </c>
      <c r="B139" s="27" t="s">
        <v>87</v>
      </c>
      <c r="C139" s="27" t="s">
        <v>105</v>
      </c>
      <c r="D139" s="28">
        <v>46005</v>
      </c>
      <c r="E139" s="28">
        <v>46007</v>
      </c>
      <c r="F139" s="27" t="s">
        <v>88</v>
      </c>
      <c r="G139" s="27" t="s">
        <v>58</v>
      </c>
      <c r="H139" s="28">
        <v>34284</v>
      </c>
      <c r="I139" s="27" t="s">
        <v>79</v>
      </c>
      <c r="J139" s="27" t="s">
        <v>75</v>
      </c>
      <c r="K139" s="27" t="s">
        <v>29</v>
      </c>
      <c r="L139" s="27" t="s">
        <v>107</v>
      </c>
      <c r="M139" s="27">
        <v>8</v>
      </c>
      <c r="N139" s="27">
        <v>8500</v>
      </c>
      <c r="O139" s="27">
        <v>20</v>
      </c>
      <c r="P139" s="27">
        <v>54400</v>
      </c>
      <c r="Q139" s="27">
        <v>3</v>
      </c>
      <c r="R139" s="27" t="s">
        <v>60</v>
      </c>
      <c r="S139" s="27" t="s">
        <v>42</v>
      </c>
      <c r="T139" s="27" t="s">
        <v>89</v>
      </c>
      <c r="U139" s="27">
        <v>9208625306</v>
      </c>
      <c r="V139" s="21" t="s">
        <v>34</v>
      </c>
    </row>
    <row r="140" spans="1:22" ht="15" thickBot="1" x14ac:dyDescent="0.4">
      <c r="A140" s="30" t="s">
        <v>246</v>
      </c>
      <c r="B140" s="30" t="s">
        <v>63</v>
      </c>
      <c r="C140" s="30" t="s">
        <v>138</v>
      </c>
      <c r="D140" s="31">
        <v>46053</v>
      </c>
      <c r="E140" s="31">
        <v>46063</v>
      </c>
      <c r="F140" s="30" t="s">
        <v>110</v>
      </c>
      <c r="G140" s="30" t="s">
        <v>58</v>
      </c>
      <c r="H140" s="31">
        <v>36557</v>
      </c>
      <c r="I140" s="30" t="s">
        <v>48</v>
      </c>
      <c r="J140" s="30" t="s">
        <v>28</v>
      </c>
      <c r="K140" s="30" t="s">
        <v>83</v>
      </c>
      <c r="L140" s="30" t="s">
        <v>139</v>
      </c>
      <c r="M140" s="30">
        <v>3</v>
      </c>
      <c r="N140" s="30">
        <v>45</v>
      </c>
      <c r="O140" s="30">
        <v>0</v>
      </c>
      <c r="P140" s="30">
        <v>135</v>
      </c>
      <c r="Q140" s="30">
        <v>4</v>
      </c>
      <c r="R140" s="30" t="s">
        <v>65</v>
      </c>
      <c r="S140" s="30" t="s">
        <v>50</v>
      </c>
      <c r="T140" s="30" t="s">
        <v>66</v>
      </c>
      <c r="U140" s="30">
        <v>9970178536</v>
      </c>
      <c r="V140" s="30" t="s">
        <v>53</v>
      </c>
    </row>
    <row r="141" spans="1:22" ht="15" thickBot="1" x14ac:dyDescent="0.4">
      <c r="A141" s="27" t="s">
        <v>247</v>
      </c>
      <c r="B141" s="27" t="s">
        <v>156</v>
      </c>
      <c r="C141" s="27" t="s">
        <v>112</v>
      </c>
      <c r="D141" s="28">
        <v>46025</v>
      </c>
      <c r="E141" s="28">
        <v>46026</v>
      </c>
      <c r="F141" s="27" t="s">
        <v>106</v>
      </c>
      <c r="G141" s="27" t="s">
        <v>58</v>
      </c>
      <c r="H141" s="28">
        <v>31585</v>
      </c>
      <c r="I141" s="27" t="s">
        <v>121</v>
      </c>
      <c r="J141" s="27" t="s">
        <v>38</v>
      </c>
      <c r="K141" s="27" t="s">
        <v>39</v>
      </c>
      <c r="L141" s="27" t="s">
        <v>114</v>
      </c>
      <c r="M141" s="27">
        <v>13</v>
      </c>
      <c r="N141" s="27">
        <v>700</v>
      </c>
      <c r="O141" s="27">
        <v>5</v>
      </c>
      <c r="P141" s="27">
        <v>8645</v>
      </c>
      <c r="Q141" s="27">
        <v>3</v>
      </c>
      <c r="R141" s="27" t="s">
        <v>60</v>
      </c>
      <c r="S141" s="27" t="s">
        <v>80</v>
      </c>
      <c r="T141" s="27" t="s">
        <v>158</v>
      </c>
      <c r="U141" s="27">
        <v>9633745195</v>
      </c>
      <c r="V141" s="27" t="s">
        <v>52</v>
      </c>
    </row>
    <row r="142" spans="1:22" ht="15" thickBot="1" x14ac:dyDescent="0.4">
      <c r="A142" s="30" t="s">
        <v>248</v>
      </c>
      <c r="B142" s="30" t="s">
        <v>104</v>
      </c>
      <c r="C142" s="30" t="s">
        <v>56</v>
      </c>
      <c r="D142" s="31">
        <v>45950</v>
      </c>
      <c r="E142" s="31">
        <v>45956</v>
      </c>
      <c r="F142" s="30" t="s">
        <v>166</v>
      </c>
      <c r="G142" s="30" t="s">
        <v>26</v>
      </c>
      <c r="H142" s="31">
        <v>31459</v>
      </c>
      <c r="I142" s="30" t="s">
        <v>74</v>
      </c>
      <c r="J142" s="30" t="s">
        <v>75</v>
      </c>
      <c r="K142" s="30" t="s">
        <v>39</v>
      </c>
      <c r="L142" s="30" t="s">
        <v>59</v>
      </c>
      <c r="M142" s="30">
        <v>14</v>
      </c>
      <c r="N142" s="30">
        <v>1200</v>
      </c>
      <c r="O142" s="30">
        <v>20</v>
      </c>
      <c r="P142" s="30">
        <v>13440</v>
      </c>
      <c r="Q142" s="30">
        <v>5</v>
      </c>
      <c r="R142" s="30" t="s">
        <v>41</v>
      </c>
      <c r="S142" s="30" t="s">
        <v>50</v>
      </c>
      <c r="T142" s="30" t="s">
        <v>108</v>
      </c>
      <c r="U142" s="30">
        <v>9922102053</v>
      </c>
      <c r="V142" s="22" t="s">
        <v>34</v>
      </c>
    </row>
    <row r="143" spans="1:22" ht="15" thickBot="1" x14ac:dyDescent="0.4">
      <c r="A143" s="27" t="s">
        <v>249</v>
      </c>
      <c r="B143" s="27" t="s">
        <v>72</v>
      </c>
      <c r="C143" s="27" t="s">
        <v>138</v>
      </c>
      <c r="D143" s="28">
        <v>45788</v>
      </c>
      <c r="E143" s="28">
        <v>45798</v>
      </c>
      <c r="F143" s="27" t="s">
        <v>73</v>
      </c>
      <c r="G143" s="27" t="s">
        <v>26</v>
      </c>
      <c r="H143" s="28">
        <v>33499</v>
      </c>
      <c r="I143" s="27" t="s">
        <v>37</v>
      </c>
      <c r="J143" s="27" t="s">
        <v>38</v>
      </c>
      <c r="K143" s="27" t="s">
        <v>83</v>
      </c>
      <c r="L143" s="27" t="s">
        <v>139</v>
      </c>
      <c r="M143" s="27">
        <v>2</v>
      </c>
      <c r="N143" s="27">
        <v>45</v>
      </c>
      <c r="O143" s="27">
        <v>5</v>
      </c>
      <c r="P143" s="27">
        <v>85.5</v>
      </c>
      <c r="Q143" s="27">
        <v>3</v>
      </c>
      <c r="R143" s="27" t="s">
        <v>65</v>
      </c>
      <c r="S143" s="27" t="s">
        <v>32</v>
      </c>
      <c r="T143" s="27" t="s">
        <v>93</v>
      </c>
      <c r="U143" s="27">
        <v>9135963930</v>
      </c>
      <c r="V143" s="27" t="s">
        <v>53</v>
      </c>
    </row>
    <row r="144" spans="1:22" ht="15" thickBot="1" x14ac:dyDescent="0.4">
      <c r="A144" s="30" t="s">
        <v>250</v>
      </c>
      <c r="B144" s="30" t="s">
        <v>104</v>
      </c>
      <c r="C144" s="30" t="s">
        <v>56</v>
      </c>
      <c r="D144" s="31">
        <v>46024</v>
      </c>
      <c r="E144" s="31">
        <v>46028</v>
      </c>
      <c r="F144" s="30" t="s">
        <v>166</v>
      </c>
      <c r="G144" s="30" t="s">
        <v>26</v>
      </c>
      <c r="H144" s="31">
        <v>29590</v>
      </c>
      <c r="I144" s="30" t="s">
        <v>48</v>
      </c>
      <c r="J144" s="30" t="s">
        <v>28</v>
      </c>
      <c r="K144" s="30" t="s">
        <v>39</v>
      </c>
      <c r="L144" s="30" t="s">
        <v>59</v>
      </c>
      <c r="M144" s="30">
        <v>2</v>
      </c>
      <c r="N144" s="30">
        <v>1200</v>
      </c>
      <c r="O144" s="30">
        <v>20</v>
      </c>
      <c r="P144" s="30">
        <v>1920</v>
      </c>
      <c r="Q144" s="30">
        <v>3</v>
      </c>
      <c r="R144" s="30" t="s">
        <v>60</v>
      </c>
      <c r="S144" s="30" t="s">
        <v>80</v>
      </c>
      <c r="T144" s="30" t="s">
        <v>108</v>
      </c>
      <c r="U144" s="30">
        <v>9429405275</v>
      </c>
      <c r="V144" s="22" t="s">
        <v>34</v>
      </c>
    </row>
    <row r="145" spans="1:22" ht="15" thickBot="1" x14ac:dyDescent="0.4">
      <c r="A145" s="27" t="s">
        <v>251</v>
      </c>
      <c r="B145" s="27" t="s">
        <v>87</v>
      </c>
      <c r="C145" s="27" t="s">
        <v>46</v>
      </c>
      <c r="D145" s="28">
        <v>46132</v>
      </c>
      <c r="E145" s="28">
        <v>46138</v>
      </c>
      <c r="F145" s="27" t="s">
        <v>88</v>
      </c>
      <c r="G145" s="27" t="s">
        <v>58</v>
      </c>
      <c r="H145" s="28">
        <v>38272</v>
      </c>
      <c r="I145" s="27" t="s">
        <v>48</v>
      </c>
      <c r="J145" s="27" t="s">
        <v>28</v>
      </c>
      <c r="K145" s="27" t="s">
        <v>39</v>
      </c>
      <c r="L145" s="27" t="s">
        <v>49</v>
      </c>
      <c r="M145" s="27">
        <v>10</v>
      </c>
      <c r="N145" s="27">
        <v>55000</v>
      </c>
      <c r="O145" s="27">
        <v>5</v>
      </c>
      <c r="P145" s="27">
        <v>522500</v>
      </c>
      <c r="Q145" s="27">
        <v>5</v>
      </c>
      <c r="R145" s="27" t="s">
        <v>65</v>
      </c>
      <c r="S145" s="27" t="s">
        <v>50</v>
      </c>
      <c r="T145" s="27" t="s">
        <v>89</v>
      </c>
      <c r="U145" s="27">
        <v>9521757571</v>
      </c>
      <c r="V145" s="27" t="s">
        <v>52</v>
      </c>
    </row>
    <row r="146" spans="1:22" ht="15" thickBot="1" x14ac:dyDescent="0.4">
      <c r="A146" s="30" t="s">
        <v>252</v>
      </c>
      <c r="B146" s="30" t="s">
        <v>134</v>
      </c>
      <c r="C146" s="30" t="s">
        <v>68</v>
      </c>
      <c r="D146" s="31">
        <v>45873</v>
      </c>
      <c r="E146" s="31">
        <v>45874</v>
      </c>
      <c r="F146" s="30" t="s">
        <v>135</v>
      </c>
      <c r="G146" s="30" t="s">
        <v>26</v>
      </c>
      <c r="H146" s="31">
        <v>30766</v>
      </c>
      <c r="I146" s="30" t="s">
        <v>121</v>
      </c>
      <c r="J146" s="30" t="s">
        <v>38</v>
      </c>
      <c r="K146" s="30" t="s">
        <v>29</v>
      </c>
      <c r="L146" s="30" t="s">
        <v>70</v>
      </c>
      <c r="M146" s="30">
        <v>15</v>
      </c>
      <c r="N146" s="30">
        <v>3500</v>
      </c>
      <c r="O146" s="30">
        <v>10</v>
      </c>
      <c r="P146" s="30">
        <v>47250</v>
      </c>
      <c r="Q146" s="30">
        <v>3</v>
      </c>
      <c r="R146" s="30" t="s">
        <v>41</v>
      </c>
      <c r="S146" s="30" t="s">
        <v>80</v>
      </c>
      <c r="T146" s="30" t="s">
        <v>136</v>
      </c>
      <c r="U146" s="30">
        <v>9467375455</v>
      </c>
      <c r="V146" s="22" t="s">
        <v>34</v>
      </c>
    </row>
    <row r="147" spans="1:22" ht="15" thickBot="1" x14ac:dyDescent="0.4">
      <c r="A147" s="27" t="s">
        <v>253</v>
      </c>
      <c r="B147" s="27" t="s">
        <v>72</v>
      </c>
      <c r="C147" s="27" t="s">
        <v>24</v>
      </c>
      <c r="D147" s="28">
        <v>45882</v>
      </c>
      <c r="E147" s="28">
        <v>45887</v>
      </c>
      <c r="F147" s="27" t="s">
        <v>73</v>
      </c>
      <c r="G147" s="27" t="s">
        <v>26</v>
      </c>
      <c r="H147" s="28">
        <v>30203</v>
      </c>
      <c r="I147" s="27" t="s">
        <v>48</v>
      </c>
      <c r="J147" s="27" t="s">
        <v>28</v>
      </c>
      <c r="K147" s="27" t="s">
        <v>29</v>
      </c>
      <c r="L147" s="27" t="s">
        <v>30</v>
      </c>
      <c r="M147" s="27">
        <v>10</v>
      </c>
      <c r="N147" s="27">
        <v>2200</v>
      </c>
      <c r="O147" s="27">
        <v>15</v>
      </c>
      <c r="P147" s="27">
        <v>18700</v>
      </c>
      <c r="Q147" s="27">
        <v>4</v>
      </c>
      <c r="R147" s="27" t="s">
        <v>60</v>
      </c>
      <c r="S147" s="27" t="s">
        <v>42</v>
      </c>
      <c r="T147" s="27" t="s">
        <v>93</v>
      </c>
      <c r="U147" s="27">
        <v>9838809695</v>
      </c>
      <c r="V147" s="27" t="s">
        <v>52</v>
      </c>
    </row>
    <row r="148" spans="1:22" ht="15" thickBot="1" x14ac:dyDescent="0.4">
      <c r="A148" s="30" t="s">
        <v>254</v>
      </c>
      <c r="B148" s="30" t="s">
        <v>134</v>
      </c>
      <c r="C148" s="30" t="s">
        <v>68</v>
      </c>
      <c r="D148" s="31">
        <v>45824</v>
      </c>
      <c r="E148" s="31">
        <v>45832</v>
      </c>
      <c r="F148" s="30" t="s">
        <v>135</v>
      </c>
      <c r="G148" s="30" t="s">
        <v>26</v>
      </c>
      <c r="H148" s="31">
        <v>34015</v>
      </c>
      <c r="I148" s="30" t="s">
        <v>79</v>
      </c>
      <c r="J148" s="30" t="s">
        <v>75</v>
      </c>
      <c r="K148" s="30" t="s">
        <v>29</v>
      </c>
      <c r="L148" s="30" t="s">
        <v>70</v>
      </c>
      <c r="M148" s="30">
        <v>11</v>
      </c>
      <c r="N148" s="30">
        <v>3500</v>
      </c>
      <c r="O148" s="30">
        <v>5</v>
      </c>
      <c r="P148" s="30">
        <v>36575</v>
      </c>
      <c r="Q148" s="30">
        <v>5</v>
      </c>
      <c r="R148" s="30" t="s">
        <v>31</v>
      </c>
      <c r="S148" s="30" t="s">
        <v>32</v>
      </c>
      <c r="T148" s="30" t="s">
        <v>136</v>
      </c>
      <c r="U148" s="30">
        <v>9296609782</v>
      </c>
      <c r="V148" s="30" t="s">
        <v>53</v>
      </c>
    </row>
    <row r="149" spans="1:22" ht="15" thickBot="1" x14ac:dyDescent="0.4">
      <c r="A149" s="27" t="s">
        <v>255</v>
      </c>
      <c r="B149" s="27" t="s">
        <v>104</v>
      </c>
      <c r="C149" s="27" t="s">
        <v>56</v>
      </c>
      <c r="D149" s="28">
        <v>46139</v>
      </c>
      <c r="E149" s="28">
        <v>46142</v>
      </c>
      <c r="F149" s="27" t="s">
        <v>166</v>
      </c>
      <c r="G149" s="27" t="s">
        <v>26</v>
      </c>
      <c r="H149" s="28">
        <v>37719</v>
      </c>
      <c r="I149" s="27" t="s">
        <v>48</v>
      </c>
      <c r="J149" s="27" t="s">
        <v>28</v>
      </c>
      <c r="K149" s="27" t="s">
        <v>39</v>
      </c>
      <c r="L149" s="27" t="s">
        <v>59</v>
      </c>
      <c r="M149" s="27">
        <v>14</v>
      </c>
      <c r="N149" s="27">
        <v>1200</v>
      </c>
      <c r="O149" s="27">
        <v>0</v>
      </c>
      <c r="P149" s="27">
        <v>16800</v>
      </c>
      <c r="Q149" s="27">
        <v>5</v>
      </c>
      <c r="R149" s="27" t="s">
        <v>31</v>
      </c>
      <c r="S149" s="27" t="s">
        <v>42</v>
      </c>
      <c r="T149" s="27" t="s">
        <v>108</v>
      </c>
      <c r="U149" s="27">
        <v>9848259992</v>
      </c>
      <c r="V149" s="27" t="s">
        <v>53</v>
      </c>
    </row>
    <row r="150" spans="1:22" ht="15" thickBot="1" x14ac:dyDescent="0.4">
      <c r="A150" s="30" t="s">
        <v>256</v>
      </c>
      <c r="B150" s="30" t="s">
        <v>72</v>
      </c>
      <c r="C150" s="30" t="s">
        <v>125</v>
      </c>
      <c r="D150" s="31">
        <v>46070</v>
      </c>
      <c r="E150" s="31">
        <v>46075</v>
      </c>
      <c r="F150" s="30" t="s">
        <v>73</v>
      </c>
      <c r="G150" s="30" t="s">
        <v>26</v>
      </c>
      <c r="H150" s="31">
        <v>32801</v>
      </c>
      <c r="I150" s="30" t="s">
        <v>37</v>
      </c>
      <c r="J150" s="30" t="s">
        <v>38</v>
      </c>
      <c r="K150" s="30" t="s">
        <v>83</v>
      </c>
      <c r="L150" s="30" t="s">
        <v>127</v>
      </c>
      <c r="M150" s="30">
        <v>11</v>
      </c>
      <c r="N150" s="30">
        <v>20</v>
      </c>
      <c r="O150" s="30">
        <v>20</v>
      </c>
      <c r="P150" s="30">
        <v>176</v>
      </c>
      <c r="Q150" s="30">
        <v>4</v>
      </c>
      <c r="R150" s="30" t="s">
        <v>41</v>
      </c>
      <c r="S150" s="30" t="s">
        <v>32</v>
      </c>
      <c r="T150" s="30" t="s">
        <v>93</v>
      </c>
      <c r="U150" s="30">
        <v>9254082295</v>
      </c>
      <c r="V150" s="22" t="s">
        <v>34</v>
      </c>
    </row>
    <row r="151" spans="1:22" ht="15" thickBot="1" x14ac:dyDescent="0.4">
      <c r="A151" s="27" t="s">
        <v>257</v>
      </c>
      <c r="B151" s="27" t="s">
        <v>55</v>
      </c>
      <c r="C151" s="27" t="s">
        <v>36</v>
      </c>
      <c r="D151" s="28">
        <v>46116</v>
      </c>
      <c r="E151" s="28">
        <v>46122</v>
      </c>
      <c r="F151" s="27" t="s">
        <v>57</v>
      </c>
      <c r="G151" s="27" t="s">
        <v>58</v>
      </c>
      <c r="H151" s="28">
        <v>34957</v>
      </c>
      <c r="I151" s="27" t="s">
        <v>79</v>
      </c>
      <c r="J151" s="27" t="s">
        <v>75</v>
      </c>
      <c r="K151" s="27" t="s">
        <v>39</v>
      </c>
      <c r="L151" s="27" t="s">
        <v>40</v>
      </c>
      <c r="M151" s="27">
        <v>6</v>
      </c>
      <c r="N151" s="27">
        <v>12000</v>
      </c>
      <c r="O151" s="27">
        <v>10</v>
      </c>
      <c r="P151" s="27">
        <v>64800</v>
      </c>
      <c r="Q151" s="27">
        <v>5</v>
      </c>
      <c r="R151" s="27" t="s">
        <v>65</v>
      </c>
      <c r="S151" s="27" t="s">
        <v>96</v>
      </c>
      <c r="T151" s="27" t="s">
        <v>61</v>
      </c>
      <c r="U151" s="27">
        <v>9687923860</v>
      </c>
      <c r="V151" s="21" t="s">
        <v>34</v>
      </c>
    </row>
    <row r="152" spans="1:22" ht="15" thickBot="1" x14ac:dyDescent="0.4">
      <c r="A152" s="30" t="s">
        <v>258</v>
      </c>
      <c r="B152" s="30" t="s">
        <v>55</v>
      </c>
      <c r="C152" s="30" t="s">
        <v>24</v>
      </c>
      <c r="D152" s="31">
        <v>45756</v>
      </c>
      <c r="E152" s="31">
        <v>45765</v>
      </c>
      <c r="F152" s="30" t="s">
        <v>57</v>
      </c>
      <c r="G152" s="30" t="s">
        <v>58</v>
      </c>
      <c r="H152" s="31">
        <v>34431</v>
      </c>
      <c r="I152" s="30" t="s">
        <v>27</v>
      </c>
      <c r="J152" s="30" t="s">
        <v>28</v>
      </c>
      <c r="K152" s="30" t="s">
        <v>29</v>
      </c>
      <c r="L152" s="30" t="s">
        <v>30</v>
      </c>
      <c r="M152" s="30">
        <v>6</v>
      </c>
      <c r="N152" s="30">
        <v>2200</v>
      </c>
      <c r="O152" s="30">
        <v>5</v>
      </c>
      <c r="P152" s="30">
        <v>12540</v>
      </c>
      <c r="Q152" s="30">
        <v>4</v>
      </c>
      <c r="R152" s="30" t="s">
        <v>31</v>
      </c>
      <c r="S152" s="30" t="s">
        <v>42</v>
      </c>
      <c r="T152" s="30" t="s">
        <v>61</v>
      </c>
      <c r="U152" s="30">
        <v>9426459149</v>
      </c>
      <c r="V152" s="22" t="s">
        <v>34</v>
      </c>
    </row>
    <row r="153" spans="1:22" ht="15" thickBot="1" x14ac:dyDescent="0.4">
      <c r="A153" s="27" t="s">
        <v>259</v>
      </c>
      <c r="B153" s="27" t="s">
        <v>45</v>
      </c>
      <c r="C153" s="27" t="s">
        <v>68</v>
      </c>
      <c r="D153" s="28">
        <v>45823</v>
      </c>
      <c r="E153" s="28">
        <v>45835</v>
      </c>
      <c r="F153" s="27" t="s">
        <v>101</v>
      </c>
      <c r="G153" s="27" t="s">
        <v>26</v>
      </c>
      <c r="H153" s="28">
        <v>37896</v>
      </c>
      <c r="I153" s="27" t="s">
        <v>37</v>
      </c>
      <c r="J153" s="27" t="s">
        <v>38</v>
      </c>
      <c r="K153" s="27" t="s">
        <v>29</v>
      </c>
      <c r="L153" s="27" t="s">
        <v>70</v>
      </c>
      <c r="M153" s="27">
        <v>3</v>
      </c>
      <c r="N153" s="27">
        <v>3500</v>
      </c>
      <c r="O153" s="27">
        <v>5</v>
      </c>
      <c r="P153" s="27">
        <v>9975</v>
      </c>
      <c r="Q153" s="27">
        <v>4</v>
      </c>
      <c r="R153" s="27" t="s">
        <v>41</v>
      </c>
      <c r="S153" s="27" t="s">
        <v>42</v>
      </c>
      <c r="T153" s="27" t="s">
        <v>51</v>
      </c>
      <c r="U153" s="27">
        <v>9155925975</v>
      </c>
      <c r="V153" s="27" t="s">
        <v>52</v>
      </c>
    </row>
    <row r="154" spans="1:22" ht="15" thickBot="1" x14ac:dyDescent="0.4">
      <c r="A154" s="30" t="s">
        <v>260</v>
      </c>
      <c r="B154" s="30" t="s">
        <v>55</v>
      </c>
      <c r="C154" s="30" t="s">
        <v>105</v>
      </c>
      <c r="D154" s="31">
        <v>45816</v>
      </c>
      <c r="E154" s="31">
        <v>45818</v>
      </c>
      <c r="F154" s="30" t="s">
        <v>57</v>
      </c>
      <c r="G154" s="30" t="s">
        <v>58</v>
      </c>
      <c r="H154" s="31">
        <v>35625</v>
      </c>
      <c r="I154" s="30" t="s">
        <v>27</v>
      </c>
      <c r="J154" s="30" t="s">
        <v>28</v>
      </c>
      <c r="K154" s="30" t="s">
        <v>29</v>
      </c>
      <c r="L154" s="30" t="s">
        <v>107</v>
      </c>
      <c r="M154" s="30">
        <v>5</v>
      </c>
      <c r="N154" s="30">
        <v>8500</v>
      </c>
      <c r="O154" s="30">
        <v>20</v>
      </c>
      <c r="P154" s="30">
        <v>34000</v>
      </c>
      <c r="Q154" s="30">
        <v>5</v>
      </c>
      <c r="R154" s="30" t="s">
        <v>31</v>
      </c>
      <c r="S154" s="30" t="s">
        <v>50</v>
      </c>
      <c r="T154" s="30" t="s">
        <v>61</v>
      </c>
      <c r="U154" s="30">
        <v>9945247701</v>
      </c>
      <c r="V154" s="30" t="s">
        <v>52</v>
      </c>
    </row>
    <row r="155" spans="1:22" ht="15" thickBot="1" x14ac:dyDescent="0.4">
      <c r="A155" s="27" t="s">
        <v>261</v>
      </c>
      <c r="B155" s="27" t="s">
        <v>23</v>
      </c>
      <c r="C155" s="27" t="s">
        <v>68</v>
      </c>
      <c r="D155" s="28">
        <v>45863</v>
      </c>
      <c r="E155" s="28">
        <v>45870</v>
      </c>
      <c r="F155" s="27" t="s">
        <v>25</v>
      </c>
      <c r="G155" s="27" t="s">
        <v>26</v>
      </c>
      <c r="H155" s="28">
        <v>29076</v>
      </c>
      <c r="I155" s="27" t="s">
        <v>48</v>
      </c>
      <c r="J155" s="27" t="s">
        <v>28</v>
      </c>
      <c r="K155" s="27" t="s">
        <v>29</v>
      </c>
      <c r="L155" s="27" t="s">
        <v>70</v>
      </c>
      <c r="M155" s="27">
        <v>14</v>
      </c>
      <c r="N155" s="27">
        <v>3500</v>
      </c>
      <c r="O155" s="27">
        <v>10</v>
      </c>
      <c r="P155" s="27">
        <v>44100</v>
      </c>
      <c r="Q155" s="27">
        <v>4</v>
      </c>
      <c r="R155" s="27" t="s">
        <v>65</v>
      </c>
      <c r="S155" s="27" t="s">
        <v>32</v>
      </c>
      <c r="T155" s="27" t="s">
        <v>43</v>
      </c>
      <c r="U155" s="27">
        <v>9597378398</v>
      </c>
      <c r="V155" s="27" t="s">
        <v>53</v>
      </c>
    </row>
    <row r="156" spans="1:22" ht="15" thickBot="1" x14ac:dyDescent="0.4">
      <c r="A156" s="30" t="s">
        <v>262</v>
      </c>
      <c r="B156" s="30" t="s">
        <v>156</v>
      </c>
      <c r="C156" s="30" t="s">
        <v>138</v>
      </c>
      <c r="D156" s="31">
        <v>45673</v>
      </c>
      <c r="E156" s="31">
        <v>45678</v>
      </c>
      <c r="F156" s="30" t="s">
        <v>106</v>
      </c>
      <c r="G156" s="30" t="s">
        <v>58</v>
      </c>
      <c r="H156" s="31">
        <v>37549</v>
      </c>
      <c r="I156" s="30" t="s">
        <v>91</v>
      </c>
      <c r="J156" s="30" t="s">
        <v>75</v>
      </c>
      <c r="K156" s="30" t="s">
        <v>83</v>
      </c>
      <c r="L156" s="30" t="s">
        <v>139</v>
      </c>
      <c r="M156" s="30">
        <v>8</v>
      </c>
      <c r="N156" s="30">
        <v>45</v>
      </c>
      <c r="O156" s="30">
        <v>0</v>
      </c>
      <c r="P156" s="30">
        <v>360</v>
      </c>
      <c r="Q156" s="30">
        <v>1</v>
      </c>
      <c r="R156" s="30" t="s">
        <v>60</v>
      </c>
      <c r="S156" s="30" t="s">
        <v>96</v>
      </c>
      <c r="T156" s="30" t="s">
        <v>158</v>
      </c>
      <c r="U156" s="30">
        <v>9343963736</v>
      </c>
      <c r="V156" s="30" t="s">
        <v>53</v>
      </c>
    </row>
    <row r="157" spans="1:22" ht="15" thickBot="1" x14ac:dyDescent="0.4">
      <c r="A157" s="27" t="s">
        <v>263</v>
      </c>
      <c r="B157" s="27" t="s">
        <v>124</v>
      </c>
      <c r="C157" s="27" t="s">
        <v>138</v>
      </c>
      <c r="D157" s="28">
        <v>45692</v>
      </c>
      <c r="E157" s="28">
        <v>45693</v>
      </c>
      <c r="F157" s="27" t="s">
        <v>126</v>
      </c>
      <c r="G157" s="27" t="s">
        <v>58</v>
      </c>
      <c r="H157" s="28">
        <v>31252</v>
      </c>
      <c r="I157" s="27" t="s">
        <v>37</v>
      </c>
      <c r="J157" s="27" t="s">
        <v>38</v>
      </c>
      <c r="K157" s="27" t="s">
        <v>83</v>
      </c>
      <c r="L157" s="27" t="s">
        <v>139</v>
      </c>
      <c r="M157" s="27">
        <v>11</v>
      </c>
      <c r="N157" s="27">
        <v>45</v>
      </c>
      <c r="O157" s="27">
        <v>5</v>
      </c>
      <c r="P157" s="27">
        <v>470.25</v>
      </c>
      <c r="Q157" s="27">
        <v>3</v>
      </c>
      <c r="R157" s="27" t="s">
        <v>60</v>
      </c>
      <c r="S157" s="27" t="s">
        <v>42</v>
      </c>
      <c r="T157" s="27" t="s">
        <v>128</v>
      </c>
      <c r="U157" s="27">
        <v>9548742147</v>
      </c>
      <c r="V157" s="21" t="s">
        <v>34</v>
      </c>
    </row>
    <row r="158" spans="1:22" ht="15" thickBot="1" x14ac:dyDescent="0.4">
      <c r="A158" s="30" t="s">
        <v>264</v>
      </c>
      <c r="B158" s="30" t="s">
        <v>63</v>
      </c>
      <c r="C158" s="30" t="s">
        <v>46</v>
      </c>
      <c r="D158" s="31">
        <v>45679</v>
      </c>
      <c r="E158" s="31">
        <v>45687</v>
      </c>
      <c r="F158" s="30" t="s">
        <v>110</v>
      </c>
      <c r="G158" s="30" t="s">
        <v>58</v>
      </c>
      <c r="H158" s="31">
        <v>32378</v>
      </c>
      <c r="I158" s="30" t="s">
        <v>91</v>
      </c>
      <c r="J158" s="30" t="s">
        <v>75</v>
      </c>
      <c r="K158" s="30" t="s">
        <v>39</v>
      </c>
      <c r="L158" s="30" t="s">
        <v>49</v>
      </c>
      <c r="M158" s="30">
        <v>19</v>
      </c>
      <c r="N158" s="30">
        <v>55000</v>
      </c>
      <c r="O158" s="30">
        <v>0</v>
      </c>
      <c r="P158" s="30">
        <v>1045000</v>
      </c>
      <c r="Q158" s="30">
        <v>2</v>
      </c>
      <c r="R158" s="30" t="s">
        <v>60</v>
      </c>
      <c r="S158" s="30" t="s">
        <v>32</v>
      </c>
      <c r="T158" s="30" t="s">
        <v>66</v>
      </c>
      <c r="U158" s="30">
        <v>9912945471</v>
      </c>
      <c r="V158" s="30" t="s">
        <v>53</v>
      </c>
    </row>
    <row r="159" spans="1:22" ht="15" thickBot="1" x14ac:dyDescent="0.4">
      <c r="A159" s="27" t="s">
        <v>265</v>
      </c>
      <c r="B159" s="27" t="s">
        <v>45</v>
      </c>
      <c r="C159" s="27" t="s">
        <v>68</v>
      </c>
      <c r="D159" s="28">
        <v>45758</v>
      </c>
      <c r="E159" s="28">
        <v>45765</v>
      </c>
      <c r="F159" s="27" t="s">
        <v>101</v>
      </c>
      <c r="G159" s="27" t="s">
        <v>26</v>
      </c>
      <c r="H159" s="28">
        <v>28864</v>
      </c>
      <c r="I159" s="27" t="s">
        <v>79</v>
      </c>
      <c r="J159" s="27" t="s">
        <v>75</v>
      </c>
      <c r="K159" s="27" t="s">
        <v>29</v>
      </c>
      <c r="L159" s="27" t="s">
        <v>70</v>
      </c>
      <c r="M159" s="27">
        <v>20</v>
      </c>
      <c r="N159" s="27">
        <v>3500</v>
      </c>
      <c r="O159" s="27">
        <v>20</v>
      </c>
      <c r="P159" s="27">
        <v>56000</v>
      </c>
      <c r="Q159" s="27">
        <v>4</v>
      </c>
      <c r="R159" s="27" t="s">
        <v>41</v>
      </c>
      <c r="S159" s="27" t="s">
        <v>42</v>
      </c>
      <c r="T159" s="27" t="s">
        <v>51</v>
      </c>
      <c r="U159" s="27">
        <v>9912630684</v>
      </c>
      <c r="V159" s="21" t="s">
        <v>34</v>
      </c>
    </row>
    <row r="160" spans="1:22" ht="15" thickBot="1" x14ac:dyDescent="0.4">
      <c r="A160" s="30" t="s">
        <v>266</v>
      </c>
      <c r="B160" s="30" t="s">
        <v>63</v>
      </c>
      <c r="C160" s="30" t="s">
        <v>24</v>
      </c>
      <c r="D160" s="31">
        <v>45842</v>
      </c>
      <c r="E160" s="31">
        <v>45852</v>
      </c>
      <c r="F160" s="30" t="s">
        <v>110</v>
      </c>
      <c r="G160" s="30" t="s">
        <v>58</v>
      </c>
      <c r="H160" s="31">
        <v>31649</v>
      </c>
      <c r="I160" s="30" t="s">
        <v>79</v>
      </c>
      <c r="J160" s="30" t="s">
        <v>75</v>
      </c>
      <c r="K160" s="30" t="s">
        <v>29</v>
      </c>
      <c r="L160" s="30" t="s">
        <v>30</v>
      </c>
      <c r="M160" s="30">
        <v>17</v>
      </c>
      <c r="N160" s="30">
        <v>2200</v>
      </c>
      <c r="O160" s="30">
        <v>0</v>
      </c>
      <c r="P160" s="30">
        <v>37400</v>
      </c>
      <c r="Q160" s="30">
        <v>5</v>
      </c>
      <c r="R160" s="30" t="s">
        <v>41</v>
      </c>
      <c r="S160" s="30" t="s">
        <v>32</v>
      </c>
      <c r="T160" s="30" t="s">
        <v>66</v>
      </c>
      <c r="U160" s="30">
        <v>9114017237</v>
      </c>
      <c r="V160" s="30" t="s">
        <v>52</v>
      </c>
    </row>
    <row r="161" spans="1:22" ht="15" thickBot="1" x14ac:dyDescent="0.4">
      <c r="A161" s="27" t="s">
        <v>267</v>
      </c>
      <c r="B161" s="27" t="s">
        <v>63</v>
      </c>
      <c r="C161" s="27" t="s">
        <v>56</v>
      </c>
      <c r="D161" s="28">
        <v>45679</v>
      </c>
      <c r="E161" s="28">
        <v>45686</v>
      </c>
      <c r="F161" s="27" t="s">
        <v>110</v>
      </c>
      <c r="G161" s="27" t="s">
        <v>58</v>
      </c>
      <c r="H161" s="28">
        <v>28216</v>
      </c>
      <c r="I161" s="27" t="s">
        <v>79</v>
      </c>
      <c r="J161" s="27" t="s">
        <v>75</v>
      </c>
      <c r="K161" s="27" t="s">
        <v>39</v>
      </c>
      <c r="L161" s="27" t="s">
        <v>59</v>
      </c>
      <c r="M161" s="27">
        <v>10</v>
      </c>
      <c r="N161" s="27">
        <v>1200</v>
      </c>
      <c r="O161" s="27">
        <v>5</v>
      </c>
      <c r="P161" s="27">
        <v>11400</v>
      </c>
      <c r="Q161" s="27">
        <v>2</v>
      </c>
      <c r="R161" s="27" t="s">
        <v>31</v>
      </c>
      <c r="S161" s="27" t="s">
        <v>42</v>
      </c>
      <c r="T161" s="27" t="s">
        <v>66</v>
      </c>
      <c r="U161" s="27">
        <v>9872471236</v>
      </c>
      <c r="V161" s="27" t="s">
        <v>53</v>
      </c>
    </row>
    <row r="162" spans="1:22" ht="15" thickBot="1" x14ac:dyDescent="0.4">
      <c r="A162" s="30" t="s">
        <v>268</v>
      </c>
      <c r="B162" s="30" t="s">
        <v>124</v>
      </c>
      <c r="C162" s="30" t="s">
        <v>82</v>
      </c>
      <c r="D162" s="31">
        <v>46008</v>
      </c>
      <c r="E162" s="31">
        <v>46009</v>
      </c>
      <c r="F162" s="30" t="s">
        <v>126</v>
      </c>
      <c r="G162" s="30" t="s">
        <v>58</v>
      </c>
      <c r="H162" s="31">
        <v>30532</v>
      </c>
      <c r="I162" s="30" t="s">
        <v>27</v>
      </c>
      <c r="J162" s="30" t="s">
        <v>28</v>
      </c>
      <c r="K162" s="30" t="s">
        <v>83</v>
      </c>
      <c r="L162" s="30" t="s">
        <v>84</v>
      </c>
      <c r="M162" s="30">
        <v>3</v>
      </c>
      <c r="N162" s="30">
        <v>60</v>
      </c>
      <c r="O162" s="30">
        <v>0</v>
      </c>
      <c r="P162" s="30">
        <v>180</v>
      </c>
      <c r="Q162" s="30">
        <v>4</v>
      </c>
      <c r="R162" s="30" t="s">
        <v>41</v>
      </c>
      <c r="S162" s="30" t="s">
        <v>96</v>
      </c>
      <c r="T162" s="30" t="s">
        <v>128</v>
      </c>
      <c r="U162" s="30">
        <v>9461383824</v>
      </c>
      <c r="V162" s="22" t="s">
        <v>34</v>
      </c>
    </row>
    <row r="163" spans="1:22" ht="15" thickBot="1" x14ac:dyDescent="0.4">
      <c r="A163" s="27" t="s">
        <v>269</v>
      </c>
      <c r="B163" s="27" t="s">
        <v>45</v>
      </c>
      <c r="C163" s="27" t="s">
        <v>24</v>
      </c>
      <c r="D163" s="28">
        <v>45940</v>
      </c>
      <c r="E163" s="28">
        <v>45951</v>
      </c>
      <c r="F163" s="27" t="s">
        <v>101</v>
      </c>
      <c r="G163" s="27" t="s">
        <v>26</v>
      </c>
      <c r="H163" s="28">
        <v>28587</v>
      </c>
      <c r="I163" s="27" t="s">
        <v>74</v>
      </c>
      <c r="J163" s="27" t="s">
        <v>75</v>
      </c>
      <c r="K163" s="27" t="s">
        <v>29</v>
      </c>
      <c r="L163" s="27" t="s">
        <v>30</v>
      </c>
      <c r="M163" s="27">
        <v>18</v>
      </c>
      <c r="N163" s="27">
        <v>2200</v>
      </c>
      <c r="O163" s="27">
        <v>10</v>
      </c>
      <c r="P163" s="27">
        <v>35640</v>
      </c>
      <c r="Q163" s="27">
        <v>1</v>
      </c>
      <c r="R163" s="27" t="s">
        <v>60</v>
      </c>
      <c r="S163" s="27" t="s">
        <v>96</v>
      </c>
      <c r="T163" s="27" t="s">
        <v>51</v>
      </c>
      <c r="U163" s="27">
        <v>9243407457</v>
      </c>
      <c r="V163" s="27" t="s">
        <v>53</v>
      </c>
    </row>
    <row r="164" spans="1:22" ht="15" thickBot="1" x14ac:dyDescent="0.4">
      <c r="A164" s="30" t="s">
        <v>270</v>
      </c>
      <c r="B164" s="30" t="s">
        <v>55</v>
      </c>
      <c r="C164" s="30" t="s">
        <v>82</v>
      </c>
      <c r="D164" s="31">
        <v>46088</v>
      </c>
      <c r="E164" s="31">
        <v>46091</v>
      </c>
      <c r="F164" s="30" t="s">
        <v>57</v>
      </c>
      <c r="G164" s="30" t="s">
        <v>58</v>
      </c>
      <c r="H164" s="31">
        <v>30379</v>
      </c>
      <c r="I164" s="30" t="s">
        <v>37</v>
      </c>
      <c r="J164" s="30" t="s">
        <v>38</v>
      </c>
      <c r="K164" s="30" t="s">
        <v>83</v>
      </c>
      <c r="L164" s="30" t="s">
        <v>84</v>
      </c>
      <c r="M164" s="30">
        <v>18</v>
      </c>
      <c r="N164" s="30">
        <v>60</v>
      </c>
      <c r="O164" s="30">
        <v>5</v>
      </c>
      <c r="P164" s="30">
        <v>1026</v>
      </c>
      <c r="Q164" s="30">
        <v>3</v>
      </c>
      <c r="R164" s="30" t="s">
        <v>60</v>
      </c>
      <c r="S164" s="30" t="s">
        <v>42</v>
      </c>
      <c r="T164" s="30" t="s">
        <v>61</v>
      </c>
      <c r="U164" s="30">
        <v>9418672379</v>
      </c>
      <c r="V164" s="30" t="s">
        <v>52</v>
      </c>
    </row>
    <row r="165" spans="1:22" ht="15" thickBot="1" x14ac:dyDescent="0.4">
      <c r="A165" s="27" t="s">
        <v>271</v>
      </c>
      <c r="B165" s="27" t="s">
        <v>87</v>
      </c>
      <c r="C165" s="27" t="s">
        <v>46</v>
      </c>
      <c r="D165" s="28">
        <v>45885</v>
      </c>
      <c r="E165" s="28">
        <v>45892</v>
      </c>
      <c r="F165" s="27" t="s">
        <v>88</v>
      </c>
      <c r="G165" s="27" t="s">
        <v>58</v>
      </c>
      <c r="H165" s="28">
        <v>32077</v>
      </c>
      <c r="I165" s="27" t="s">
        <v>79</v>
      </c>
      <c r="J165" s="27" t="s">
        <v>75</v>
      </c>
      <c r="K165" s="27" t="s">
        <v>39</v>
      </c>
      <c r="L165" s="27" t="s">
        <v>49</v>
      </c>
      <c r="M165" s="27">
        <v>11</v>
      </c>
      <c r="N165" s="27">
        <v>55000</v>
      </c>
      <c r="O165" s="27">
        <v>15</v>
      </c>
      <c r="P165" s="27">
        <v>514250</v>
      </c>
      <c r="Q165" s="27">
        <v>4</v>
      </c>
      <c r="R165" s="27" t="s">
        <v>65</v>
      </c>
      <c r="S165" s="27" t="s">
        <v>80</v>
      </c>
      <c r="T165" s="27" t="s">
        <v>89</v>
      </c>
      <c r="U165" s="27">
        <v>9222733065</v>
      </c>
      <c r="V165" s="27" t="s">
        <v>53</v>
      </c>
    </row>
    <row r="166" spans="1:22" ht="15" thickBot="1" x14ac:dyDescent="0.4">
      <c r="A166" s="30" t="s">
        <v>272</v>
      </c>
      <c r="B166" s="30" t="s">
        <v>134</v>
      </c>
      <c r="C166" s="30" t="s">
        <v>105</v>
      </c>
      <c r="D166" s="31">
        <v>46014</v>
      </c>
      <c r="E166" s="31">
        <v>46025</v>
      </c>
      <c r="F166" s="30" t="s">
        <v>135</v>
      </c>
      <c r="G166" s="30" t="s">
        <v>26</v>
      </c>
      <c r="H166" s="31">
        <v>37730</v>
      </c>
      <c r="I166" s="30" t="s">
        <v>147</v>
      </c>
      <c r="J166" s="30" t="s">
        <v>148</v>
      </c>
      <c r="K166" s="30" t="s">
        <v>29</v>
      </c>
      <c r="L166" s="30" t="s">
        <v>107</v>
      </c>
      <c r="M166" s="30">
        <v>5</v>
      </c>
      <c r="N166" s="30">
        <v>8500</v>
      </c>
      <c r="O166" s="30">
        <v>5</v>
      </c>
      <c r="P166" s="30">
        <v>40375</v>
      </c>
      <c r="Q166" s="30">
        <v>4</v>
      </c>
      <c r="R166" s="30" t="s">
        <v>31</v>
      </c>
      <c r="S166" s="30" t="s">
        <v>96</v>
      </c>
      <c r="T166" s="30" t="s">
        <v>136</v>
      </c>
      <c r="U166" s="30">
        <v>9684246902</v>
      </c>
      <c r="V166" s="22" t="s">
        <v>34</v>
      </c>
    </row>
    <row r="167" spans="1:22" ht="15" thickBot="1" x14ac:dyDescent="0.4">
      <c r="A167" s="27" t="s">
        <v>116</v>
      </c>
      <c r="B167" s="27" t="s">
        <v>72</v>
      </c>
      <c r="C167" s="27" t="s">
        <v>112</v>
      </c>
      <c r="D167" s="28">
        <v>45908</v>
      </c>
      <c r="E167" s="28">
        <v>45919</v>
      </c>
      <c r="F167" s="27" t="s">
        <v>73</v>
      </c>
      <c r="G167" s="27" t="s">
        <v>26</v>
      </c>
      <c r="H167" s="28">
        <v>37301</v>
      </c>
      <c r="I167" s="27" t="s">
        <v>121</v>
      </c>
      <c r="J167" s="27" t="s">
        <v>38</v>
      </c>
      <c r="K167" s="27" t="s">
        <v>39</v>
      </c>
      <c r="L167" s="27" t="s">
        <v>114</v>
      </c>
      <c r="M167" s="27">
        <v>16</v>
      </c>
      <c r="N167" s="27">
        <v>700</v>
      </c>
      <c r="O167" s="27">
        <v>15</v>
      </c>
      <c r="P167" s="27">
        <v>9520</v>
      </c>
      <c r="Q167" s="27">
        <v>4</v>
      </c>
      <c r="R167" s="27" t="s">
        <v>60</v>
      </c>
      <c r="S167" s="27" t="s">
        <v>50</v>
      </c>
      <c r="T167" s="27" t="s">
        <v>93</v>
      </c>
      <c r="U167" s="27">
        <v>9989580228</v>
      </c>
      <c r="V167" s="21" t="s">
        <v>34</v>
      </c>
    </row>
    <row r="168" spans="1:22" ht="15" thickBot="1" x14ac:dyDescent="0.4">
      <c r="A168" s="30" t="s">
        <v>273</v>
      </c>
      <c r="B168" s="30" t="s">
        <v>87</v>
      </c>
      <c r="C168" s="30" t="s">
        <v>112</v>
      </c>
      <c r="D168" s="31">
        <v>45845</v>
      </c>
      <c r="E168" s="31">
        <v>45851</v>
      </c>
      <c r="F168" s="30" t="s">
        <v>88</v>
      </c>
      <c r="G168" s="30" t="s">
        <v>58</v>
      </c>
      <c r="H168" s="31">
        <v>27580</v>
      </c>
      <c r="I168" s="30" t="s">
        <v>79</v>
      </c>
      <c r="J168" s="30" t="s">
        <v>75</v>
      </c>
      <c r="K168" s="30" t="s">
        <v>39</v>
      </c>
      <c r="L168" s="30" t="s">
        <v>114</v>
      </c>
      <c r="M168" s="30">
        <v>6</v>
      </c>
      <c r="N168" s="30">
        <v>700</v>
      </c>
      <c r="O168" s="30">
        <v>10</v>
      </c>
      <c r="P168" s="30">
        <v>3780</v>
      </c>
      <c r="Q168" s="30">
        <v>4</v>
      </c>
      <c r="R168" s="30" t="s">
        <v>31</v>
      </c>
      <c r="S168" s="30" t="s">
        <v>42</v>
      </c>
      <c r="T168" s="30" t="s">
        <v>89</v>
      </c>
      <c r="U168" s="30">
        <v>9110269572</v>
      </c>
      <c r="V168" s="30" t="s">
        <v>53</v>
      </c>
    </row>
    <row r="169" spans="1:22" ht="15" thickBot="1" x14ac:dyDescent="0.4">
      <c r="A169" s="27" t="s">
        <v>274</v>
      </c>
      <c r="B169" s="27" t="s">
        <v>45</v>
      </c>
      <c r="C169" s="27" t="s">
        <v>68</v>
      </c>
      <c r="D169" s="28">
        <v>46145</v>
      </c>
      <c r="E169" s="28">
        <v>46157</v>
      </c>
      <c r="F169" s="27" t="s">
        <v>101</v>
      </c>
      <c r="G169" s="27" t="s">
        <v>26</v>
      </c>
      <c r="H169" s="28">
        <v>33668</v>
      </c>
      <c r="I169" s="27" t="s">
        <v>37</v>
      </c>
      <c r="J169" s="27" t="s">
        <v>38</v>
      </c>
      <c r="K169" s="27" t="s">
        <v>29</v>
      </c>
      <c r="L169" s="27" t="s">
        <v>70</v>
      </c>
      <c r="M169" s="27">
        <v>20</v>
      </c>
      <c r="N169" s="27">
        <v>3500</v>
      </c>
      <c r="O169" s="27">
        <v>10</v>
      </c>
      <c r="P169" s="27">
        <v>63000</v>
      </c>
      <c r="Q169" s="27">
        <v>4</v>
      </c>
      <c r="R169" s="27" t="s">
        <v>65</v>
      </c>
      <c r="S169" s="27" t="s">
        <v>42</v>
      </c>
      <c r="T169" s="27" t="s">
        <v>51</v>
      </c>
      <c r="U169" s="27">
        <v>9745972422</v>
      </c>
      <c r="V169" s="27" t="s">
        <v>52</v>
      </c>
    </row>
    <row r="170" spans="1:22" ht="15" thickBot="1" x14ac:dyDescent="0.4">
      <c r="A170" s="30" t="s">
        <v>275</v>
      </c>
      <c r="B170" s="30" t="s">
        <v>23</v>
      </c>
      <c r="C170" s="30" t="s">
        <v>125</v>
      </c>
      <c r="D170" s="31">
        <v>45990</v>
      </c>
      <c r="E170" s="31">
        <v>45998</v>
      </c>
      <c r="F170" s="30" t="s">
        <v>25</v>
      </c>
      <c r="G170" s="30" t="s">
        <v>26</v>
      </c>
      <c r="H170" s="31">
        <v>35949</v>
      </c>
      <c r="I170" s="30" t="s">
        <v>48</v>
      </c>
      <c r="J170" s="30" t="s">
        <v>28</v>
      </c>
      <c r="K170" s="30" t="s">
        <v>83</v>
      </c>
      <c r="L170" s="30" t="s">
        <v>127</v>
      </c>
      <c r="M170" s="30">
        <v>2</v>
      </c>
      <c r="N170" s="30">
        <v>20</v>
      </c>
      <c r="O170" s="30">
        <v>10</v>
      </c>
      <c r="P170" s="30">
        <v>36</v>
      </c>
      <c r="Q170" s="30">
        <v>1</v>
      </c>
      <c r="R170" s="30" t="s">
        <v>41</v>
      </c>
      <c r="S170" s="30" t="s">
        <v>80</v>
      </c>
      <c r="T170" s="30" t="s">
        <v>43</v>
      </c>
      <c r="U170" s="30">
        <v>9123712257</v>
      </c>
      <c r="V170" s="30" t="s">
        <v>52</v>
      </c>
    </row>
    <row r="171" spans="1:22" ht="15" thickBot="1" x14ac:dyDescent="0.4">
      <c r="A171" s="27" t="s">
        <v>276</v>
      </c>
      <c r="B171" s="27" t="s">
        <v>72</v>
      </c>
      <c r="C171" s="27" t="s">
        <v>24</v>
      </c>
      <c r="D171" s="28">
        <v>45852</v>
      </c>
      <c r="E171" s="28">
        <v>45857</v>
      </c>
      <c r="F171" s="27" t="s">
        <v>73</v>
      </c>
      <c r="G171" s="27" t="s">
        <v>26</v>
      </c>
      <c r="H171" s="28">
        <v>35336</v>
      </c>
      <c r="I171" s="27" t="s">
        <v>79</v>
      </c>
      <c r="J171" s="27" t="s">
        <v>75</v>
      </c>
      <c r="K171" s="27" t="s">
        <v>29</v>
      </c>
      <c r="L171" s="27" t="s">
        <v>30</v>
      </c>
      <c r="M171" s="27">
        <v>16</v>
      </c>
      <c r="N171" s="27">
        <v>2200</v>
      </c>
      <c r="O171" s="27">
        <v>20</v>
      </c>
      <c r="P171" s="27">
        <v>28160</v>
      </c>
      <c r="Q171" s="27">
        <v>2</v>
      </c>
      <c r="R171" s="27" t="s">
        <v>65</v>
      </c>
      <c r="S171" s="27" t="s">
        <v>96</v>
      </c>
      <c r="T171" s="27" t="s">
        <v>93</v>
      </c>
      <c r="U171" s="27">
        <v>9665525431</v>
      </c>
      <c r="V171" s="27" t="s">
        <v>52</v>
      </c>
    </row>
    <row r="172" spans="1:22" ht="15" thickBot="1" x14ac:dyDescent="0.4">
      <c r="A172" s="30" t="s">
        <v>277</v>
      </c>
      <c r="B172" s="30" t="s">
        <v>124</v>
      </c>
      <c r="C172" s="30" t="s">
        <v>36</v>
      </c>
      <c r="D172" s="31">
        <v>45729</v>
      </c>
      <c r="E172" s="31">
        <v>45739</v>
      </c>
      <c r="F172" s="30" t="s">
        <v>126</v>
      </c>
      <c r="G172" s="30" t="s">
        <v>58</v>
      </c>
      <c r="H172" s="31">
        <v>35048</v>
      </c>
      <c r="I172" s="30" t="s">
        <v>79</v>
      </c>
      <c r="J172" s="30" t="s">
        <v>75</v>
      </c>
      <c r="K172" s="30" t="s">
        <v>39</v>
      </c>
      <c r="L172" s="30" t="s">
        <v>40</v>
      </c>
      <c r="M172" s="30">
        <v>15</v>
      </c>
      <c r="N172" s="30">
        <v>12000</v>
      </c>
      <c r="O172" s="30">
        <v>0</v>
      </c>
      <c r="P172" s="30">
        <v>180000</v>
      </c>
      <c r="Q172" s="30">
        <v>1</v>
      </c>
      <c r="R172" s="30" t="s">
        <v>60</v>
      </c>
      <c r="S172" s="30" t="s">
        <v>50</v>
      </c>
      <c r="T172" s="30" t="s">
        <v>128</v>
      </c>
      <c r="U172" s="30">
        <v>9682415134</v>
      </c>
      <c r="V172" s="30" t="s">
        <v>52</v>
      </c>
    </row>
    <row r="173" spans="1:22" ht="15" thickBot="1" x14ac:dyDescent="0.4">
      <c r="A173" s="27" t="s">
        <v>278</v>
      </c>
      <c r="B173" s="27" t="s">
        <v>23</v>
      </c>
      <c r="C173" s="27" t="s">
        <v>82</v>
      </c>
      <c r="D173" s="28">
        <v>45860</v>
      </c>
      <c r="E173" s="28">
        <v>45861</v>
      </c>
      <c r="F173" s="27" t="s">
        <v>25</v>
      </c>
      <c r="G173" s="27" t="s">
        <v>26</v>
      </c>
      <c r="H173" s="28">
        <v>27965</v>
      </c>
      <c r="I173" s="27" t="s">
        <v>37</v>
      </c>
      <c r="J173" s="27" t="s">
        <v>38</v>
      </c>
      <c r="K173" s="27" t="s">
        <v>83</v>
      </c>
      <c r="L173" s="27" t="s">
        <v>84</v>
      </c>
      <c r="M173" s="27">
        <v>14</v>
      </c>
      <c r="N173" s="27">
        <v>60</v>
      </c>
      <c r="O173" s="27">
        <v>15</v>
      </c>
      <c r="P173" s="27">
        <v>714</v>
      </c>
      <c r="Q173" s="27">
        <v>4</v>
      </c>
      <c r="R173" s="27" t="s">
        <v>65</v>
      </c>
      <c r="S173" s="27" t="s">
        <v>42</v>
      </c>
      <c r="T173" s="27" t="s">
        <v>43</v>
      </c>
      <c r="U173" s="27">
        <v>9808223872</v>
      </c>
      <c r="V173" s="21" t="s">
        <v>34</v>
      </c>
    </row>
    <row r="174" spans="1:22" ht="15" thickBot="1" x14ac:dyDescent="0.4">
      <c r="A174" s="30" t="s">
        <v>279</v>
      </c>
      <c r="B174" s="30" t="s">
        <v>45</v>
      </c>
      <c r="C174" s="30" t="s">
        <v>56</v>
      </c>
      <c r="D174" s="31">
        <v>45859</v>
      </c>
      <c r="E174" s="31">
        <v>45862</v>
      </c>
      <c r="F174" s="30" t="s">
        <v>101</v>
      </c>
      <c r="G174" s="30" t="s">
        <v>26</v>
      </c>
      <c r="H174" s="31">
        <v>30855</v>
      </c>
      <c r="I174" s="30" t="s">
        <v>27</v>
      </c>
      <c r="J174" s="30" t="s">
        <v>28</v>
      </c>
      <c r="K174" s="30" t="s">
        <v>39</v>
      </c>
      <c r="L174" s="30" t="s">
        <v>59</v>
      </c>
      <c r="M174" s="30">
        <v>9</v>
      </c>
      <c r="N174" s="30">
        <v>1200</v>
      </c>
      <c r="O174" s="30">
        <v>5</v>
      </c>
      <c r="P174" s="30">
        <v>10260</v>
      </c>
      <c r="Q174" s="30">
        <v>5</v>
      </c>
      <c r="R174" s="30" t="s">
        <v>41</v>
      </c>
      <c r="S174" s="30" t="s">
        <v>50</v>
      </c>
      <c r="T174" s="30" t="s">
        <v>51</v>
      </c>
      <c r="U174" s="30">
        <v>9193549730</v>
      </c>
      <c r="V174" s="30" t="s">
        <v>52</v>
      </c>
    </row>
    <row r="175" spans="1:22" ht="15" thickBot="1" x14ac:dyDescent="0.4">
      <c r="A175" s="27" t="s">
        <v>280</v>
      </c>
      <c r="B175" s="27" t="s">
        <v>124</v>
      </c>
      <c r="C175" s="27" t="s">
        <v>56</v>
      </c>
      <c r="D175" s="28">
        <v>45857</v>
      </c>
      <c r="E175" s="28">
        <v>45867</v>
      </c>
      <c r="F175" s="27" t="s">
        <v>126</v>
      </c>
      <c r="G175" s="27" t="s">
        <v>58</v>
      </c>
      <c r="H175" s="28">
        <v>36013</v>
      </c>
      <c r="I175" s="27" t="s">
        <v>147</v>
      </c>
      <c r="J175" s="27" t="s">
        <v>148</v>
      </c>
      <c r="K175" s="27" t="s">
        <v>39</v>
      </c>
      <c r="L175" s="27" t="s">
        <v>59</v>
      </c>
      <c r="M175" s="27">
        <v>3</v>
      </c>
      <c r="N175" s="27">
        <v>1200</v>
      </c>
      <c r="O175" s="27">
        <v>10</v>
      </c>
      <c r="P175" s="27">
        <v>3240</v>
      </c>
      <c r="Q175" s="27">
        <v>2</v>
      </c>
      <c r="R175" s="27" t="s">
        <v>60</v>
      </c>
      <c r="S175" s="27" t="s">
        <v>96</v>
      </c>
      <c r="T175" s="27" t="s">
        <v>128</v>
      </c>
      <c r="U175" s="27">
        <v>9520617130</v>
      </c>
      <c r="V175" s="27" t="s">
        <v>53</v>
      </c>
    </row>
    <row r="176" spans="1:22" ht="15" thickBot="1" x14ac:dyDescent="0.4">
      <c r="A176" s="30" t="s">
        <v>281</v>
      </c>
      <c r="B176" s="30" t="s">
        <v>156</v>
      </c>
      <c r="C176" s="30" t="s">
        <v>82</v>
      </c>
      <c r="D176" s="31">
        <v>45757</v>
      </c>
      <c r="E176" s="31">
        <v>45759</v>
      </c>
      <c r="F176" s="30" t="s">
        <v>106</v>
      </c>
      <c r="G176" s="30" t="s">
        <v>58</v>
      </c>
      <c r="H176" s="31">
        <v>37060</v>
      </c>
      <c r="I176" s="30" t="s">
        <v>27</v>
      </c>
      <c r="J176" s="30" t="s">
        <v>28</v>
      </c>
      <c r="K176" s="30" t="s">
        <v>83</v>
      </c>
      <c r="L176" s="30" t="s">
        <v>84</v>
      </c>
      <c r="M176" s="30">
        <v>2</v>
      </c>
      <c r="N176" s="30">
        <v>60</v>
      </c>
      <c r="O176" s="30">
        <v>10</v>
      </c>
      <c r="P176" s="30">
        <v>108</v>
      </c>
      <c r="Q176" s="30">
        <v>2</v>
      </c>
      <c r="R176" s="30" t="s">
        <v>65</v>
      </c>
      <c r="S176" s="30" t="s">
        <v>50</v>
      </c>
      <c r="T176" s="30" t="s">
        <v>158</v>
      </c>
      <c r="U176" s="30">
        <v>9264578122</v>
      </c>
      <c r="V176" s="22" t="s">
        <v>34</v>
      </c>
    </row>
    <row r="177" spans="1:22" ht="15" thickBot="1" x14ac:dyDescent="0.4">
      <c r="A177" s="27" t="s">
        <v>282</v>
      </c>
      <c r="B177" s="27" t="s">
        <v>55</v>
      </c>
      <c r="C177" s="27" t="s">
        <v>68</v>
      </c>
      <c r="D177" s="28">
        <v>46155</v>
      </c>
      <c r="E177" s="28">
        <v>46165</v>
      </c>
      <c r="F177" s="27" t="s">
        <v>57</v>
      </c>
      <c r="G177" s="27" t="s">
        <v>58</v>
      </c>
      <c r="H177" s="28">
        <v>36414</v>
      </c>
      <c r="I177" s="27" t="s">
        <v>37</v>
      </c>
      <c r="J177" s="27" t="s">
        <v>38</v>
      </c>
      <c r="K177" s="27" t="s">
        <v>29</v>
      </c>
      <c r="L177" s="27" t="s">
        <v>70</v>
      </c>
      <c r="M177" s="27">
        <v>9</v>
      </c>
      <c r="N177" s="27">
        <v>3500</v>
      </c>
      <c r="O177" s="27">
        <v>20</v>
      </c>
      <c r="P177" s="27">
        <v>25200</v>
      </c>
      <c r="Q177" s="27">
        <v>1</v>
      </c>
      <c r="R177" s="27" t="s">
        <v>41</v>
      </c>
      <c r="S177" s="27" t="s">
        <v>32</v>
      </c>
      <c r="T177" s="27" t="s">
        <v>61</v>
      </c>
      <c r="U177" s="27">
        <v>9275071213</v>
      </c>
      <c r="V177" s="21" t="s">
        <v>34</v>
      </c>
    </row>
    <row r="178" spans="1:22" ht="15" thickBot="1" x14ac:dyDescent="0.4">
      <c r="A178" s="30" t="s">
        <v>283</v>
      </c>
      <c r="B178" s="30" t="s">
        <v>124</v>
      </c>
      <c r="C178" s="30" t="s">
        <v>46</v>
      </c>
      <c r="D178" s="31">
        <v>46094</v>
      </c>
      <c r="E178" s="31">
        <v>46097</v>
      </c>
      <c r="F178" s="30" t="s">
        <v>126</v>
      </c>
      <c r="G178" s="30" t="s">
        <v>58</v>
      </c>
      <c r="H178" s="31">
        <v>35040</v>
      </c>
      <c r="I178" s="30" t="s">
        <v>121</v>
      </c>
      <c r="J178" s="30" t="s">
        <v>38</v>
      </c>
      <c r="K178" s="30" t="s">
        <v>39</v>
      </c>
      <c r="L178" s="30" t="s">
        <v>49</v>
      </c>
      <c r="M178" s="30">
        <v>4</v>
      </c>
      <c r="N178" s="30">
        <v>55000</v>
      </c>
      <c r="O178" s="30">
        <v>5</v>
      </c>
      <c r="P178" s="30">
        <v>209000</v>
      </c>
      <c r="Q178" s="30">
        <v>2</v>
      </c>
      <c r="R178" s="30" t="s">
        <v>31</v>
      </c>
      <c r="S178" s="30" t="s">
        <v>96</v>
      </c>
      <c r="T178" s="30" t="s">
        <v>128</v>
      </c>
      <c r="U178" s="30">
        <v>9715222543</v>
      </c>
      <c r="V178" s="30" t="s">
        <v>52</v>
      </c>
    </row>
    <row r="179" spans="1:22" ht="15" thickBot="1" x14ac:dyDescent="0.4">
      <c r="A179" s="27" t="s">
        <v>284</v>
      </c>
      <c r="B179" s="27" t="s">
        <v>156</v>
      </c>
      <c r="C179" s="27" t="s">
        <v>112</v>
      </c>
      <c r="D179" s="28">
        <v>45835</v>
      </c>
      <c r="E179" s="28">
        <v>45839</v>
      </c>
      <c r="F179" s="27" t="s">
        <v>106</v>
      </c>
      <c r="G179" s="27" t="s">
        <v>58</v>
      </c>
      <c r="H179" s="28">
        <v>36363</v>
      </c>
      <c r="I179" s="27" t="s">
        <v>37</v>
      </c>
      <c r="J179" s="27" t="s">
        <v>38</v>
      </c>
      <c r="K179" s="27" t="s">
        <v>39</v>
      </c>
      <c r="L179" s="27" t="s">
        <v>114</v>
      </c>
      <c r="M179" s="27">
        <v>11</v>
      </c>
      <c r="N179" s="27">
        <v>700</v>
      </c>
      <c r="O179" s="27">
        <v>20</v>
      </c>
      <c r="P179" s="27">
        <v>6160</v>
      </c>
      <c r="Q179" s="27">
        <v>4</v>
      </c>
      <c r="R179" s="27" t="s">
        <v>31</v>
      </c>
      <c r="S179" s="27" t="s">
        <v>96</v>
      </c>
      <c r="T179" s="27" t="s">
        <v>158</v>
      </c>
      <c r="U179" s="27">
        <v>9942010833</v>
      </c>
      <c r="V179" s="27" t="s">
        <v>53</v>
      </c>
    </row>
    <row r="180" spans="1:22" ht="15" thickBot="1" x14ac:dyDescent="0.4">
      <c r="A180" s="30" t="s">
        <v>285</v>
      </c>
      <c r="B180" s="30" t="s">
        <v>104</v>
      </c>
      <c r="C180" s="30" t="s">
        <v>56</v>
      </c>
      <c r="D180" s="31">
        <v>45980</v>
      </c>
      <c r="E180" s="31">
        <v>45990</v>
      </c>
      <c r="F180" s="30" t="s">
        <v>166</v>
      </c>
      <c r="G180" s="30" t="s">
        <v>26</v>
      </c>
      <c r="H180" s="31">
        <v>36844</v>
      </c>
      <c r="I180" s="30" t="s">
        <v>147</v>
      </c>
      <c r="J180" s="30" t="s">
        <v>148</v>
      </c>
      <c r="K180" s="30" t="s">
        <v>39</v>
      </c>
      <c r="L180" s="30" t="s">
        <v>59</v>
      </c>
      <c r="M180" s="30">
        <v>16</v>
      </c>
      <c r="N180" s="30">
        <v>1200</v>
      </c>
      <c r="O180" s="30">
        <v>5</v>
      </c>
      <c r="P180" s="30">
        <v>18240</v>
      </c>
      <c r="Q180" s="30">
        <v>1</v>
      </c>
      <c r="R180" s="30" t="s">
        <v>60</v>
      </c>
      <c r="S180" s="30" t="s">
        <v>32</v>
      </c>
      <c r="T180" s="30" t="s">
        <v>108</v>
      </c>
      <c r="U180" s="30">
        <v>9347718932</v>
      </c>
      <c r="V180" s="30" t="s">
        <v>52</v>
      </c>
    </row>
    <row r="181" spans="1:22" ht="15" thickBot="1" x14ac:dyDescent="0.4">
      <c r="A181" s="27" t="s">
        <v>286</v>
      </c>
      <c r="B181" s="27" t="s">
        <v>104</v>
      </c>
      <c r="C181" s="27" t="s">
        <v>56</v>
      </c>
      <c r="D181" s="28">
        <v>45915</v>
      </c>
      <c r="E181" s="28">
        <v>45917</v>
      </c>
      <c r="F181" s="27" t="s">
        <v>166</v>
      </c>
      <c r="G181" s="27" t="s">
        <v>26</v>
      </c>
      <c r="H181" s="28">
        <v>37461</v>
      </c>
      <c r="I181" s="27" t="s">
        <v>79</v>
      </c>
      <c r="J181" s="27" t="s">
        <v>75</v>
      </c>
      <c r="K181" s="27" t="s">
        <v>39</v>
      </c>
      <c r="L181" s="27" t="s">
        <v>59</v>
      </c>
      <c r="M181" s="27">
        <v>1</v>
      </c>
      <c r="N181" s="27">
        <v>1200</v>
      </c>
      <c r="O181" s="27">
        <v>5</v>
      </c>
      <c r="P181" s="27">
        <v>1140</v>
      </c>
      <c r="Q181" s="27">
        <v>4</v>
      </c>
      <c r="R181" s="27" t="s">
        <v>60</v>
      </c>
      <c r="S181" s="27" t="s">
        <v>32</v>
      </c>
      <c r="T181" s="27" t="s">
        <v>108</v>
      </c>
      <c r="U181" s="27">
        <v>9274808844</v>
      </c>
      <c r="V181" s="21" t="s">
        <v>34</v>
      </c>
    </row>
    <row r="182" spans="1:22" ht="15" thickBot="1" x14ac:dyDescent="0.4">
      <c r="A182" s="30" t="s">
        <v>287</v>
      </c>
      <c r="B182" s="30" t="s">
        <v>156</v>
      </c>
      <c r="C182" s="30" t="s">
        <v>82</v>
      </c>
      <c r="D182" s="31">
        <v>45965</v>
      </c>
      <c r="E182" s="31">
        <v>45974</v>
      </c>
      <c r="F182" s="30" t="s">
        <v>106</v>
      </c>
      <c r="G182" s="30" t="s">
        <v>58</v>
      </c>
      <c r="H182" s="31">
        <v>37312</v>
      </c>
      <c r="I182" s="30" t="s">
        <v>121</v>
      </c>
      <c r="J182" s="30" t="s">
        <v>38</v>
      </c>
      <c r="K182" s="30" t="s">
        <v>83</v>
      </c>
      <c r="L182" s="30" t="s">
        <v>84</v>
      </c>
      <c r="M182" s="30">
        <v>7</v>
      </c>
      <c r="N182" s="30">
        <v>60</v>
      </c>
      <c r="O182" s="30">
        <v>0</v>
      </c>
      <c r="P182" s="30">
        <v>420</v>
      </c>
      <c r="Q182" s="30">
        <v>2</v>
      </c>
      <c r="R182" s="30" t="s">
        <v>65</v>
      </c>
      <c r="S182" s="30" t="s">
        <v>96</v>
      </c>
      <c r="T182" s="30" t="s">
        <v>158</v>
      </c>
      <c r="U182" s="30">
        <v>9798996063</v>
      </c>
      <c r="V182" s="22" t="s">
        <v>34</v>
      </c>
    </row>
    <row r="183" spans="1:22" ht="15" thickBot="1" x14ac:dyDescent="0.4">
      <c r="A183" s="27" t="s">
        <v>288</v>
      </c>
      <c r="B183" s="27" t="s">
        <v>104</v>
      </c>
      <c r="C183" s="27" t="s">
        <v>24</v>
      </c>
      <c r="D183" s="28">
        <v>45660</v>
      </c>
      <c r="E183" s="28">
        <v>45664</v>
      </c>
      <c r="F183" s="27" t="s">
        <v>166</v>
      </c>
      <c r="G183" s="27" t="s">
        <v>26</v>
      </c>
      <c r="H183" s="28">
        <v>29418</v>
      </c>
      <c r="I183" s="27" t="s">
        <v>79</v>
      </c>
      <c r="J183" s="27" t="s">
        <v>75</v>
      </c>
      <c r="K183" s="27" t="s">
        <v>29</v>
      </c>
      <c r="L183" s="27" t="s">
        <v>30</v>
      </c>
      <c r="M183" s="27">
        <v>14</v>
      </c>
      <c r="N183" s="27">
        <v>2200</v>
      </c>
      <c r="O183" s="27">
        <v>0</v>
      </c>
      <c r="P183" s="27">
        <v>30800</v>
      </c>
      <c r="Q183" s="27">
        <v>2</v>
      </c>
      <c r="R183" s="27" t="s">
        <v>65</v>
      </c>
      <c r="S183" s="27" t="s">
        <v>32</v>
      </c>
      <c r="T183" s="27" t="s">
        <v>108</v>
      </c>
      <c r="U183" s="27">
        <v>9145200936</v>
      </c>
      <c r="V183" s="27" t="s">
        <v>53</v>
      </c>
    </row>
    <row r="184" spans="1:22" ht="15" thickBot="1" x14ac:dyDescent="0.4">
      <c r="A184" s="30" t="s">
        <v>289</v>
      </c>
      <c r="B184" s="30" t="s">
        <v>104</v>
      </c>
      <c r="C184" s="30" t="s">
        <v>68</v>
      </c>
      <c r="D184" s="31">
        <v>45827</v>
      </c>
      <c r="E184" s="31">
        <v>45835</v>
      </c>
      <c r="F184" s="30" t="s">
        <v>166</v>
      </c>
      <c r="G184" s="30" t="s">
        <v>26</v>
      </c>
      <c r="H184" s="31">
        <v>35210</v>
      </c>
      <c r="I184" s="30" t="s">
        <v>91</v>
      </c>
      <c r="J184" s="30" t="s">
        <v>75</v>
      </c>
      <c r="K184" s="30" t="s">
        <v>29</v>
      </c>
      <c r="L184" s="30" t="s">
        <v>70</v>
      </c>
      <c r="M184" s="30">
        <v>15</v>
      </c>
      <c r="N184" s="30">
        <v>3500</v>
      </c>
      <c r="O184" s="30">
        <v>15</v>
      </c>
      <c r="P184" s="30">
        <v>44625</v>
      </c>
      <c r="Q184" s="30">
        <v>2</v>
      </c>
      <c r="R184" s="30" t="s">
        <v>65</v>
      </c>
      <c r="S184" s="30" t="s">
        <v>50</v>
      </c>
      <c r="T184" s="30" t="s">
        <v>108</v>
      </c>
      <c r="U184" s="30">
        <v>9697654418</v>
      </c>
      <c r="V184" s="30" t="s">
        <v>52</v>
      </c>
    </row>
    <row r="185" spans="1:22" ht="15" thickBot="1" x14ac:dyDescent="0.4">
      <c r="A185" s="27" t="s">
        <v>290</v>
      </c>
      <c r="B185" s="27" t="s">
        <v>87</v>
      </c>
      <c r="C185" s="27" t="s">
        <v>68</v>
      </c>
      <c r="D185" s="28">
        <v>45742</v>
      </c>
      <c r="E185" s="28">
        <v>45753</v>
      </c>
      <c r="F185" s="27" t="s">
        <v>88</v>
      </c>
      <c r="G185" s="27" t="s">
        <v>58</v>
      </c>
      <c r="H185" s="28">
        <v>31543</v>
      </c>
      <c r="I185" s="27" t="s">
        <v>147</v>
      </c>
      <c r="J185" s="27" t="s">
        <v>148</v>
      </c>
      <c r="K185" s="27" t="s">
        <v>29</v>
      </c>
      <c r="L185" s="27" t="s">
        <v>70</v>
      </c>
      <c r="M185" s="27">
        <v>19</v>
      </c>
      <c r="N185" s="27">
        <v>3500</v>
      </c>
      <c r="O185" s="27">
        <v>5</v>
      </c>
      <c r="P185" s="27">
        <v>63175</v>
      </c>
      <c r="Q185" s="27">
        <v>2</v>
      </c>
      <c r="R185" s="27" t="s">
        <v>31</v>
      </c>
      <c r="S185" s="27" t="s">
        <v>80</v>
      </c>
      <c r="T185" s="27" t="s">
        <v>89</v>
      </c>
      <c r="U185" s="27">
        <v>9457923119</v>
      </c>
      <c r="V185" s="27" t="s">
        <v>53</v>
      </c>
    </row>
    <row r="186" spans="1:22" ht="15" thickBot="1" x14ac:dyDescent="0.4">
      <c r="A186" s="30" t="s">
        <v>291</v>
      </c>
      <c r="B186" s="30" t="s">
        <v>156</v>
      </c>
      <c r="C186" s="30" t="s">
        <v>46</v>
      </c>
      <c r="D186" s="31">
        <v>45844</v>
      </c>
      <c r="E186" s="31">
        <v>45848</v>
      </c>
      <c r="F186" s="30" t="s">
        <v>106</v>
      </c>
      <c r="G186" s="30" t="s">
        <v>58</v>
      </c>
      <c r="H186" s="31">
        <v>32653</v>
      </c>
      <c r="I186" s="30" t="s">
        <v>48</v>
      </c>
      <c r="J186" s="30" t="s">
        <v>28</v>
      </c>
      <c r="K186" s="30" t="s">
        <v>39</v>
      </c>
      <c r="L186" s="30" t="s">
        <v>49</v>
      </c>
      <c r="M186" s="30">
        <v>12</v>
      </c>
      <c r="N186" s="30">
        <v>55000</v>
      </c>
      <c r="O186" s="30">
        <v>5</v>
      </c>
      <c r="P186" s="30">
        <v>627000</v>
      </c>
      <c r="Q186" s="30">
        <v>4</v>
      </c>
      <c r="R186" s="30" t="s">
        <v>60</v>
      </c>
      <c r="S186" s="30" t="s">
        <v>50</v>
      </c>
      <c r="T186" s="30" t="s">
        <v>158</v>
      </c>
      <c r="U186" s="30">
        <v>9236111271</v>
      </c>
      <c r="V186" s="30" t="s">
        <v>53</v>
      </c>
    </row>
    <row r="187" spans="1:22" ht="15" thickBot="1" x14ac:dyDescent="0.4">
      <c r="A187" s="27" t="s">
        <v>292</v>
      </c>
      <c r="B187" s="27" t="s">
        <v>45</v>
      </c>
      <c r="C187" s="27" t="s">
        <v>56</v>
      </c>
      <c r="D187" s="28">
        <v>46040</v>
      </c>
      <c r="E187" s="28">
        <v>46048</v>
      </c>
      <c r="F187" s="27" t="s">
        <v>101</v>
      </c>
      <c r="G187" s="27" t="s">
        <v>26</v>
      </c>
      <c r="H187" s="28">
        <v>32745</v>
      </c>
      <c r="I187" s="27" t="s">
        <v>74</v>
      </c>
      <c r="J187" s="27" t="s">
        <v>75</v>
      </c>
      <c r="K187" s="27" t="s">
        <v>39</v>
      </c>
      <c r="L187" s="27" t="s">
        <v>59</v>
      </c>
      <c r="M187" s="27">
        <v>6</v>
      </c>
      <c r="N187" s="27">
        <v>1200</v>
      </c>
      <c r="O187" s="27">
        <v>10</v>
      </c>
      <c r="P187" s="27">
        <v>6480</v>
      </c>
      <c r="Q187" s="27">
        <v>5</v>
      </c>
      <c r="R187" s="27" t="s">
        <v>41</v>
      </c>
      <c r="S187" s="27" t="s">
        <v>80</v>
      </c>
      <c r="T187" s="27" t="s">
        <v>51</v>
      </c>
      <c r="U187" s="27">
        <v>9402569141</v>
      </c>
      <c r="V187" s="27" t="s">
        <v>53</v>
      </c>
    </row>
    <row r="188" spans="1:22" ht="15" thickBot="1" x14ac:dyDescent="0.4">
      <c r="A188" s="30" t="s">
        <v>293</v>
      </c>
      <c r="B188" s="30" t="s">
        <v>134</v>
      </c>
      <c r="C188" s="30" t="s">
        <v>105</v>
      </c>
      <c r="D188" s="31">
        <v>45919</v>
      </c>
      <c r="E188" s="31">
        <v>45920</v>
      </c>
      <c r="F188" s="30" t="s">
        <v>135</v>
      </c>
      <c r="G188" s="30" t="s">
        <v>26</v>
      </c>
      <c r="H188" s="31">
        <v>35570</v>
      </c>
      <c r="I188" s="30" t="s">
        <v>27</v>
      </c>
      <c r="J188" s="30" t="s">
        <v>28</v>
      </c>
      <c r="K188" s="30" t="s">
        <v>29</v>
      </c>
      <c r="L188" s="30" t="s">
        <v>107</v>
      </c>
      <c r="M188" s="30">
        <v>1</v>
      </c>
      <c r="N188" s="30">
        <v>8500</v>
      </c>
      <c r="O188" s="30">
        <v>0</v>
      </c>
      <c r="P188" s="30">
        <v>8500</v>
      </c>
      <c r="Q188" s="30">
        <v>1</v>
      </c>
      <c r="R188" s="30" t="s">
        <v>65</v>
      </c>
      <c r="S188" s="30" t="s">
        <v>96</v>
      </c>
      <c r="T188" s="30" t="s">
        <v>136</v>
      </c>
      <c r="U188" s="30">
        <v>9138184056</v>
      </c>
      <c r="V188" s="30" t="s">
        <v>53</v>
      </c>
    </row>
    <row r="189" spans="1:22" ht="15" thickBot="1" x14ac:dyDescent="0.4">
      <c r="A189" s="27" t="s">
        <v>294</v>
      </c>
      <c r="B189" s="27" t="s">
        <v>87</v>
      </c>
      <c r="C189" s="27" t="s">
        <v>46</v>
      </c>
      <c r="D189" s="28">
        <v>46113</v>
      </c>
      <c r="E189" s="28">
        <v>46119</v>
      </c>
      <c r="F189" s="27" t="s">
        <v>88</v>
      </c>
      <c r="G189" s="27" t="s">
        <v>58</v>
      </c>
      <c r="H189" s="28">
        <v>31900</v>
      </c>
      <c r="I189" s="27" t="s">
        <v>91</v>
      </c>
      <c r="J189" s="27" t="s">
        <v>75</v>
      </c>
      <c r="K189" s="27" t="s">
        <v>39</v>
      </c>
      <c r="L189" s="27" t="s">
        <v>49</v>
      </c>
      <c r="M189" s="27">
        <v>20</v>
      </c>
      <c r="N189" s="27">
        <v>55000</v>
      </c>
      <c r="O189" s="27">
        <v>10</v>
      </c>
      <c r="P189" s="27">
        <v>990000</v>
      </c>
      <c r="Q189" s="27">
        <v>5</v>
      </c>
      <c r="R189" s="27" t="s">
        <v>41</v>
      </c>
      <c r="S189" s="27" t="s">
        <v>96</v>
      </c>
      <c r="T189" s="27" t="s">
        <v>89</v>
      </c>
      <c r="U189" s="27">
        <v>9609598700</v>
      </c>
      <c r="V189" s="21" t="s">
        <v>34</v>
      </c>
    </row>
    <row r="190" spans="1:22" ht="15" thickBot="1" x14ac:dyDescent="0.4">
      <c r="A190" s="30" t="s">
        <v>295</v>
      </c>
      <c r="B190" s="30" t="s">
        <v>124</v>
      </c>
      <c r="C190" s="30" t="s">
        <v>56</v>
      </c>
      <c r="D190" s="31">
        <v>45958</v>
      </c>
      <c r="E190" s="31">
        <v>45959</v>
      </c>
      <c r="F190" s="30" t="s">
        <v>126</v>
      </c>
      <c r="G190" s="30" t="s">
        <v>58</v>
      </c>
      <c r="H190" s="31">
        <v>37592</v>
      </c>
      <c r="I190" s="30" t="s">
        <v>91</v>
      </c>
      <c r="J190" s="30" t="s">
        <v>75</v>
      </c>
      <c r="K190" s="30" t="s">
        <v>39</v>
      </c>
      <c r="L190" s="30" t="s">
        <v>59</v>
      </c>
      <c r="M190" s="30">
        <v>8</v>
      </c>
      <c r="N190" s="30">
        <v>1200</v>
      </c>
      <c r="O190" s="30">
        <v>15</v>
      </c>
      <c r="P190" s="30">
        <v>8160</v>
      </c>
      <c r="Q190" s="30">
        <v>2</v>
      </c>
      <c r="R190" s="30" t="s">
        <v>65</v>
      </c>
      <c r="S190" s="30" t="s">
        <v>80</v>
      </c>
      <c r="T190" s="30" t="s">
        <v>128</v>
      </c>
      <c r="U190" s="30">
        <v>9385894399</v>
      </c>
      <c r="V190" s="30" t="s">
        <v>53</v>
      </c>
    </row>
    <row r="191" spans="1:22" ht="15" thickBot="1" x14ac:dyDescent="0.4">
      <c r="A191" s="27" t="s">
        <v>296</v>
      </c>
      <c r="B191" s="27" t="s">
        <v>23</v>
      </c>
      <c r="C191" s="27" t="s">
        <v>68</v>
      </c>
      <c r="D191" s="28">
        <v>45694</v>
      </c>
      <c r="E191" s="28">
        <v>45705</v>
      </c>
      <c r="F191" s="27" t="s">
        <v>25</v>
      </c>
      <c r="G191" s="27" t="s">
        <v>26</v>
      </c>
      <c r="H191" s="28">
        <v>31557</v>
      </c>
      <c r="I191" s="27" t="s">
        <v>121</v>
      </c>
      <c r="J191" s="27" t="s">
        <v>38</v>
      </c>
      <c r="K191" s="27" t="s">
        <v>29</v>
      </c>
      <c r="L191" s="27" t="s">
        <v>70</v>
      </c>
      <c r="M191" s="27">
        <v>19</v>
      </c>
      <c r="N191" s="27">
        <v>3500</v>
      </c>
      <c r="O191" s="27">
        <v>5</v>
      </c>
      <c r="P191" s="27">
        <v>63175</v>
      </c>
      <c r="Q191" s="27">
        <v>4</v>
      </c>
      <c r="R191" s="27" t="s">
        <v>65</v>
      </c>
      <c r="S191" s="27" t="s">
        <v>42</v>
      </c>
      <c r="T191" s="27" t="s">
        <v>43</v>
      </c>
      <c r="U191" s="27">
        <v>9329448011</v>
      </c>
      <c r="V191" s="27" t="s">
        <v>52</v>
      </c>
    </row>
    <row r="192" spans="1:22" ht="15" thickBot="1" x14ac:dyDescent="0.4">
      <c r="A192" s="30" t="s">
        <v>297</v>
      </c>
      <c r="B192" s="30" t="s">
        <v>124</v>
      </c>
      <c r="C192" s="30" t="s">
        <v>138</v>
      </c>
      <c r="D192" s="31">
        <v>45774</v>
      </c>
      <c r="E192" s="31">
        <v>45776</v>
      </c>
      <c r="F192" s="30" t="s">
        <v>126</v>
      </c>
      <c r="G192" s="30" t="s">
        <v>58</v>
      </c>
      <c r="H192" s="31">
        <v>31465</v>
      </c>
      <c r="I192" s="30" t="s">
        <v>121</v>
      </c>
      <c r="J192" s="30" t="s">
        <v>38</v>
      </c>
      <c r="K192" s="30" t="s">
        <v>83</v>
      </c>
      <c r="L192" s="30" t="s">
        <v>139</v>
      </c>
      <c r="M192" s="30">
        <v>6</v>
      </c>
      <c r="N192" s="30">
        <v>45</v>
      </c>
      <c r="O192" s="30">
        <v>20</v>
      </c>
      <c r="P192" s="30">
        <v>216</v>
      </c>
      <c r="Q192" s="30">
        <v>1</v>
      </c>
      <c r="R192" s="30" t="s">
        <v>60</v>
      </c>
      <c r="S192" s="30" t="s">
        <v>42</v>
      </c>
      <c r="T192" s="30" t="s">
        <v>298</v>
      </c>
      <c r="U192" s="30">
        <v>9889544104</v>
      </c>
      <c r="V192" s="30" t="s">
        <v>52</v>
      </c>
    </row>
    <row r="193" spans="1:22" ht="15" thickBot="1" x14ac:dyDescent="0.4">
      <c r="A193" s="27" t="s">
        <v>299</v>
      </c>
      <c r="B193" s="27" t="s">
        <v>134</v>
      </c>
      <c r="C193" s="27" t="s">
        <v>138</v>
      </c>
      <c r="D193" s="28">
        <v>45730</v>
      </c>
      <c r="E193" s="28">
        <v>45741</v>
      </c>
      <c r="F193" s="27" t="s">
        <v>135</v>
      </c>
      <c r="G193" s="27" t="s">
        <v>26</v>
      </c>
      <c r="H193" s="28">
        <v>32240</v>
      </c>
      <c r="I193" s="27" t="s">
        <v>79</v>
      </c>
      <c r="J193" s="27" t="s">
        <v>75</v>
      </c>
      <c r="K193" s="27" t="s">
        <v>83</v>
      </c>
      <c r="L193" s="27" t="s">
        <v>139</v>
      </c>
      <c r="M193" s="27">
        <v>17</v>
      </c>
      <c r="N193" s="27">
        <v>45</v>
      </c>
      <c r="O193" s="27">
        <v>15</v>
      </c>
      <c r="P193" s="27">
        <v>650.25</v>
      </c>
      <c r="Q193" s="27">
        <v>5</v>
      </c>
      <c r="R193" s="27" t="s">
        <v>31</v>
      </c>
      <c r="S193" s="27" t="s">
        <v>80</v>
      </c>
      <c r="T193" s="27" t="s">
        <v>136</v>
      </c>
      <c r="U193" s="27">
        <v>9101861045</v>
      </c>
      <c r="V193" s="27" t="s">
        <v>52</v>
      </c>
    </row>
    <row r="194" spans="1:22" ht="15" thickBot="1" x14ac:dyDescent="0.4">
      <c r="A194" s="30" t="s">
        <v>300</v>
      </c>
      <c r="B194" s="30" t="s">
        <v>23</v>
      </c>
      <c r="C194" s="30" t="s">
        <v>125</v>
      </c>
      <c r="D194" s="31">
        <v>45842</v>
      </c>
      <c r="E194" s="31">
        <v>45854</v>
      </c>
      <c r="F194" s="30" t="s">
        <v>25</v>
      </c>
      <c r="G194" s="30" t="s">
        <v>26</v>
      </c>
      <c r="H194" s="31">
        <v>34147</v>
      </c>
      <c r="I194" s="30" t="s">
        <v>79</v>
      </c>
      <c r="J194" s="30" t="s">
        <v>75</v>
      </c>
      <c r="K194" s="30" t="s">
        <v>83</v>
      </c>
      <c r="L194" s="30" t="s">
        <v>127</v>
      </c>
      <c r="M194" s="30">
        <v>19</v>
      </c>
      <c r="N194" s="30">
        <v>20</v>
      </c>
      <c r="O194" s="30">
        <v>5</v>
      </c>
      <c r="P194" s="30">
        <v>361</v>
      </c>
      <c r="Q194" s="30">
        <v>4</v>
      </c>
      <c r="R194" s="30" t="s">
        <v>31</v>
      </c>
      <c r="S194" s="30" t="s">
        <v>32</v>
      </c>
      <c r="T194" s="30" t="s">
        <v>43</v>
      </c>
      <c r="U194" s="30">
        <v>9364712105</v>
      </c>
      <c r="V194" s="30" t="s">
        <v>52</v>
      </c>
    </row>
    <row r="195" spans="1:22" ht="15" thickBot="1" x14ac:dyDescent="0.4">
      <c r="A195" s="27" t="s">
        <v>301</v>
      </c>
      <c r="B195" s="27" t="s">
        <v>134</v>
      </c>
      <c r="C195" s="27" t="s">
        <v>125</v>
      </c>
      <c r="D195" s="28">
        <v>45993</v>
      </c>
      <c r="E195" s="28">
        <v>45994</v>
      </c>
      <c r="F195" s="27" t="s">
        <v>135</v>
      </c>
      <c r="G195" s="27" t="s">
        <v>26</v>
      </c>
      <c r="H195" s="28">
        <v>38156</v>
      </c>
      <c r="I195" s="27" t="s">
        <v>91</v>
      </c>
      <c r="J195" s="27" t="s">
        <v>75</v>
      </c>
      <c r="K195" s="27" t="s">
        <v>83</v>
      </c>
      <c r="L195" s="27" t="s">
        <v>127</v>
      </c>
      <c r="M195" s="27">
        <v>11</v>
      </c>
      <c r="N195" s="27">
        <v>20</v>
      </c>
      <c r="O195" s="27">
        <v>0</v>
      </c>
      <c r="P195" s="27">
        <v>220</v>
      </c>
      <c r="Q195" s="27">
        <v>3</v>
      </c>
      <c r="R195" s="27" t="s">
        <v>41</v>
      </c>
      <c r="S195" s="27" t="s">
        <v>42</v>
      </c>
      <c r="T195" s="27" t="s">
        <v>136</v>
      </c>
      <c r="U195" s="27">
        <v>9950206376</v>
      </c>
      <c r="V195" s="21" t="s">
        <v>34</v>
      </c>
    </row>
    <row r="196" spans="1:22" ht="15" thickBot="1" x14ac:dyDescent="0.4">
      <c r="A196" s="30" t="s">
        <v>302</v>
      </c>
      <c r="B196" s="30" t="s">
        <v>104</v>
      </c>
      <c r="C196" s="30" t="s">
        <v>82</v>
      </c>
      <c r="D196" s="31">
        <v>46067</v>
      </c>
      <c r="E196" s="31">
        <v>46074</v>
      </c>
      <c r="F196" s="30" t="s">
        <v>166</v>
      </c>
      <c r="G196" s="30" t="s">
        <v>26</v>
      </c>
      <c r="H196" s="31">
        <v>34221</v>
      </c>
      <c r="I196" s="30" t="s">
        <v>37</v>
      </c>
      <c r="J196" s="30" t="s">
        <v>38</v>
      </c>
      <c r="K196" s="30" t="s">
        <v>83</v>
      </c>
      <c r="L196" s="30" t="s">
        <v>84</v>
      </c>
      <c r="M196" s="30">
        <v>12</v>
      </c>
      <c r="N196" s="30">
        <v>60</v>
      </c>
      <c r="O196" s="30">
        <v>0</v>
      </c>
      <c r="P196" s="30">
        <v>720</v>
      </c>
      <c r="Q196" s="30">
        <v>2</v>
      </c>
      <c r="R196" s="30" t="s">
        <v>41</v>
      </c>
      <c r="S196" s="30" t="s">
        <v>42</v>
      </c>
      <c r="T196" s="30" t="s">
        <v>108</v>
      </c>
      <c r="U196" s="30">
        <v>9235822094</v>
      </c>
      <c r="V196" s="22" t="s">
        <v>34</v>
      </c>
    </row>
    <row r="197" spans="1:22" ht="15" thickBot="1" x14ac:dyDescent="0.4">
      <c r="A197" s="27" t="s">
        <v>303</v>
      </c>
      <c r="B197" s="27" t="s">
        <v>124</v>
      </c>
      <c r="C197" s="27" t="s">
        <v>138</v>
      </c>
      <c r="D197" s="28">
        <v>45970</v>
      </c>
      <c r="E197" s="28">
        <v>45974</v>
      </c>
      <c r="F197" s="27" t="s">
        <v>73</v>
      </c>
      <c r="G197" s="27" t="s">
        <v>58</v>
      </c>
      <c r="H197" s="28">
        <v>37147</v>
      </c>
      <c r="I197" s="27" t="s">
        <v>147</v>
      </c>
      <c r="J197" s="27" t="s">
        <v>148</v>
      </c>
      <c r="K197" s="27" t="s">
        <v>83</v>
      </c>
      <c r="L197" s="27" t="s">
        <v>139</v>
      </c>
      <c r="M197" s="27">
        <v>14</v>
      </c>
      <c r="N197" s="27">
        <v>45</v>
      </c>
      <c r="O197" s="27">
        <v>15</v>
      </c>
      <c r="P197" s="27">
        <v>535.5</v>
      </c>
      <c r="Q197" s="27">
        <v>5</v>
      </c>
      <c r="R197" s="27" t="s">
        <v>65</v>
      </c>
      <c r="S197" s="27" t="s">
        <v>80</v>
      </c>
      <c r="T197" s="27" t="s">
        <v>128</v>
      </c>
      <c r="U197" s="27">
        <v>9311021344</v>
      </c>
      <c r="V197" s="27" t="s">
        <v>52</v>
      </c>
    </row>
    <row r="198" spans="1:22" ht="15" thickBot="1" x14ac:dyDescent="0.4">
      <c r="A198" s="30" t="s">
        <v>304</v>
      </c>
      <c r="B198" s="30" t="s">
        <v>23</v>
      </c>
      <c r="C198" s="30" t="s">
        <v>112</v>
      </c>
      <c r="D198" s="31">
        <v>45695</v>
      </c>
      <c r="E198" s="31">
        <v>45707</v>
      </c>
      <c r="F198" s="30" t="s">
        <v>25</v>
      </c>
      <c r="G198" s="30" t="s">
        <v>26</v>
      </c>
      <c r="H198" s="31">
        <v>29905</v>
      </c>
      <c r="I198" s="30" t="s">
        <v>27</v>
      </c>
      <c r="J198" s="30" t="s">
        <v>28</v>
      </c>
      <c r="K198" s="30" t="s">
        <v>39</v>
      </c>
      <c r="L198" s="30" t="s">
        <v>114</v>
      </c>
      <c r="M198" s="30">
        <v>15</v>
      </c>
      <c r="N198" s="30">
        <v>700</v>
      </c>
      <c r="O198" s="30">
        <v>10</v>
      </c>
      <c r="P198" s="30">
        <v>9450</v>
      </c>
      <c r="Q198" s="30">
        <v>3</v>
      </c>
      <c r="R198" s="30" t="s">
        <v>41</v>
      </c>
      <c r="S198" s="30" t="s">
        <v>42</v>
      </c>
      <c r="T198" s="30" t="s">
        <v>43</v>
      </c>
      <c r="U198" s="30">
        <v>9891358505</v>
      </c>
      <c r="V198" s="30" t="s">
        <v>52</v>
      </c>
    </row>
    <row r="199" spans="1:22" ht="15" thickBot="1" x14ac:dyDescent="0.4">
      <c r="A199" s="27" t="s">
        <v>305</v>
      </c>
      <c r="B199" s="27" t="s">
        <v>72</v>
      </c>
      <c r="C199" s="27" t="s">
        <v>105</v>
      </c>
      <c r="D199" s="28">
        <v>45803</v>
      </c>
      <c r="E199" s="28">
        <v>45807</v>
      </c>
      <c r="F199" s="27" t="s">
        <v>73</v>
      </c>
      <c r="G199" s="27" t="s">
        <v>26</v>
      </c>
      <c r="H199" s="28">
        <v>29476</v>
      </c>
      <c r="I199" s="27" t="s">
        <v>91</v>
      </c>
      <c r="J199" s="27" t="s">
        <v>75</v>
      </c>
      <c r="K199" s="27" t="s">
        <v>29</v>
      </c>
      <c r="L199" s="27" t="s">
        <v>107</v>
      </c>
      <c r="M199" s="27">
        <v>19</v>
      </c>
      <c r="N199" s="27">
        <v>8500</v>
      </c>
      <c r="O199" s="27">
        <v>15</v>
      </c>
      <c r="P199" s="27">
        <v>137275</v>
      </c>
      <c r="Q199" s="27">
        <v>2</v>
      </c>
      <c r="R199" s="27" t="s">
        <v>31</v>
      </c>
      <c r="S199" s="27" t="s">
        <v>32</v>
      </c>
      <c r="T199" s="27" t="s">
        <v>93</v>
      </c>
      <c r="U199" s="27">
        <v>9910085332</v>
      </c>
      <c r="V199" s="27" t="s">
        <v>53</v>
      </c>
    </row>
    <row r="200" spans="1:22" ht="15" thickBot="1" x14ac:dyDescent="0.4">
      <c r="A200" s="30" t="s">
        <v>306</v>
      </c>
      <c r="B200" s="30" t="s">
        <v>134</v>
      </c>
      <c r="C200" s="30" t="s">
        <v>82</v>
      </c>
      <c r="D200" s="31">
        <v>45934</v>
      </c>
      <c r="E200" s="31">
        <v>45936</v>
      </c>
      <c r="F200" s="30" t="s">
        <v>135</v>
      </c>
      <c r="G200" s="30" t="s">
        <v>26</v>
      </c>
      <c r="H200" s="31">
        <v>32240</v>
      </c>
      <c r="I200" s="30" t="s">
        <v>121</v>
      </c>
      <c r="J200" s="30" t="s">
        <v>38</v>
      </c>
      <c r="K200" s="30" t="s">
        <v>83</v>
      </c>
      <c r="L200" s="30" t="s">
        <v>84</v>
      </c>
      <c r="M200" s="30">
        <v>19</v>
      </c>
      <c r="N200" s="30">
        <v>60</v>
      </c>
      <c r="O200" s="30">
        <v>20</v>
      </c>
      <c r="P200" s="30">
        <v>912</v>
      </c>
      <c r="Q200" s="30">
        <v>4</v>
      </c>
      <c r="R200" s="30" t="s">
        <v>60</v>
      </c>
      <c r="S200" s="30" t="s">
        <v>42</v>
      </c>
      <c r="T200" s="30" t="s">
        <v>136</v>
      </c>
      <c r="U200" s="30">
        <v>9756908023</v>
      </c>
      <c r="V200" s="30" t="s">
        <v>52</v>
      </c>
    </row>
    <row r="201" spans="1:22" ht="15" thickBot="1" x14ac:dyDescent="0.4">
      <c r="A201" s="27" t="s">
        <v>307</v>
      </c>
      <c r="B201" s="27" t="s">
        <v>72</v>
      </c>
      <c r="C201" s="27" t="s">
        <v>138</v>
      </c>
      <c r="D201" s="28">
        <v>45792</v>
      </c>
      <c r="E201" s="28">
        <v>45803</v>
      </c>
      <c r="F201" s="27" t="s">
        <v>73</v>
      </c>
      <c r="G201" s="27" t="s">
        <v>26</v>
      </c>
      <c r="H201" s="28">
        <v>32192</v>
      </c>
      <c r="I201" s="27" t="s">
        <v>48</v>
      </c>
      <c r="J201" s="27" t="s">
        <v>28</v>
      </c>
      <c r="K201" s="27" t="s">
        <v>83</v>
      </c>
      <c r="L201" s="27" t="s">
        <v>139</v>
      </c>
      <c r="M201" s="27">
        <v>10</v>
      </c>
      <c r="N201" s="27">
        <v>45</v>
      </c>
      <c r="O201" s="27">
        <v>15</v>
      </c>
      <c r="P201" s="27">
        <v>382.5</v>
      </c>
      <c r="Q201" s="27">
        <v>4</v>
      </c>
      <c r="R201" s="27" t="s">
        <v>31</v>
      </c>
      <c r="S201" s="27" t="s">
        <v>96</v>
      </c>
      <c r="T201" s="27" t="s">
        <v>93</v>
      </c>
      <c r="U201" s="27">
        <v>9645913247</v>
      </c>
      <c r="V201" s="21" t="s">
        <v>34</v>
      </c>
    </row>
    <row r="202" spans="1:22" ht="15" thickBot="1" x14ac:dyDescent="0.4">
      <c r="A202" s="30" t="s">
        <v>308</v>
      </c>
      <c r="B202" s="30" t="s">
        <v>55</v>
      </c>
      <c r="C202" s="30" t="s">
        <v>24</v>
      </c>
      <c r="D202" s="31">
        <v>45822</v>
      </c>
      <c r="E202" s="31">
        <v>45831</v>
      </c>
      <c r="F202" s="30" t="s">
        <v>57</v>
      </c>
      <c r="G202" s="30" t="s">
        <v>58</v>
      </c>
      <c r="H202" s="31">
        <v>29923</v>
      </c>
      <c r="I202" s="30" t="s">
        <v>37</v>
      </c>
      <c r="J202" s="30" t="s">
        <v>38</v>
      </c>
      <c r="K202" s="30" t="s">
        <v>29</v>
      </c>
      <c r="L202" s="30" t="s">
        <v>30</v>
      </c>
      <c r="M202" s="30">
        <v>7</v>
      </c>
      <c r="N202" s="30">
        <v>2200</v>
      </c>
      <c r="O202" s="30">
        <v>20</v>
      </c>
      <c r="P202" s="30">
        <v>12320</v>
      </c>
      <c r="Q202" s="30">
        <v>5</v>
      </c>
      <c r="R202" s="30" t="s">
        <v>65</v>
      </c>
      <c r="S202" s="30" t="s">
        <v>42</v>
      </c>
      <c r="T202" s="30" t="s">
        <v>61</v>
      </c>
      <c r="U202" s="30">
        <v>9806914795</v>
      </c>
      <c r="V202" s="30" t="s">
        <v>52</v>
      </c>
    </row>
    <row r="203" spans="1:22" ht="15" thickBot="1" x14ac:dyDescent="0.4">
      <c r="A203" s="27" t="s">
        <v>309</v>
      </c>
      <c r="B203" s="27" t="s">
        <v>72</v>
      </c>
      <c r="C203" s="27" t="s">
        <v>105</v>
      </c>
      <c r="D203" s="28">
        <v>45769</v>
      </c>
      <c r="E203" s="28">
        <v>45781</v>
      </c>
      <c r="F203" s="27" t="s">
        <v>73</v>
      </c>
      <c r="G203" s="27" t="s">
        <v>26</v>
      </c>
      <c r="H203" s="28">
        <v>30723</v>
      </c>
      <c r="I203" s="27" t="s">
        <v>147</v>
      </c>
      <c r="J203" s="27" t="s">
        <v>148</v>
      </c>
      <c r="K203" s="27" t="s">
        <v>29</v>
      </c>
      <c r="L203" s="27" t="s">
        <v>107</v>
      </c>
      <c r="M203" s="27">
        <v>20</v>
      </c>
      <c r="N203" s="27">
        <v>8500</v>
      </c>
      <c r="O203" s="27">
        <v>20</v>
      </c>
      <c r="P203" s="27">
        <v>136000</v>
      </c>
      <c r="Q203" s="27">
        <v>4</v>
      </c>
      <c r="R203" s="27" t="s">
        <v>41</v>
      </c>
      <c r="S203" s="27" t="s">
        <v>32</v>
      </c>
      <c r="T203" s="27" t="s">
        <v>93</v>
      </c>
      <c r="U203" s="27">
        <v>9276222829</v>
      </c>
      <c r="V203" s="21" t="s">
        <v>34</v>
      </c>
    </row>
    <row r="204" spans="1:22" ht="15" thickBot="1" x14ac:dyDescent="0.4">
      <c r="A204" s="30" t="s">
        <v>310</v>
      </c>
      <c r="B204" s="30" t="s">
        <v>134</v>
      </c>
      <c r="C204" s="30" t="s">
        <v>24</v>
      </c>
      <c r="D204" s="31">
        <v>45679</v>
      </c>
      <c r="E204" s="31">
        <v>45681</v>
      </c>
      <c r="F204" s="30" t="s">
        <v>135</v>
      </c>
      <c r="G204" s="30" t="s">
        <v>26</v>
      </c>
      <c r="H204" s="31">
        <v>33579</v>
      </c>
      <c r="I204" s="30" t="s">
        <v>27</v>
      </c>
      <c r="J204" s="30" t="s">
        <v>28</v>
      </c>
      <c r="K204" s="30" t="s">
        <v>29</v>
      </c>
      <c r="L204" s="30" t="s">
        <v>30</v>
      </c>
      <c r="M204" s="30">
        <v>10</v>
      </c>
      <c r="N204" s="30">
        <v>2200</v>
      </c>
      <c r="O204" s="30">
        <v>5</v>
      </c>
      <c r="P204" s="30">
        <v>20900</v>
      </c>
      <c r="Q204" s="30">
        <v>2</v>
      </c>
      <c r="R204" s="30" t="s">
        <v>41</v>
      </c>
      <c r="S204" s="30" t="s">
        <v>42</v>
      </c>
      <c r="T204" s="30" t="s">
        <v>136</v>
      </c>
      <c r="U204" s="30">
        <v>9533835528</v>
      </c>
      <c r="V204" s="22" t="s">
        <v>34</v>
      </c>
    </row>
    <row r="205" spans="1:22" ht="15" thickBot="1" x14ac:dyDescent="0.4">
      <c r="A205" s="27" t="s">
        <v>311</v>
      </c>
      <c r="B205" s="27" t="s">
        <v>87</v>
      </c>
      <c r="C205" s="27" t="s">
        <v>82</v>
      </c>
      <c r="D205" s="28">
        <v>46007</v>
      </c>
      <c r="E205" s="28">
        <v>46017</v>
      </c>
      <c r="F205" s="27" t="s">
        <v>88</v>
      </c>
      <c r="G205" s="27" t="s">
        <v>58</v>
      </c>
      <c r="H205" s="28">
        <v>27811</v>
      </c>
      <c r="I205" s="27" t="s">
        <v>79</v>
      </c>
      <c r="J205" s="27" t="s">
        <v>75</v>
      </c>
      <c r="K205" s="27" t="s">
        <v>83</v>
      </c>
      <c r="L205" s="27" t="s">
        <v>84</v>
      </c>
      <c r="M205" s="27">
        <v>15</v>
      </c>
      <c r="N205" s="27">
        <v>60</v>
      </c>
      <c r="O205" s="27">
        <v>20</v>
      </c>
      <c r="P205" s="27">
        <v>720</v>
      </c>
      <c r="Q205" s="27">
        <v>1</v>
      </c>
      <c r="R205" s="27" t="s">
        <v>60</v>
      </c>
      <c r="S205" s="27" t="s">
        <v>32</v>
      </c>
      <c r="T205" s="27" t="s">
        <v>89</v>
      </c>
      <c r="U205" s="27">
        <v>9654885820</v>
      </c>
      <c r="V205" s="21" t="s">
        <v>34</v>
      </c>
    </row>
    <row r="206" spans="1:22" ht="15" thickBot="1" x14ac:dyDescent="0.4">
      <c r="A206" s="30" t="s">
        <v>312</v>
      </c>
      <c r="B206" s="30" t="s">
        <v>124</v>
      </c>
      <c r="C206" s="30" t="s">
        <v>68</v>
      </c>
      <c r="D206" s="31">
        <v>45832</v>
      </c>
      <c r="E206" s="31">
        <v>45836</v>
      </c>
      <c r="F206" s="30" t="s">
        <v>126</v>
      </c>
      <c r="G206" s="30" t="s">
        <v>58</v>
      </c>
      <c r="H206" s="31">
        <v>27634</v>
      </c>
      <c r="I206" s="30" t="s">
        <v>27</v>
      </c>
      <c r="J206" s="30" t="s">
        <v>28</v>
      </c>
      <c r="K206" s="30" t="s">
        <v>29</v>
      </c>
      <c r="L206" s="30" t="s">
        <v>70</v>
      </c>
      <c r="M206" s="30">
        <v>18</v>
      </c>
      <c r="N206" s="30">
        <v>3500</v>
      </c>
      <c r="O206" s="30">
        <v>5</v>
      </c>
      <c r="P206" s="30">
        <v>59850</v>
      </c>
      <c r="Q206" s="30">
        <v>1</v>
      </c>
      <c r="R206" s="30" t="s">
        <v>60</v>
      </c>
      <c r="S206" s="30" t="s">
        <v>42</v>
      </c>
      <c r="T206" s="30" t="s">
        <v>128</v>
      </c>
      <c r="U206" s="30">
        <v>9456029544</v>
      </c>
      <c r="V206" s="30" t="s">
        <v>53</v>
      </c>
    </row>
    <row r="207" spans="1:22" ht="15" thickBot="1" x14ac:dyDescent="0.4">
      <c r="A207" s="27" t="s">
        <v>313</v>
      </c>
      <c r="B207" s="27" t="s">
        <v>156</v>
      </c>
      <c r="C207" s="27" t="s">
        <v>36</v>
      </c>
      <c r="D207" s="28">
        <v>46154</v>
      </c>
      <c r="E207" s="28">
        <v>46164</v>
      </c>
      <c r="F207" s="27" t="s">
        <v>106</v>
      </c>
      <c r="G207" s="27" t="s">
        <v>58</v>
      </c>
      <c r="H207" s="28">
        <v>32116</v>
      </c>
      <c r="I207" s="27" t="s">
        <v>79</v>
      </c>
      <c r="J207" s="27" t="s">
        <v>75</v>
      </c>
      <c r="K207" s="27" t="s">
        <v>39</v>
      </c>
      <c r="L207" s="27" t="s">
        <v>40</v>
      </c>
      <c r="M207" s="27">
        <v>6</v>
      </c>
      <c r="N207" s="27">
        <v>12000</v>
      </c>
      <c r="O207" s="27">
        <v>5</v>
      </c>
      <c r="P207" s="27">
        <v>68400</v>
      </c>
      <c r="Q207" s="27">
        <v>1</v>
      </c>
      <c r="R207" s="27" t="s">
        <v>41</v>
      </c>
      <c r="S207" s="27" t="s">
        <v>42</v>
      </c>
      <c r="T207" s="27" t="s">
        <v>158</v>
      </c>
      <c r="U207" s="27">
        <v>9914571493</v>
      </c>
      <c r="V207" s="27" t="s">
        <v>53</v>
      </c>
    </row>
    <row r="208" spans="1:22" ht="15" thickBot="1" x14ac:dyDescent="0.4">
      <c r="A208" s="30" t="s">
        <v>314</v>
      </c>
      <c r="B208" s="30" t="s">
        <v>156</v>
      </c>
      <c r="C208" s="30" t="s">
        <v>125</v>
      </c>
      <c r="D208" s="31">
        <v>46067</v>
      </c>
      <c r="E208" s="31">
        <v>46069</v>
      </c>
      <c r="F208" s="30" t="s">
        <v>106</v>
      </c>
      <c r="G208" s="30" t="s">
        <v>58</v>
      </c>
      <c r="H208" s="31">
        <v>38225</v>
      </c>
      <c r="I208" s="30" t="s">
        <v>48</v>
      </c>
      <c r="J208" s="30" t="s">
        <v>28</v>
      </c>
      <c r="K208" s="30" t="s">
        <v>83</v>
      </c>
      <c r="L208" s="30" t="s">
        <v>127</v>
      </c>
      <c r="M208" s="30">
        <v>19</v>
      </c>
      <c r="N208" s="30">
        <v>20</v>
      </c>
      <c r="O208" s="30">
        <v>10</v>
      </c>
      <c r="P208" s="30">
        <v>342</v>
      </c>
      <c r="Q208" s="30">
        <v>2</v>
      </c>
      <c r="R208" s="30" t="s">
        <v>41</v>
      </c>
      <c r="S208" s="30" t="s">
        <v>32</v>
      </c>
      <c r="T208" s="30" t="s">
        <v>158</v>
      </c>
      <c r="U208" s="30">
        <v>9270726986</v>
      </c>
      <c r="V208" s="30" t="s">
        <v>52</v>
      </c>
    </row>
    <row r="209" spans="1:22" ht="15" thickBot="1" x14ac:dyDescent="0.4">
      <c r="A209" s="27" t="s">
        <v>315</v>
      </c>
      <c r="B209" s="27" t="s">
        <v>124</v>
      </c>
      <c r="C209" s="27" t="s">
        <v>24</v>
      </c>
      <c r="D209" s="28">
        <v>46155</v>
      </c>
      <c r="E209" s="28">
        <v>46162</v>
      </c>
      <c r="F209" s="27" t="s">
        <v>126</v>
      </c>
      <c r="G209" s="27" t="s">
        <v>58</v>
      </c>
      <c r="H209" s="28">
        <v>34350</v>
      </c>
      <c r="I209" s="27" t="s">
        <v>79</v>
      </c>
      <c r="J209" s="27" t="s">
        <v>75</v>
      </c>
      <c r="K209" s="27" t="s">
        <v>29</v>
      </c>
      <c r="L209" s="27" t="s">
        <v>30</v>
      </c>
      <c r="M209" s="27">
        <v>7</v>
      </c>
      <c r="N209" s="27">
        <v>2200</v>
      </c>
      <c r="O209" s="27">
        <v>0</v>
      </c>
      <c r="P209" s="27">
        <v>15400</v>
      </c>
      <c r="Q209" s="27">
        <v>1</v>
      </c>
      <c r="R209" s="27" t="s">
        <v>60</v>
      </c>
      <c r="S209" s="27" t="s">
        <v>80</v>
      </c>
      <c r="T209" s="27" t="s">
        <v>128</v>
      </c>
      <c r="U209" s="27">
        <v>9570080664</v>
      </c>
      <c r="V209" s="27" t="s">
        <v>53</v>
      </c>
    </row>
    <row r="210" spans="1:22" ht="15" thickBot="1" x14ac:dyDescent="0.4">
      <c r="A210" s="30" t="s">
        <v>316</v>
      </c>
      <c r="B210" s="30" t="s">
        <v>156</v>
      </c>
      <c r="C210" s="30" t="s">
        <v>36</v>
      </c>
      <c r="D210" s="31">
        <v>45977</v>
      </c>
      <c r="E210" s="31">
        <v>45981</v>
      </c>
      <c r="F210" s="30" t="s">
        <v>106</v>
      </c>
      <c r="G210" s="30" t="s">
        <v>58</v>
      </c>
      <c r="H210" s="31">
        <v>37922</v>
      </c>
      <c r="I210" s="30" t="s">
        <v>121</v>
      </c>
      <c r="J210" s="30" t="s">
        <v>38</v>
      </c>
      <c r="K210" s="30" t="s">
        <v>39</v>
      </c>
      <c r="L210" s="30" t="s">
        <v>40</v>
      </c>
      <c r="M210" s="30">
        <v>3</v>
      </c>
      <c r="N210" s="30">
        <v>12000</v>
      </c>
      <c r="O210" s="30">
        <v>5</v>
      </c>
      <c r="P210" s="30">
        <v>34200</v>
      </c>
      <c r="Q210" s="30">
        <v>3</v>
      </c>
      <c r="R210" s="30" t="s">
        <v>60</v>
      </c>
      <c r="S210" s="30" t="s">
        <v>50</v>
      </c>
      <c r="T210" s="30" t="s">
        <v>158</v>
      </c>
      <c r="U210" s="30">
        <v>9109009524</v>
      </c>
      <c r="V210" s="30" t="s">
        <v>53</v>
      </c>
    </row>
    <row r="211" spans="1:22" ht="15" thickBot="1" x14ac:dyDescent="0.4">
      <c r="A211" s="27" t="s">
        <v>317</v>
      </c>
      <c r="B211" s="27" t="s">
        <v>104</v>
      </c>
      <c r="C211" s="27" t="s">
        <v>24</v>
      </c>
      <c r="D211" s="28">
        <v>45953</v>
      </c>
      <c r="E211" s="28">
        <v>45965</v>
      </c>
      <c r="F211" s="27" t="s">
        <v>166</v>
      </c>
      <c r="G211" s="27" t="s">
        <v>26</v>
      </c>
      <c r="H211" s="28">
        <v>36662</v>
      </c>
      <c r="I211" s="27" t="s">
        <v>121</v>
      </c>
      <c r="J211" s="27" t="s">
        <v>38</v>
      </c>
      <c r="K211" s="27" t="s">
        <v>29</v>
      </c>
      <c r="L211" s="27" t="s">
        <v>30</v>
      </c>
      <c r="M211" s="27">
        <v>16</v>
      </c>
      <c r="N211" s="27">
        <v>2200</v>
      </c>
      <c r="O211" s="27">
        <v>0</v>
      </c>
      <c r="P211" s="27">
        <v>35200</v>
      </c>
      <c r="Q211" s="27">
        <v>5</v>
      </c>
      <c r="R211" s="27" t="s">
        <v>60</v>
      </c>
      <c r="S211" s="27" t="s">
        <v>32</v>
      </c>
      <c r="T211" s="27" t="s">
        <v>108</v>
      </c>
      <c r="U211" s="27">
        <v>9701276770</v>
      </c>
      <c r="V211" s="27" t="s">
        <v>52</v>
      </c>
    </row>
    <row r="212" spans="1:22" ht="15" thickBot="1" x14ac:dyDescent="0.4">
      <c r="A212" s="30" t="s">
        <v>318</v>
      </c>
      <c r="B212" s="30" t="s">
        <v>134</v>
      </c>
      <c r="C212" s="30" t="s">
        <v>24</v>
      </c>
      <c r="D212" s="31">
        <v>45704</v>
      </c>
      <c r="E212" s="31">
        <v>45706</v>
      </c>
      <c r="F212" s="30" t="s">
        <v>135</v>
      </c>
      <c r="G212" s="30" t="s">
        <v>26</v>
      </c>
      <c r="H212" s="31">
        <v>32693</v>
      </c>
      <c r="I212" s="30" t="s">
        <v>37</v>
      </c>
      <c r="J212" s="30" t="s">
        <v>38</v>
      </c>
      <c r="K212" s="30" t="s">
        <v>29</v>
      </c>
      <c r="L212" s="30" t="s">
        <v>30</v>
      </c>
      <c r="M212" s="30">
        <v>8</v>
      </c>
      <c r="N212" s="30">
        <v>2200</v>
      </c>
      <c r="O212" s="30">
        <v>5</v>
      </c>
      <c r="P212" s="30">
        <v>16720</v>
      </c>
      <c r="Q212" s="30">
        <v>2</v>
      </c>
      <c r="R212" s="30" t="s">
        <v>65</v>
      </c>
      <c r="S212" s="30" t="s">
        <v>96</v>
      </c>
      <c r="T212" s="30" t="s">
        <v>136</v>
      </c>
      <c r="U212" s="30">
        <v>9298278507</v>
      </c>
      <c r="V212" s="22" t="s">
        <v>34</v>
      </c>
    </row>
    <row r="213" spans="1:22" ht="15" thickBot="1" x14ac:dyDescent="0.4">
      <c r="A213" s="27" t="s">
        <v>319</v>
      </c>
      <c r="B213" s="27" t="s">
        <v>134</v>
      </c>
      <c r="C213" s="27" t="s">
        <v>24</v>
      </c>
      <c r="D213" s="28">
        <v>46002</v>
      </c>
      <c r="E213" s="28">
        <v>46005</v>
      </c>
      <c r="F213" s="27" t="s">
        <v>135</v>
      </c>
      <c r="G213" s="27" t="s">
        <v>26</v>
      </c>
      <c r="H213" s="28">
        <v>35863</v>
      </c>
      <c r="I213" s="27" t="s">
        <v>91</v>
      </c>
      <c r="J213" s="27" t="s">
        <v>75</v>
      </c>
      <c r="K213" s="27" t="s">
        <v>29</v>
      </c>
      <c r="L213" s="27" t="s">
        <v>30</v>
      </c>
      <c r="M213" s="27">
        <v>10</v>
      </c>
      <c r="N213" s="27">
        <v>2200</v>
      </c>
      <c r="O213" s="27">
        <v>10</v>
      </c>
      <c r="P213" s="27">
        <v>19800</v>
      </c>
      <c r="Q213" s="27">
        <v>5</v>
      </c>
      <c r="R213" s="27" t="s">
        <v>41</v>
      </c>
      <c r="S213" s="27" t="s">
        <v>80</v>
      </c>
      <c r="T213" s="27" t="s">
        <v>136</v>
      </c>
      <c r="U213" s="27">
        <v>9895908093</v>
      </c>
      <c r="V213" s="27" t="s">
        <v>52</v>
      </c>
    </row>
    <row r="214" spans="1:22" ht="15" thickBot="1" x14ac:dyDescent="0.4">
      <c r="A214" s="30" t="s">
        <v>320</v>
      </c>
      <c r="B214" s="30" t="s">
        <v>63</v>
      </c>
      <c r="C214" s="30" t="s">
        <v>125</v>
      </c>
      <c r="D214" s="31">
        <v>45775</v>
      </c>
      <c r="E214" s="31">
        <v>45786</v>
      </c>
      <c r="F214" s="30" t="s">
        <v>110</v>
      </c>
      <c r="G214" s="30" t="s">
        <v>58</v>
      </c>
      <c r="H214" s="31">
        <v>32284</v>
      </c>
      <c r="I214" s="30" t="s">
        <v>37</v>
      </c>
      <c r="J214" s="30" t="s">
        <v>38</v>
      </c>
      <c r="K214" s="30" t="s">
        <v>83</v>
      </c>
      <c r="L214" s="30" t="s">
        <v>127</v>
      </c>
      <c r="M214" s="30">
        <v>7</v>
      </c>
      <c r="N214" s="30">
        <v>20</v>
      </c>
      <c r="O214" s="30">
        <v>10</v>
      </c>
      <c r="P214" s="30">
        <v>126</v>
      </c>
      <c r="Q214" s="30">
        <v>4</v>
      </c>
      <c r="R214" s="30" t="s">
        <v>60</v>
      </c>
      <c r="S214" s="30" t="s">
        <v>50</v>
      </c>
      <c r="T214" s="30" t="s">
        <v>66</v>
      </c>
      <c r="U214" s="30">
        <v>9734108795</v>
      </c>
      <c r="V214" s="22" t="s">
        <v>34</v>
      </c>
    </row>
    <row r="215" spans="1:22" ht="15" thickBot="1" x14ac:dyDescent="0.4">
      <c r="A215" s="27" t="s">
        <v>321</v>
      </c>
      <c r="B215" s="27" t="s">
        <v>124</v>
      </c>
      <c r="C215" s="27" t="s">
        <v>105</v>
      </c>
      <c r="D215" s="28">
        <v>46033</v>
      </c>
      <c r="E215" s="28">
        <v>46036</v>
      </c>
      <c r="F215" s="27" t="s">
        <v>126</v>
      </c>
      <c r="G215" s="27" t="s">
        <v>58</v>
      </c>
      <c r="H215" s="28">
        <v>34533</v>
      </c>
      <c r="I215" s="27" t="s">
        <v>27</v>
      </c>
      <c r="J215" s="27" t="s">
        <v>28</v>
      </c>
      <c r="K215" s="27" t="s">
        <v>29</v>
      </c>
      <c r="L215" s="27" t="s">
        <v>107</v>
      </c>
      <c r="M215" s="27">
        <v>19</v>
      </c>
      <c r="N215" s="27">
        <v>8500</v>
      </c>
      <c r="O215" s="27">
        <v>20</v>
      </c>
      <c r="P215" s="27">
        <v>129200</v>
      </c>
      <c r="Q215" s="27">
        <v>3</v>
      </c>
      <c r="R215" s="27" t="s">
        <v>41</v>
      </c>
      <c r="S215" s="27" t="s">
        <v>50</v>
      </c>
      <c r="T215" s="27" t="s">
        <v>128</v>
      </c>
      <c r="U215" s="27">
        <v>9799597413</v>
      </c>
      <c r="V215" s="27" t="s">
        <v>52</v>
      </c>
    </row>
    <row r="216" spans="1:22" ht="15" thickBot="1" x14ac:dyDescent="0.4">
      <c r="A216" s="30" t="s">
        <v>322</v>
      </c>
      <c r="B216" s="30" t="s">
        <v>72</v>
      </c>
      <c r="C216" s="30" t="s">
        <v>82</v>
      </c>
      <c r="D216" s="31">
        <v>45717</v>
      </c>
      <c r="E216" s="31">
        <v>45722</v>
      </c>
      <c r="F216" s="30" t="s">
        <v>73</v>
      </c>
      <c r="G216" s="30" t="s">
        <v>26</v>
      </c>
      <c r="H216" s="31">
        <v>28444</v>
      </c>
      <c r="I216" s="30" t="s">
        <v>79</v>
      </c>
      <c r="J216" s="30" t="s">
        <v>75</v>
      </c>
      <c r="K216" s="30" t="s">
        <v>83</v>
      </c>
      <c r="L216" s="30" t="s">
        <v>84</v>
      </c>
      <c r="M216" s="30">
        <v>16</v>
      </c>
      <c r="N216" s="30">
        <v>60</v>
      </c>
      <c r="O216" s="30">
        <v>0</v>
      </c>
      <c r="P216" s="30">
        <v>960</v>
      </c>
      <c r="Q216" s="30">
        <v>2</v>
      </c>
      <c r="R216" s="30" t="s">
        <v>41</v>
      </c>
      <c r="S216" s="30" t="s">
        <v>80</v>
      </c>
      <c r="T216" s="30" t="s">
        <v>93</v>
      </c>
      <c r="U216" s="30">
        <v>9688987266</v>
      </c>
      <c r="V216" s="22" t="s">
        <v>34</v>
      </c>
    </row>
    <row r="217" spans="1:22" ht="15" thickBot="1" x14ac:dyDescent="0.4">
      <c r="A217" s="27" t="s">
        <v>323</v>
      </c>
      <c r="B217" s="27" t="s">
        <v>124</v>
      </c>
      <c r="C217" s="27" t="s">
        <v>68</v>
      </c>
      <c r="D217" s="28">
        <v>46127</v>
      </c>
      <c r="E217" s="28">
        <v>46139</v>
      </c>
      <c r="F217" s="27" t="s">
        <v>126</v>
      </c>
      <c r="G217" s="27" t="s">
        <v>58</v>
      </c>
      <c r="H217" s="28">
        <v>30216</v>
      </c>
      <c r="I217" s="27" t="s">
        <v>48</v>
      </c>
      <c r="J217" s="27" t="s">
        <v>28</v>
      </c>
      <c r="K217" s="27" t="s">
        <v>324</v>
      </c>
      <c r="L217" s="27" t="s">
        <v>70</v>
      </c>
      <c r="M217" s="27">
        <v>18</v>
      </c>
      <c r="N217" s="27">
        <v>3500</v>
      </c>
      <c r="O217" s="27">
        <v>5</v>
      </c>
      <c r="P217" s="27">
        <v>59850</v>
      </c>
      <c r="Q217" s="27">
        <v>1</v>
      </c>
      <c r="R217" s="27" t="s">
        <v>65</v>
      </c>
      <c r="S217" s="27" t="s">
        <v>80</v>
      </c>
      <c r="T217" s="27" t="s">
        <v>128</v>
      </c>
      <c r="U217" s="27">
        <v>9867169037</v>
      </c>
      <c r="V217" s="27" t="s">
        <v>52</v>
      </c>
    </row>
    <row r="218" spans="1:22" ht="15" thickBot="1" x14ac:dyDescent="0.4">
      <c r="A218" s="30" t="s">
        <v>325</v>
      </c>
      <c r="B218" s="30" t="s">
        <v>72</v>
      </c>
      <c r="C218" s="30" t="s">
        <v>46</v>
      </c>
      <c r="D218" s="31">
        <v>45708</v>
      </c>
      <c r="E218" s="31">
        <v>45717</v>
      </c>
      <c r="F218" s="30" t="s">
        <v>73</v>
      </c>
      <c r="G218" s="30" t="s">
        <v>26</v>
      </c>
      <c r="H218" s="31">
        <v>34591</v>
      </c>
      <c r="I218" s="30" t="s">
        <v>121</v>
      </c>
      <c r="J218" s="30" t="s">
        <v>38</v>
      </c>
      <c r="K218" s="30" t="s">
        <v>39</v>
      </c>
      <c r="L218" s="30" t="s">
        <v>49</v>
      </c>
      <c r="M218" s="30">
        <v>16</v>
      </c>
      <c r="N218" s="30">
        <v>55000</v>
      </c>
      <c r="O218" s="30">
        <v>0</v>
      </c>
      <c r="P218" s="30">
        <v>880000</v>
      </c>
      <c r="Q218" s="30">
        <v>1</v>
      </c>
      <c r="R218" s="30" t="s">
        <v>60</v>
      </c>
      <c r="S218" s="30" t="s">
        <v>50</v>
      </c>
      <c r="T218" s="30" t="s">
        <v>93</v>
      </c>
      <c r="U218" s="30">
        <v>9485547425</v>
      </c>
      <c r="V218" s="30" t="s">
        <v>53</v>
      </c>
    </row>
    <row r="219" spans="1:22" ht="15" thickBot="1" x14ac:dyDescent="0.4">
      <c r="A219" s="27" t="s">
        <v>326</v>
      </c>
      <c r="B219" s="27" t="s">
        <v>124</v>
      </c>
      <c r="C219" s="27" t="s">
        <v>56</v>
      </c>
      <c r="D219" s="28">
        <v>45694</v>
      </c>
      <c r="E219" s="28">
        <v>45697</v>
      </c>
      <c r="F219" s="27" t="s">
        <v>126</v>
      </c>
      <c r="G219" s="27" t="s">
        <v>58</v>
      </c>
      <c r="H219" s="28">
        <v>35035</v>
      </c>
      <c r="I219" s="27" t="s">
        <v>91</v>
      </c>
      <c r="J219" s="27" t="s">
        <v>75</v>
      </c>
      <c r="K219" s="27" t="s">
        <v>39</v>
      </c>
      <c r="L219" s="27" t="s">
        <v>59</v>
      </c>
      <c r="M219" s="27">
        <v>18</v>
      </c>
      <c r="N219" s="27">
        <v>1200</v>
      </c>
      <c r="O219" s="27">
        <v>15</v>
      </c>
      <c r="P219" s="27">
        <v>18360</v>
      </c>
      <c r="Q219" s="27">
        <v>2</v>
      </c>
      <c r="R219" s="27" t="s">
        <v>41</v>
      </c>
      <c r="S219" s="27" t="s">
        <v>32</v>
      </c>
      <c r="T219" s="27" t="s">
        <v>128</v>
      </c>
      <c r="U219" s="27">
        <v>9889733076</v>
      </c>
      <c r="V219" s="27" t="s">
        <v>53</v>
      </c>
    </row>
    <row r="220" spans="1:22" ht="15" thickBot="1" x14ac:dyDescent="0.4">
      <c r="A220" s="30" t="s">
        <v>327</v>
      </c>
      <c r="B220" s="30" t="s">
        <v>55</v>
      </c>
      <c r="C220" s="30" t="s">
        <v>138</v>
      </c>
      <c r="D220" s="31">
        <v>45801</v>
      </c>
      <c r="E220" s="31">
        <v>45804</v>
      </c>
      <c r="F220" s="30" t="s">
        <v>57</v>
      </c>
      <c r="G220" s="30" t="s">
        <v>58</v>
      </c>
      <c r="H220" s="31">
        <v>31238</v>
      </c>
      <c r="I220" s="30" t="s">
        <v>27</v>
      </c>
      <c r="J220" s="30" t="s">
        <v>28</v>
      </c>
      <c r="K220" s="30" t="s">
        <v>83</v>
      </c>
      <c r="L220" s="30" t="s">
        <v>139</v>
      </c>
      <c r="M220" s="30">
        <v>2</v>
      </c>
      <c r="N220" s="30">
        <v>45</v>
      </c>
      <c r="O220" s="30">
        <v>15</v>
      </c>
      <c r="P220" s="30">
        <v>76.5</v>
      </c>
      <c r="Q220" s="30">
        <v>5</v>
      </c>
      <c r="R220" s="30" t="s">
        <v>31</v>
      </c>
      <c r="S220" s="30" t="s">
        <v>50</v>
      </c>
      <c r="T220" s="30" t="s">
        <v>61</v>
      </c>
      <c r="U220" s="30">
        <v>9145434449</v>
      </c>
      <c r="V220" s="30" t="s">
        <v>53</v>
      </c>
    </row>
    <row r="221" spans="1:22" ht="15" thickBot="1" x14ac:dyDescent="0.4">
      <c r="A221" s="27" t="s">
        <v>328</v>
      </c>
      <c r="B221" s="27" t="s">
        <v>45</v>
      </c>
      <c r="C221" s="27" t="s">
        <v>105</v>
      </c>
      <c r="D221" s="28">
        <v>46028</v>
      </c>
      <c r="E221" s="28">
        <v>46034</v>
      </c>
      <c r="F221" s="27" t="s">
        <v>101</v>
      </c>
      <c r="G221" s="27" t="s">
        <v>26</v>
      </c>
      <c r="H221" s="28">
        <v>36975</v>
      </c>
      <c r="I221" s="27" t="s">
        <v>48</v>
      </c>
      <c r="J221" s="27" t="s">
        <v>28</v>
      </c>
      <c r="K221" s="27" t="s">
        <v>29</v>
      </c>
      <c r="L221" s="27" t="s">
        <v>107</v>
      </c>
      <c r="M221" s="27">
        <v>20</v>
      </c>
      <c r="N221" s="27">
        <v>8500</v>
      </c>
      <c r="O221" s="27">
        <v>0</v>
      </c>
      <c r="P221" s="27">
        <v>170000</v>
      </c>
      <c r="Q221" s="27">
        <v>4</v>
      </c>
      <c r="R221" s="27" t="s">
        <v>41</v>
      </c>
      <c r="S221" s="27" t="s">
        <v>50</v>
      </c>
      <c r="T221" s="27" t="s">
        <v>51</v>
      </c>
      <c r="U221" s="27">
        <v>9598942148</v>
      </c>
      <c r="V221" s="27" t="s">
        <v>53</v>
      </c>
    </row>
    <row r="222" spans="1:22" ht="15" thickBot="1" x14ac:dyDescent="0.4">
      <c r="A222" s="30" t="s">
        <v>329</v>
      </c>
      <c r="B222" s="30" t="s">
        <v>87</v>
      </c>
      <c r="C222" s="30" t="s">
        <v>68</v>
      </c>
      <c r="D222" s="31">
        <v>46089</v>
      </c>
      <c r="E222" s="31">
        <v>46090</v>
      </c>
      <c r="F222" s="30" t="s">
        <v>88</v>
      </c>
      <c r="G222" s="30" t="s">
        <v>58</v>
      </c>
      <c r="H222" s="31">
        <v>29703</v>
      </c>
      <c r="I222" s="30" t="s">
        <v>121</v>
      </c>
      <c r="J222" s="30" t="s">
        <v>38</v>
      </c>
      <c r="K222" s="30" t="s">
        <v>29</v>
      </c>
      <c r="L222" s="30" t="s">
        <v>70</v>
      </c>
      <c r="M222" s="30">
        <v>6</v>
      </c>
      <c r="N222" s="30">
        <v>3500</v>
      </c>
      <c r="O222" s="30">
        <v>5</v>
      </c>
      <c r="P222" s="30">
        <v>19950</v>
      </c>
      <c r="Q222" s="30">
        <v>1</v>
      </c>
      <c r="R222" s="30" t="s">
        <v>31</v>
      </c>
      <c r="S222" s="30" t="s">
        <v>96</v>
      </c>
      <c r="T222" s="30" t="s">
        <v>89</v>
      </c>
      <c r="U222" s="30">
        <v>9599252705</v>
      </c>
      <c r="V222" s="22" t="s">
        <v>34</v>
      </c>
    </row>
    <row r="223" spans="1:22" ht="15" thickBot="1" x14ac:dyDescent="0.4">
      <c r="A223" s="27" t="s">
        <v>330</v>
      </c>
      <c r="B223" s="27" t="s">
        <v>104</v>
      </c>
      <c r="C223" s="27" t="s">
        <v>138</v>
      </c>
      <c r="D223" s="28">
        <v>45935</v>
      </c>
      <c r="E223" s="28">
        <v>45939</v>
      </c>
      <c r="F223" s="27" t="s">
        <v>166</v>
      </c>
      <c r="G223" s="27" t="s">
        <v>26</v>
      </c>
      <c r="H223" s="28">
        <v>37635</v>
      </c>
      <c r="I223" s="27" t="s">
        <v>79</v>
      </c>
      <c r="J223" s="27" t="s">
        <v>75</v>
      </c>
      <c r="K223" s="27" t="s">
        <v>83</v>
      </c>
      <c r="L223" s="27" t="s">
        <v>139</v>
      </c>
      <c r="M223" s="27">
        <v>8</v>
      </c>
      <c r="N223" s="27">
        <v>45</v>
      </c>
      <c r="O223" s="27">
        <v>5</v>
      </c>
      <c r="P223" s="27">
        <v>342</v>
      </c>
      <c r="Q223" s="27">
        <v>2</v>
      </c>
      <c r="R223" s="27" t="s">
        <v>31</v>
      </c>
      <c r="S223" s="27" t="s">
        <v>42</v>
      </c>
      <c r="T223" s="27" t="s">
        <v>108</v>
      </c>
      <c r="U223" s="27">
        <v>9626843681</v>
      </c>
      <c r="V223" s="27" t="s">
        <v>52</v>
      </c>
    </row>
    <row r="224" spans="1:22" ht="15" thickBot="1" x14ac:dyDescent="0.4">
      <c r="A224" s="30" t="s">
        <v>331</v>
      </c>
      <c r="B224" s="30" t="s">
        <v>156</v>
      </c>
      <c r="C224" s="30" t="s">
        <v>24</v>
      </c>
      <c r="D224" s="31">
        <v>45722</v>
      </c>
      <c r="E224" s="31">
        <v>45728</v>
      </c>
      <c r="F224" s="30" t="s">
        <v>106</v>
      </c>
      <c r="G224" s="30" t="s">
        <v>58</v>
      </c>
      <c r="H224" s="31">
        <v>29496</v>
      </c>
      <c r="I224" s="30" t="s">
        <v>74</v>
      </c>
      <c r="J224" s="30" t="s">
        <v>75</v>
      </c>
      <c r="K224" s="30" t="s">
        <v>29</v>
      </c>
      <c r="L224" s="30" t="s">
        <v>30</v>
      </c>
      <c r="M224" s="30">
        <v>18</v>
      </c>
      <c r="N224" s="30">
        <v>2200</v>
      </c>
      <c r="O224" s="30">
        <v>15</v>
      </c>
      <c r="P224" s="30">
        <v>33660</v>
      </c>
      <c r="Q224" s="30">
        <v>4</v>
      </c>
      <c r="R224" s="30" t="s">
        <v>60</v>
      </c>
      <c r="S224" s="30" t="s">
        <v>50</v>
      </c>
      <c r="T224" s="30" t="s">
        <v>158</v>
      </c>
      <c r="U224" s="30">
        <v>9934933215</v>
      </c>
      <c r="V224" s="30" t="s">
        <v>52</v>
      </c>
    </row>
    <row r="225" spans="1:22" ht="15" thickBot="1" x14ac:dyDescent="0.4">
      <c r="A225" s="27" t="s">
        <v>332</v>
      </c>
      <c r="B225" s="27" t="s">
        <v>124</v>
      </c>
      <c r="C225" s="27" t="s">
        <v>112</v>
      </c>
      <c r="D225" s="28">
        <v>46118</v>
      </c>
      <c r="E225" s="28">
        <v>46127</v>
      </c>
      <c r="F225" s="27" t="s">
        <v>126</v>
      </c>
      <c r="G225" s="27" t="s">
        <v>58</v>
      </c>
      <c r="H225" s="28">
        <v>33170</v>
      </c>
      <c r="I225" s="27" t="s">
        <v>27</v>
      </c>
      <c r="J225" s="27" t="s">
        <v>28</v>
      </c>
      <c r="K225" s="27" t="s">
        <v>39</v>
      </c>
      <c r="L225" s="27" t="s">
        <v>114</v>
      </c>
      <c r="M225" s="27">
        <v>18</v>
      </c>
      <c r="N225" s="27">
        <v>700</v>
      </c>
      <c r="O225" s="27">
        <v>15</v>
      </c>
      <c r="P225" s="27">
        <v>10710</v>
      </c>
      <c r="Q225" s="27">
        <v>3</v>
      </c>
      <c r="R225" s="27" t="s">
        <v>60</v>
      </c>
      <c r="S225" s="27" t="s">
        <v>96</v>
      </c>
      <c r="T225" s="27" t="s">
        <v>128</v>
      </c>
      <c r="U225" s="27">
        <v>9508025585</v>
      </c>
      <c r="V225" s="27" t="s">
        <v>53</v>
      </c>
    </row>
    <row r="226" spans="1:22" ht="15" thickBot="1" x14ac:dyDescent="0.4">
      <c r="A226" s="30" t="s">
        <v>333</v>
      </c>
      <c r="B226" s="30" t="s">
        <v>156</v>
      </c>
      <c r="C226" s="30" t="s">
        <v>46</v>
      </c>
      <c r="D226" s="31">
        <v>46039</v>
      </c>
      <c r="E226" s="31">
        <v>46042</v>
      </c>
      <c r="F226" s="30" t="s">
        <v>106</v>
      </c>
      <c r="G226" s="30" t="s">
        <v>58</v>
      </c>
      <c r="H226" s="31">
        <v>28392</v>
      </c>
      <c r="I226" s="30" t="s">
        <v>79</v>
      </c>
      <c r="J226" s="30" t="s">
        <v>75</v>
      </c>
      <c r="K226" s="30" t="s">
        <v>39</v>
      </c>
      <c r="L226" s="30" t="s">
        <v>49</v>
      </c>
      <c r="M226" s="30">
        <v>12</v>
      </c>
      <c r="N226" s="30">
        <v>55000</v>
      </c>
      <c r="O226" s="30">
        <v>0</v>
      </c>
      <c r="P226" s="30">
        <v>660000</v>
      </c>
      <c r="Q226" s="30">
        <v>2</v>
      </c>
      <c r="R226" s="30" t="s">
        <v>65</v>
      </c>
      <c r="S226" s="30" t="s">
        <v>42</v>
      </c>
      <c r="T226" s="30" t="s">
        <v>158</v>
      </c>
      <c r="U226" s="30">
        <v>9364681052</v>
      </c>
      <c r="V226" s="30" t="s">
        <v>53</v>
      </c>
    </row>
    <row r="227" spans="1:22" ht="15" thickBot="1" x14ac:dyDescent="0.4">
      <c r="A227" s="27" t="s">
        <v>334</v>
      </c>
      <c r="B227" s="27" t="s">
        <v>23</v>
      </c>
      <c r="C227" s="27" t="s">
        <v>36</v>
      </c>
      <c r="D227" s="28">
        <v>45976</v>
      </c>
      <c r="E227" s="28">
        <v>45985</v>
      </c>
      <c r="F227" s="27" t="s">
        <v>25</v>
      </c>
      <c r="G227" s="27" t="s">
        <v>26</v>
      </c>
      <c r="H227" s="28">
        <v>35340</v>
      </c>
      <c r="I227" s="27" t="s">
        <v>74</v>
      </c>
      <c r="J227" s="27" t="s">
        <v>75</v>
      </c>
      <c r="K227" s="27" t="s">
        <v>39</v>
      </c>
      <c r="L227" s="27" t="s">
        <v>40</v>
      </c>
      <c r="M227" s="27">
        <v>7</v>
      </c>
      <c r="N227" s="27">
        <v>12000</v>
      </c>
      <c r="O227" s="27">
        <v>5</v>
      </c>
      <c r="P227" s="27">
        <v>79800</v>
      </c>
      <c r="Q227" s="27">
        <v>3</v>
      </c>
      <c r="R227" s="27" t="s">
        <v>60</v>
      </c>
      <c r="S227" s="27" t="s">
        <v>96</v>
      </c>
      <c r="T227" s="27" t="s">
        <v>43</v>
      </c>
      <c r="U227" s="27">
        <v>9117102884</v>
      </c>
      <c r="V227" s="27" t="s">
        <v>52</v>
      </c>
    </row>
    <row r="228" spans="1:22" ht="15" thickBot="1" x14ac:dyDescent="0.4">
      <c r="A228" s="30" t="s">
        <v>335</v>
      </c>
      <c r="B228" s="30" t="s">
        <v>134</v>
      </c>
      <c r="C228" s="30" t="s">
        <v>36</v>
      </c>
      <c r="D228" s="31">
        <v>45921</v>
      </c>
      <c r="E228" s="31">
        <v>45923</v>
      </c>
      <c r="F228" s="30" t="s">
        <v>135</v>
      </c>
      <c r="G228" s="30" t="s">
        <v>26</v>
      </c>
      <c r="H228" s="31">
        <v>27897</v>
      </c>
      <c r="I228" s="30" t="s">
        <v>74</v>
      </c>
      <c r="J228" s="30" t="s">
        <v>75</v>
      </c>
      <c r="K228" s="30" t="s">
        <v>39</v>
      </c>
      <c r="L228" s="30" t="s">
        <v>40</v>
      </c>
      <c r="M228" s="30">
        <v>8</v>
      </c>
      <c r="N228" s="30">
        <v>12000</v>
      </c>
      <c r="O228" s="30">
        <v>15</v>
      </c>
      <c r="P228" s="30">
        <v>81600</v>
      </c>
      <c r="Q228" s="30">
        <v>4</v>
      </c>
      <c r="R228" s="30" t="s">
        <v>60</v>
      </c>
      <c r="S228" s="30" t="s">
        <v>42</v>
      </c>
      <c r="T228" s="30" t="s">
        <v>136</v>
      </c>
      <c r="U228" s="30">
        <v>9819453185</v>
      </c>
      <c r="V228" s="22" t="s">
        <v>34</v>
      </c>
    </row>
    <row r="229" spans="1:22" ht="15" thickBot="1" x14ac:dyDescent="0.4">
      <c r="A229" s="27" t="s">
        <v>336</v>
      </c>
      <c r="B229" s="27" t="s">
        <v>156</v>
      </c>
      <c r="C229" s="27" t="s">
        <v>68</v>
      </c>
      <c r="D229" s="28">
        <v>46009</v>
      </c>
      <c r="E229" s="28">
        <v>46018</v>
      </c>
      <c r="F229" s="27" t="s">
        <v>106</v>
      </c>
      <c r="G229" s="27" t="s">
        <v>58</v>
      </c>
      <c r="H229" s="28">
        <v>32120</v>
      </c>
      <c r="I229" s="27" t="s">
        <v>74</v>
      </c>
      <c r="J229" s="27" t="s">
        <v>75</v>
      </c>
      <c r="K229" s="27" t="s">
        <v>29</v>
      </c>
      <c r="L229" s="27" t="s">
        <v>70</v>
      </c>
      <c r="M229" s="27">
        <v>19</v>
      </c>
      <c r="N229" s="27">
        <v>3500</v>
      </c>
      <c r="O229" s="27">
        <v>5</v>
      </c>
      <c r="P229" s="27">
        <v>63175</v>
      </c>
      <c r="Q229" s="27">
        <v>3</v>
      </c>
      <c r="R229" s="27" t="s">
        <v>60</v>
      </c>
      <c r="S229" s="27" t="s">
        <v>50</v>
      </c>
      <c r="T229" s="27" t="s">
        <v>158</v>
      </c>
      <c r="U229" s="27">
        <v>9511806701</v>
      </c>
      <c r="V229" s="27" t="s">
        <v>52</v>
      </c>
    </row>
    <row r="230" spans="1:22" ht="15" thickBot="1" x14ac:dyDescent="0.4">
      <c r="A230" s="30" t="s">
        <v>337</v>
      </c>
      <c r="B230" s="30" t="s">
        <v>134</v>
      </c>
      <c r="C230" s="30" t="s">
        <v>138</v>
      </c>
      <c r="D230" s="31">
        <v>45694</v>
      </c>
      <c r="E230" s="31">
        <v>45704</v>
      </c>
      <c r="F230" s="30" t="s">
        <v>135</v>
      </c>
      <c r="G230" s="30" t="s">
        <v>26</v>
      </c>
      <c r="H230" s="31">
        <v>33070</v>
      </c>
      <c r="I230" s="30" t="s">
        <v>91</v>
      </c>
      <c r="J230" s="30" t="s">
        <v>75</v>
      </c>
      <c r="K230" s="30" t="s">
        <v>83</v>
      </c>
      <c r="L230" s="30" t="s">
        <v>139</v>
      </c>
      <c r="M230" s="30">
        <v>7</v>
      </c>
      <c r="N230" s="30">
        <v>45</v>
      </c>
      <c r="O230" s="30">
        <v>5</v>
      </c>
      <c r="P230" s="30">
        <v>299.25</v>
      </c>
      <c r="Q230" s="30">
        <v>3</v>
      </c>
      <c r="R230" s="30" t="s">
        <v>60</v>
      </c>
      <c r="S230" s="30" t="s">
        <v>32</v>
      </c>
      <c r="T230" s="30" t="s">
        <v>136</v>
      </c>
      <c r="U230" s="30">
        <v>9875249891</v>
      </c>
      <c r="V230" s="30" t="s">
        <v>53</v>
      </c>
    </row>
    <row r="231" spans="1:22" ht="15" thickBot="1" x14ac:dyDescent="0.4">
      <c r="A231" s="27" t="s">
        <v>338</v>
      </c>
      <c r="B231" s="27" t="s">
        <v>23</v>
      </c>
      <c r="C231" s="27" t="s">
        <v>82</v>
      </c>
      <c r="D231" s="28">
        <v>45810</v>
      </c>
      <c r="E231" s="28">
        <v>45816</v>
      </c>
      <c r="F231" s="27" t="s">
        <v>25</v>
      </c>
      <c r="G231" s="27" t="s">
        <v>26</v>
      </c>
      <c r="H231" s="28">
        <v>33459</v>
      </c>
      <c r="I231" s="27" t="s">
        <v>27</v>
      </c>
      <c r="J231" s="27" t="s">
        <v>28</v>
      </c>
      <c r="K231" s="27" t="s">
        <v>83</v>
      </c>
      <c r="L231" s="27" t="s">
        <v>84</v>
      </c>
      <c r="M231" s="27">
        <v>3</v>
      </c>
      <c r="N231" s="27">
        <v>60</v>
      </c>
      <c r="O231" s="27">
        <v>15</v>
      </c>
      <c r="P231" s="27">
        <v>153</v>
      </c>
      <c r="Q231" s="27">
        <v>3</v>
      </c>
      <c r="R231" s="27" t="s">
        <v>41</v>
      </c>
      <c r="S231" s="27" t="s">
        <v>42</v>
      </c>
      <c r="T231" s="27" t="s">
        <v>43</v>
      </c>
      <c r="U231" s="27">
        <v>9438232503</v>
      </c>
      <c r="V231" s="27" t="s">
        <v>53</v>
      </c>
    </row>
    <row r="232" spans="1:22" ht="15" thickBot="1" x14ac:dyDescent="0.4">
      <c r="A232" s="30" t="s">
        <v>339</v>
      </c>
      <c r="B232" s="30" t="s">
        <v>45</v>
      </c>
      <c r="C232" s="30" t="s">
        <v>138</v>
      </c>
      <c r="D232" s="31">
        <v>46134</v>
      </c>
      <c r="E232" s="31">
        <v>46146</v>
      </c>
      <c r="F232" s="30" t="s">
        <v>101</v>
      </c>
      <c r="G232" s="30" t="s">
        <v>26</v>
      </c>
      <c r="H232" s="31">
        <v>28485</v>
      </c>
      <c r="I232" s="30" t="s">
        <v>79</v>
      </c>
      <c r="J232" s="30" t="s">
        <v>75</v>
      </c>
      <c r="K232" s="30" t="s">
        <v>83</v>
      </c>
      <c r="L232" s="30" t="s">
        <v>139</v>
      </c>
      <c r="M232" s="30">
        <v>19</v>
      </c>
      <c r="N232" s="30">
        <v>45</v>
      </c>
      <c r="O232" s="30">
        <v>0</v>
      </c>
      <c r="P232" s="30">
        <v>855</v>
      </c>
      <c r="Q232" s="30">
        <v>2</v>
      </c>
      <c r="R232" s="30" t="s">
        <v>31</v>
      </c>
      <c r="S232" s="30" t="s">
        <v>50</v>
      </c>
      <c r="T232" s="30" t="s">
        <v>51</v>
      </c>
      <c r="U232" s="30">
        <v>9449953754</v>
      </c>
      <c r="V232" s="22" t="s">
        <v>34</v>
      </c>
    </row>
    <row r="233" spans="1:22" ht="15" thickBot="1" x14ac:dyDescent="0.4">
      <c r="A233" s="27" t="s">
        <v>340</v>
      </c>
      <c r="B233" s="27" t="s">
        <v>72</v>
      </c>
      <c r="C233" s="27" t="s">
        <v>36</v>
      </c>
      <c r="D233" s="28">
        <v>46087</v>
      </c>
      <c r="E233" s="28">
        <v>46097</v>
      </c>
      <c r="F233" s="27" t="s">
        <v>73</v>
      </c>
      <c r="G233" s="27" t="s">
        <v>26</v>
      </c>
      <c r="H233" s="28">
        <v>34854</v>
      </c>
      <c r="I233" s="27" t="s">
        <v>48</v>
      </c>
      <c r="J233" s="27" t="s">
        <v>28</v>
      </c>
      <c r="K233" s="27" t="s">
        <v>39</v>
      </c>
      <c r="L233" s="27" t="s">
        <v>40</v>
      </c>
      <c r="M233" s="27">
        <v>10</v>
      </c>
      <c r="N233" s="27">
        <v>12000</v>
      </c>
      <c r="O233" s="27">
        <v>5</v>
      </c>
      <c r="P233" s="27">
        <v>114000</v>
      </c>
      <c r="Q233" s="27">
        <v>1</v>
      </c>
      <c r="R233" s="27" t="s">
        <v>60</v>
      </c>
      <c r="S233" s="27" t="s">
        <v>80</v>
      </c>
      <c r="T233" s="27" t="s">
        <v>93</v>
      </c>
      <c r="U233" s="27">
        <v>9833801891</v>
      </c>
      <c r="V233" s="27" t="s">
        <v>53</v>
      </c>
    </row>
    <row r="234" spans="1:22" ht="15" thickBot="1" x14ac:dyDescent="0.4">
      <c r="A234" s="30" t="s">
        <v>341</v>
      </c>
      <c r="B234" s="30" t="s">
        <v>23</v>
      </c>
      <c r="C234" s="30" t="s">
        <v>56</v>
      </c>
      <c r="D234" s="31">
        <v>45716</v>
      </c>
      <c r="E234" s="31">
        <v>45728</v>
      </c>
      <c r="F234" s="30" t="s">
        <v>25</v>
      </c>
      <c r="G234" s="30" t="s">
        <v>26</v>
      </c>
      <c r="H234" s="31">
        <v>30636</v>
      </c>
      <c r="I234" s="30" t="s">
        <v>147</v>
      </c>
      <c r="J234" s="30" t="s">
        <v>148</v>
      </c>
      <c r="K234" s="30" t="s">
        <v>39</v>
      </c>
      <c r="L234" s="30" t="s">
        <v>59</v>
      </c>
      <c r="M234" s="30">
        <v>4</v>
      </c>
      <c r="N234" s="30">
        <v>1200</v>
      </c>
      <c r="O234" s="30">
        <v>0</v>
      </c>
      <c r="P234" s="30">
        <v>4800</v>
      </c>
      <c r="Q234" s="30">
        <v>4</v>
      </c>
      <c r="R234" s="30" t="s">
        <v>31</v>
      </c>
      <c r="S234" s="30" t="s">
        <v>50</v>
      </c>
      <c r="T234" s="30" t="s">
        <v>43</v>
      </c>
      <c r="U234" s="30">
        <v>9183949273</v>
      </c>
      <c r="V234" s="22" t="s">
        <v>34</v>
      </c>
    </row>
    <row r="235" spans="1:22" ht="15" thickBot="1" x14ac:dyDescent="0.4">
      <c r="A235" s="27" t="s">
        <v>342</v>
      </c>
      <c r="B235" s="27" t="s">
        <v>124</v>
      </c>
      <c r="C235" s="27" t="s">
        <v>105</v>
      </c>
      <c r="D235" s="28">
        <v>45961</v>
      </c>
      <c r="E235" s="28">
        <v>45968</v>
      </c>
      <c r="F235" s="27" t="s">
        <v>126</v>
      </c>
      <c r="G235" s="27" t="s">
        <v>58</v>
      </c>
      <c r="H235" s="28">
        <v>31330</v>
      </c>
      <c r="I235" s="27" t="s">
        <v>48</v>
      </c>
      <c r="J235" s="27" t="s">
        <v>28</v>
      </c>
      <c r="K235" s="27" t="s">
        <v>29</v>
      </c>
      <c r="L235" s="27" t="s">
        <v>107</v>
      </c>
      <c r="M235" s="27">
        <v>2</v>
      </c>
      <c r="N235" s="27">
        <v>8500</v>
      </c>
      <c r="O235" s="27">
        <v>20</v>
      </c>
      <c r="P235" s="27">
        <v>13600</v>
      </c>
      <c r="Q235" s="27">
        <v>3</v>
      </c>
      <c r="R235" s="27" t="s">
        <v>60</v>
      </c>
      <c r="S235" s="27" t="s">
        <v>96</v>
      </c>
      <c r="T235" s="27" t="s">
        <v>128</v>
      </c>
      <c r="U235" s="27">
        <v>9168257367</v>
      </c>
      <c r="V235" s="21" t="s">
        <v>34</v>
      </c>
    </row>
    <row r="236" spans="1:22" ht="15" thickBot="1" x14ac:dyDescent="0.4">
      <c r="A236" s="30" t="s">
        <v>343</v>
      </c>
      <c r="B236" s="30" t="s">
        <v>63</v>
      </c>
      <c r="C236" s="30" t="s">
        <v>112</v>
      </c>
      <c r="D236" s="31">
        <v>46052</v>
      </c>
      <c r="E236" s="31">
        <v>46061</v>
      </c>
      <c r="F236" s="30" t="s">
        <v>110</v>
      </c>
      <c r="G236" s="30" t="s">
        <v>58</v>
      </c>
      <c r="H236" s="31">
        <v>37263</v>
      </c>
      <c r="I236" s="30" t="s">
        <v>147</v>
      </c>
      <c r="J236" s="30" t="s">
        <v>148</v>
      </c>
      <c r="K236" s="30" t="s">
        <v>39</v>
      </c>
      <c r="L236" s="30" t="s">
        <v>114</v>
      </c>
      <c r="M236" s="30">
        <v>7</v>
      </c>
      <c r="N236" s="30">
        <v>700</v>
      </c>
      <c r="O236" s="30">
        <v>20</v>
      </c>
      <c r="P236" s="30">
        <v>3920</v>
      </c>
      <c r="Q236" s="30">
        <v>2</v>
      </c>
      <c r="R236" s="30" t="s">
        <v>60</v>
      </c>
      <c r="S236" s="30" t="s">
        <v>96</v>
      </c>
      <c r="T236" s="30" t="s">
        <v>66</v>
      </c>
      <c r="U236" s="30">
        <v>9580903210</v>
      </c>
      <c r="V236" s="30" t="s">
        <v>52</v>
      </c>
    </row>
    <row r="237" spans="1:22" ht="15" thickBot="1" x14ac:dyDescent="0.4">
      <c r="A237" s="27" t="s">
        <v>344</v>
      </c>
      <c r="B237" s="27" t="s">
        <v>45</v>
      </c>
      <c r="C237" s="27" t="s">
        <v>125</v>
      </c>
      <c r="D237" s="28">
        <v>46141</v>
      </c>
      <c r="E237" s="28">
        <v>46145</v>
      </c>
      <c r="F237" s="27" t="s">
        <v>101</v>
      </c>
      <c r="G237" s="27" t="s">
        <v>26</v>
      </c>
      <c r="H237" s="28">
        <v>36359</v>
      </c>
      <c r="I237" s="27" t="s">
        <v>79</v>
      </c>
      <c r="J237" s="27" t="s">
        <v>75</v>
      </c>
      <c r="K237" s="27" t="s">
        <v>83</v>
      </c>
      <c r="L237" s="27" t="s">
        <v>127</v>
      </c>
      <c r="M237" s="27">
        <v>9</v>
      </c>
      <c r="N237" s="27">
        <v>20</v>
      </c>
      <c r="O237" s="27">
        <v>15</v>
      </c>
      <c r="P237" s="27">
        <v>153</v>
      </c>
      <c r="Q237" s="27">
        <v>3</v>
      </c>
      <c r="R237" s="27" t="s">
        <v>41</v>
      </c>
      <c r="S237" s="27" t="s">
        <v>80</v>
      </c>
      <c r="T237" s="27" t="s">
        <v>51</v>
      </c>
      <c r="U237" s="27">
        <v>9602152945</v>
      </c>
      <c r="V237" s="21" t="s">
        <v>34</v>
      </c>
    </row>
    <row r="238" spans="1:22" ht="15" thickBot="1" x14ac:dyDescent="0.4">
      <c r="A238" s="30" t="s">
        <v>345</v>
      </c>
      <c r="B238" s="30" t="s">
        <v>72</v>
      </c>
      <c r="C238" s="30" t="s">
        <v>105</v>
      </c>
      <c r="D238" s="31">
        <v>45795</v>
      </c>
      <c r="E238" s="31">
        <v>45797</v>
      </c>
      <c r="F238" s="30" t="s">
        <v>73</v>
      </c>
      <c r="G238" s="30" t="s">
        <v>26</v>
      </c>
      <c r="H238" s="31">
        <v>33118</v>
      </c>
      <c r="I238" s="30" t="s">
        <v>147</v>
      </c>
      <c r="J238" s="30" t="s">
        <v>148</v>
      </c>
      <c r="K238" s="30" t="s">
        <v>29</v>
      </c>
      <c r="L238" s="30" t="s">
        <v>107</v>
      </c>
      <c r="M238" s="30">
        <v>16</v>
      </c>
      <c r="N238" s="30">
        <v>8500</v>
      </c>
      <c r="O238" s="30">
        <v>0</v>
      </c>
      <c r="P238" s="30">
        <v>136000</v>
      </c>
      <c r="Q238" s="30">
        <v>4</v>
      </c>
      <c r="R238" s="30" t="s">
        <v>41</v>
      </c>
      <c r="S238" s="30" t="s">
        <v>32</v>
      </c>
      <c r="T238" s="30" t="s">
        <v>93</v>
      </c>
      <c r="U238" s="30">
        <v>9646917552</v>
      </c>
      <c r="V238" s="22" t="s">
        <v>34</v>
      </c>
    </row>
    <row r="239" spans="1:22" ht="15" thickBot="1" x14ac:dyDescent="0.4">
      <c r="A239" s="27" t="s">
        <v>346</v>
      </c>
      <c r="B239" s="27" t="s">
        <v>134</v>
      </c>
      <c r="C239" s="27" t="s">
        <v>68</v>
      </c>
      <c r="D239" s="28">
        <v>46107</v>
      </c>
      <c r="E239" s="28">
        <v>46109</v>
      </c>
      <c r="F239" s="27" t="s">
        <v>135</v>
      </c>
      <c r="G239" s="27" t="s">
        <v>26</v>
      </c>
      <c r="H239" s="28">
        <v>33818</v>
      </c>
      <c r="I239" s="27" t="s">
        <v>37</v>
      </c>
      <c r="J239" s="27" t="s">
        <v>38</v>
      </c>
      <c r="K239" s="27" t="s">
        <v>29</v>
      </c>
      <c r="L239" s="27" t="s">
        <v>70</v>
      </c>
      <c r="M239" s="27">
        <v>10</v>
      </c>
      <c r="N239" s="27">
        <v>3500</v>
      </c>
      <c r="O239" s="27">
        <v>5</v>
      </c>
      <c r="P239" s="27">
        <v>33250</v>
      </c>
      <c r="Q239" s="27">
        <v>3</v>
      </c>
      <c r="R239" s="27" t="s">
        <v>41</v>
      </c>
      <c r="S239" s="27" t="s">
        <v>80</v>
      </c>
      <c r="T239" s="27" t="s">
        <v>136</v>
      </c>
      <c r="U239" s="27">
        <v>9127548552</v>
      </c>
      <c r="V239" s="21" t="s">
        <v>34</v>
      </c>
    </row>
    <row r="240" spans="1:22" ht="15" thickBot="1" x14ac:dyDescent="0.4">
      <c r="A240" s="30" t="s">
        <v>347</v>
      </c>
      <c r="B240" s="30" t="s">
        <v>45</v>
      </c>
      <c r="C240" s="30" t="s">
        <v>36</v>
      </c>
      <c r="D240" s="31">
        <v>46041</v>
      </c>
      <c r="E240" s="31">
        <v>46049</v>
      </c>
      <c r="F240" s="30" t="s">
        <v>101</v>
      </c>
      <c r="G240" s="30" t="s">
        <v>26</v>
      </c>
      <c r="H240" s="31">
        <v>29260</v>
      </c>
      <c r="I240" s="30" t="s">
        <v>147</v>
      </c>
      <c r="J240" s="30" t="s">
        <v>148</v>
      </c>
      <c r="K240" s="30" t="s">
        <v>39</v>
      </c>
      <c r="L240" s="30" t="s">
        <v>40</v>
      </c>
      <c r="M240" s="30">
        <v>1</v>
      </c>
      <c r="N240" s="30">
        <v>12000</v>
      </c>
      <c r="O240" s="30">
        <v>0</v>
      </c>
      <c r="P240" s="30">
        <v>12000</v>
      </c>
      <c r="Q240" s="30">
        <v>5</v>
      </c>
      <c r="R240" s="30" t="s">
        <v>65</v>
      </c>
      <c r="S240" s="30" t="s">
        <v>80</v>
      </c>
      <c r="T240" s="30" t="s">
        <v>51</v>
      </c>
      <c r="U240" s="30">
        <v>9712805603</v>
      </c>
      <c r="V240" s="30" t="s">
        <v>52</v>
      </c>
    </row>
    <row r="241" spans="1:22" ht="15" thickBot="1" x14ac:dyDescent="0.4">
      <c r="A241" s="27" t="s">
        <v>348</v>
      </c>
      <c r="B241" s="27" t="s">
        <v>156</v>
      </c>
      <c r="C241" s="27" t="s">
        <v>138</v>
      </c>
      <c r="D241" s="28">
        <v>46144</v>
      </c>
      <c r="E241" s="28">
        <v>46152</v>
      </c>
      <c r="F241" s="27" t="s">
        <v>106</v>
      </c>
      <c r="G241" s="27" t="s">
        <v>58</v>
      </c>
      <c r="H241" s="28">
        <v>32557</v>
      </c>
      <c r="I241" s="27" t="s">
        <v>147</v>
      </c>
      <c r="J241" s="27" t="s">
        <v>148</v>
      </c>
      <c r="K241" s="27" t="s">
        <v>83</v>
      </c>
      <c r="L241" s="27" t="s">
        <v>139</v>
      </c>
      <c r="M241" s="27">
        <v>19</v>
      </c>
      <c r="N241" s="27">
        <v>45</v>
      </c>
      <c r="O241" s="27">
        <v>15</v>
      </c>
      <c r="P241" s="27">
        <v>726.75</v>
      </c>
      <c r="Q241" s="27">
        <v>2</v>
      </c>
      <c r="R241" s="27" t="s">
        <v>65</v>
      </c>
      <c r="S241" s="27" t="s">
        <v>96</v>
      </c>
      <c r="T241" s="27" t="s">
        <v>158</v>
      </c>
      <c r="U241" s="27">
        <v>9798313682</v>
      </c>
      <c r="V241" s="27" t="s">
        <v>52</v>
      </c>
    </row>
    <row r="242" spans="1:22" ht="15" thickBot="1" x14ac:dyDescent="0.4">
      <c r="A242" s="30" t="s">
        <v>349</v>
      </c>
      <c r="B242" s="30" t="s">
        <v>23</v>
      </c>
      <c r="C242" s="30" t="s">
        <v>46</v>
      </c>
      <c r="D242" s="31">
        <v>45961</v>
      </c>
      <c r="E242" s="31">
        <v>45963</v>
      </c>
      <c r="F242" s="30" t="s">
        <v>25</v>
      </c>
      <c r="G242" s="30" t="s">
        <v>26</v>
      </c>
      <c r="H242" s="31">
        <v>34222</v>
      </c>
      <c r="I242" s="30" t="s">
        <v>37</v>
      </c>
      <c r="J242" s="30" t="s">
        <v>38</v>
      </c>
      <c r="K242" s="30" t="s">
        <v>39</v>
      </c>
      <c r="L242" s="30" t="s">
        <v>49</v>
      </c>
      <c r="M242" s="30">
        <v>13</v>
      </c>
      <c r="N242" s="30">
        <v>55000</v>
      </c>
      <c r="O242" s="30">
        <v>5</v>
      </c>
      <c r="P242" s="30">
        <v>679250</v>
      </c>
      <c r="Q242" s="30">
        <v>4</v>
      </c>
      <c r="R242" s="30" t="s">
        <v>60</v>
      </c>
      <c r="S242" s="30" t="s">
        <v>42</v>
      </c>
      <c r="T242" s="30" t="s">
        <v>43</v>
      </c>
      <c r="U242" s="30">
        <v>9642822397</v>
      </c>
      <c r="V242" s="30" t="s">
        <v>53</v>
      </c>
    </row>
    <row r="243" spans="1:22" ht="15" thickBot="1" x14ac:dyDescent="0.4">
      <c r="A243" s="27" t="s">
        <v>350</v>
      </c>
      <c r="B243" s="27" t="s">
        <v>63</v>
      </c>
      <c r="C243" s="27" t="s">
        <v>138</v>
      </c>
      <c r="D243" s="28">
        <v>45858</v>
      </c>
      <c r="E243" s="28">
        <v>45864</v>
      </c>
      <c r="F243" s="27" t="s">
        <v>110</v>
      </c>
      <c r="G243" s="27" t="s">
        <v>58</v>
      </c>
      <c r="H243" s="28">
        <v>29907</v>
      </c>
      <c r="I243" s="27" t="s">
        <v>74</v>
      </c>
      <c r="J243" s="27" t="s">
        <v>75</v>
      </c>
      <c r="K243" s="27" t="s">
        <v>83</v>
      </c>
      <c r="L243" s="27" t="s">
        <v>139</v>
      </c>
      <c r="M243" s="27">
        <v>2</v>
      </c>
      <c r="N243" s="27">
        <v>45</v>
      </c>
      <c r="O243" s="27">
        <v>15</v>
      </c>
      <c r="P243" s="27">
        <v>76.5</v>
      </c>
      <c r="Q243" s="27">
        <v>1</v>
      </c>
      <c r="R243" s="27" t="s">
        <v>41</v>
      </c>
      <c r="S243" s="27" t="s">
        <v>80</v>
      </c>
      <c r="T243" s="27" t="s">
        <v>66</v>
      </c>
      <c r="U243" s="27">
        <v>9490067655</v>
      </c>
      <c r="V243" s="21" t="s">
        <v>34</v>
      </c>
    </row>
    <row r="244" spans="1:22" ht="15" thickBot="1" x14ac:dyDescent="0.4">
      <c r="A244" s="30" t="s">
        <v>351</v>
      </c>
      <c r="B244" s="30" t="s">
        <v>72</v>
      </c>
      <c r="C244" s="30" t="s">
        <v>125</v>
      </c>
      <c r="D244" s="31">
        <v>45707</v>
      </c>
      <c r="E244" s="31">
        <v>45712</v>
      </c>
      <c r="F244" s="30" t="s">
        <v>73</v>
      </c>
      <c r="G244" s="30" t="s">
        <v>26</v>
      </c>
      <c r="H244" s="31">
        <v>37857</v>
      </c>
      <c r="I244" s="30" t="s">
        <v>27</v>
      </c>
      <c r="J244" s="30" t="s">
        <v>28</v>
      </c>
      <c r="K244" s="30" t="s">
        <v>83</v>
      </c>
      <c r="L244" s="30" t="s">
        <v>127</v>
      </c>
      <c r="M244" s="30">
        <v>8</v>
      </c>
      <c r="N244" s="30">
        <v>20</v>
      </c>
      <c r="O244" s="30">
        <v>15</v>
      </c>
      <c r="P244" s="30">
        <v>136</v>
      </c>
      <c r="Q244" s="30">
        <v>1</v>
      </c>
      <c r="R244" s="30" t="s">
        <v>60</v>
      </c>
      <c r="S244" s="30" t="s">
        <v>32</v>
      </c>
      <c r="T244" s="30" t="s">
        <v>93</v>
      </c>
      <c r="U244" s="30">
        <v>9389792144</v>
      </c>
      <c r="V244" s="30" t="s">
        <v>52</v>
      </c>
    </row>
    <row r="245" spans="1:22" ht="15" thickBot="1" x14ac:dyDescent="0.4">
      <c r="A245" s="27" t="s">
        <v>352</v>
      </c>
      <c r="B245" s="27" t="s">
        <v>104</v>
      </c>
      <c r="C245" s="27" t="s">
        <v>36</v>
      </c>
      <c r="D245" s="28">
        <v>45767</v>
      </c>
      <c r="E245" s="28">
        <v>45778</v>
      </c>
      <c r="F245" s="27" t="s">
        <v>166</v>
      </c>
      <c r="G245" s="27" t="s">
        <v>26</v>
      </c>
      <c r="H245" s="28">
        <v>31247</v>
      </c>
      <c r="I245" s="27" t="s">
        <v>27</v>
      </c>
      <c r="J245" s="27" t="s">
        <v>28</v>
      </c>
      <c r="K245" s="27" t="s">
        <v>39</v>
      </c>
      <c r="L245" s="27" t="s">
        <v>40</v>
      </c>
      <c r="M245" s="27">
        <v>9</v>
      </c>
      <c r="N245" s="27">
        <v>12000</v>
      </c>
      <c r="O245" s="27">
        <v>5</v>
      </c>
      <c r="P245" s="27">
        <v>102600</v>
      </c>
      <c r="Q245" s="27">
        <v>2</v>
      </c>
      <c r="R245" s="27" t="s">
        <v>60</v>
      </c>
      <c r="S245" s="27" t="s">
        <v>32</v>
      </c>
      <c r="T245" s="27" t="s">
        <v>108</v>
      </c>
      <c r="U245" s="27">
        <v>9736113863</v>
      </c>
      <c r="V245" s="27" t="s">
        <v>53</v>
      </c>
    </row>
    <row r="246" spans="1:22" ht="15" thickBot="1" x14ac:dyDescent="0.4">
      <c r="A246" s="30" t="s">
        <v>353</v>
      </c>
      <c r="B246" s="30" t="s">
        <v>55</v>
      </c>
      <c r="C246" s="30" t="s">
        <v>68</v>
      </c>
      <c r="D246" s="31">
        <v>45813</v>
      </c>
      <c r="E246" s="31">
        <v>45821</v>
      </c>
      <c r="F246" s="30" t="s">
        <v>57</v>
      </c>
      <c r="G246" s="30" t="s">
        <v>58</v>
      </c>
      <c r="H246" s="31">
        <v>34464</v>
      </c>
      <c r="I246" s="30" t="s">
        <v>147</v>
      </c>
      <c r="J246" s="30" t="s">
        <v>148</v>
      </c>
      <c r="K246" s="30" t="s">
        <v>29</v>
      </c>
      <c r="L246" s="30" t="s">
        <v>70</v>
      </c>
      <c r="M246" s="30">
        <v>3</v>
      </c>
      <c r="N246" s="30">
        <v>3500</v>
      </c>
      <c r="O246" s="30">
        <v>15</v>
      </c>
      <c r="P246" s="30">
        <v>8925</v>
      </c>
      <c r="Q246" s="30">
        <v>1</v>
      </c>
      <c r="R246" s="30" t="s">
        <v>31</v>
      </c>
      <c r="S246" s="30" t="s">
        <v>42</v>
      </c>
      <c r="T246" s="30" t="s">
        <v>61</v>
      </c>
      <c r="U246" s="30">
        <v>9324634732</v>
      </c>
      <c r="V246" s="30" t="s">
        <v>53</v>
      </c>
    </row>
    <row r="247" spans="1:22" ht="15" thickBot="1" x14ac:dyDescent="0.4">
      <c r="A247" s="27" t="s">
        <v>354</v>
      </c>
      <c r="B247" s="27" t="s">
        <v>72</v>
      </c>
      <c r="C247" s="27" t="s">
        <v>112</v>
      </c>
      <c r="D247" s="28">
        <v>45797</v>
      </c>
      <c r="E247" s="28">
        <v>45800</v>
      </c>
      <c r="F247" s="27" t="s">
        <v>73</v>
      </c>
      <c r="G247" s="27" t="s">
        <v>26</v>
      </c>
      <c r="H247" s="28">
        <v>34051</v>
      </c>
      <c r="I247" s="27" t="s">
        <v>27</v>
      </c>
      <c r="J247" s="27" t="s">
        <v>28</v>
      </c>
      <c r="K247" s="27" t="s">
        <v>39</v>
      </c>
      <c r="L247" s="27" t="s">
        <v>114</v>
      </c>
      <c r="M247" s="27">
        <v>18</v>
      </c>
      <c r="N247" s="27">
        <v>700</v>
      </c>
      <c r="O247" s="27">
        <v>20</v>
      </c>
      <c r="P247" s="27">
        <v>10080</v>
      </c>
      <c r="Q247" s="27">
        <v>1</v>
      </c>
      <c r="R247" s="27" t="s">
        <v>60</v>
      </c>
      <c r="S247" s="27" t="s">
        <v>96</v>
      </c>
      <c r="T247" s="27" t="s">
        <v>93</v>
      </c>
      <c r="U247" s="27">
        <v>9529968110</v>
      </c>
      <c r="V247" s="21" t="s">
        <v>34</v>
      </c>
    </row>
    <row r="248" spans="1:22" ht="15" thickBot="1" x14ac:dyDescent="0.4">
      <c r="A248" s="30" t="s">
        <v>355</v>
      </c>
      <c r="B248" s="30" t="s">
        <v>55</v>
      </c>
      <c r="C248" s="30" t="s">
        <v>68</v>
      </c>
      <c r="D248" s="31">
        <v>46046</v>
      </c>
      <c r="E248" s="31">
        <v>46053</v>
      </c>
      <c r="F248" s="30" t="s">
        <v>57</v>
      </c>
      <c r="G248" s="30" t="s">
        <v>58</v>
      </c>
      <c r="H248" s="31">
        <v>29019</v>
      </c>
      <c r="I248" s="30" t="s">
        <v>79</v>
      </c>
      <c r="J248" s="30" t="s">
        <v>75</v>
      </c>
      <c r="K248" s="30" t="s">
        <v>29</v>
      </c>
      <c r="L248" s="30" t="s">
        <v>70</v>
      </c>
      <c r="M248" s="30">
        <v>14</v>
      </c>
      <c r="N248" s="30">
        <v>3500</v>
      </c>
      <c r="O248" s="30">
        <v>5</v>
      </c>
      <c r="P248" s="30">
        <v>46550</v>
      </c>
      <c r="Q248" s="30">
        <v>1</v>
      </c>
      <c r="R248" s="30" t="s">
        <v>31</v>
      </c>
      <c r="S248" s="30" t="s">
        <v>50</v>
      </c>
      <c r="T248" s="30" t="s">
        <v>61</v>
      </c>
      <c r="U248" s="30">
        <v>9102417647</v>
      </c>
      <c r="V248" s="22" t="s">
        <v>34</v>
      </c>
    </row>
    <row r="249" spans="1:22" ht="15" thickBot="1" x14ac:dyDescent="0.4">
      <c r="A249" s="27" t="s">
        <v>356</v>
      </c>
      <c r="B249" s="27" t="s">
        <v>72</v>
      </c>
      <c r="C249" s="27" t="s">
        <v>112</v>
      </c>
      <c r="D249" s="28">
        <v>45810</v>
      </c>
      <c r="E249" s="28">
        <v>45812</v>
      </c>
      <c r="F249" s="27" t="s">
        <v>73</v>
      </c>
      <c r="G249" s="27" t="s">
        <v>26</v>
      </c>
      <c r="H249" s="28">
        <v>33262</v>
      </c>
      <c r="I249" s="27" t="s">
        <v>147</v>
      </c>
      <c r="J249" s="27" t="s">
        <v>148</v>
      </c>
      <c r="K249" s="27" t="s">
        <v>39</v>
      </c>
      <c r="L249" s="27" t="s">
        <v>114</v>
      </c>
      <c r="M249" s="27">
        <v>6</v>
      </c>
      <c r="N249" s="27">
        <v>700</v>
      </c>
      <c r="O249" s="27">
        <v>5</v>
      </c>
      <c r="P249" s="27">
        <v>3990</v>
      </c>
      <c r="Q249" s="27">
        <v>5</v>
      </c>
      <c r="R249" s="27" t="s">
        <v>31</v>
      </c>
      <c r="S249" s="27" t="s">
        <v>32</v>
      </c>
      <c r="T249" s="27" t="s">
        <v>93</v>
      </c>
      <c r="U249" s="27">
        <v>9630302865</v>
      </c>
      <c r="V249" s="21" t="s">
        <v>34</v>
      </c>
    </row>
    <row r="250" spans="1:22" ht="15" thickBot="1" x14ac:dyDescent="0.4">
      <c r="A250" s="30" t="s">
        <v>357</v>
      </c>
      <c r="B250" s="30" t="s">
        <v>72</v>
      </c>
      <c r="C250" s="30" t="s">
        <v>68</v>
      </c>
      <c r="D250" s="31">
        <v>45819</v>
      </c>
      <c r="E250" s="31">
        <v>45827</v>
      </c>
      <c r="F250" s="30" t="s">
        <v>73</v>
      </c>
      <c r="G250" s="30" t="s">
        <v>26</v>
      </c>
      <c r="H250" s="31">
        <v>38039</v>
      </c>
      <c r="I250" s="30" t="s">
        <v>74</v>
      </c>
      <c r="J250" s="30" t="s">
        <v>75</v>
      </c>
      <c r="K250" s="30" t="s">
        <v>29</v>
      </c>
      <c r="L250" s="30" t="s">
        <v>70</v>
      </c>
      <c r="M250" s="30">
        <v>17</v>
      </c>
      <c r="N250" s="30">
        <v>3500</v>
      </c>
      <c r="O250" s="30">
        <v>15</v>
      </c>
      <c r="P250" s="30">
        <v>50575</v>
      </c>
      <c r="Q250" s="30">
        <v>3</v>
      </c>
      <c r="R250" s="30" t="s">
        <v>41</v>
      </c>
      <c r="S250" s="30" t="s">
        <v>42</v>
      </c>
      <c r="T250" s="30" t="s">
        <v>93</v>
      </c>
      <c r="U250" s="30">
        <v>9465353780</v>
      </c>
      <c r="V250" s="30" t="s">
        <v>52</v>
      </c>
    </row>
    <row r="251" spans="1:22" ht="15" thickBot="1" x14ac:dyDescent="0.4">
      <c r="A251" s="27" t="s">
        <v>358</v>
      </c>
      <c r="B251" s="27" t="s">
        <v>134</v>
      </c>
      <c r="C251" s="27" t="s">
        <v>125</v>
      </c>
      <c r="D251" s="28">
        <v>46038</v>
      </c>
      <c r="E251" s="28">
        <v>46046</v>
      </c>
      <c r="F251" s="27" t="s">
        <v>135</v>
      </c>
      <c r="G251" s="27" t="s">
        <v>26</v>
      </c>
      <c r="H251" s="28">
        <v>28240</v>
      </c>
      <c r="I251" s="27" t="s">
        <v>147</v>
      </c>
      <c r="J251" s="27" t="s">
        <v>148</v>
      </c>
      <c r="K251" s="27" t="s">
        <v>83</v>
      </c>
      <c r="L251" s="27" t="s">
        <v>127</v>
      </c>
      <c r="M251" s="27">
        <v>7</v>
      </c>
      <c r="N251" s="27">
        <v>20</v>
      </c>
      <c r="O251" s="27">
        <v>5</v>
      </c>
      <c r="P251" s="27">
        <v>133</v>
      </c>
      <c r="Q251" s="27">
        <v>2</v>
      </c>
      <c r="R251" s="27" t="s">
        <v>65</v>
      </c>
      <c r="S251" s="27" t="s">
        <v>96</v>
      </c>
      <c r="T251" s="27" t="s">
        <v>136</v>
      </c>
      <c r="U251" s="27">
        <v>9837426414</v>
      </c>
      <c r="V251" s="21" t="s">
        <v>34</v>
      </c>
    </row>
    <row r="252" spans="1:22" ht="15" thickBot="1" x14ac:dyDescent="0.4">
      <c r="A252" s="30" t="s">
        <v>359</v>
      </c>
      <c r="B252" s="30" t="s">
        <v>23</v>
      </c>
      <c r="C252" s="30" t="s">
        <v>24</v>
      </c>
      <c r="D252" s="31">
        <v>46073</v>
      </c>
      <c r="E252" s="31">
        <v>46085</v>
      </c>
      <c r="F252" s="30" t="s">
        <v>25</v>
      </c>
      <c r="G252" s="30" t="s">
        <v>26</v>
      </c>
      <c r="H252" s="31">
        <v>34537</v>
      </c>
      <c r="I252" s="30" t="s">
        <v>48</v>
      </c>
      <c r="J252" s="30" t="s">
        <v>28</v>
      </c>
      <c r="K252" s="30" t="s">
        <v>29</v>
      </c>
      <c r="L252" s="30" t="s">
        <v>30</v>
      </c>
      <c r="M252" s="30">
        <v>15</v>
      </c>
      <c r="N252" s="30">
        <v>2200</v>
      </c>
      <c r="O252" s="30">
        <v>20</v>
      </c>
      <c r="P252" s="30">
        <v>26400</v>
      </c>
      <c r="Q252" s="30">
        <v>2</v>
      </c>
      <c r="R252" s="30" t="s">
        <v>31</v>
      </c>
      <c r="S252" s="30" t="s">
        <v>50</v>
      </c>
      <c r="T252" s="30" t="s">
        <v>43</v>
      </c>
      <c r="U252" s="30">
        <v>9249918272</v>
      </c>
      <c r="V252" s="22" t="s">
        <v>34</v>
      </c>
    </row>
    <row r="253" spans="1:22" ht="15" thickBot="1" x14ac:dyDescent="0.4">
      <c r="A253" s="27" t="s">
        <v>360</v>
      </c>
      <c r="B253" s="27" t="s">
        <v>55</v>
      </c>
      <c r="C253" s="27" t="s">
        <v>125</v>
      </c>
      <c r="D253" s="28">
        <v>46070</v>
      </c>
      <c r="E253" s="28">
        <v>46078</v>
      </c>
      <c r="F253" s="27" t="s">
        <v>57</v>
      </c>
      <c r="G253" s="27" t="s">
        <v>58</v>
      </c>
      <c r="H253" s="28">
        <v>29170</v>
      </c>
      <c r="I253" s="27" t="s">
        <v>74</v>
      </c>
      <c r="J253" s="27" t="s">
        <v>75</v>
      </c>
      <c r="K253" s="27" t="s">
        <v>83</v>
      </c>
      <c r="L253" s="27" t="s">
        <v>127</v>
      </c>
      <c r="M253" s="27">
        <v>5</v>
      </c>
      <c r="N253" s="27">
        <v>20</v>
      </c>
      <c r="O253" s="27">
        <v>0</v>
      </c>
      <c r="P253" s="27">
        <v>100</v>
      </c>
      <c r="Q253" s="27">
        <v>3</v>
      </c>
      <c r="R253" s="27" t="s">
        <v>31</v>
      </c>
      <c r="S253" s="27" t="s">
        <v>96</v>
      </c>
      <c r="T253" s="27" t="s">
        <v>61</v>
      </c>
      <c r="U253" s="27">
        <v>9265580582</v>
      </c>
      <c r="V253" s="21" t="s">
        <v>34</v>
      </c>
    </row>
    <row r="254" spans="1:22" ht="15" thickBot="1" x14ac:dyDescent="0.4">
      <c r="A254" s="30" t="s">
        <v>361</v>
      </c>
      <c r="B254" s="30" t="s">
        <v>87</v>
      </c>
      <c r="C254" s="30" t="s">
        <v>36</v>
      </c>
      <c r="D254" s="31">
        <v>45847</v>
      </c>
      <c r="E254" s="31">
        <v>45852</v>
      </c>
      <c r="F254" s="30" t="s">
        <v>88</v>
      </c>
      <c r="G254" s="30" t="s">
        <v>58</v>
      </c>
      <c r="H254" s="31">
        <v>34846</v>
      </c>
      <c r="I254" s="30" t="s">
        <v>37</v>
      </c>
      <c r="J254" s="30" t="s">
        <v>38</v>
      </c>
      <c r="K254" s="30" t="s">
        <v>39</v>
      </c>
      <c r="L254" s="30" t="s">
        <v>40</v>
      </c>
      <c r="M254" s="30">
        <v>8</v>
      </c>
      <c r="N254" s="30">
        <v>12000</v>
      </c>
      <c r="O254" s="30">
        <v>20</v>
      </c>
      <c r="P254" s="30">
        <v>76800</v>
      </c>
      <c r="Q254" s="30">
        <v>3</v>
      </c>
      <c r="R254" s="30" t="s">
        <v>60</v>
      </c>
      <c r="S254" s="30" t="s">
        <v>50</v>
      </c>
      <c r="T254" s="30" t="s">
        <v>89</v>
      </c>
      <c r="U254" s="30">
        <v>9751049833</v>
      </c>
      <c r="V254" s="30" t="s">
        <v>52</v>
      </c>
    </row>
    <row r="255" spans="1:22" ht="15" thickBot="1" x14ac:dyDescent="0.4">
      <c r="A255" s="27" t="s">
        <v>362</v>
      </c>
      <c r="B255" s="27" t="s">
        <v>87</v>
      </c>
      <c r="C255" s="27" t="s">
        <v>68</v>
      </c>
      <c r="D255" s="28">
        <v>45696</v>
      </c>
      <c r="E255" s="28">
        <v>45704</v>
      </c>
      <c r="F255" s="27" t="s">
        <v>88</v>
      </c>
      <c r="G255" s="27" t="s">
        <v>58</v>
      </c>
      <c r="H255" s="28">
        <v>35964</v>
      </c>
      <c r="I255" s="27" t="s">
        <v>74</v>
      </c>
      <c r="J255" s="27" t="s">
        <v>75</v>
      </c>
      <c r="K255" s="27" t="s">
        <v>29</v>
      </c>
      <c r="L255" s="27" t="s">
        <v>70</v>
      </c>
      <c r="M255" s="27">
        <v>4</v>
      </c>
      <c r="N255" s="27">
        <v>3500</v>
      </c>
      <c r="O255" s="27">
        <v>20</v>
      </c>
      <c r="P255" s="27">
        <v>11200</v>
      </c>
      <c r="Q255" s="27">
        <v>1</v>
      </c>
      <c r="R255" s="27" t="s">
        <v>60</v>
      </c>
      <c r="S255" s="27" t="s">
        <v>80</v>
      </c>
      <c r="T255" s="27" t="s">
        <v>89</v>
      </c>
      <c r="U255" s="27">
        <v>9741671507</v>
      </c>
      <c r="V255" s="21" t="s">
        <v>34</v>
      </c>
    </row>
    <row r="256" spans="1:22" ht="15" thickBot="1" x14ac:dyDescent="0.4">
      <c r="A256" s="30" t="s">
        <v>363</v>
      </c>
      <c r="B256" s="30" t="s">
        <v>124</v>
      </c>
      <c r="C256" s="30" t="s">
        <v>138</v>
      </c>
      <c r="D256" s="31">
        <v>45713</v>
      </c>
      <c r="E256" s="31">
        <v>45720</v>
      </c>
      <c r="F256" s="30" t="s">
        <v>126</v>
      </c>
      <c r="G256" s="30" t="s">
        <v>58</v>
      </c>
      <c r="H256" s="31">
        <v>30337</v>
      </c>
      <c r="I256" s="30" t="s">
        <v>27</v>
      </c>
      <c r="J256" s="30" t="s">
        <v>28</v>
      </c>
      <c r="K256" s="30" t="s">
        <v>83</v>
      </c>
      <c r="L256" s="30" t="s">
        <v>139</v>
      </c>
      <c r="M256" s="30">
        <v>19</v>
      </c>
      <c r="N256" s="30">
        <v>45</v>
      </c>
      <c r="O256" s="30">
        <v>10</v>
      </c>
      <c r="P256" s="30">
        <v>769.5</v>
      </c>
      <c r="Q256" s="30">
        <v>1</v>
      </c>
      <c r="R256" s="30" t="s">
        <v>31</v>
      </c>
      <c r="S256" s="30" t="s">
        <v>80</v>
      </c>
      <c r="T256" s="30" t="s">
        <v>128</v>
      </c>
      <c r="U256" s="30">
        <v>9367541035</v>
      </c>
      <c r="V256" s="22" t="s">
        <v>34</v>
      </c>
    </row>
    <row r="257" spans="1:22" ht="15" thickBot="1" x14ac:dyDescent="0.4">
      <c r="A257" s="27" t="s">
        <v>364</v>
      </c>
      <c r="B257" s="27" t="s">
        <v>45</v>
      </c>
      <c r="C257" s="27" t="s">
        <v>138</v>
      </c>
      <c r="D257" s="28">
        <v>46049</v>
      </c>
      <c r="E257" s="28">
        <v>46059</v>
      </c>
      <c r="F257" s="27" t="s">
        <v>101</v>
      </c>
      <c r="G257" s="27" t="s">
        <v>26</v>
      </c>
      <c r="H257" s="28">
        <v>28552</v>
      </c>
      <c r="I257" s="27" t="s">
        <v>79</v>
      </c>
      <c r="J257" s="27" t="s">
        <v>75</v>
      </c>
      <c r="K257" s="27" t="s">
        <v>83</v>
      </c>
      <c r="L257" s="27" t="s">
        <v>139</v>
      </c>
      <c r="M257" s="27">
        <v>10</v>
      </c>
      <c r="N257" s="27">
        <v>45</v>
      </c>
      <c r="O257" s="27">
        <v>0</v>
      </c>
      <c r="P257" s="27">
        <v>450</v>
      </c>
      <c r="Q257" s="27">
        <v>4</v>
      </c>
      <c r="R257" s="27" t="s">
        <v>65</v>
      </c>
      <c r="S257" s="27" t="s">
        <v>50</v>
      </c>
      <c r="T257" s="27" t="s">
        <v>51</v>
      </c>
      <c r="U257" s="27">
        <v>9323696971</v>
      </c>
      <c r="V257" s="21" t="s">
        <v>34</v>
      </c>
    </row>
    <row r="258" spans="1:22" ht="15" thickBot="1" x14ac:dyDescent="0.4">
      <c r="A258" s="30" t="s">
        <v>365</v>
      </c>
      <c r="B258" s="30" t="s">
        <v>45</v>
      </c>
      <c r="C258" s="30" t="s">
        <v>138</v>
      </c>
      <c r="D258" s="31">
        <v>46030</v>
      </c>
      <c r="E258" s="31">
        <v>46039</v>
      </c>
      <c r="F258" s="30" t="s">
        <v>101</v>
      </c>
      <c r="G258" s="30" t="s">
        <v>26</v>
      </c>
      <c r="H258" s="31">
        <v>35605</v>
      </c>
      <c r="I258" s="30" t="s">
        <v>27</v>
      </c>
      <c r="J258" s="30" t="s">
        <v>28</v>
      </c>
      <c r="K258" s="30" t="s">
        <v>83</v>
      </c>
      <c r="L258" s="30" t="s">
        <v>139</v>
      </c>
      <c r="M258" s="30">
        <v>16</v>
      </c>
      <c r="N258" s="30">
        <v>45</v>
      </c>
      <c r="O258" s="30">
        <v>15</v>
      </c>
      <c r="P258" s="30">
        <v>612</v>
      </c>
      <c r="Q258" s="30">
        <v>3</v>
      </c>
      <c r="R258" s="30" t="s">
        <v>31</v>
      </c>
      <c r="S258" s="30" t="s">
        <v>80</v>
      </c>
      <c r="T258" s="30" t="s">
        <v>51</v>
      </c>
      <c r="U258" s="30">
        <v>9786384529</v>
      </c>
      <c r="V258" s="30" t="s">
        <v>53</v>
      </c>
    </row>
    <row r="259" spans="1:22" ht="15" thickBot="1" x14ac:dyDescent="0.4">
      <c r="A259" s="27" t="s">
        <v>366</v>
      </c>
      <c r="B259" s="27" t="s">
        <v>104</v>
      </c>
      <c r="C259" s="27" t="s">
        <v>105</v>
      </c>
      <c r="D259" s="28">
        <v>45741</v>
      </c>
      <c r="E259" s="28">
        <v>45743</v>
      </c>
      <c r="F259" s="27" t="s">
        <v>166</v>
      </c>
      <c r="G259" s="27" t="s">
        <v>26</v>
      </c>
      <c r="H259" s="28">
        <v>27997</v>
      </c>
      <c r="I259" s="27" t="s">
        <v>79</v>
      </c>
      <c r="J259" s="27" t="s">
        <v>75</v>
      </c>
      <c r="K259" s="27" t="s">
        <v>29</v>
      </c>
      <c r="L259" s="27" t="s">
        <v>107</v>
      </c>
      <c r="M259" s="27">
        <v>16</v>
      </c>
      <c r="N259" s="27">
        <v>8500</v>
      </c>
      <c r="O259" s="27">
        <v>15</v>
      </c>
      <c r="P259" s="27">
        <v>115600</v>
      </c>
      <c r="Q259" s="27">
        <v>4</v>
      </c>
      <c r="R259" s="27" t="s">
        <v>41</v>
      </c>
      <c r="S259" s="27" t="s">
        <v>32</v>
      </c>
      <c r="T259" s="27" t="s">
        <v>108</v>
      </c>
      <c r="U259" s="27">
        <v>9444900541</v>
      </c>
      <c r="V259" s="27" t="s">
        <v>53</v>
      </c>
    </row>
    <row r="260" spans="1:22" ht="15" thickBot="1" x14ac:dyDescent="0.4">
      <c r="A260" s="30" t="s">
        <v>367</v>
      </c>
      <c r="B260" s="30" t="s">
        <v>104</v>
      </c>
      <c r="C260" s="30" t="s">
        <v>125</v>
      </c>
      <c r="D260" s="31">
        <v>45901</v>
      </c>
      <c r="E260" s="31">
        <v>45912</v>
      </c>
      <c r="F260" s="30" t="s">
        <v>166</v>
      </c>
      <c r="G260" s="30" t="s">
        <v>26</v>
      </c>
      <c r="H260" s="31">
        <v>35159</v>
      </c>
      <c r="I260" s="30" t="s">
        <v>147</v>
      </c>
      <c r="J260" s="30" t="s">
        <v>148</v>
      </c>
      <c r="K260" s="30" t="s">
        <v>83</v>
      </c>
      <c r="L260" s="30" t="s">
        <v>127</v>
      </c>
      <c r="M260" s="30">
        <v>15</v>
      </c>
      <c r="N260" s="30">
        <v>20</v>
      </c>
      <c r="O260" s="30">
        <v>20</v>
      </c>
      <c r="P260" s="30">
        <v>240</v>
      </c>
      <c r="Q260" s="30">
        <v>3</v>
      </c>
      <c r="R260" s="30" t="s">
        <v>41</v>
      </c>
      <c r="S260" s="30" t="s">
        <v>42</v>
      </c>
      <c r="T260" s="30" t="s">
        <v>108</v>
      </c>
      <c r="U260" s="30">
        <v>9108024911</v>
      </c>
      <c r="V260" s="30" t="s">
        <v>53</v>
      </c>
    </row>
    <row r="261" spans="1:22" ht="15" thickBot="1" x14ac:dyDescent="0.4">
      <c r="A261" s="27" t="s">
        <v>368</v>
      </c>
      <c r="B261" s="27" t="s">
        <v>63</v>
      </c>
      <c r="C261" s="27" t="s">
        <v>82</v>
      </c>
      <c r="D261" s="28">
        <v>46031</v>
      </c>
      <c r="E261" s="28">
        <v>46035</v>
      </c>
      <c r="F261" s="27" t="s">
        <v>110</v>
      </c>
      <c r="G261" s="27" t="s">
        <v>58</v>
      </c>
      <c r="H261" s="28">
        <v>37173</v>
      </c>
      <c r="I261" s="27" t="s">
        <v>48</v>
      </c>
      <c r="J261" s="27" t="s">
        <v>28</v>
      </c>
      <c r="K261" s="27" t="s">
        <v>83</v>
      </c>
      <c r="L261" s="27" t="s">
        <v>84</v>
      </c>
      <c r="M261" s="27">
        <v>14</v>
      </c>
      <c r="N261" s="27">
        <v>60</v>
      </c>
      <c r="O261" s="27">
        <v>5</v>
      </c>
      <c r="P261" s="27">
        <v>798</v>
      </c>
      <c r="Q261" s="27">
        <v>4</v>
      </c>
      <c r="R261" s="27" t="s">
        <v>31</v>
      </c>
      <c r="S261" s="27" t="s">
        <v>42</v>
      </c>
      <c r="T261" s="27" t="s">
        <v>66</v>
      </c>
      <c r="U261" s="27">
        <v>9897181325</v>
      </c>
      <c r="V261" s="21" t="s">
        <v>34</v>
      </c>
    </row>
    <row r="262" spans="1:22" ht="15" thickBot="1" x14ac:dyDescent="0.4">
      <c r="A262" s="30" t="s">
        <v>369</v>
      </c>
      <c r="B262" s="30" t="s">
        <v>45</v>
      </c>
      <c r="C262" s="30" t="s">
        <v>56</v>
      </c>
      <c r="D262" s="31">
        <v>46158</v>
      </c>
      <c r="E262" s="31">
        <v>46161</v>
      </c>
      <c r="F262" s="30" t="s">
        <v>101</v>
      </c>
      <c r="G262" s="30" t="s">
        <v>26</v>
      </c>
      <c r="H262" s="31">
        <v>34800</v>
      </c>
      <c r="I262" s="30" t="s">
        <v>74</v>
      </c>
      <c r="J262" s="30" t="s">
        <v>75</v>
      </c>
      <c r="K262" s="30" t="s">
        <v>39</v>
      </c>
      <c r="L262" s="30" t="s">
        <v>59</v>
      </c>
      <c r="M262" s="30">
        <v>19</v>
      </c>
      <c r="N262" s="30">
        <v>1200</v>
      </c>
      <c r="O262" s="30">
        <v>20</v>
      </c>
      <c r="P262" s="30">
        <v>18240</v>
      </c>
      <c r="Q262" s="30">
        <v>2</v>
      </c>
      <c r="R262" s="30" t="s">
        <v>31</v>
      </c>
      <c r="S262" s="30" t="s">
        <v>80</v>
      </c>
      <c r="T262" s="30" t="s">
        <v>51</v>
      </c>
      <c r="U262" s="30">
        <v>9554719621</v>
      </c>
      <c r="V262" s="30" t="s">
        <v>53</v>
      </c>
    </row>
    <row r="263" spans="1:22" ht="15" thickBot="1" x14ac:dyDescent="0.4">
      <c r="A263" s="27" t="s">
        <v>370</v>
      </c>
      <c r="B263" s="27" t="s">
        <v>23</v>
      </c>
      <c r="C263" s="27" t="s">
        <v>138</v>
      </c>
      <c r="D263" s="28">
        <v>45943</v>
      </c>
      <c r="E263" s="28">
        <v>45944</v>
      </c>
      <c r="F263" s="27" t="s">
        <v>25</v>
      </c>
      <c r="G263" s="27" t="s">
        <v>26</v>
      </c>
      <c r="H263" s="28">
        <v>36650</v>
      </c>
      <c r="I263" s="27" t="s">
        <v>48</v>
      </c>
      <c r="J263" s="27" t="s">
        <v>28</v>
      </c>
      <c r="K263" s="27" t="s">
        <v>83</v>
      </c>
      <c r="L263" s="27" t="s">
        <v>139</v>
      </c>
      <c r="M263" s="27">
        <v>5</v>
      </c>
      <c r="N263" s="27">
        <v>45</v>
      </c>
      <c r="O263" s="27">
        <v>15</v>
      </c>
      <c r="P263" s="27">
        <v>191.25</v>
      </c>
      <c r="Q263" s="27">
        <v>2</v>
      </c>
      <c r="R263" s="27" t="s">
        <v>31</v>
      </c>
      <c r="S263" s="27" t="s">
        <v>50</v>
      </c>
      <c r="T263" s="27" t="s">
        <v>43</v>
      </c>
      <c r="U263" s="27">
        <v>9815899217</v>
      </c>
      <c r="V263" s="27" t="s">
        <v>53</v>
      </c>
    </row>
    <row r="264" spans="1:22" ht="15" thickBot="1" x14ac:dyDescent="0.4">
      <c r="A264" s="30" t="s">
        <v>371</v>
      </c>
      <c r="B264" s="30" t="s">
        <v>156</v>
      </c>
      <c r="C264" s="30" t="s">
        <v>112</v>
      </c>
      <c r="D264" s="31">
        <v>45802</v>
      </c>
      <c r="E264" s="31">
        <v>45809</v>
      </c>
      <c r="F264" s="30" t="s">
        <v>106</v>
      </c>
      <c r="G264" s="30" t="s">
        <v>58</v>
      </c>
      <c r="H264" s="31">
        <v>37316</v>
      </c>
      <c r="I264" s="30" t="s">
        <v>27</v>
      </c>
      <c r="J264" s="30" t="s">
        <v>28</v>
      </c>
      <c r="K264" s="30" t="s">
        <v>39</v>
      </c>
      <c r="L264" s="30" t="s">
        <v>114</v>
      </c>
      <c r="M264" s="30">
        <v>19</v>
      </c>
      <c r="N264" s="30">
        <v>700</v>
      </c>
      <c r="O264" s="30">
        <v>5</v>
      </c>
      <c r="P264" s="30">
        <v>12635</v>
      </c>
      <c r="Q264" s="30">
        <v>5</v>
      </c>
      <c r="R264" s="30" t="s">
        <v>65</v>
      </c>
      <c r="S264" s="30" t="s">
        <v>96</v>
      </c>
      <c r="T264" s="30" t="s">
        <v>158</v>
      </c>
      <c r="U264" s="30">
        <v>9308497039</v>
      </c>
      <c r="V264" s="22" t="s">
        <v>34</v>
      </c>
    </row>
    <row r="265" spans="1:22" ht="15" thickBot="1" x14ac:dyDescent="0.4">
      <c r="A265" s="27" t="s">
        <v>372</v>
      </c>
      <c r="B265" s="27" t="s">
        <v>87</v>
      </c>
      <c r="C265" s="27" t="s">
        <v>82</v>
      </c>
      <c r="D265" s="28">
        <v>46025</v>
      </c>
      <c r="E265" s="28">
        <v>46026</v>
      </c>
      <c r="F265" s="27" t="s">
        <v>88</v>
      </c>
      <c r="G265" s="27" t="s">
        <v>58</v>
      </c>
      <c r="H265" s="28">
        <v>27541</v>
      </c>
      <c r="I265" s="27" t="s">
        <v>147</v>
      </c>
      <c r="J265" s="27" t="s">
        <v>148</v>
      </c>
      <c r="K265" s="27" t="s">
        <v>83</v>
      </c>
      <c r="L265" s="27" t="s">
        <v>84</v>
      </c>
      <c r="M265" s="27">
        <v>7</v>
      </c>
      <c r="N265" s="27">
        <v>60</v>
      </c>
      <c r="O265" s="27">
        <v>0</v>
      </c>
      <c r="P265" s="27">
        <v>420</v>
      </c>
      <c r="Q265" s="27">
        <v>4</v>
      </c>
      <c r="R265" s="27" t="s">
        <v>31</v>
      </c>
      <c r="S265" s="27" t="s">
        <v>80</v>
      </c>
      <c r="T265" s="27" t="s">
        <v>89</v>
      </c>
      <c r="U265" s="27">
        <v>9882054354</v>
      </c>
      <c r="V265" s="27" t="s">
        <v>52</v>
      </c>
    </row>
    <row r="266" spans="1:22" ht="15" thickBot="1" x14ac:dyDescent="0.4">
      <c r="A266" s="30" t="s">
        <v>373</v>
      </c>
      <c r="B266" s="30" t="s">
        <v>55</v>
      </c>
      <c r="C266" s="30" t="s">
        <v>24</v>
      </c>
      <c r="D266" s="31">
        <v>46013</v>
      </c>
      <c r="E266" s="31">
        <v>46024</v>
      </c>
      <c r="F266" s="30" t="s">
        <v>57</v>
      </c>
      <c r="G266" s="30" t="s">
        <v>58</v>
      </c>
      <c r="H266" s="31">
        <v>32479</v>
      </c>
      <c r="I266" s="30" t="s">
        <v>74</v>
      </c>
      <c r="J266" s="30" t="s">
        <v>75</v>
      </c>
      <c r="K266" s="30" t="s">
        <v>29</v>
      </c>
      <c r="L266" s="30" t="s">
        <v>30</v>
      </c>
      <c r="M266" s="30">
        <v>13</v>
      </c>
      <c r="N266" s="30">
        <v>2200</v>
      </c>
      <c r="O266" s="30">
        <v>10</v>
      </c>
      <c r="P266" s="30">
        <v>25740</v>
      </c>
      <c r="Q266" s="30">
        <v>1</v>
      </c>
      <c r="R266" s="30" t="s">
        <v>60</v>
      </c>
      <c r="S266" s="30" t="s">
        <v>96</v>
      </c>
      <c r="T266" s="30" t="s">
        <v>61</v>
      </c>
      <c r="U266" s="30">
        <v>9193016830</v>
      </c>
      <c r="V266" s="22" t="s">
        <v>34</v>
      </c>
    </row>
    <row r="267" spans="1:22" ht="15" thickBot="1" x14ac:dyDescent="0.4">
      <c r="A267" s="27" t="s">
        <v>374</v>
      </c>
      <c r="B267" s="27" t="s">
        <v>55</v>
      </c>
      <c r="C267" s="27" t="s">
        <v>24</v>
      </c>
      <c r="D267" s="28">
        <v>46019</v>
      </c>
      <c r="E267" s="28">
        <v>46027</v>
      </c>
      <c r="F267" s="27" t="s">
        <v>57</v>
      </c>
      <c r="G267" s="27" t="s">
        <v>58</v>
      </c>
      <c r="H267" s="28">
        <v>31022</v>
      </c>
      <c r="I267" s="27" t="s">
        <v>48</v>
      </c>
      <c r="J267" s="27" t="s">
        <v>28</v>
      </c>
      <c r="K267" s="27" t="s">
        <v>29</v>
      </c>
      <c r="L267" s="27" t="s">
        <v>30</v>
      </c>
      <c r="M267" s="27">
        <v>9</v>
      </c>
      <c r="N267" s="27">
        <v>2200</v>
      </c>
      <c r="O267" s="27">
        <v>10</v>
      </c>
      <c r="P267" s="27">
        <v>17820</v>
      </c>
      <c r="Q267" s="27">
        <v>2</v>
      </c>
      <c r="R267" s="27" t="s">
        <v>375</v>
      </c>
      <c r="S267" s="27" t="s">
        <v>50</v>
      </c>
      <c r="T267" s="27" t="s">
        <v>61</v>
      </c>
      <c r="U267" s="27">
        <v>9921470418</v>
      </c>
      <c r="V267" s="27" t="s">
        <v>53</v>
      </c>
    </row>
    <row r="268" spans="1:22" ht="15" thickBot="1" x14ac:dyDescent="0.4">
      <c r="A268" s="30" t="s">
        <v>376</v>
      </c>
      <c r="B268" s="30" t="s">
        <v>156</v>
      </c>
      <c r="C268" s="30" t="s">
        <v>105</v>
      </c>
      <c r="D268" s="31">
        <v>45792</v>
      </c>
      <c r="E268" s="31">
        <v>45794</v>
      </c>
      <c r="F268" s="30" t="s">
        <v>106</v>
      </c>
      <c r="G268" s="30" t="s">
        <v>58</v>
      </c>
      <c r="H268" s="31">
        <v>32994</v>
      </c>
      <c r="I268" s="30" t="s">
        <v>48</v>
      </c>
      <c r="J268" s="30" t="s">
        <v>28</v>
      </c>
      <c r="K268" s="30" t="s">
        <v>29</v>
      </c>
      <c r="L268" s="30" t="s">
        <v>107</v>
      </c>
      <c r="M268" s="30">
        <v>6</v>
      </c>
      <c r="N268" s="30">
        <v>8500</v>
      </c>
      <c r="O268" s="30">
        <v>15</v>
      </c>
      <c r="P268" s="30">
        <v>43350</v>
      </c>
      <c r="Q268" s="30">
        <v>2</v>
      </c>
      <c r="R268" s="30" t="s">
        <v>31</v>
      </c>
      <c r="S268" s="30" t="s">
        <v>96</v>
      </c>
      <c r="T268" s="30" t="s">
        <v>158</v>
      </c>
      <c r="U268" s="30">
        <v>9686979026</v>
      </c>
      <c r="V268" s="30" t="s">
        <v>53</v>
      </c>
    </row>
    <row r="269" spans="1:22" ht="15" thickBot="1" x14ac:dyDescent="0.4">
      <c r="A269" s="27" t="s">
        <v>377</v>
      </c>
      <c r="B269" s="27" t="s">
        <v>124</v>
      </c>
      <c r="C269" s="27" t="s">
        <v>24</v>
      </c>
      <c r="D269" s="28">
        <v>46070</v>
      </c>
      <c r="E269" s="28">
        <v>46078</v>
      </c>
      <c r="F269" s="27" t="s">
        <v>126</v>
      </c>
      <c r="G269" s="27" t="s">
        <v>58</v>
      </c>
      <c r="H269" s="28">
        <v>32182</v>
      </c>
      <c r="I269" s="27" t="s">
        <v>37</v>
      </c>
      <c r="J269" s="27" t="s">
        <v>38</v>
      </c>
      <c r="K269" s="27" t="s">
        <v>29</v>
      </c>
      <c r="L269" s="27" t="s">
        <v>30</v>
      </c>
      <c r="M269" s="27">
        <v>9</v>
      </c>
      <c r="N269" s="27">
        <v>2200</v>
      </c>
      <c r="O269" s="27">
        <v>10</v>
      </c>
      <c r="P269" s="27">
        <v>17820</v>
      </c>
      <c r="Q269" s="27">
        <v>3</v>
      </c>
      <c r="R269" s="27" t="s">
        <v>60</v>
      </c>
      <c r="S269" s="27" t="s">
        <v>32</v>
      </c>
      <c r="T269" s="27" t="s">
        <v>128</v>
      </c>
      <c r="U269" s="27">
        <v>9569007422</v>
      </c>
      <c r="V269" s="27" t="s">
        <v>52</v>
      </c>
    </row>
    <row r="270" spans="1:22" ht="15" thickBot="1" x14ac:dyDescent="0.4">
      <c r="A270" s="30" t="s">
        <v>378</v>
      </c>
      <c r="B270" s="30" t="s">
        <v>23</v>
      </c>
      <c r="C270" s="30" t="s">
        <v>105</v>
      </c>
      <c r="D270" s="31">
        <v>45739</v>
      </c>
      <c r="E270" s="31">
        <v>45742</v>
      </c>
      <c r="F270" s="30" t="s">
        <v>25</v>
      </c>
      <c r="G270" s="30" t="s">
        <v>26</v>
      </c>
      <c r="H270" s="31">
        <v>30038</v>
      </c>
      <c r="I270" s="30" t="s">
        <v>147</v>
      </c>
      <c r="J270" s="30" t="s">
        <v>148</v>
      </c>
      <c r="K270" s="30" t="s">
        <v>29</v>
      </c>
      <c r="L270" s="30" t="s">
        <v>107</v>
      </c>
      <c r="M270" s="30">
        <v>16</v>
      </c>
      <c r="N270" s="30">
        <v>8500</v>
      </c>
      <c r="O270" s="30">
        <v>0</v>
      </c>
      <c r="P270" s="30">
        <v>136000</v>
      </c>
      <c r="Q270" s="30">
        <v>5</v>
      </c>
      <c r="R270" s="30" t="s">
        <v>65</v>
      </c>
      <c r="S270" s="30" t="s">
        <v>80</v>
      </c>
      <c r="T270" s="30" t="s">
        <v>43</v>
      </c>
      <c r="U270" s="30">
        <v>9180820441</v>
      </c>
      <c r="V270" s="30" t="s">
        <v>53</v>
      </c>
    </row>
    <row r="271" spans="1:22" ht="15" thickBot="1" x14ac:dyDescent="0.4">
      <c r="A271" s="27" t="s">
        <v>379</v>
      </c>
      <c r="B271" s="27" t="s">
        <v>156</v>
      </c>
      <c r="C271" s="27" t="s">
        <v>56</v>
      </c>
      <c r="D271" s="28">
        <v>46006</v>
      </c>
      <c r="E271" s="28">
        <v>46007</v>
      </c>
      <c r="F271" s="27" t="s">
        <v>106</v>
      </c>
      <c r="G271" s="27" t="s">
        <v>58</v>
      </c>
      <c r="H271" s="28">
        <v>28122</v>
      </c>
      <c r="I271" s="27" t="s">
        <v>37</v>
      </c>
      <c r="J271" s="27" t="s">
        <v>38</v>
      </c>
      <c r="K271" s="27" t="s">
        <v>39</v>
      </c>
      <c r="L271" s="27" t="s">
        <v>59</v>
      </c>
      <c r="M271" s="27">
        <v>10</v>
      </c>
      <c r="N271" s="27">
        <v>1200</v>
      </c>
      <c r="O271" s="27">
        <v>15</v>
      </c>
      <c r="P271" s="27">
        <v>10200</v>
      </c>
      <c r="Q271" s="27">
        <v>5</v>
      </c>
      <c r="R271" s="27" t="s">
        <v>31</v>
      </c>
      <c r="S271" s="27" t="s">
        <v>42</v>
      </c>
      <c r="T271" s="27" t="s">
        <v>158</v>
      </c>
      <c r="U271" s="27">
        <v>9769075826</v>
      </c>
      <c r="V271" s="21" t="s">
        <v>34</v>
      </c>
    </row>
    <row r="272" spans="1:22" ht="15" thickBot="1" x14ac:dyDescent="0.4">
      <c r="A272" s="30" t="s">
        <v>380</v>
      </c>
      <c r="B272" s="30" t="s">
        <v>87</v>
      </c>
      <c r="C272" s="30" t="s">
        <v>36</v>
      </c>
      <c r="D272" s="31">
        <v>45721</v>
      </c>
      <c r="E272" s="31">
        <v>45731</v>
      </c>
      <c r="F272" s="30" t="s">
        <v>88</v>
      </c>
      <c r="G272" s="30" t="s">
        <v>58</v>
      </c>
      <c r="H272" s="31">
        <v>37836</v>
      </c>
      <c r="I272" s="30" t="s">
        <v>147</v>
      </c>
      <c r="J272" s="30" t="s">
        <v>148</v>
      </c>
      <c r="K272" s="30" t="s">
        <v>39</v>
      </c>
      <c r="L272" s="30" t="s">
        <v>40</v>
      </c>
      <c r="M272" s="30">
        <v>7</v>
      </c>
      <c r="N272" s="30">
        <v>12000</v>
      </c>
      <c r="O272" s="30">
        <v>0</v>
      </c>
      <c r="P272" s="30">
        <v>84000</v>
      </c>
      <c r="Q272" s="30">
        <v>1</v>
      </c>
      <c r="R272" s="30" t="s">
        <v>65</v>
      </c>
      <c r="S272" s="30" t="s">
        <v>96</v>
      </c>
      <c r="T272" s="30" t="s">
        <v>89</v>
      </c>
      <c r="U272" s="30">
        <v>9467916296</v>
      </c>
      <c r="V272" s="30" t="s">
        <v>52</v>
      </c>
    </row>
    <row r="273" spans="1:22" ht="15" thickBot="1" x14ac:dyDescent="0.4">
      <c r="A273" s="27" t="s">
        <v>381</v>
      </c>
      <c r="B273" s="27" t="s">
        <v>124</v>
      </c>
      <c r="C273" s="27" t="s">
        <v>36</v>
      </c>
      <c r="D273" s="28">
        <v>45919</v>
      </c>
      <c r="E273" s="28">
        <v>45931</v>
      </c>
      <c r="F273" s="27" t="s">
        <v>126</v>
      </c>
      <c r="G273" s="27" t="s">
        <v>58</v>
      </c>
      <c r="H273" s="28">
        <v>31538</v>
      </c>
      <c r="I273" s="27" t="s">
        <v>79</v>
      </c>
      <c r="J273" s="27" t="s">
        <v>75</v>
      </c>
      <c r="K273" s="27" t="s">
        <v>39</v>
      </c>
      <c r="L273" s="27" t="s">
        <v>40</v>
      </c>
      <c r="M273" s="27">
        <v>3</v>
      </c>
      <c r="N273" s="27">
        <v>12000</v>
      </c>
      <c r="O273" s="27">
        <v>10</v>
      </c>
      <c r="P273" s="27">
        <v>32400</v>
      </c>
      <c r="Q273" s="27">
        <v>4</v>
      </c>
      <c r="R273" s="27" t="s">
        <v>60</v>
      </c>
      <c r="S273" s="27" t="s">
        <v>96</v>
      </c>
      <c r="T273" s="27" t="s">
        <v>128</v>
      </c>
      <c r="U273" s="27">
        <v>9477052923</v>
      </c>
      <c r="V273" s="21" t="s">
        <v>34</v>
      </c>
    </row>
    <row r="274" spans="1:22" ht="15" thickBot="1" x14ac:dyDescent="0.4">
      <c r="A274" s="30" t="s">
        <v>382</v>
      </c>
      <c r="B274" s="30" t="s">
        <v>124</v>
      </c>
      <c r="C274" s="30" t="s">
        <v>36</v>
      </c>
      <c r="D274" s="31">
        <v>45964</v>
      </c>
      <c r="E274" s="31">
        <v>45970</v>
      </c>
      <c r="F274" s="30" t="s">
        <v>126</v>
      </c>
      <c r="G274" s="30" t="s">
        <v>58</v>
      </c>
      <c r="H274" s="31">
        <v>32543</v>
      </c>
      <c r="I274" s="30" t="s">
        <v>27</v>
      </c>
      <c r="J274" s="30" t="s">
        <v>28</v>
      </c>
      <c r="K274" s="30" t="s">
        <v>39</v>
      </c>
      <c r="L274" s="30" t="s">
        <v>40</v>
      </c>
      <c r="M274" s="30">
        <v>4</v>
      </c>
      <c r="N274" s="30">
        <v>12000</v>
      </c>
      <c r="O274" s="30">
        <v>15</v>
      </c>
      <c r="P274" s="30">
        <v>40800</v>
      </c>
      <c r="Q274" s="30">
        <v>3</v>
      </c>
      <c r="R274" s="30" t="s">
        <v>60</v>
      </c>
      <c r="S274" s="30" t="s">
        <v>32</v>
      </c>
      <c r="T274" s="30" t="s">
        <v>128</v>
      </c>
      <c r="U274" s="30">
        <v>9184311420</v>
      </c>
      <c r="V274" s="30" t="s">
        <v>52</v>
      </c>
    </row>
    <row r="275" spans="1:22" ht="15" thickBot="1" x14ac:dyDescent="0.4">
      <c r="A275" s="27" t="s">
        <v>383</v>
      </c>
      <c r="B275" s="27" t="s">
        <v>87</v>
      </c>
      <c r="C275" s="27" t="s">
        <v>36</v>
      </c>
      <c r="D275" s="28">
        <v>45824</v>
      </c>
      <c r="E275" s="28">
        <v>45826</v>
      </c>
      <c r="F275" s="27" t="s">
        <v>88</v>
      </c>
      <c r="G275" s="27" t="s">
        <v>58</v>
      </c>
      <c r="H275" s="28">
        <v>29259</v>
      </c>
      <c r="I275" s="27" t="s">
        <v>27</v>
      </c>
      <c r="J275" s="27" t="s">
        <v>28</v>
      </c>
      <c r="K275" s="27" t="s">
        <v>39</v>
      </c>
      <c r="L275" s="27" t="s">
        <v>40</v>
      </c>
      <c r="M275" s="27">
        <v>13</v>
      </c>
      <c r="N275" s="27">
        <v>12000</v>
      </c>
      <c r="O275" s="27">
        <v>10</v>
      </c>
      <c r="P275" s="27">
        <v>140400</v>
      </c>
      <c r="Q275" s="27">
        <v>2</v>
      </c>
      <c r="R275" s="27" t="s">
        <v>31</v>
      </c>
      <c r="S275" s="27" t="s">
        <v>96</v>
      </c>
      <c r="T275" s="27" t="s">
        <v>89</v>
      </c>
      <c r="U275" s="27">
        <v>9630913127</v>
      </c>
      <c r="V275" s="27" t="s">
        <v>53</v>
      </c>
    </row>
    <row r="276" spans="1:22" ht="15" thickBot="1" x14ac:dyDescent="0.4">
      <c r="A276" s="30" t="s">
        <v>384</v>
      </c>
      <c r="B276" s="30" t="s">
        <v>23</v>
      </c>
      <c r="C276" s="30" t="s">
        <v>68</v>
      </c>
      <c r="D276" s="31">
        <v>45812</v>
      </c>
      <c r="E276" s="31">
        <v>45819</v>
      </c>
      <c r="F276" s="30" t="s">
        <v>25</v>
      </c>
      <c r="G276" s="30" t="s">
        <v>26</v>
      </c>
      <c r="H276" s="31">
        <v>31060</v>
      </c>
      <c r="I276" s="30" t="s">
        <v>48</v>
      </c>
      <c r="J276" s="30" t="s">
        <v>28</v>
      </c>
      <c r="K276" s="30" t="s">
        <v>29</v>
      </c>
      <c r="L276" s="30" t="s">
        <v>70</v>
      </c>
      <c r="M276" s="30">
        <v>19</v>
      </c>
      <c r="N276" s="30">
        <v>3500</v>
      </c>
      <c r="O276" s="30">
        <v>20</v>
      </c>
      <c r="P276" s="30">
        <v>53200</v>
      </c>
      <c r="Q276" s="30">
        <v>1</v>
      </c>
      <c r="R276" s="30" t="s">
        <v>31</v>
      </c>
      <c r="S276" s="30" t="s">
        <v>50</v>
      </c>
      <c r="T276" s="30" t="s">
        <v>43</v>
      </c>
      <c r="U276" s="30">
        <v>9997515828</v>
      </c>
      <c r="V276" s="30" t="s">
        <v>53</v>
      </c>
    </row>
    <row r="277" spans="1:22" ht="15" thickBot="1" x14ac:dyDescent="0.4">
      <c r="A277" s="27" t="s">
        <v>385</v>
      </c>
      <c r="B277" s="27" t="s">
        <v>23</v>
      </c>
      <c r="C277" s="27" t="s">
        <v>24</v>
      </c>
      <c r="D277" s="28">
        <v>45695</v>
      </c>
      <c r="E277" s="28">
        <v>45700</v>
      </c>
      <c r="F277" s="27" t="s">
        <v>25</v>
      </c>
      <c r="G277" s="27" t="s">
        <v>26</v>
      </c>
      <c r="H277" s="28">
        <v>29060</v>
      </c>
      <c r="I277" s="27" t="s">
        <v>74</v>
      </c>
      <c r="J277" s="27" t="s">
        <v>75</v>
      </c>
      <c r="K277" s="27" t="s">
        <v>29</v>
      </c>
      <c r="L277" s="27" t="s">
        <v>30</v>
      </c>
      <c r="M277" s="27">
        <v>7</v>
      </c>
      <c r="N277" s="27">
        <v>2200</v>
      </c>
      <c r="O277" s="27">
        <v>5</v>
      </c>
      <c r="P277" s="27">
        <v>14630</v>
      </c>
      <c r="Q277" s="27">
        <v>3</v>
      </c>
      <c r="R277" s="27" t="s">
        <v>65</v>
      </c>
      <c r="S277" s="27" t="s">
        <v>50</v>
      </c>
      <c r="T277" s="27" t="s">
        <v>43</v>
      </c>
      <c r="U277" s="27">
        <v>9394291182</v>
      </c>
      <c r="V277" s="27" t="s">
        <v>53</v>
      </c>
    </row>
    <row r="278" spans="1:22" ht="15" thickBot="1" x14ac:dyDescent="0.4">
      <c r="A278" s="30" t="s">
        <v>386</v>
      </c>
      <c r="B278" s="30" t="s">
        <v>63</v>
      </c>
      <c r="C278" s="30" t="s">
        <v>112</v>
      </c>
      <c r="D278" s="31">
        <v>46151</v>
      </c>
      <c r="E278" s="31">
        <v>46155</v>
      </c>
      <c r="F278" s="30" t="s">
        <v>110</v>
      </c>
      <c r="G278" s="30" t="s">
        <v>58</v>
      </c>
      <c r="H278" s="31">
        <v>34184</v>
      </c>
      <c r="I278" s="30" t="s">
        <v>121</v>
      </c>
      <c r="J278" s="30" t="s">
        <v>38</v>
      </c>
      <c r="K278" s="30" t="s">
        <v>39</v>
      </c>
      <c r="L278" s="30" t="s">
        <v>114</v>
      </c>
      <c r="M278" s="30">
        <v>18</v>
      </c>
      <c r="N278" s="30">
        <v>700</v>
      </c>
      <c r="O278" s="30">
        <v>5</v>
      </c>
      <c r="P278" s="30">
        <v>11970</v>
      </c>
      <c r="Q278" s="30">
        <v>2</v>
      </c>
      <c r="R278" s="30" t="s">
        <v>65</v>
      </c>
      <c r="S278" s="30" t="s">
        <v>50</v>
      </c>
      <c r="T278" s="30" t="s">
        <v>66</v>
      </c>
      <c r="U278" s="30">
        <v>9616853220</v>
      </c>
      <c r="V278" s="30" t="s">
        <v>53</v>
      </c>
    </row>
    <row r="279" spans="1:22" ht="15" thickBot="1" x14ac:dyDescent="0.4">
      <c r="A279" s="27" t="s">
        <v>387</v>
      </c>
      <c r="B279" s="27" t="s">
        <v>23</v>
      </c>
      <c r="C279" s="27" t="s">
        <v>125</v>
      </c>
      <c r="D279" s="28">
        <v>45858</v>
      </c>
      <c r="E279" s="28">
        <v>45868</v>
      </c>
      <c r="F279" s="27" t="s">
        <v>25</v>
      </c>
      <c r="G279" s="27" t="s">
        <v>26</v>
      </c>
      <c r="H279" s="28">
        <v>27629</v>
      </c>
      <c r="I279" s="27" t="s">
        <v>147</v>
      </c>
      <c r="J279" s="27" t="s">
        <v>148</v>
      </c>
      <c r="K279" s="27" t="s">
        <v>83</v>
      </c>
      <c r="L279" s="27" t="s">
        <v>127</v>
      </c>
      <c r="M279" s="27">
        <v>11</v>
      </c>
      <c r="N279" s="27">
        <v>20</v>
      </c>
      <c r="O279" s="27">
        <v>0</v>
      </c>
      <c r="P279" s="27">
        <v>220</v>
      </c>
      <c r="Q279" s="27">
        <v>2</v>
      </c>
      <c r="R279" s="27" t="s">
        <v>41</v>
      </c>
      <c r="S279" s="27" t="s">
        <v>80</v>
      </c>
      <c r="T279" s="27" t="s">
        <v>43</v>
      </c>
      <c r="U279" s="27">
        <v>9147552626</v>
      </c>
      <c r="V279" s="27" t="s">
        <v>53</v>
      </c>
    </row>
    <row r="280" spans="1:22" ht="15" thickBot="1" x14ac:dyDescent="0.4">
      <c r="A280" s="30" t="s">
        <v>388</v>
      </c>
      <c r="B280" s="30" t="s">
        <v>156</v>
      </c>
      <c r="C280" s="30" t="s">
        <v>36</v>
      </c>
      <c r="D280" s="31">
        <v>45716</v>
      </c>
      <c r="E280" s="31">
        <v>45723</v>
      </c>
      <c r="F280" s="30" t="s">
        <v>106</v>
      </c>
      <c r="G280" s="30" t="s">
        <v>58</v>
      </c>
      <c r="H280" s="31">
        <v>28603</v>
      </c>
      <c r="I280" s="30" t="s">
        <v>79</v>
      </c>
      <c r="J280" s="30" t="s">
        <v>75</v>
      </c>
      <c r="K280" s="30" t="s">
        <v>39</v>
      </c>
      <c r="L280" s="30" t="s">
        <v>40</v>
      </c>
      <c r="M280" s="30">
        <v>17</v>
      </c>
      <c r="N280" s="30">
        <v>12000</v>
      </c>
      <c r="O280" s="30">
        <v>20</v>
      </c>
      <c r="P280" s="30">
        <v>163200</v>
      </c>
      <c r="Q280" s="30">
        <v>4</v>
      </c>
      <c r="R280" s="30" t="s">
        <v>65</v>
      </c>
      <c r="S280" s="30" t="s">
        <v>96</v>
      </c>
      <c r="T280" s="30" t="s">
        <v>158</v>
      </c>
      <c r="U280" s="30">
        <v>9724197033</v>
      </c>
      <c r="V280" s="22" t="s">
        <v>34</v>
      </c>
    </row>
    <row r="281" spans="1:22" ht="15" thickBot="1" x14ac:dyDescent="0.4">
      <c r="A281" s="27" t="s">
        <v>389</v>
      </c>
      <c r="B281" s="27" t="s">
        <v>134</v>
      </c>
      <c r="C281" s="27" t="s">
        <v>24</v>
      </c>
      <c r="D281" s="28">
        <v>45846</v>
      </c>
      <c r="E281" s="28">
        <v>45851</v>
      </c>
      <c r="F281" s="27" t="s">
        <v>135</v>
      </c>
      <c r="G281" s="27" t="s">
        <v>26</v>
      </c>
      <c r="H281" s="28">
        <v>37889</v>
      </c>
      <c r="I281" s="27" t="s">
        <v>147</v>
      </c>
      <c r="J281" s="27" t="s">
        <v>148</v>
      </c>
      <c r="K281" s="27" t="s">
        <v>29</v>
      </c>
      <c r="L281" s="27" t="s">
        <v>30</v>
      </c>
      <c r="M281" s="27">
        <v>4</v>
      </c>
      <c r="N281" s="27">
        <v>2200</v>
      </c>
      <c r="O281" s="27">
        <v>5</v>
      </c>
      <c r="P281" s="27">
        <v>8360</v>
      </c>
      <c r="Q281" s="27">
        <v>2</v>
      </c>
      <c r="R281" s="27" t="s">
        <v>31</v>
      </c>
      <c r="S281" s="27" t="s">
        <v>32</v>
      </c>
      <c r="T281" s="27" t="s">
        <v>136</v>
      </c>
      <c r="U281" s="27">
        <v>9130666128</v>
      </c>
      <c r="V281" s="21" t="s">
        <v>34</v>
      </c>
    </row>
    <row r="282" spans="1:22" ht="15" thickBot="1" x14ac:dyDescent="0.4">
      <c r="A282" s="30" t="s">
        <v>390</v>
      </c>
      <c r="B282" s="30" t="s">
        <v>23</v>
      </c>
      <c r="C282" s="30" t="s">
        <v>46</v>
      </c>
      <c r="D282" s="31">
        <v>46003</v>
      </c>
      <c r="E282" s="31">
        <v>46010</v>
      </c>
      <c r="F282" s="30" t="s">
        <v>25</v>
      </c>
      <c r="G282" s="30" t="s">
        <v>26</v>
      </c>
      <c r="H282" s="31">
        <v>37355</v>
      </c>
      <c r="I282" s="30" t="s">
        <v>91</v>
      </c>
      <c r="J282" s="30" t="s">
        <v>75</v>
      </c>
      <c r="K282" s="30" t="s">
        <v>39</v>
      </c>
      <c r="L282" s="30" t="s">
        <v>49</v>
      </c>
      <c r="M282" s="30">
        <v>6</v>
      </c>
      <c r="N282" s="30">
        <v>55000</v>
      </c>
      <c r="O282" s="30">
        <v>20</v>
      </c>
      <c r="P282" s="30">
        <v>264000</v>
      </c>
      <c r="Q282" s="30">
        <v>2</v>
      </c>
      <c r="R282" s="30" t="s">
        <v>65</v>
      </c>
      <c r="S282" s="30" t="s">
        <v>96</v>
      </c>
      <c r="T282" s="30" t="s">
        <v>43</v>
      </c>
      <c r="U282" s="30">
        <v>9866567601</v>
      </c>
      <c r="V282" s="30" t="s">
        <v>53</v>
      </c>
    </row>
    <row r="283" spans="1:22" ht="15" thickBot="1" x14ac:dyDescent="0.4">
      <c r="A283" s="27" t="s">
        <v>391</v>
      </c>
      <c r="B283" s="27" t="s">
        <v>55</v>
      </c>
      <c r="C283" s="27" t="s">
        <v>105</v>
      </c>
      <c r="D283" s="28">
        <v>46026</v>
      </c>
      <c r="E283" s="28">
        <v>46036</v>
      </c>
      <c r="F283" s="27" t="s">
        <v>57</v>
      </c>
      <c r="G283" s="27" t="s">
        <v>58</v>
      </c>
      <c r="H283" s="28">
        <v>31314</v>
      </c>
      <c r="I283" s="27" t="s">
        <v>37</v>
      </c>
      <c r="J283" s="27" t="s">
        <v>38</v>
      </c>
      <c r="K283" s="27" t="s">
        <v>29</v>
      </c>
      <c r="L283" s="27" t="s">
        <v>107</v>
      </c>
      <c r="M283" s="27">
        <v>6</v>
      </c>
      <c r="N283" s="27">
        <v>8500</v>
      </c>
      <c r="O283" s="27">
        <v>10</v>
      </c>
      <c r="P283" s="27">
        <v>45900</v>
      </c>
      <c r="Q283" s="27">
        <v>5</v>
      </c>
      <c r="R283" s="27" t="s">
        <v>65</v>
      </c>
      <c r="S283" s="27" t="s">
        <v>50</v>
      </c>
      <c r="T283" s="27" t="s">
        <v>61</v>
      </c>
      <c r="U283" s="27">
        <v>9477282450</v>
      </c>
      <c r="V283" s="21" t="s">
        <v>34</v>
      </c>
    </row>
    <row r="284" spans="1:22" ht="15" thickBot="1" x14ac:dyDescent="0.4">
      <c r="A284" s="30" t="s">
        <v>392</v>
      </c>
      <c r="B284" s="30" t="s">
        <v>23</v>
      </c>
      <c r="C284" s="30" t="s">
        <v>125</v>
      </c>
      <c r="D284" s="31">
        <v>45889</v>
      </c>
      <c r="E284" s="31">
        <v>45894</v>
      </c>
      <c r="F284" s="30" t="s">
        <v>25</v>
      </c>
      <c r="G284" s="30" t="s">
        <v>26</v>
      </c>
      <c r="H284" s="31">
        <v>31028</v>
      </c>
      <c r="I284" s="30" t="s">
        <v>121</v>
      </c>
      <c r="J284" s="30" t="s">
        <v>38</v>
      </c>
      <c r="K284" s="30" t="s">
        <v>83</v>
      </c>
      <c r="L284" s="30" t="s">
        <v>127</v>
      </c>
      <c r="M284" s="30">
        <v>6</v>
      </c>
      <c r="N284" s="30">
        <v>20</v>
      </c>
      <c r="O284" s="30">
        <v>15</v>
      </c>
      <c r="P284" s="30">
        <v>102</v>
      </c>
      <c r="Q284" s="30">
        <v>2</v>
      </c>
      <c r="R284" s="30" t="s">
        <v>65</v>
      </c>
      <c r="S284" s="30" t="s">
        <v>42</v>
      </c>
      <c r="T284" s="30" t="s">
        <v>43</v>
      </c>
      <c r="U284" s="30">
        <v>9857621478</v>
      </c>
      <c r="V284" s="30" t="s">
        <v>53</v>
      </c>
    </row>
    <row r="285" spans="1:22" ht="15" thickBot="1" x14ac:dyDescent="0.4">
      <c r="A285" s="27" t="s">
        <v>393</v>
      </c>
      <c r="B285" s="27" t="s">
        <v>45</v>
      </c>
      <c r="C285" s="27" t="s">
        <v>82</v>
      </c>
      <c r="D285" s="28">
        <v>45780</v>
      </c>
      <c r="E285" s="28">
        <v>45788</v>
      </c>
      <c r="F285" s="27" t="s">
        <v>101</v>
      </c>
      <c r="G285" s="27" t="s">
        <v>26</v>
      </c>
      <c r="H285" s="28">
        <v>30883</v>
      </c>
      <c r="I285" s="27" t="s">
        <v>74</v>
      </c>
      <c r="J285" s="27" t="s">
        <v>75</v>
      </c>
      <c r="K285" s="27" t="s">
        <v>83</v>
      </c>
      <c r="L285" s="27" t="s">
        <v>84</v>
      </c>
      <c r="M285" s="27">
        <v>6</v>
      </c>
      <c r="N285" s="27">
        <v>60</v>
      </c>
      <c r="O285" s="27">
        <v>5</v>
      </c>
      <c r="P285" s="27">
        <v>342</v>
      </c>
      <c r="Q285" s="27">
        <v>1</v>
      </c>
      <c r="R285" s="27" t="s">
        <v>41</v>
      </c>
      <c r="S285" s="27" t="s">
        <v>50</v>
      </c>
      <c r="T285" s="27" t="s">
        <v>51</v>
      </c>
      <c r="U285" s="27">
        <v>9753869055</v>
      </c>
      <c r="V285" s="21" t="s">
        <v>34</v>
      </c>
    </row>
    <row r="286" spans="1:22" ht="15" thickBot="1" x14ac:dyDescent="0.4">
      <c r="A286" s="30" t="s">
        <v>394</v>
      </c>
      <c r="B286" s="30" t="s">
        <v>87</v>
      </c>
      <c r="C286" s="30" t="s">
        <v>105</v>
      </c>
      <c r="D286" s="31">
        <v>45666</v>
      </c>
      <c r="E286" s="31">
        <v>45669</v>
      </c>
      <c r="F286" s="30" t="s">
        <v>88</v>
      </c>
      <c r="G286" s="30" t="s">
        <v>58</v>
      </c>
      <c r="H286" s="31">
        <v>32217</v>
      </c>
      <c r="I286" s="30" t="s">
        <v>27</v>
      </c>
      <c r="J286" s="30" t="s">
        <v>28</v>
      </c>
      <c r="K286" s="30" t="s">
        <v>29</v>
      </c>
      <c r="L286" s="30" t="s">
        <v>107</v>
      </c>
      <c r="M286" s="30">
        <v>19</v>
      </c>
      <c r="N286" s="30">
        <v>8500</v>
      </c>
      <c r="O286" s="30">
        <v>0</v>
      </c>
      <c r="P286" s="30">
        <v>161500</v>
      </c>
      <c r="Q286" s="30">
        <v>5</v>
      </c>
      <c r="R286" s="30" t="s">
        <v>65</v>
      </c>
      <c r="S286" s="30" t="s">
        <v>96</v>
      </c>
      <c r="T286" s="30" t="s">
        <v>89</v>
      </c>
      <c r="U286" s="30">
        <v>9663266204</v>
      </c>
      <c r="V286" s="22" t="s">
        <v>34</v>
      </c>
    </row>
    <row r="287" spans="1:22" ht="15" thickBot="1" x14ac:dyDescent="0.4">
      <c r="A287" s="27" t="s">
        <v>395</v>
      </c>
      <c r="B287" s="27" t="s">
        <v>134</v>
      </c>
      <c r="C287" s="27" t="s">
        <v>46</v>
      </c>
      <c r="D287" s="28">
        <v>45901</v>
      </c>
      <c r="E287" s="28">
        <v>45910</v>
      </c>
      <c r="F287" s="27" t="s">
        <v>135</v>
      </c>
      <c r="G287" s="27" t="s">
        <v>26</v>
      </c>
      <c r="H287" s="28">
        <v>31924</v>
      </c>
      <c r="I287" s="27" t="s">
        <v>121</v>
      </c>
      <c r="J287" s="27" t="s">
        <v>38</v>
      </c>
      <c r="K287" s="27" t="s">
        <v>39</v>
      </c>
      <c r="L287" s="27" t="s">
        <v>49</v>
      </c>
      <c r="M287" s="27">
        <v>8</v>
      </c>
      <c r="N287" s="27">
        <v>55000</v>
      </c>
      <c r="O287" s="27">
        <v>0</v>
      </c>
      <c r="P287" s="27">
        <v>440000</v>
      </c>
      <c r="Q287" s="27">
        <v>3</v>
      </c>
      <c r="R287" s="27" t="s">
        <v>60</v>
      </c>
      <c r="S287" s="27" t="s">
        <v>80</v>
      </c>
      <c r="T287" s="27" t="s">
        <v>136</v>
      </c>
      <c r="U287" s="27">
        <v>9675208616</v>
      </c>
      <c r="V287" s="27" t="s">
        <v>52</v>
      </c>
    </row>
    <row r="288" spans="1:22" ht="15" thickBot="1" x14ac:dyDescent="0.4">
      <c r="A288" s="30" t="s">
        <v>396</v>
      </c>
      <c r="B288" s="30" t="s">
        <v>55</v>
      </c>
      <c r="C288" s="30" t="s">
        <v>36</v>
      </c>
      <c r="D288" s="31">
        <v>46144</v>
      </c>
      <c r="E288" s="31">
        <v>46149</v>
      </c>
      <c r="F288" s="30" t="s">
        <v>57</v>
      </c>
      <c r="G288" s="30" t="s">
        <v>58</v>
      </c>
      <c r="H288" s="31">
        <v>32441</v>
      </c>
      <c r="I288" s="30" t="s">
        <v>147</v>
      </c>
      <c r="J288" s="30" t="s">
        <v>148</v>
      </c>
      <c r="K288" s="30" t="s">
        <v>39</v>
      </c>
      <c r="L288" s="30" t="s">
        <v>40</v>
      </c>
      <c r="M288" s="30">
        <v>18</v>
      </c>
      <c r="N288" s="30">
        <v>12000</v>
      </c>
      <c r="O288" s="30">
        <v>20</v>
      </c>
      <c r="P288" s="30">
        <v>172800</v>
      </c>
      <c r="Q288" s="30">
        <v>5</v>
      </c>
      <c r="R288" s="30" t="s">
        <v>65</v>
      </c>
      <c r="S288" s="30" t="s">
        <v>50</v>
      </c>
      <c r="T288" s="30" t="s">
        <v>61</v>
      </c>
      <c r="U288" s="30">
        <v>9618393586</v>
      </c>
      <c r="V288" s="30" t="s">
        <v>53</v>
      </c>
    </row>
    <row r="289" spans="1:22" ht="15" thickBot="1" x14ac:dyDescent="0.4">
      <c r="A289" s="27" t="s">
        <v>397</v>
      </c>
      <c r="B289" s="27" t="s">
        <v>87</v>
      </c>
      <c r="C289" s="27" t="s">
        <v>105</v>
      </c>
      <c r="D289" s="28">
        <v>45764</v>
      </c>
      <c r="E289" s="28">
        <v>45773</v>
      </c>
      <c r="F289" s="27" t="s">
        <v>88</v>
      </c>
      <c r="G289" s="27" t="s">
        <v>58</v>
      </c>
      <c r="H289" s="28">
        <v>33219</v>
      </c>
      <c r="I289" s="27" t="s">
        <v>91</v>
      </c>
      <c r="J289" s="27" t="s">
        <v>75</v>
      </c>
      <c r="K289" s="27" t="s">
        <v>29</v>
      </c>
      <c r="L289" s="27" t="s">
        <v>107</v>
      </c>
      <c r="M289" s="27">
        <v>8</v>
      </c>
      <c r="N289" s="27">
        <v>8500</v>
      </c>
      <c r="O289" s="27">
        <v>5</v>
      </c>
      <c r="P289" s="27">
        <v>64600</v>
      </c>
      <c r="Q289" s="27">
        <v>2</v>
      </c>
      <c r="R289" s="27" t="s">
        <v>60</v>
      </c>
      <c r="S289" s="27" t="s">
        <v>50</v>
      </c>
      <c r="T289" s="27" t="s">
        <v>89</v>
      </c>
      <c r="U289" s="27">
        <v>9137027840</v>
      </c>
      <c r="V289" s="27" t="s">
        <v>53</v>
      </c>
    </row>
    <row r="290" spans="1:22" ht="15" thickBot="1" x14ac:dyDescent="0.4">
      <c r="A290" s="30" t="s">
        <v>398</v>
      </c>
      <c r="B290" s="30" t="s">
        <v>23</v>
      </c>
      <c r="C290" s="30" t="s">
        <v>125</v>
      </c>
      <c r="D290" s="31">
        <v>45878</v>
      </c>
      <c r="E290" s="31">
        <v>45887</v>
      </c>
      <c r="F290" s="30" t="s">
        <v>25</v>
      </c>
      <c r="G290" s="30" t="s">
        <v>26</v>
      </c>
      <c r="H290" s="31">
        <v>29640</v>
      </c>
      <c r="I290" s="30" t="s">
        <v>74</v>
      </c>
      <c r="J290" s="30" t="s">
        <v>75</v>
      </c>
      <c r="K290" s="30" t="s">
        <v>83</v>
      </c>
      <c r="L290" s="30" t="s">
        <v>127</v>
      </c>
      <c r="M290" s="30">
        <v>13</v>
      </c>
      <c r="N290" s="30">
        <v>20</v>
      </c>
      <c r="O290" s="30">
        <v>5</v>
      </c>
      <c r="P290" s="30">
        <v>247</v>
      </c>
      <c r="Q290" s="30">
        <v>3</v>
      </c>
      <c r="R290" s="30" t="s">
        <v>41</v>
      </c>
      <c r="S290" s="30" t="s">
        <v>80</v>
      </c>
      <c r="T290" s="30" t="s">
        <v>43</v>
      </c>
      <c r="U290" s="30">
        <v>9362758134</v>
      </c>
      <c r="V290" s="30" t="s">
        <v>52</v>
      </c>
    </row>
    <row r="291" spans="1:22" ht="15" thickBot="1" x14ac:dyDescent="0.4">
      <c r="A291" s="27" t="s">
        <v>399</v>
      </c>
      <c r="B291" s="27" t="s">
        <v>63</v>
      </c>
      <c r="C291" s="27" t="s">
        <v>82</v>
      </c>
      <c r="D291" s="28">
        <v>46116</v>
      </c>
      <c r="E291" s="28">
        <v>46128</v>
      </c>
      <c r="F291" s="27" t="s">
        <v>110</v>
      </c>
      <c r="G291" s="27" t="s">
        <v>58</v>
      </c>
      <c r="H291" s="28">
        <v>31140</v>
      </c>
      <c r="I291" s="27" t="s">
        <v>121</v>
      </c>
      <c r="J291" s="27" t="s">
        <v>38</v>
      </c>
      <c r="K291" s="27" t="s">
        <v>83</v>
      </c>
      <c r="L291" s="27" t="s">
        <v>84</v>
      </c>
      <c r="M291" s="27">
        <v>1</v>
      </c>
      <c r="N291" s="27">
        <v>60</v>
      </c>
      <c r="O291" s="27">
        <v>15</v>
      </c>
      <c r="P291" s="27">
        <v>51</v>
      </c>
      <c r="Q291" s="27">
        <v>2</v>
      </c>
      <c r="R291" s="27" t="s">
        <v>60</v>
      </c>
      <c r="S291" s="27" t="s">
        <v>50</v>
      </c>
      <c r="T291" s="27" t="s">
        <v>66</v>
      </c>
      <c r="U291" s="27">
        <v>9648541985</v>
      </c>
      <c r="V291" s="27" t="s">
        <v>53</v>
      </c>
    </row>
    <row r="292" spans="1:22" ht="15" thickBot="1" x14ac:dyDescent="0.4">
      <c r="A292" s="30" t="s">
        <v>400</v>
      </c>
      <c r="B292" s="30" t="s">
        <v>45</v>
      </c>
      <c r="C292" s="30" t="s">
        <v>125</v>
      </c>
      <c r="D292" s="31">
        <v>45830</v>
      </c>
      <c r="E292" s="31">
        <v>45836</v>
      </c>
      <c r="F292" s="30" t="s">
        <v>101</v>
      </c>
      <c r="G292" s="30" t="s">
        <v>26</v>
      </c>
      <c r="H292" s="31">
        <v>27978</v>
      </c>
      <c r="I292" s="30" t="s">
        <v>79</v>
      </c>
      <c r="J292" s="30" t="s">
        <v>75</v>
      </c>
      <c r="K292" s="30" t="s">
        <v>83</v>
      </c>
      <c r="L292" s="30" t="s">
        <v>127</v>
      </c>
      <c r="M292" s="30">
        <v>5</v>
      </c>
      <c r="N292" s="30">
        <v>20</v>
      </c>
      <c r="O292" s="30">
        <v>5</v>
      </c>
      <c r="P292" s="30">
        <v>95</v>
      </c>
      <c r="Q292" s="30">
        <v>2</v>
      </c>
      <c r="R292" s="30" t="s">
        <v>41</v>
      </c>
      <c r="S292" s="30" t="s">
        <v>42</v>
      </c>
      <c r="T292" s="30" t="s">
        <v>51</v>
      </c>
      <c r="U292" s="30">
        <v>9175002781</v>
      </c>
      <c r="V292" s="30" t="s">
        <v>52</v>
      </c>
    </row>
    <row r="293" spans="1:22" ht="15" thickBot="1" x14ac:dyDescent="0.4">
      <c r="A293" s="27" t="s">
        <v>401</v>
      </c>
      <c r="B293" s="27" t="s">
        <v>124</v>
      </c>
      <c r="C293" s="27" t="s">
        <v>125</v>
      </c>
      <c r="D293" s="28">
        <v>45796</v>
      </c>
      <c r="E293" s="28">
        <v>45801</v>
      </c>
      <c r="F293" s="27" t="s">
        <v>126</v>
      </c>
      <c r="G293" s="27" t="s">
        <v>58</v>
      </c>
      <c r="H293" s="28">
        <v>28623</v>
      </c>
      <c r="I293" s="27" t="s">
        <v>147</v>
      </c>
      <c r="J293" s="27" t="s">
        <v>148</v>
      </c>
      <c r="K293" s="27" t="s">
        <v>83</v>
      </c>
      <c r="L293" s="27" t="s">
        <v>127</v>
      </c>
      <c r="M293" s="27">
        <v>19</v>
      </c>
      <c r="N293" s="27">
        <v>20</v>
      </c>
      <c r="O293" s="27">
        <v>20</v>
      </c>
      <c r="P293" s="27">
        <v>304</v>
      </c>
      <c r="Q293" s="27">
        <v>3</v>
      </c>
      <c r="R293" s="27" t="s">
        <v>31</v>
      </c>
      <c r="S293" s="27" t="s">
        <v>32</v>
      </c>
      <c r="T293" s="27" t="s">
        <v>128</v>
      </c>
      <c r="U293" s="27">
        <v>9786241263</v>
      </c>
      <c r="V293" s="27" t="s">
        <v>53</v>
      </c>
    </row>
    <row r="294" spans="1:22" ht="15" thickBot="1" x14ac:dyDescent="0.4">
      <c r="A294" s="30" t="s">
        <v>402</v>
      </c>
      <c r="B294" s="30" t="s">
        <v>72</v>
      </c>
      <c r="C294" s="30" t="s">
        <v>138</v>
      </c>
      <c r="D294" s="31">
        <v>45745</v>
      </c>
      <c r="E294" s="31">
        <v>45754</v>
      </c>
      <c r="F294" s="30" t="s">
        <v>73</v>
      </c>
      <c r="G294" s="30" t="s">
        <v>26</v>
      </c>
      <c r="H294" s="31">
        <v>36026</v>
      </c>
      <c r="I294" s="30" t="s">
        <v>91</v>
      </c>
      <c r="J294" s="30" t="s">
        <v>75</v>
      </c>
      <c r="K294" s="30" t="s">
        <v>83</v>
      </c>
      <c r="L294" s="30" t="s">
        <v>139</v>
      </c>
      <c r="M294" s="30">
        <v>17</v>
      </c>
      <c r="N294" s="30">
        <v>45</v>
      </c>
      <c r="O294" s="30">
        <v>5</v>
      </c>
      <c r="P294" s="30">
        <v>726.75</v>
      </c>
      <c r="Q294" s="30">
        <v>4</v>
      </c>
      <c r="R294" s="30" t="s">
        <v>31</v>
      </c>
      <c r="S294" s="30" t="s">
        <v>80</v>
      </c>
      <c r="T294" s="30" t="s">
        <v>93</v>
      </c>
      <c r="U294" s="30">
        <v>9691078176</v>
      </c>
      <c r="V294" s="30" t="s">
        <v>52</v>
      </c>
    </row>
    <row r="295" spans="1:22" ht="15" thickBot="1" x14ac:dyDescent="0.4">
      <c r="A295" s="27" t="s">
        <v>403</v>
      </c>
      <c r="B295" s="27" t="s">
        <v>63</v>
      </c>
      <c r="C295" s="27" t="s">
        <v>112</v>
      </c>
      <c r="D295" s="28">
        <v>46071</v>
      </c>
      <c r="E295" s="28">
        <v>46075</v>
      </c>
      <c r="F295" s="27" t="s">
        <v>110</v>
      </c>
      <c r="G295" s="27" t="s">
        <v>58</v>
      </c>
      <c r="H295" s="28">
        <v>27687</v>
      </c>
      <c r="I295" s="27" t="s">
        <v>48</v>
      </c>
      <c r="J295" s="27" t="s">
        <v>28</v>
      </c>
      <c r="K295" s="27" t="s">
        <v>39</v>
      </c>
      <c r="L295" s="27" t="s">
        <v>114</v>
      </c>
      <c r="M295" s="27">
        <v>8</v>
      </c>
      <c r="N295" s="27">
        <v>700</v>
      </c>
      <c r="O295" s="27">
        <v>15</v>
      </c>
      <c r="P295" s="27">
        <v>4760</v>
      </c>
      <c r="Q295" s="27">
        <v>4</v>
      </c>
      <c r="R295" s="27" t="s">
        <v>41</v>
      </c>
      <c r="S295" s="27" t="s">
        <v>32</v>
      </c>
      <c r="T295" s="27" t="s">
        <v>66</v>
      </c>
      <c r="U295" s="27">
        <v>9336679085</v>
      </c>
      <c r="V295" s="27" t="s">
        <v>52</v>
      </c>
    </row>
    <row r="296" spans="1:22" ht="15" thickBot="1" x14ac:dyDescent="0.4">
      <c r="A296" s="30" t="s">
        <v>404</v>
      </c>
      <c r="B296" s="30" t="s">
        <v>104</v>
      </c>
      <c r="C296" s="30" t="s">
        <v>24</v>
      </c>
      <c r="D296" s="31">
        <v>46043</v>
      </c>
      <c r="E296" s="31">
        <v>46051</v>
      </c>
      <c r="F296" s="30" t="s">
        <v>166</v>
      </c>
      <c r="G296" s="30" t="s">
        <v>26</v>
      </c>
      <c r="H296" s="31">
        <v>27665</v>
      </c>
      <c r="I296" s="30" t="s">
        <v>74</v>
      </c>
      <c r="J296" s="30" t="s">
        <v>75</v>
      </c>
      <c r="K296" s="30" t="s">
        <v>29</v>
      </c>
      <c r="L296" s="30" t="s">
        <v>30</v>
      </c>
      <c r="M296" s="30">
        <v>15</v>
      </c>
      <c r="N296" s="30">
        <v>2200</v>
      </c>
      <c r="O296" s="30">
        <v>10</v>
      </c>
      <c r="P296" s="30">
        <v>29700</v>
      </c>
      <c r="Q296" s="30">
        <v>5</v>
      </c>
      <c r="R296" s="30" t="s">
        <v>65</v>
      </c>
      <c r="S296" s="30" t="s">
        <v>96</v>
      </c>
      <c r="T296" s="30" t="s">
        <v>108</v>
      </c>
      <c r="U296" s="30">
        <v>9497351043</v>
      </c>
      <c r="V296" s="22" t="s">
        <v>34</v>
      </c>
    </row>
    <row r="297" spans="1:22" ht="15" thickBot="1" x14ac:dyDescent="0.4">
      <c r="A297" s="27" t="s">
        <v>405</v>
      </c>
      <c r="B297" s="27" t="s">
        <v>72</v>
      </c>
      <c r="C297" s="27" t="s">
        <v>24</v>
      </c>
      <c r="D297" s="28">
        <v>45917</v>
      </c>
      <c r="E297" s="28">
        <v>45929</v>
      </c>
      <c r="F297" s="27" t="s">
        <v>73</v>
      </c>
      <c r="G297" s="27" t="s">
        <v>26</v>
      </c>
      <c r="H297" s="28">
        <v>37522</v>
      </c>
      <c r="I297" s="27" t="s">
        <v>74</v>
      </c>
      <c r="J297" s="27" t="s">
        <v>75</v>
      </c>
      <c r="K297" s="27" t="s">
        <v>29</v>
      </c>
      <c r="L297" s="27" t="s">
        <v>30</v>
      </c>
      <c r="M297" s="27">
        <v>1</v>
      </c>
      <c r="N297" s="27">
        <v>2200</v>
      </c>
      <c r="O297" s="27">
        <v>0</v>
      </c>
      <c r="P297" s="27">
        <v>2200</v>
      </c>
      <c r="Q297" s="27">
        <v>4</v>
      </c>
      <c r="R297" s="27" t="s">
        <v>31</v>
      </c>
      <c r="S297" s="27" t="s">
        <v>42</v>
      </c>
      <c r="T297" s="27" t="s">
        <v>93</v>
      </c>
      <c r="U297" s="27">
        <v>9357038998</v>
      </c>
      <c r="V297" s="27" t="s">
        <v>53</v>
      </c>
    </row>
    <row r="298" spans="1:22" ht="15" thickBot="1" x14ac:dyDescent="0.4">
      <c r="A298" s="30" t="s">
        <v>406</v>
      </c>
      <c r="B298" s="30" t="s">
        <v>134</v>
      </c>
      <c r="C298" s="30" t="s">
        <v>68</v>
      </c>
      <c r="D298" s="31">
        <v>45827</v>
      </c>
      <c r="E298" s="31">
        <v>45838</v>
      </c>
      <c r="F298" s="30" t="s">
        <v>135</v>
      </c>
      <c r="G298" s="30" t="s">
        <v>26</v>
      </c>
      <c r="H298" s="31">
        <v>32311</v>
      </c>
      <c r="I298" s="30" t="s">
        <v>91</v>
      </c>
      <c r="J298" s="30" t="s">
        <v>75</v>
      </c>
      <c r="K298" s="30" t="s">
        <v>29</v>
      </c>
      <c r="L298" s="30" t="s">
        <v>70</v>
      </c>
      <c r="M298" s="30">
        <v>10</v>
      </c>
      <c r="N298" s="30">
        <v>3500</v>
      </c>
      <c r="O298" s="30">
        <v>10</v>
      </c>
      <c r="P298" s="30">
        <v>31500</v>
      </c>
      <c r="Q298" s="30">
        <v>4</v>
      </c>
      <c r="R298" s="30" t="s">
        <v>41</v>
      </c>
      <c r="S298" s="30" t="s">
        <v>32</v>
      </c>
      <c r="T298" s="30" t="s">
        <v>136</v>
      </c>
      <c r="U298" s="30">
        <v>9986371291</v>
      </c>
      <c r="V298" s="30" t="s">
        <v>53</v>
      </c>
    </row>
    <row r="299" spans="1:22" ht="15" thickBot="1" x14ac:dyDescent="0.4">
      <c r="A299" s="27" t="s">
        <v>407</v>
      </c>
      <c r="B299" s="27" t="s">
        <v>55</v>
      </c>
      <c r="C299" s="27" t="s">
        <v>68</v>
      </c>
      <c r="D299" s="28">
        <v>45789</v>
      </c>
      <c r="E299" s="28">
        <v>45793</v>
      </c>
      <c r="F299" s="27" t="s">
        <v>57</v>
      </c>
      <c r="G299" s="27" t="s">
        <v>58</v>
      </c>
      <c r="H299" s="28">
        <v>33271</v>
      </c>
      <c r="I299" s="27" t="s">
        <v>121</v>
      </c>
      <c r="J299" s="27" t="s">
        <v>38</v>
      </c>
      <c r="K299" s="27" t="s">
        <v>29</v>
      </c>
      <c r="L299" s="27" t="s">
        <v>70</v>
      </c>
      <c r="M299" s="27">
        <v>16</v>
      </c>
      <c r="N299" s="27">
        <v>3500</v>
      </c>
      <c r="O299" s="27">
        <v>15</v>
      </c>
      <c r="P299" s="27">
        <v>47600</v>
      </c>
      <c r="Q299" s="27">
        <v>1</v>
      </c>
      <c r="R299" s="27" t="s">
        <v>60</v>
      </c>
      <c r="S299" s="27" t="s">
        <v>80</v>
      </c>
      <c r="T299" s="27" t="s">
        <v>61</v>
      </c>
      <c r="U299" s="27">
        <v>9397839191</v>
      </c>
      <c r="V299" s="27" t="s">
        <v>52</v>
      </c>
    </row>
    <row r="300" spans="1:22" ht="15" thickBot="1" x14ac:dyDescent="0.4">
      <c r="A300" s="30" t="s">
        <v>408</v>
      </c>
      <c r="B300" s="30" t="s">
        <v>134</v>
      </c>
      <c r="C300" s="30" t="s">
        <v>36</v>
      </c>
      <c r="D300" s="31">
        <v>45906</v>
      </c>
      <c r="E300" s="31">
        <v>45918</v>
      </c>
      <c r="F300" s="30" t="s">
        <v>135</v>
      </c>
      <c r="G300" s="30" t="s">
        <v>26</v>
      </c>
      <c r="H300" s="31">
        <v>28711</v>
      </c>
      <c r="I300" s="30" t="s">
        <v>121</v>
      </c>
      <c r="J300" s="30" t="s">
        <v>38</v>
      </c>
      <c r="K300" s="30" t="s">
        <v>39</v>
      </c>
      <c r="L300" s="30" t="s">
        <v>40</v>
      </c>
      <c r="M300" s="30">
        <v>1</v>
      </c>
      <c r="N300" s="30">
        <v>12000</v>
      </c>
      <c r="O300" s="30">
        <v>0</v>
      </c>
      <c r="P300" s="30">
        <v>12000</v>
      </c>
      <c r="Q300" s="30">
        <v>4</v>
      </c>
      <c r="R300" s="30" t="s">
        <v>41</v>
      </c>
      <c r="S300" s="30" t="s">
        <v>80</v>
      </c>
      <c r="T300" s="30" t="s">
        <v>136</v>
      </c>
      <c r="U300" s="30">
        <v>9162975843</v>
      </c>
      <c r="V300" s="30" t="s">
        <v>53</v>
      </c>
    </row>
    <row r="301" spans="1:22" ht="15" thickBot="1" x14ac:dyDescent="0.4">
      <c r="A301" s="27" t="s">
        <v>409</v>
      </c>
      <c r="B301" s="27" t="s">
        <v>63</v>
      </c>
      <c r="C301" s="27" t="s">
        <v>112</v>
      </c>
      <c r="D301" s="28">
        <v>45770</v>
      </c>
      <c r="E301" s="28">
        <v>45776</v>
      </c>
      <c r="F301" s="27" t="s">
        <v>110</v>
      </c>
      <c r="G301" s="27" t="s">
        <v>58</v>
      </c>
      <c r="H301" s="28">
        <v>34367</v>
      </c>
      <c r="I301" s="27" t="s">
        <v>74</v>
      </c>
      <c r="J301" s="27" t="s">
        <v>75</v>
      </c>
      <c r="K301" s="27" t="s">
        <v>39</v>
      </c>
      <c r="L301" s="27" t="s">
        <v>114</v>
      </c>
      <c r="M301" s="27">
        <v>6</v>
      </c>
      <c r="N301" s="27">
        <v>700</v>
      </c>
      <c r="O301" s="27">
        <v>20</v>
      </c>
      <c r="P301" s="27">
        <v>3360</v>
      </c>
      <c r="Q301" s="27">
        <v>2</v>
      </c>
      <c r="R301" s="27" t="s">
        <v>41</v>
      </c>
      <c r="S301" s="27" t="s">
        <v>80</v>
      </c>
      <c r="T301" s="27" t="s">
        <v>66</v>
      </c>
      <c r="U301" s="27">
        <v>9237616558</v>
      </c>
      <c r="V301" s="27" t="s">
        <v>52</v>
      </c>
    </row>
    <row r="302" spans="1:22" ht="15" thickBot="1" x14ac:dyDescent="0.4">
      <c r="A302" s="30" t="s">
        <v>410</v>
      </c>
      <c r="B302" s="30" t="s">
        <v>55</v>
      </c>
      <c r="C302" s="30" t="s">
        <v>24</v>
      </c>
      <c r="D302" s="31">
        <v>46074</v>
      </c>
      <c r="E302" s="31">
        <v>46080</v>
      </c>
      <c r="F302" s="30" t="s">
        <v>57</v>
      </c>
      <c r="G302" s="30" t="s">
        <v>58</v>
      </c>
      <c r="H302" s="31">
        <v>34786</v>
      </c>
      <c r="I302" s="30" t="s">
        <v>91</v>
      </c>
      <c r="J302" s="30" t="s">
        <v>75</v>
      </c>
      <c r="K302" s="30" t="s">
        <v>29</v>
      </c>
      <c r="L302" s="30" t="s">
        <v>30</v>
      </c>
      <c r="M302" s="30">
        <v>3</v>
      </c>
      <c r="N302" s="30">
        <v>2200</v>
      </c>
      <c r="O302" s="30">
        <v>0</v>
      </c>
      <c r="P302" s="30">
        <v>6600</v>
      </c>
      <c r="Q302" s="30">
        <v>4</v>
      </c>
      <c r="R302" s="30" t="s">
        <v>60</v>
      </c>
      <c r="S302" s="30" t="s">
        <v>32</v>
      </c>
      <c r="T302" s="30" t="s">
        <v>61</v>
      </c>
      <c r="U302" s="30">
        <v>9935063989</v>
      </c>
      <c r="V302" s="22" t="s">
        <v>34</v>
      </c>
    </row>
    <row r="303" spans="1:22" ht="15" thickBot="1" x14ac:dyDescent="0.4">
      <c r="A303" s="27" t="s">
        <v>411</v>
      </c>
      <c r="B303" s="27" t="s">
        <v>134</v>
      </c>
      <c r="C303" s="27" t="s">
        <v>138</v>
      </c>
      <c r="D303" s="28">
        <v>46019</v>
      </c>
      <c r="E303" s="28">
        <v>46023</v>
      </c>
      <c r="F303" s="27" t="s">
        <v>135</v>
      </c>
      <c r="G303" s="27" t="s">
        <v>26</v>
      </c>
      <c r="H303" s="28">
        <v>33675</v>
      </c>
      <c r="I303" s="27" t="s">
        <v>27</v>
      </c>
      <c r="J303" s="27" t="s">
        <v>28</v>
      </c>
      <c r="K303" s="27" t="s">
        <v>83</v>
      </c>
      <c r="L303" s="27" t="s">
        <v>139</v>
      </c>
      <c r="M303" s="27">
        <v>6</v>
      </c>
      <c r="N303" s="27">
        <v>45</v>
      </c>
      <c r="O303" s="27">
        <v>15</v>
      </c>
      <c r="P303" s="27">
        <v>229.5</v>
      </c>
      <c r="Q303" s="27">
        <v>1</v>
      </c>
      <c r="R303" s="27" t="s">
        <v>65</v>
      </c>
      <c r="S303" s="27" t="s">
        <v>42</v>
      </c>
      <c r="T303" s="27" t="s">
        <v>136</v>
      </c>
      <c r="U303" s="27">
        <v>9167376169</v>
      </c>
      <c r="V303" s="21" t="s">
        <v>34</v>
      </c>
    </row>
    <row r="304" spans="1:22" ht="15" thickBot="1" x14ac:dyDescent="0.4">
      <c r="A304" s="30" t="s">
        <v>412</v>
      </c>
      <c r="B304" s="30" t="s">
        <v>134</v>
      </c>
      <c r="C304" s="30" t="s">
        <v>56</v>
      </c>
      <c r="D304" s="31">
        <v>45922</v>
      </c>
      <c r="E304" s="31">
        <v>45930</v>
      </c>
      <c r="F304" s="30" t="s">
        <v>135</v>
      </c>
      <c r="G304" s="30" t="s">
        <v>26</v>
      </c>
      <c r="H304" s="31">
        <v>29609</v>
      </c>
      <c r="I304" s="30" t="s">
        <v>48</v>
      </c>
      <c r="J304" s="30" t="s">
        <v>28</v>
      </c>
      <c r="K304" s="30" t="s">
        <v>39</v>
      </c>
      <c r="L304" s="30" t="s">
        <v>59</v>
      </c>
      <c r="M304" s="30">
        <v>2</v>
      </c>
      <c r="N304" s="30">
        <v>1200</v>
      </c>
      <c r="O304" s="30">
        <v>0</v>
      </c>
      <c r="P304" s="30">
        <v>2400</v>
      </c>
      <c r="Q304" s="30">
        <v>1</v>
      </c>
      <c r="R304" s="30" t="s">
        <v>31</v>
      </c>
      <c r="S304" s="30" t="s">
        <v>96</v>
      </c>
      <c r="T304" s="30" t="s">
        <v>136</v>
      </c>
      <c r="U304" s="30">
        <v>9231845497</v>
      </c>
      <c r="V304" s="30" t="s">
        <v>53</v>
      </c>
    </row>
    <row r="305" spans="1:22" ht="15" thickBot="1" x14ac:dyDescent="0.4">
      <c r="A305" s="27" t="s">
        <v>413</v>
      </c>
      <c r="B305" s="27" t="s">
        <v>104</v>
      </c>
      <c r="C305" s="27" t="s">
        <v>112</v>
      </c>
      <c r="D305" s="28">
        <v>46150</v>
      </c>
      <c r="E305" s="28">
        <v>46153</v>
      </c>
      <c r="F305" s="27" t="s">
        <v>166</v>
      </c>
      <c r="G305" s="27" t="s">
        <v>26</v>
      </c>
      <c r="H305" s="28">
        <v>30953</v>
      </c>
      <c r="I305" s="27" t="s">
        <v>27</v>
      </c>
      <c r="J305" s="27" t="s">
        <v>28</v>
      </c>
      <c r="K305" s="27" t="s">
        <v>39</v>
      </c>
      <c r="L305" s="27" t="s">
        <v>114</v>
      </c>
      <c r="M305" s="27">
        <v>14</v>
      </c>
      <c r="N305" s="27">
        <v>700</v>
      </c>
      <c r="O305" s="27">
        <v>15</v>
      </c>
      <c r="P305" s="27">
        <v>8330</v>
      </c>
      <c r="Q305" s="27">
        <v>5</v>
      </c>
      <c r="R305" s="27" t="s">
        <v>31</v>
      </c>
      <c r="S305" s="27" t="s">
        <v>80</v>
      </c>
      <c r="T305" s="27" t="s">
        <v>108</v>
      </c>
      <c r="U305" s="27">
        <v>9409415805</v>
      </c>
      <c r="V305" s="27" t="s">
        <v>52</v>
      </c>
    </row>
    <row r="306" spans="1:22" ht="15" thickBot="1" x14ac:dyDescent="0.4">
      <c r="A306" s="30" t="s">
        <v>414</v>
      </c>
      <c r="B306" s="30" t="s">
        <v>72</v>
      </c>
      <c r="C306" s="30" t="s">
        <v>125</v>
      </c>
      <c r="D306" s="31">
        <v>45966</v>
      </c>
      <c r="E306" s="31">
        <v>45967</v>
      </c>
      <c r="F306" s="30" t="s">
        <v>73</v>
      </c>
      <c r="G306" s="30" t="s">
        <v>26</v>
      </c>
      <c r="H306" s="31">
        <v>27704</v>
      </c>
      <c r="I306" s="30" t="s">
        <v>74</v>
      </c>
      <c r="J306" s="30" t="s">
        <v>75</v>
      </c>
      <c r="K306" s="30" t="s">
        <v>83</v>
      </c>
      <c r="L306" s="30" t="s">
        <v>127</v>
      </c>
      <c r="M306" s="30">
        <v>13</v>
      </c>
      <c r="N306" s="30">
        <v>20</v>
      </c>
      <c r="O306" s="30">
        <v>5</v>
      </c>
      <c r="P306" s="30">
        <v>247</v>
      </c>
      <c r="Q306" s="30">
        <v>1</v>
      </c>
      <c r="R306" s="30" t="s">
        <v>60</v>
      </c>
      <c r="S306" s="30" t="s">
        <v>32</v>
      </c>
      <c r="T306" s="30" t="s">
        <v>415</v>
      </c>
      <c r="U306" s="30">
        <v>9240800508</v>
      </c>
      <c r="V306" s="30" t="s">
        <v>52</v>
      </c>
    </row>
    <row r="307" spans="1:22" ht="15" thickBot="1" x14ac:dyDescent="0.4">
      <c r="A307" s="27" t="s">
        <v>416</v>
      </c>
      <c r="B307" s="27" t="s">
        <v>55</v>
      </c>
      <c r="C307" s="27" t="s">
        <v>24</v>
      </c>
      <c r="D307" s="28">
        <v>45724</v>
      </c>
      <c r="E307" s="28">
        <v>45731</v>
      </c>
      <c r="F307" s="27" t="s">
        <v>57</v>
      </c>
      <c r="G307" s="27" t="s">
        <v>58</v>
      </c>
      <c r="H307" s="28">
        <v>34876</v>
      </c>
      <c r="I307" s="27" t="s">
        <v>79</v>
      </c>
      <c r="J307" s="27" t="s">
        <v>75</v>
      </c>
      <c r="K307" s="27" t="s">
        <v>29</v>
      </c>
      <c r="L307" s="27" t="s">
        <v>30</v>
      </c>
      <c r="M307" s="27">
        <v>3</v>
      </c>
      <c r="N307" s="27">
        <v>2200</v>
      </c>
      <c r="O307" s="27">
        <v>0</v>
      </c>
      <c r="P307" s="27">
        <v>6600</v>
      </c>
      <c r="Q307" s="27">
        <v>4</v>
      </c>
      <c r="R307" s="27" t="s">
        <v>41</v>
      </c>
      <c r="S307" s="27" t="s">
        <v>50</v>
      </c>
      <c r="T307" s="27" t="s">
        <v>61</v>
      </c>
      <c r="U307" s="27">
        <v>9764609936</v>
      </c>
      <c r="V307" s="27" t="s">
        <v>53</v>
      </c>
    </row>
    <row r="308" spans="1:22" ht="15" thickBot="1" x14ac:dyDescent="0.4">
      <c r="A308" s="30" t="s">
        <v>417</v>
      </c>
      <c r="B308" s="30" t="s">
        <v>55</v>
      </c>
      <c r="C308" s="30" t="s">
        <v>82</v>
      </c>
      <c r="D308" s="31">
        <v>46062</v>
      </c>
      <c r="E308" s="31">
        <v>46074</v>
      </c>
      <c r="F308" s="30" t="s">
        <v>57</v>
      </c>
      <c r="G308" s="30" t="s">
        <v>58</v>
      </c>
      <c r="H308" s="31">
        <v>29180</v>
      </c>
      <c r="I308" s="30" t="s">
        <v>79</v>
      </c>
      <c r="J308" s="30" t="s">
        <v>75</v>
      </c>
      <c r="K308" s="30" t="s">
        <v>83</v>
      </c>
      <c r="L308" s="30" t="s">
        <v>84</v>
      </c>
      <c r="M308" s="30">
        <v>3</v>
      </c>
      <c r="N308" s="30">
        <v>60</v>
      </c>
      <c r="O308" s="30">
        <v>15</v>
      </c>
      <c r="P308" s="30">
        <v>153</v>
      </c>
      <c r="Q308" s="30">
        <v>4</v>
      </c>
      <c r="R308" s="30" t="s">
        <v>65</v>
      </c>
      <c r="S308" s="30" t="s">
        <v>80</v>
      </c>
      <c r="T308" s="30" t="s">
        <v>61</v>
      </c>
      <c r="U308" s="30">
        <v>9362733217</v>
      </c>
      <c r="V308" s="22" t="s">
        <v>34</v>
      </c>
    </row>
    <row r="309" spans="1:22" ht="15" thickBot="1" x14ac:dyDescent="0.4">
      <c r="A309" s="27" t="s">
        <v>418</v>
      </c>
      <c r="B309" s="27" t="s">
        <v>87</v>
      </c>
      <c r="C309" s="27" t="s">
        <v>68</v>
      </c>
      <c r="D309" s="28">
        <v>45733</v>
      </c>
      <c r="E309" s="28">
        <v>45739</v>
      </c>
      <c r="F309" s="27" t="s">
        <v>88</v>
      </c>
      <c r="G309" s="27" t="s">
        <v>58</v>
      </c>
      <c r="H309" s="28">
        <v>31805</v>
      </c>
      <c r="I309" s="27" t="s">
        <v>74</v>
      </c>
      <c r="J309" s="27" t="s">
        <v>75</v>
      </c>
      <c r="K309" s="27" t="s">
        <v>29</v>
      </c>
      <c r="L309" s="27" t="s">
        <v>70</v>
      </c>
      <c r="M309" s="27">
        <v>9</v>
      </c>
      <c r="N309" s="27">
        <v>3500</v>
      </c>
      <c r="O309" s="27">
        <v>5</v>
      </c>
      <c r="P309" s="27">
        <v>29925</v>
      </c>
      <c r="Q309" s="27">
        <v>1</v>
      </c>
      <c r="R309" s="27" t="s">
        <v>31</v>
      </c>
      <c r="S309" s="27" t="s">
        <v>50</v>
      </c>
      <c r="T309" s="27" t="s">
        <v>89</v>
      </c>
      <c r="U309" s="27">
        <v>9270466205</v>
      </c>
      <c r="V309" s="27" t="s">
        <v>52</v>
      </c>
    </row>
    <row r="310" spans="1:22" ht="15" thickBot="1" x14ac:dyDescent="0.4">
      <c r="A310" s="30" t="s">
        <v>419</v>
      </c>
      <c r="B310" s="30" t="s">
        <v>156</v>
      </c>
      <c r="C310" s="30" t="s">
        <v>56</v>
      </c>
      <c r="D310" s="31">
        <v>45743</v>
      </c>
      <c r="E310" s="31">
        <v>45748</v>
      </c>
      <c r="F310" s="30" t="s">
        <v>106</v>
      </c>
      <c r="G310" s="30" t="s">
        <v>58</v>
      </c>
      <c r="H310" s="31">
        <v>36930</v>
      </c>
      <c r="I310" s="30" t="s">
        <v>121</v>
      </c>
      <c r="J310" s="30" t="s">
        <v>38</v>
      </c>
      <c r="K310" s="30" t="s">
        <v>39</v>
      </c>
      <c r="L310" s="30" t="s">
        <v>59</v>
      </c>
      <c r="M310" s="30">
        <v>5</v>
      </c>
      <c r="N310" s="30">
        <v>1200</v>
      </c>
      <c r="O310" s="30">
        <v>20</v>
      </c>
      <c r="P310" s="30">
        <v>4800</v>
      </c>
      <c r="Q310" s="30">
        <v>2</v>
      </c>
      <c r="R310" s="30" t="s">
        <v>65</v>
      </c>
      <c r="S310" s="30" t="s">
        <v>80</v>
      </c>
      <c r="T310" s="30" t="s">
        <v>158</v>
      </c>
      <c r="U310" s="30">
        <v>9571436865</v>
      </c>
      <c r="V310" s="30" t="s">
        <v>52</v>
      </c>
    </row>
    <row r="311" spans="1:22" ht="15" thickBot="1" x14ac:dyDescent="0.4">
      <c r="A311" s="27" t="s">
        <v>420</v>
      </c>
      <c r="B311" s="27" t="s">
        <v>45</v>
      </c>
      <c r="C311" s="27" t="s">
        <v>56</v>
      </c>
      <c r="D311" s="28">
        <v>45728</v>
      </c>
      <c r="E311" s="28">
        <v>45730</v>
      </c>
      <c r="F311" s="27" t="s">
        <v>101</v>
      </c>
      <c r="G311" s="27" t="s">
        <v>26</v>
      </c>
      <c r="H311" s="28">
        <v>32856</v>
      </c>
      <c r="I311" s="27" t="s">
        <v>121</v>
      </c>
      <c r="J311" s="27" t="s">
        <v>38</v>
      </c>
      <c r="K311" s="27" t="s">
        <v>39</v>
      </c>
      <c r="L311" s="27" t="s">
        <v>59</v>
      </c>
      <c r="M311" s="27">
        <v>10</v>
      </c>
      <c r="N311" s="27">
        <v>1200</v>
      </c>
      <c r="O311" s="27">
        <v>20</v>
      </c>
      <c r="P311" s="27">
        <v>9600</v>
      </c>
      <c r="Q311" s="27">
        <v>4</v>
      </c>
      <c r="R311" s="27" t="s">
        <v>31</v>
      </c>
      <c r="S311" s="27" t="s">
        <v>42</v>
      </c>
      <c r="T311" s="29" t="s">
        <v>421</v>
      </c>
      <c r="U311" s="27">
        <v>9307011171</v>
      </c>
      <c r="V311" s="21" t="s">
        <v>34</v>
      </c>
    </row>
    <row r="312" spans="1:22" ht="15" thickBot="1" x14ac:dyDescent="0.4">
      <c r="A312" s="30" t="s">
        <v>422</v>
      </c>
      <c r="B312" s="30" t="s">
        <v>23</v>
      </c>
      <c r="C312" s="30" t="s">
        <v>56</v>
      </c>
      <c r="D312" s="31">
        <v>46066</v>
      </c>
      <c r="E312" s="31">
        <v>46077</v>
      </c>
      <c r="F312" s="30" t="s">
        <v>25</v>
      </c>
      <c r="G312" s="30" t="s">
        <v>26</v>
      </c>
      <c r="H312" s="31">
        <v>32492</v>
      </c>
      <c r="I312" s="30" t="s">
        <v>91</v>
      </c>
      <c r="J312" s="30" t="s">
        <v>75</v>
      </c>
      <c r="K312" s="30" t="s">
        <v>39</v>
      </c>
      <c r="L312" s="30" t="s">
        <v>59</v>
      </c>
      <c r="M312" s="30">
        <v>5</v>
      </c>
      <c r="N312" s="30">
        <v>1200</v>
      </c>
      <c r="O312" s="30">
        <v>20</v>
      </c>
      <c r="P312" s="30">
        <v>4800</v>
      </c>
      <c r="Q312" s="30">
        <v>3</v>
      </c>
      <c r="R312" s="30" t="s">
        <v>41</v>
      </c>
      <c r="S312" s="30" t="s">
        <v>96</v>
      </c>
      <c r="T312" s="30" t="s">
        <v>43</v>
      </c>
      <c r="U312" s="30">
        <v>9922380435</v>
      </c>
      <c r="V312" s="22" t="s">
        <v>34</v>
      </c>
    </row>
    <row r="313" spans="1:22" ht="15" thickBot="1" x14ac:dyDescent="0.4">
      <c r="A313" s="27" t="s">
        <v>423</v>
      </c>
      <c r="B313" s="27" t="s">
        <v>104</v>
      </c>
      <c r="C313" s="27" t="s">
        <v>125</v>
      </c>
      <c r="D313" s="28">
        <v>45699</v>
      </c>
      <c r="E313" s="28">
        <v>45702</v>
      </c>
      <c r="F313" s="27" t="s">
        <v>166</v>
      </c>
      <c r="G313" s="27" t="s">
        <v>26</v>
      </c>
      <c r="H313" s="28">
        <v>33166</v>
      </c>
      <c r="I313" s="27" t="s">
        <v>74</v>
      </c>
      <c r="J313" s="27" t="s">
        <v>75</v>
      </c>
      <c r="K313" s="27" t="s">
        <v>83</v>
      </c>
      <c r="L313" s="27" t="s">
        <v>127</v>
      </c>
      <c r="M313" s="27">
        <v>10</v>
      </c>
      <c r="N313" s="27">
        <v>20</v>
      </c>
      <c r="O313" s="27">
        <v>5</v>
      </c>
      <c r="P313" s="27">
        <v>190</v>
      </c>
      <c r="Q313" s="27">
        <v>4</v>
      </c>
      <c r="R313" s="27" t="s">
        <v>31</v>
      </c>
      <c r="S313" s="27" t="s">
        <v>96</v>
      </c>
      <c r="T313" s="27" t="s">
        <v>108</v>
      </c>
      <c r="U313" s="27">
        <v>9463618792</v>
      </c>
      <c r="V313" s="27" t="s">
        <v>52</v>
      </c>
    </row>
    <row r="314" spans="1:22" ht="15" thickBot="1" x14ac:dyDescent="0.4">
      <c r="A314" s="30" t="s">
        <v>424</v>
      </c>
      <c r="B314" s="30" t="s">
        <v>72</v>
      </c>
      <c r="C314" s="30" t="s">
        <v>82</v>
      </c>
      <c r="D314" s="31">
        <v>45674</v>
      </c>
      <c r="E314" s="31">
        <v>45684</v>
      </c>
      <c r="F314" s="30" t="s">
        <v>73</v>
      </c>
      <c r="G314" s="30" t="s">
        <v>26</v>
      </c>
      <c r="H314" s="31">
        <v>28741</v>
      </c>
      <c r="I314" s="30" t="s">
        <v>37</v>
      </c>
      <c r="J314" s="30" t="s">
        <v>38</v>
      </c>
      <c r="K314" s="30" t="s">
        <v>83</v>
      </c>
      <c r="L314" s="30" t="s">
        <v>84</v>
      </c>
      <c r="M314" s="30">
        <v>20</v>
      </c>
      <c r="N314" s="30">
        <v>60</v>
      </c>
      <c r="O314" s="30">
        <v>15</v>
      </c>
      <c r="P314" s="30">
        <v>1020</v>
      </c>
      <c r="Q314" s="30">
        <v>5</v>
      </c>
      <c r="R314" s="30" t="s">
        <v>60</v>
      </c>
      <c r="S314" s="30" t="s">
        <v>32</v>
      </c>
      <c r="T314" s="30" t="s">
        <v>93</v>
      </c>
      <c r="U314" s="30">
        <v>9954973200</v>
      </c>
      <c r="V314" s="30" t="s">
        <v>52</v>
      </c>
    </row>
    <row r="315" spans="1:22" ht="15" thickBot="1" x14ac:dyDescent="0.4">
      <c r="A315" s="27" t="s">
        <v>425</v>
      </c>
      <c r="B315" s="27" t="s">
        <v>156</v>
      </c>
      <c r="C315" s="27" t="s">
        <v>24</v>
      </c>
      <c r="D315" s="28">
        <v>45748</v>
      </c>
      <c r="E315" s="28">
        <v>45759</v>
      </c>
      <c r="F315" s="27" t="s">
        <v>106</v>
      </c>
      <c r="G315" s="27" t="s">
        <v>58</v>
      </c>
      <c r="H315" s="28">
        <v>28530</v>
      </c>
      <c r="I315" s="27" t="s">
        <v>91</v>
      </c>
      <c r="J315" s="27" t="s">
        <v>75</v>
      </c>
      <c r="K315" s="27" t="s">
        <v>29</v>
      </c>
      <c r="L315" s="27" t="s">
        <v>30</v>
      </c>
      <c r="M315" s="27">
        <v>7</v>
      </c>
      <c r="N315" s="27">
        <v>2200</v>
      </c>
      <c r="O315" s="27">
        <v>15</v>
      </c>
      <c r="P315" s="27">
        <v>13090</v>
      </c>
      <c r="Q315" s="27">
        <v>4</v>
      </c>
      <c r="R315" s="27" t="s">
        <v>31</v>
      </c>
      <c r="S315" s="27" t="s">
        <v>50</v>
      </c>
      <c r="T315" s="27" t="s">
        <v>158</v>
      </c>
      <c r="U315" s="27">
        <v>9383199236</v>
      </c>
      <c r="V315" s="27" t="s">
        <v>53</v>
      </c>
    </row>
    <row r="316" spans="1:22" ht="15" thickBot="1" x14ac:dyDescent="0.4">
      <c r="A316" s="30" t="s">
        <v>426</v>
      </c>
      <c r="B316" s="30" t="s">
        <v>87</v>
      </c>
      <c r="C316" s="30" t="s">
        <v>46</v>
      </c>
      <c r="D316" s="31">
        <v>45670</v>
      </c>
      <c r="E316" s="31">
        <v>45673</v>
      </c>
      <c r="F316" s="30" t="s">
        <v>88</v>
      </c>
      <c r="G316" s="30" t="s">
        <v>58</v>
      </c>
      <c r="H316" s="31">
        <v>37989</v>
      </c>
      <c r="I316" s="30" t="s">
        <v>27</v>
      </c>
      <c r="J316" s="30" t="s">
        <v>28</v>
      </c>
      <c r="K316" s="30" t="s">
        <v>39</v>
      </c>
      <c r="L316" s="30" t="s">
        <v>49</v>
      </c>
      <c r="M316" s="30">
        <v>11</v>
      </c>
      <c r="N316" s="30">
        <v>55000</v>
      </c>
      <c r="O316" s="30">
        <v>5</v>
      </c>
      <c r="P316" s="30">
        <v>574750</v>
      </c>
      <c r="Q316" s="30">
        <v>1</v>
      </c>
      <c r="R316" s="30" t="s">
        <v>65</v>
      </c>
      <c r="S316" s="30" t="s">
        <v>32</v>
      </c>
      <c r="T316" s="30" t="s">
        <v>89</v>
      </c>
      <c r="U316" s="30">
        <v>9482699727</v>
      </c>
      <c r="V316" s="30" t="s">
        <v>53</v>
      </c>
    </row>
    <row r="317" spans="1:22" ht="15" thickBot="1" x14ac:dyDescent="0.4">
      <c r="A317" s="27" t="s">
        <v>427</v>
      </c>
      <c r="B317" s="27" t="s">
        <v>63</v>
      </c>
      <c r="C317" s="27" t="s">
        <v>68</v>
      </c>
      <c r="D317" s="28">
        <v>45935</v>
      </c>
      <c r="E317" s="28">
        <v>45947</v>
      </c>
      <c r="F317" s="27" t="s">
        <v>110</v>
      </c>
      <c r="G317" s="27" t="s">
        <v>58</v>
      </c>
      <c r="H317" s="28">
        <v>33726</v>
      </c>
      <c r="I317" s="27" t="s">
        <v>121</v>
      </c>
      <c r="J317" s="27" t="s">
        <v>38</v>
      </c>
      <c r="K317" s="27" t="s">
        <v>29</v>
      </c>
      <c r="L317" s="27" t="s">
        <v>70</v>
      </c>
      <c r="M317" s="27">
        <v>12</v>
      </c>
      <c r="N317" s="27">
        <v>3500</v>
      </c>
      <c r="O317" s="27">
        <v>0</v>
      </c>
      <c r="P317" s="27">
        <v>42000</v>
      </c>
      <c r="Q317" s="27">
        <v>2</v>
      </c>
      <c r="R317" s="21" t="s">
        <v>41</v>
      </c>
      <c r="S317" s="27"/>
      <c r="T317" s="27" t="s">
        <v>66</v>
      </c>
      <c r="U317" s="27">
        <v>9332473934</v>
      </c>
      <c r="V317" s="27" t="s">
        <v>52</v>
      </c>
    </row>
    <row r="318" spans="1:22" ht="15" thickBot="1" x14ac:dyDescent="0.4">
      <c r="A318" s="30" t="s">
        <v>428</v>
      </c>
      <c r="B318" s="30" t="s">
        <v>55</v>
      </c>
      <c r="C318" s="30" t="s">
        <v>138</v>
      </c>
      <c r="D318" s="31">
        <v>46078</v>
      </c>
      <c r="E318" s="31">
        <v>46089</v>
      </c>
      <c r="F318" s="30" t="s">
        <v>57</v>
      </c>
      <c r="G318" s="30" t="s">
        <v>58</v>
      </c>
      <c r="H318" s="31">
        <v>37647</v>
      </c>
      <c r="I318" s="30" t="s">
        <v>27</v>
      </c>
      <c r="J318" s="30" t="s">
        <v>28</v>
      </c>
      <c r="K318" s="30" t="s">
        <v>83</v>
      </c>
      <c r="L318" s="30" t="s">
        <v>139</v>
      </c>
      <c r="M318" s="30">
        <v>15</v>
      </c>
      <c r="N318" s="30">
        <v>45</v>
      </c>
      <c r="O318" s="30">
        <v>10</v>
      </c>
      <c r="P318" s="30">
        <v>607.5</v>
      </c>
      <c r="Q318" s="30">
        <v>2</v>
      </c>
      <c r="R318" s="30" t="s">
        <v>31</v>
      </c>
      <c r="S318" s="30" t="s">
        <v>96</v>
      </c>
      <c r="T318" s="30" t="s">
        <v>61</v>
      </c>
      <c r="U318" s="30">
        <v>9647657382</v>
      </c>
      <c r="V318" s="30" t="s">
        <v>52</v>
      </c>
    </row>
    <row r="319" spans="1:22" ht="15" thickBot="1" x14ac:dyDescent="0.4">
      <c r="A319" s="27" t="s">
        <v>429</v>
      </c>
      <c r="B319" s="27" t="s">
        <v>156</v>
      </c>
      <c r="C319" s="27" t="s">
        <v>138</v>
      </c>
      <c r="D319" s="28">
        <v>45793</v>
      </c>
      <c r="E319" s="28">
        <v>45803</v>
      </c>
      <c r="F319" s="27" t="s">
        <v>106</v>
      </c>
      <c r="G319" s="27" t="s">
        <v>58</v>
      </c>
      <c r="H319" s="28">
        <v>31917</v>
      </c>
      <c r="I319" s="27" t="s">
        <v>48</v>
      </c>
      <c r="J319" s="27" t="s">
        <v>28</v>
      </c>
      <c r="K319" s="27" t="s">
        <v>83</v>
      </c>
      <c r="L319" s="27" t="s">
        <v>139</v>
      </c>
      <c r="M319" s="27">
        <v>13</v>
      </c>
      <c r="N319" s="27">
        <v>45</v>
      </c>
      <c r="O319" s="27">
        <v>0</v>
      </c>
      <c r="P319" s="27">
        <v>585</v>
      </c>
      <c r="Q319" s="27">
        <v>5</v>
      </c>
      <c r="R319" s="27" t="s">
        <v>41</v>
      </c>
      <c r="S319" s="27" t="s">
        <v>42</v>
      </c>
      <c r="T319" s="27" t="s">
        <v>158</v>
      </c>
      <c r="U319" s="27">
        <v>9736797776</v>
      </c>
      <c r="V319" s="27" t="s">
        <v>52</v>
      </c>
    </row>
    <row r="320" spans="1:22" ht="15" thickBot="1" x14ac:dyDescent="0.4">
      <c r="A320" s="30" t="s">
        <v>430</v>
      </c>
      <c r="B320" s="30" t="s">
        <v>87</v>
      </c>
      <c r="C320" s="30" t="s">
        <v>46</v>
      </c>
      <c r="D320" s="31">
        <v>46024</v>
      </c>
      <c r="E320" s="31">
        <v>46027</v>
      </c>
      <c r="F320" s="30" t="s">
        <v>88</v>
      </c>
      <c r="G320" s="30" t="s">
        <v>58</v>
      </c>
      <c r="H320" s="31">
        <v>27644</v>
      </c>
      <c r="I320" s="30" t="s">
        <v>48</v>
      </c>
      <c r="J320" s="30" t="s">
        <v>28</v>
      </c>
      <c r="K320" s="30" t="s">
        <v>39</v>
      </c>
      <c r="L320" s="30" t="s">
        <v>49</v>
      </c>
      <c r="M320" s="30">
        <v>8</v>
      </c>
      <c r="N320" s="30">
        <v>55000</v>
      </c>
      <c r="O320" s="30">
        <v>0</v>
      </c>
      <c r="P320" s="30">
        <v>440000</v>
      </c>
      <c r="Q320" s="30">
        <v>2</v>
      </c>
      <c r="R320" s="30" t="s">
        <v>65</v>
      </c>
      <c r="S320" s="30" t="s">
        <v>96</v>
      </c>
      <c r="T320" s="30" t="s">
        <v>89</v>
      </c>
      <c r="U320" s="30">
        <v>9745773533</v>
      </c>
      <c r="V320" s="30" t="s">
        <v>53</v>
      </c>
    </row>
    <row r="321" spans="1:22" ht="15" thickBot="1" x14ac:dyDescent="0.4">
      <c r="A321" s="27" t="s">
        <v>431</v>
      </c>
      <c r="B321" s="27" t="s">
        <v>134</v>
      </c>
      <c r="C321" s="27" t="s">
        <v>46</v>
      </c>
      <c r="D321" s="28">
        <v>45861</v>
      </c>
      <c r="E321" s="28">
        <v>45865</v>
      </c>
      <c r="F321" s="27" t="s">
        <v>135</v>
      </c>
      <c r="G321" s="27" t="s">
        <v>26</v>
      </c>
      <c r="H321" s="28">
        <v>29443</v>
      </c>
      <c r="I321" s="27" t="s">
        <v>37</v>
      </c>
      <c r="J321" s="27" t="s">
        <v>38</v>
      </c>
      <c r="K321" s="27" t="s">
        <v>39</v>
      </c>
      <c r="L321" s="27" t="s">
        <v>49</v>
      </c>
      <c r="M321" s="27">
        <v>4</v>
      </c>
      <c r="N321" s="27">
        <v>55000</v>
      </c>
      <c r="O321" s="27">
        <v>20</v>
      </c>
      <c r="P321" s="27">
        <v>176000</v>
      </c>
      <c r="Q321" s="27">
        <v>5</v>
      </c>
      <c r="R321" s="27" t="s">
        <v>31</v>
      </c>
      <c r="S321" s="27" t="s">
        <v>42</v>
      </c>
      <c r="T321" s="27" t="s">
        <v>136</v>
      </c>
      <c r="U321" s="27">
        <v>9246715757</v>
      </c>
      <c r="V321" s="27" t="s">
        <v>52</v>
      </c>
    </row>
    <row r="322" spans="1:22" ht="15" thickBot="1" x14ac:dyDescent="0.4">
      <c r="A322" s="30" t="s">
        <v>432</v>
      </c>
      <c r="B322" s="30" t="s">
        <v>23</v>
      </c>
      <c r="C322" s="30" t="s">
        <v>68</v>
      </c>
      <c r="D322" s="31">
        <v>46135</v>
      </c>
      <c r="E322" s="31">
        <v>46138</v>
      </c>
      <c r="F322" s="30" t="s">
        <v>25</v>
      </c>
      <c r="G322" s="30" t="s">
        <v>26</v>
      </c>
      <c r="H322" s="31">
        <v>32605</v>
      </c>
      <c r="I322" s="30" t="s">
        <v>91</v>
      </c>
      <c r="J322" s="30" t="s">
        <v>75</v>
      </c>
      <c r="K322" s="30" t="s">
        <v>29</v>
      </c>
      <c r="L322" s="30" t="s">
        <v>70</v>
      </c>
      <c r="M322" s="30">
        <v>19</v>
      </c>
      <c r="N322" s="30">
        <v>3500</v>
      </c>
      <c r="O322" s="30">
        <v>5</v>
      </c>
      <c r="P322" s="30">
        <v>63175</v>
      </c>
      <c r="Q322" s="30">
        <v>1</v>
      </c>
      <c r="R322" s="30" t="s">
        <v>60</v>
      </c>
      <c r="S322" s="30" t="s">
        <v>80</v>
      </c>
      <c r="T322" s="30" t="s">
        <v>43</v>
      </c>
      <c r="U322" s="30">
        <v>9904065774</v>
      </c>
      <c r="V322" s="22" t="s">
        <v>34</v>
      </c>
    </row>
    <row r="323" spans="1:22" ht="15" thickBot="1" x14ac:dyDescent="0.4">
      <c r="A323" s="27" t="s">
        <v>433</v>
      </c>
      <c r="B323" s="27" t="s">
        <v>124</v>
      </c>
      <c r="C323" s="27" t="s">
        <v>56</v>
      </c>
      <c r="D323" s="28">
        <v>45718</v>
      </c>
      <c r="E323" s="28">
        <v>45722</v>
      </c>
      <c r="F323" s="27" t="s">
        <v>126</v>
      </c>
      <c r="G323" s="27" t="s">
        <v>58</v>
      </c>
      <c r="H323" s="28">
        <v>36027</v>
      </c>
      <c r="I323" s="27" t="s">
        <v>121</v>
      </c>
      <c r="J323" s="27" t="s">
        <v>38</v>
      </c>
      <c r="K323" s="27" t="s">
        <v>39</v>
      </c>
      <c r="L323" s="27" t="s">
        <v>59</v>
      </c>
      <c r="M323" s="27">
        <v>17</v>
      </c>
      <c r="N323" s="27">
        <v>1200</v>
      </c>
      <c r="O323" s="27">
        <v>15</v>
      </c>
      <c r="P323" s="27">
        <v>17340</v>
      </c>
      <c r="Q323" s="27">
        <v>2</v>
      </c>
      <c r="R323" s="27" t="s">
        <v>41</v>
      </c>
      <c r="S323" s="27" t="s">
        <v>42</v>
      </c>
      <c r="T323" s="27" t="s">
        <v>128</v>
      </c>
      <c r="U323" s="27">
        <v>9652985385</v>
      </c>
      <c r="V323" s="21" t="s">
        <v>34</v>
      </c>
    </row>
    <row r="324" spans="1:22" ht="15" thickBot="1" x14ac:dyDescent="0.4">
      <c r="A324" s="30" t="s">
        <v>434</v>
      </c>
      <c r="B324" s="30" t="s">
        <v>23</v>
      </c>
      <c r="C324" s="30" t="s">
        <v>24</v>
      </c>
      <c r="D324" s="31">
        <v>46062</v>
      </c>
      <c r="E324" s="31">
        <v>46070</v>
      </c>
      <c r="F324" s="30" t="s">
        <v>25</v>
      </c>
      <c r="G324" s="30" t="s">
        <v>26</v>
      </c>
      <c r="H324" s="31">
        <v>36984</v>
      </c>
      <c r="I324" s="30" t="s">
        <v>27</v>
      </c>
      <c r="J324" s="30" t="s">
        <v>28</v>
      </c>
      <c r="K324" s="30" t="s">
        <v>29</v>
      </c>
      <c r="L324" s="30" t="s">
        <v>30</v>
      </c>
      <c r="M324" s="30">
        <v>8</v>
      </c>
      <c r="N324" s="30">
        <v>2200</v>
      </c>
      <c r="O324" s="30">
        <v>5</v>
      </c>
      <c r="P324" s="30">
        <v>16720</v>
      </c>
      <c r="Q324" s="30">
        <v>3</v>
      </c>
      <c r="R324" s="30" t="s">
        <v>60</v>
      </c>
      <c r="S324" s="30" t="s">
        <v>80</v>
      </c>
      <c r="T324" s="30" t="s">
        <v>43</v>
      </c>
      <c r="U324" s="30">
        <v>9427001508</v>
      </c>
      <c r="V324" s="30" t="s">
        <v>52</v>
      </c>
    </row>
    <row r="325" spans="1:22" ht="15" thickBot="1" x14ac:dyDescent="0.4">
      <c r="A325" s="27" t="s">
        <v>435</v>
      </c>
      <c r="B325" s="27" t="s">
        <v>134</v>
      </c>
      <c r="C325" s="27" t="s">
        <v>112</v>
      </c>
      <c r="D325" s="28">
        <v>45704</v>
      </c>
      <c r="E325" s="28">
        <v>45714</v>
      </c>
      <c r="F325" s="27" t="s">
        <v>135</v>
      </c>
      <c r="G325" s="27" t="s">
        <v>26</v>
      </c>
      <c r="H325" s="28">
        <v>33668</v>
      </c>
      <c r="I325" s="27" t="s">
        <v>74</v>
      </c>
      <c r="J325" s="27" t="s">
        <v>75</v>
      </c>
      <c r="K325" s="27" t="s">
        <v>39</v>
      </c>
      <c r="L325" s="27" t="s">
        <v>114</v>
      </c>
      <c r="M325" s="27">
        <v>17</v>
      </c>
      <c r="N325" s="27">
        <v>700</v>
      </c>
      <c r="O325" s="27">
        <v>20</v>
      </c>
      <c r="P325" s="27">
        <v>9520</v>
      </c>
      <c r="Q325" s="27">
        <v>4</v>
      </c>
      <c r="R325" s="27" t="s">
        <v>41</v>
      </c>
      <c r="S325" s="27" t="s">
        <v>80</v>
      </c>
      <c r="T325" s="27" t="s">
        <v>136</v>
      </c>
      <c r="U325" s="27">
        <v>9666803655</v>
      </c>
      <c r="V325" s="21" t="s">
        <v>34</v>
      </c>
    </row>
    <row r="326" spans="1:22" ht="15" thickBot="1" x14ac:dyDescent="0.4">
      <c r="A326" s="30" t="s">
        <v>436</v>
      </c>
      <c r="B326" s="30" t="s">
        <v>134</v>
      </c>
      <c r="C326" s="30" t="s">
        <v>105</v>
      </c>
      <c r="D326" s="31">
        <v>45897</v>
      </c>
      <c r="E326" s="31">
        <v>45908</v>
      </c>
      <c r="F326" s="30" t="s">
        <v>135</v>
      </c>
      <c r="G326" s="30" t="s">
        <v>26</v>
      </c>
      <c r="H326" s="31">
        <v>28122</v>
      </c>
      <c r="I326" s="30" t="s">
        <v>79</v>
      </c>
      <c r="J326" s="30" t="s">
        <v>75</v>
      </c>
      <c r="K326" s="30" t="s">
        <v>29</v>
      </c>
      <c r="L326" s="30" t="s">
        <v>107</v>
      </c>
      <c r="M326" s="30">
        <v>6</v>
      </c>
      <c r="N326" s="30">
        <v>8500</v>
      </c>
      <c r="O326" s="30">
        <v>15</v>
      </c>
      <c r="P326" s="30">
        <v>43350</v>
      </c>
      <c r="Q326" s="30">
        <v>1</v>
      </c>
      <c r="R326" s="30" t="s">
        <v>31</v>
      </c>
      <c r="S326" s="30" t="s">
        <v>50</v>
      </c>
      <c r="T326" s="30" t="s">
        <v>136</v>
      </c>
      <c r="U326" s="30">
        <v>9134878547</v>
      </c>
      <c r="V326" s="22" t="s">
        <v>34</v>
      </c>
    </row>
    <row r="327" spans="1:22" ht="15" thickBot="1" x14ac:dyDescent="0.4">
      <c r="A327" s="27" t="s">
        <v>437</v>
      </c>
      <c r="B327" s="27" t="s">
        <v>45</v>
      </c>
      <c r="C327" s="27" t="s">
        <v>68</v>
      </c>
      <c r="D327" s="28">
        <v>45936</v>
      </c>
      <c r="E327" s="28">
        <v>45941</v>
      </c>
      <c r="F327" s="27" t="s">
        <v>101</v>
      </c>
      <c r="G327" s="27" t="s">
        <v>26</v>
      </c>
      <c r="H327" s="28">
        <v>31659</v>
      </c>
      <c r="I327" s="27" t="s">
        <v>27</v>
      </c>
      <c r="J327" s="27" t="s">
        <v>28</v>
      </c>
      <c r="K327" s="27" t="s">
        <v>29</v>
      </c>
      <c r="L327" s="27" t="s">
        <v>70</v>
      </c>
      <c r="M327" s="27">
        <v>3</v>
      </c>
      <c r="N327" s="27">
        <v>3500</v>
      </c>
      <c r="O327" s="27">
        <v>10</v>
      </c>
      <c r="P327" s="27">
        <v>9450</v>
      </c>
      <c r="Q327" s="27">
        <v>1</v>
      </c>
      <c r="R327" s="27" t="s">
        <v>41</v>
      </c>
      <c r="S327" s="27" t="s">
        <v>42</v>
      </c>
      <c r="T327" s="27" t="s">
        <v>51</v>
      </c>
      <c r="U327" s="27">
        <v>9253593557</v>
      </c>
      <c r="V327" s="21" t="s">
        <v>34</v>
      </c>
    </row>
    <row r="328" spans="1:22" ht="15" thickBot="1" x14ac:dyDescent="0.4">
      <c r="A328" s="30" t="s">
        <v>438</v>
      </c>
      <c r="B328" s="30" t="s">
        <v>55</v>
      </c>
      <c r="C328" s="30" t="s">
        <v>36</v>
      </c>
      <c r="D328" s="31">
        <v>45674</v>
      </c>
      <c r="E328" s="31">
        <v>45686</v>
      </c>
      <c r="F328" s="30" t="s">
        <v>57</v>
      </c>
      <c r="G328" s="30" t="s">
        <v>58</v>
      </c>
      <c r="H328" s="31">
        <v>32734</v>
      </c>
      <c r="I328" s="30" t="s">
        <v>91</v>
      </c>
      <c r="J328" s="30" t="s">
        <v>75</v>
      </c>
      <c r="K328" s="30" t="s">
        <v>39</v>
      </c>
      <c r="L328" s="30" t="s">
        <v>40</v>
      </c>
      <c r="M328" s="30">
        <v>2</v>
      </c>
      <c r="N328" s="30">
        <v>12000</v>
      </c>
      <c r="O328" s="30">
        <v>20</v>
      </c>
      <c r="P328" s="30">
        <v>19200</v>
      </c>
      <c r="Q328" s="30">
        <v>1</v>
      </c>
      <c r="R328" s="30" t="s">
        <v>60</v>
      </c>
      <c r="S328" s="30" t="s">
        <v>50</v>
      </c>
      <c r="T328" s="30" t="s">
        <v>61</v>
      </c>
      <c r="U328" s="30">
        <v>9183094051</v>
      </c>
      <c r="V328" s="22" t="s">
        <v>34</v>
      </c>
    </row>
    <row r="329" spans="1:22" ht="15" thickBot="1" x14ac:dyDescent="0.4">
      <c r="A329" s="27" t="s">
        <v>439</v>
      </c>
      <c r="B329" s="27" t="s">
        <v>124</v>
      </c>
      <c r="C329" s="27" t="s">
        <v>125</v>
      </c>
      <c r="D329" s="28">
        <v>45943</v>
      </c>
      <c r="E329" s="28">
        <v>45946</v>
      </c>
      <c r="F329" s="27" t="s">
        <v>126</v>
      </c>
      <c r="G329" s="27" t="s">
        <v>58</v>
      </c>
      <c r="H329" s="28">
        <v>33299</v>
      </c>
      <c r="I329" s="27" t="s">
        <v>37</v>
      </c>
      <c r="J329" s="27" t="s">
        <v>38</v>
      </c>
      <c r="K329" s="27" t="s">
        <v>83</v>
      </c>
      <c r="L329" s="27" t="s">
        <v>127</v>
      </c>
      <c r="M329" s="27">
        <v>12</v>
      </c>
      <c r="N329" s="27">
        <v>20</v>
      </c>
      <c r="O329" s="27">
        <v>20</v>
      </c>
      <c r="P329" s="27">
        <v>192</v>
      </c>
      <c r="Q329" s="27">
        <v>2</v>
      </c>
      <c r="R329" s="27" t="s">
        <v>60</v>
      </c>
      <c r="S329" s="27" t="s">
        <v>42</v>
      </c>
      <c r="T329" s="27" t="s">
        <v>128</v>
      </c>
      <c r="U329" s="27">
        <v>9293147620</v>
      </c>
      <c r="V329" s="21" t="s">
        <v>34</v>
      </c>
    </row>
    <row r="330" spans="1:22" ht="15" thickBot="1" x14ac:dyDescent="0.4">
      <c r="A330" s="30" t="s">
        <v>440</v>
      </c>
      <c r="B330" s="30" t="s">
        <v>72</v>
      </c>
      <c r="C330" s="30" t="s">
        <v>36</v>
      </c>
      <c r="D330" s="31">
        <v>46138</v>
      </c>
      <c r="E330" s="31">
        <v>46140</v>
      </c>
      <c r="F330" s="30" t="s">
        <v>73</v>
      </c>
      <c r="G330" s="30" t="s">
        <v>26</v>
      </c>
      <c r="H330" s="31">
        <v>32733</v>
      </c>
      <c r="I330" s="30" t="s">
        <v>147</v>
      </c>
      <c r="J330" s="30" t="s">
        <v>148</v>
      </c>
      <c r="K330" s="30" t="s">
        <v>39</v>
      </c>
      <c r="L330" s="30" t="s">
        <v>40</v>
      </c>
      <c r="M330" s="30">
        <v>20</v>
      </c>
      <c r="N330" s="30">
        <v>12000</v>
      </c>
      <c r="O330" s="30">
        <v>15</v>
      </c>
      <c r="P330" s="30">
        <v>204000</v>
      </c>
      <c r="Q330" s="30">
        <v>3</v>
      </c>
      <c r="R330" s="30" t="s">
        <v>31</v>
      </c>
      <c r="S330" s="30" t="s">
        <v>32</v>
      </c>
      <c r="T330" s="30" t="s">
        <v>93</v>
      </c>
      <c r="U330" s="30">
        <v>9755583734</v>
      </c>
      <c r="V330" s="30" t="s">
        <v>52</v>
      </c>
    </row>
    <row r="331" spans="1:22" ht="15" thickBot="1" x14ac:dyDescent="0.4">
      <c r="A331" s="27" t="s">
        <v>441</v>
      </c>
      <c r="B331" s="27" t="s">
        <v>45</v>
      </c>
      <c r="C331" s="27" t="s">
        <v>82</v>
      </c>
      <c r="D331" s="28">
        <v>46105</v>
      </c>
      <c r="E331" s="28">
        <v>46116</v>
      </c>
      <c r="F331" s="27" t="s">
        <v>101</v>
      </c>
      <c r="G331" s="27" t="s">
        <v>26</v>
      </c>
      <c r="H331" s="28">
        <v>37654</v>
      </c>
      <c r="I331" s="27" t="s">
        <v>121</v>
      </c>
      <c r="J331" s="27" t="s">
        <v>38</v>
      </c>
      <c r="K331" s="27" t="s">
        <v>83</v>
      </c>
      <c r="L331" s="27" t="s">
        <v>84</v>
      </c>
      <c r="M331" s="27">
        <v>13</v>
      </c>
      <c r="N331" s="27">
        <v>60</v>
      </c>
      <c r="O331" s="27">
        <v>10</v>
      </c>
      <c r="P331" s="27">
        <v>702</v>
      </c>
      <c r="Q331" s="27">
        <v>5</v>
      </c>
      <c r="R331" s="27" t="s">
        <v>31</v>
      </c>
      <c r="S331" s="27" t="s">
        <v>32</v>
      </c>
      <c r="T331" s="27" t="s">
        <v>51</v>
      </c>
      <c r="U331" s="27">
        <v>9186592813</v>
      </c>
      <c r="V331" s="27" t="s">
        <v>52</v>
      </c>
    </row>
    <row r="332" spans="1:22" ht="15" thickBot="1" x14ac:dyDescent="0.4">
      <c r="A332" s="30" t="s">
        <v>442</v>
      </c>
      <c r="B332" s="30" t="s">
        <v>55</v>
      </c>
      <c r="C332" s="30" t="s">
        <v>46</v>
      </c>
      <c r="D332" s="31">
        <v>45785</v>
      </c>
      <c r="E332" s="31">
        <v>45796</v>
      </c>
      <c r="F332" s="30" t="s">
        <v>57</v>
      </c>
      <c r="G332" s="30" t="s">
        <v>58</v>
      </c>
      <c r="H332" s="31">
        <v>35019</v>
      </c>
      <c r="I332" s="30" t="s">
        <v>79</v>
      </c>
      <c r="J332" s="30" t="s">
        <v>75</v>
      </c>
      <c r="K332" s="30" t="s">
        <v>39</v>
      </c>
      <c r="L332" s="30" t="s">
        <v>49</v>
      </c>
      <c r="M332" s="30">
        <v>13</v>
      </c>
      <c r="N332" s="30">
        <v>55000</v>
      </c>
      <c r="O332" s="30">
        <v>5</v>
      </c>
      <c r="P332" s="30">
        <v>679250</v>
      </c>
      <c r="Q332" s="30">
        <v>1</v>
      </c>
      <c r="R332" s="30" t="s">
        <v>65</v>
      </c>
      <c r="S332" s="30" t="s">
        <v>96</v>
      </c>
      <c r="T332" s="30" t="s">
        <v>61</v>
      </c>
      <c r="U332" s="30">
        <v>9203482008</v>
      </c>
      <c r="V332" s="30" t="s">
        <v>52</v>
      </c>
    </row>
    <row r="333" spans="1:22" ht="15" thickBot="1" x14ac:dyDescent="0.4">
      <c r="A333" s="27" t="s">
        <v>443</v>
      </c>
      <c r="B333" s="27" t="s">
        <v>72</v>
      </c>
      <c r="C333" s="27" t="s">
        <v>56</v>
      </c>
      <c r="D333" s="28">
        <v>46088</v>
      </c>
      <c r="E333" s="28">
        <v>46091</v>
      </c>
      <c r="F333" s="27" t="s">
        <v>73</v>
      </c>
      <c r="G333" s="27" t="s">
        <v>26</v>
      </c>
      <c r="H333" s="28">
        <v>32836</v>
      </c>
      <c r="I333" s="27" t="s">
        <v>48</v>
      </c>
      <c r="J333" s="27" t="s">
        <v>28</v>
      </c>
      <c r="K333" s="27" t="s">
        <v>39</v>
      </c>
      <c r="L333" s="27" t="s">
        <v>59</v>
      </c>
      <c r="M333" s="27">
        <v>7</v>
      </c>
      <c r="N333" s="27">
        <v>1200</v>
      </c>
      <c r="O333" s="27">
        <v>15</v>
      </c>
      <c r="P333" s="27">
        <v>7140</v>
      </c>
      <c r="Q333" s="27">
        <v>5</v>
      </c>
      <c r="R333" s="27" t="s">
        <v>65</v>
      </c>
      <c r="S333" s="27" t="s">
        <v>42</v>
      </c>
      <c r="T333" s="27" t="s">
        <v>93</v>
      </c>
      <c r="U333" s="27">
        <v>9829888777</v>
      </c>
      <c r="V333" s="27" t="s">
        <v>52</v>
      </c>
    </row>
    <row r="334" spans="1:22" ht="15" thickBot="1" x14ac:dyDescent="0.4">
      <c r="A334" s="30" t="s">
        <v>444</v>
      </c>
      <c r="B334" s="30" t="s">
        <v>63</v>
      </c>
      <c r="C334" s="30" t="s">
        <v>36</v>
      </c>
      <c r="D334" s="31">
        <v>46017</v>
      </c>
      <c r="E334" s="31">
        <v>46021</v>
      </c>
      <c r="F334" s="30" t="s">
        <v>110</v>
      </c>
      <c r="G334" s="30" t="s">
        <v>58</v>
      </c>
      <c r="H334" s="31">
        <v>32253</v>
      </c>
      <c r="I334" s="30" t="s">
        <v>121</v>
      </c>
      <c r="J334" s="30" t="s">
        <v>38</v>
      </c>
      <c r="K334" s="30" t="s">
        <v>39</v>
      </c>
      <c r="L334" s="30" t="s">
        <v>40</v>
      </c>
      <c r="M334" s="30">
        <v>17</v>
      </c>
      <c r="N334" s="30">
        <v>12000</v>
      </c>
      <c r="O334" s="30">
        <v>5</v>
      </c>
      <c r="P334" s="30">
        <v>193800</v>
      </c>
      <c r="Q334" s="30">
        <v>1</v>
      </c>
      <c r="R334" s="30" t="s">
        <v>31</v>
      </c>
      <c r="S334" s="30" t="s">
        <v>50</v>
      </c>
      <c r="T334" s="30" t="s">
        <v>66</v>
      </c>
      <c r="U334" s="30">
        <v>9566101317</v>
      </c>
      <c r="V334" s="30" t="s">
        <v>53</v>
      </c>
    </row>
    <row r="335" spans="1:22" ht="15" thickBot="1" x14ac:dyDescent="0.4">
      <c r="A335" s="27" t="s">
        <v>445</v>
      </c>
      <c r="B335" s="27" t="s">
        <v>63</v>
      </c>
      <c r="C335" s="27" t="s">
        <v>125</v>
      </c>
      <c r="D335" s="28">
        <v>46131</v>
      </c>
      <c r="E335" s="28">
        <v>46137</v>
      </c>
      <c r="F335" s="27" t="s">
        <v>110</v>
      </c>
      <c r="G335" s="27" t="s">
        <v>58</v>
      </c>
      <c r="H335" s="28">
        <v>28796</v>
      </c>
      <c r="I335" s="27" t="s">
        <v>48</v>
      </c>
      <c r="J335" s="27" t="s">
        <v>28</v>
      </c>
      <c r="K335" s="27" t="s">
        <v>83</v>
      </c>
      <c r="L335" s="27" t="s">
        <v>127</v>
      </c>
      <c r="M335" s="27">
        <v>10</v>
      </c>
      <c r="N335" s="27">
        <v>20</v>
      </c>
      <c r="O335" s="27">
        <v>5</v>
      </c>
      <c r="P335" s="27">
        <v>190</v>
      </c>
      <c r="Q335" s="27">
        <v>2</v>
      </c>
      <c r="R335" s="27" t="s">
        <v>31</v>
      </c>
      <c r="S335" s="27" t="s">
        <v>50</v>
      </c>
      <c r="T335" s="27" t="s">
        <v>66</v>
      </c>
      <c r="U335" s="27">
        <v>9706240823</v>
      </c>
      <c r="V335" s="27" t="s">
        <v>53</v>
      </c>
    </row>
    <row r="336" spans="1:22" ht="15" thickBot="1" x14ac:dyDescent="0.4">
      <c r="A336" s="30" t="s">
        <v>446</v>
      </c>
      <c r="B336" s="30" t="s">
        <v>104</v>
      </c>
      <c r="C336" s="30" t="s">
        <v>24</v>
      </c>
      <c r="D336" s="31">
        <v>45966</v>
      </c>
      <c r="E336" s="31">
        <v>45969</v>
      </c>
      <c r="F336" s="30" t="s">
        <v>166</v>
      </c>
      <c r="G336" s="30" t="s">
        <v>26</v>
      </c>
      <c r="H336" s="31">
        <v>32855</v>
      </c>
      <c r="I336" s="30" t="s">
        <v>37</v>
      </c>
      <c r="J336" s="30" t="s">
        <v>38</v>
      </c>
      <c r="K336" s="30" t="s">
        <v>29</v>
      </c>
      <c r="L336" s="30" t="s">
        <v>30</v>
      </c>
      <c r="M336" s="30">
        <v>11</v>
      </c>
      <c r="N336" s="30">
        <v>2200</v>
      </c>
      <c r="O336" s="30">
        <v>5</v>
      </c>
      <c r="P336" s="30">
        <v>22990</v>
      </c>
      <c r="Q336" s="30">
        <v>5</v>
      </c>
      <c r="R336" s="30" t="s">
        <v>60</v>
      </c>
      <c r="S336" s="30" t="s">
        <v>42</v>
      </c>
      <c r="T336" s="30" t="s">
        <v>108</v>
      </c>
      <c r="U336" s="30">
        <v>9259943760</v>
      </c>
      <c r="V336" s="30" t="s">
        <v>52</v>
      </c>
    </row>
    <row r="337" spans="1:22" ht="15" thickBot="1" x14ac:dyDescent="0.4">
      <c r="A337" s="27" t="s">
        <v>447</v>
      </c>
      <c r="B337" s="27" t="s">
        <v>72</v>
      </c>
      <c r="C337" s="27" t="s">
        <v>82</v>
      </c>
      <c r="D337" s="28">
        <v>46077</v>
      </c>
      <c r="E337" s="28">
        <v>46081</v>
      </c>
      <c r="F337" s="27" t="s">
        <v>73</v>
      </c>
      <c r="G337" s="27" t="s">
        <v>26</v>
      </c>
      <c r="H337" s="28">
        <v>34707</v>
      </c>
      <c r="I337" s="27" t="s">
        <v>121</v>
      </c>
      <c r="J337" s="27" t="s">
        <v>38</v>
      </c>
      <c r="K337" s="27" t="s">
        <v>83</v>
      </c>
      <c r="L337" s="27" t="s">
        <v>84</v>
      </c>
      <c r="M337" s="27">
        <v>8</v>
      </c>
      <c r="N337" s="27">
        <v>60</v>
      </c>
      <c r="O337" s="27">
        <v>15</v>
      </c>
      <c r="P337" s="27">
        <v>408</v>
      </c>
      <c r="Q337" s="27">
        <v>4</v>
      </c>
      <c r="R337" s="27" t="s">
        <v>31</v>
      </c>
      <c r="S337" s="27" t="s">
        <v>42</v>
      </c>
      <c r="T337" s="27" t="s">
        <v>93</v>
      </c>
      <c r="U337" s="27">
        <v>9527326977</v>
      </c>
      <c r="V337" s="27" t="s">
        <v>52</v>
      </c>
    </row>
    <row r="338" spans="1:22" ht="15" thickBot="1" x14ac:dyDescent="0.4">
      <c r="A338" s="30" t="s">
        <v>448</v>
      </c>
      <c r="B338" s="30" t="s">
        <v>124</v>
      </c>
      <c r="C338" s="30" t="s">
        <v>138</v>
      </c>
      <c r="D338" s="31">
        <v>45739</v>
      </c>
      <c r="E338" s="31">
        <v>45741</v>
      </c>
      <c r="F338" s="30" t="s">
        <v>126</v>
      </c>
      <c r="G338" s="30" t="s">
        <v>58</v>
      </c>
      <c r="H338" s="31">
        <v>34630</v>
      </c>
      <c r="I338" s="30" t="s">
        <v>37</v>
      </c>
      <c r="J338" s="30" t="s">
        <v>38</v>
      </c>
      <c r="K338" s="30" t="s">
        <v>83</v>
      </c>
      <c r="L338" s="30" t="s">
        <v>139</v>
      </c>
      <c r="M338" s="30">
        <v>17</v>
      </c>
      <c r="N338" s="30">
        <v>45</v>
      </c>
      <c r="O338" s="30">
        <v>15</v>
      </c>
      <c r="P338" s="30">
        <v>650.25</v>
      </c>
      <c r="Q338" s="30">
        <v>2</v>
      </c>
      <c r="R338" s="30" t="s">
        <v>65</v>
      </c>
      <c r="S338" s="30" t="s">
        <v>96</v>
      </c>
      <c r="T338" s="30" t="s">
        <v>128</v>
      </c>
      <c r="U338" s="30">
        <v>9886970990</v>
      </c>
      <c r="V338" s="22" t="s">
        <v>34</v>
      </c>
    </row>
    <row r="339" spans="1:22" ht="15" thickBot="1" x14ac:dyDescent="0.4">
      <c r="A339" s="27" t="s">
        <v>449</v>
      </c>
      <c r="B339" s="27" t="s">
        <v>156</v>
      </c>
      <c r="C339" s="27" t="s">
        <v>112</v>
      </c>
      <c r="D339" s="28">
        <v>45715</v>
      </c>
      <c r="E339" s="28">
        <v>45726</v>
      </c>
      <c r="F339" s="27" t="s">
        <v>106</v>
      </c>
      <c r="G339" s="27" t="s">
        <v>58</v>
      </c>
      <c r="H339" s="28">
        <v>35206</v>
      </c>
      <c r="I339" s="27" t="s">
        <v>121</v>
      </c>
      <c r="J339" s="27" t="s">
        <v>38</v>
      </c>
      <c r="K339" s="27" t="s">
        <v>39</v>
      </c>
      <c r="L339" s="27" t="s">
        <v>114</v>
      </c>
      <c r="M339" s="27">
        <v>14</v>
      </c>
      <c r="N339" s="27">
        <v>700</v>
      </c>
      <c r="O339" s="27">
        <v>15</v>
      </c>
      <c r="P339" s="27">
        <v>8330</v>
      </c>
      <c r="Q339" s="27">
        <v>1</v>
      </c>
      <c r="R339" s="27" t="s">
        <v>60</v>
      </c>
      <c r="S339" s="27" t="s">
        <v>80</v>
      </c>
      <c r="T339" s="27" t="s">
        <v>158</v>
      </c>
      <c r="U339" s="27">
        <v>9106930369</v>
      </c>
      <c r="V339" s="21" t="s">
        <v>34</v>
      </c>
    </row>
    <row r="340" spans="1:22" ht="15" thickBot="1" x14ac:dyDescent="0.4">
      <c r="A340" s="30" t="s">
        <v>450</v>
      </c>
      <c r="B340" s="30" t="s">
        <v>63</v>
      </c>
      <c r="C340" s="30" t="s">
        <v>56</v>
      </c>
      <c r="D340" s="31">
        <v>45811</v>
      </c>
      <c r="E340" s="31">
        <v>45822</v>
      </c>
      <c r="F340" s="30" t="s">
        <v>110</v>
      </c>
      <c r="G340" s="30" t="s">
        <v>58</v>
      </c>
      <c r="H340" s="31">
        <v>30097</v>
      </c>
      <c r="I340" s="30" t="s">
        <v>79</v>
      </c>
      <c r="J340" s="30" t="s">
        <v>75</v>
      </c>
      <c r="K340" s="30" t="s">
        <v>39</v>
      </c>
      <c r="L340" s="30" t="s">
        <v>59</v>
      </c>
      <c r="M340" s="30">
        <v>3</v>
      </c>
      <c r="N340" s="30">
        <v>1200</v>
      </c>
      <c r="O340" s="30">
        <v>5</v>
      </c>
      <c r="P340" s="30">
        <v>3420</v>
      </c>
      <c r="Q340" s="30">
        <v>3</v>
      </c>
      <c r="R340" s="30" t="s">
        <v>41</v>
      </c>
      <c r="S340" s="30" t="s">
        <v>96</v>
      </c>
      <c r="T340" s="30" t="s">
        <v>66</v>
      </c>
      <c r="U340" s="30">
        <v>9342009114</v>
      </c>
      <c r="V340" s="22" t="s">
        <v>34</v>
      </c>
    </row>
    <row r="341" spans="1:22" ht="15" thickBot="1" x14ac:dyDescent="0.4">
      <c r="A341" s="27" t="s">
        <v>451</v>
      </c>
      <c r="B341" s="27" t="s">
        <v>23</v>
      </c>
      <c r="C341" s="27" t="s">
        <v>56</v>
      </c>
      <c r="D341" s="28">
        <v>45845</v>
      </c>
      <c r="E341" s="28">
        <v>45854</v>
      </c>
      <c r="F341" s="27" t="s">
        <v>25</v>
      </c>
      <c r="G341" s="27" t="s">
        <v>26</v>
      </c>
      <c r="H341" s="28">
        <v>37217</v>
      </c>
      <c r="I341" s="27" t="s">
        <v>91</v>
      </c>
      <c r="J341" s="27" t="s">
        <v>75</v>
      </c>
      <c r="K341" s="27" t="s">
        <v>39</v>
      </c>
      <c r="L341" s="27" t="s">
        <v>59</v>
      </c>
      <c r="M341" s="27">
        <v>9</v>
      </c>
      <c r="N341" s="27">
        <v>1200</v>
      </c>
      <c r="O341" s="27">
        <v>15</v>
      </c>
      <c r="P341" s="27">
        <v>9180</v>
      </c>
      <c r="Q341" s="27">
        <v>3</v>
      </c>
      <c r="R341" s="27" t="s">
        <v>31</v>
      </c>
      <c r="S341" s="27" t="s">
        <v>42</v>
      </c>
      <c r="T341" s="27" t="s">
        <v>43</v>
      </c>
      <c r="U341" s="27">
        <v>9992739960</v>
      </c>
      <c r="V341" s="21" t="s">
        <v>34</v>
      </c>
    </row>
    <row r="342" spans="1:22" ht="15" thickBot="1" x14ac:dyDescent="0.4">
      <c r="A342" s="30" t="s">
        <v>452</v>
      </c>
      <c r="B342" s="30" t="s">
        <v>134</v>
      </c>
      <c r="C342" s="30" t="s">
        <v>125</v>
      </c>
      <c r="D342" s="31">
        <v>46132</v>
      </c>
      <c r="E342" s="31">
        <v>46133</v>
      </c>
      <c r="F342" s="30" t="s">
        <v>135</v>
      </c>
      <c r="G342" s="30" t="s">
        <v>26</v>
      </c>
      <c r="H342" s="31">
        <v>32565</v>
      </c>
      <c r="I342" s="30" t="s">
        <v>74</v>
      </c>
      <c r="J342" s="30" t="s">
        <v>75</v>
      </c>
      <c r="K342" s="30" t="s">
        <v>83</v>
      </c>
      <c r="L342" s="30" t="s">
        <v>127</v>
      </c>
      <c r="M342" s="30">
        <v>5</v>
      </c>
      <c r="N342" s="30">
        <v>20</v>
      </c>
      <c r="O342" s="30">
        <v>5</v>
      </c>
      <c r="P342" s="30">
        <v>95</v>
      </c>
      <c r="Q342" s="30">
        <v>4</v>
      </c>
      <c r="R342" s="30" t="s">
        <v>31</v>
      </c>
      <c r="S342" s="30" t="s">
        <v>96</v>
      </c>
      <c r="T342" s="30" t="s">
        <v>136</v>
      </c>
      <c r="U342" s="30">
        <v>9241987748</v>
      </c>
      <c r="V342" s="22" t="s">
        <v>34</v>
      </c>
    </row>
    <row r="343" spans="1:22" ht="15" thickBot="1" x14ac:dyDescent="0.4">
      <c r="A343" s="27" t="s">
        <v>453</v>
      </c>
      <c r="B343" s="27" t="s">
        <v>134</v>
      </c>
      <c r="C343" s="27" t="s">
        <v>24</v>
      </c>
      <c r="D343" s="28">
        <v>46001</v>
      </c>
      <c r="E343" s="28">
        <v>46012</v>
      </c>
      <c r="F343" s="27" t="s">
        <v>135</v>
      </c>
      <c r="G343" s="27" t="s">
        <v>26</v>
      </c>
      <c r="H343" s="28">
        <v>31277</v>
      </c>
      <c r="I343" s="27" t="s">
        <v>91</v>
      </c>
      <c r="J343" s="27" t="s">
        <v>75</v>
      </c>
      <c r="K343" s="27" t="s">
        <v>29</v>
      </c>
      <c r="L343" s="27" t="s">
        <v>30</v>
      </c>
      <c r="M343" s="27">
        <v>8</v>
      </c>
      <c r="N343" s="27">
        <v>2200</v>
      </c>
      <c r="O343" s="27">
        <v>10</v>
      </c>
      <c r="P343" s="27">
        <v>15840</v>
      </c>
      <c r="Q343" s="27">
        <v>4</v>
      </c>
      <c r="R343" s="27" t="s">
        <v>65</v>
      </c>
      <c r="S343" s="27" t="s">
        <v>50</v>
      </c>
      <c r="T343" s="27" t="s">
        <v>136</v>
      </c>
      <c r="U343" s="27">
        <v>9571990711</v>
      </c>
      <c r="V343" s="27" t="s">
        <v>53</v>
      </c>
    </row>
    <row r="344" spans="1:22" ht="15" thickBot="1" x14ac:dyDescent="0.4">
      <c r="A344" s="30" t="s">
        <v>454</v>
      </c>
      <c r="B344" s="30" t="s">
        <v>134</v>
      </c>
      <c r="C344" s="30" t="s">
        <v>112</v>
      </c>
      <c r="D344" s="31">
        <v>46089</v>
      </c>
      <c r="E344" s="31">
        <v>46093</v>
      </c>
      <c r="F344" s="30" t="s">
        <v>135</v>
      </c>
      <c r="G344" s="30" t="s">
        <v>26</v>
      </c>
      <c r="H344" s="31">
        <v>29223</v>
      </c>
      <c r="I344" s="30" t="s">
        <v>74</v>
      </c>
      <c r="J344" s="30" t="s">
        <v>75</v>
      </c>
      <c r="K344" s="30" t="s">
        <v>39</v>
      </c>
      <c r="L344" s="30" t="s">
        <v>114</v>
      </c>
      <c r="M344" s="30">
        <v>10</v>
      </c>
      <c r="N344" s="30">
        <v>700</v>
      </c>
      <c r="O344" s="30">
        <v>20</v>
      </c>
      <c r="P344" s="30">
        <v>5600</v>
      </c>
      <c r="Q344" s="30">
        <v>1</v>
      </c>
      <c r="R344" s="30" t="s">
        <v>65</v>
      </c>
      <c r="S344" s="30" t="s">
        <v>80</v>
      </c>
      <c r="T344" s="30" t="s">
        <v>136</v>
      </c>
      <c r="U344" s="30">
        <v>9219231183</v>
      </c>
      <c r="V344" s="22" t="s">
        <v>34</v>
      </c>
    </row>
    <row r="345" spans="1:22" ht="15" thickBot="1" x14ac:dyDescent="0.4">
      <c r="A345" s="27" t="s">
        <v>455</v>
      </c>
      <c r="B345" s="27" t="s">
        <v>63</v>
      </c>
      <c r="C345" s="27" t="s">
        <v>112</v>
      </c>
      <c r="D345" s="28">
        <v>45986</v>
      </c>
      <c r="E345" s="28">
        <v>45989</v>
      </c>
      <c r="F345" s="27" t="s">
        <v>110</v>
      </c>
      <c r="G345" s="27" t="s">
        <v>58</v>
      </c>
      <c r="H345" s="28">
        <v>28498</v>
      </c>
      <c r="I345" s="27" t="s">
        <v>48</v>
      </c>
      <c r="J345" s="27" t="s">
        <v>28</v>
      </c>
      <c r="K345" s="27" t="s">
        <v>39</v>
      </c>
      <c r="L345" s="27" t="s">
        <v>114</v>
      </c>
      <c r="M345" s="27">
        <v>2</v>
      </c>
      <c r="N345" s="27">
        <v>700</v>
      </c>
      <c r="O345" s="27">
        <v>20</v>
      </c>
      <c r="P345" s="27">
        <v>1120</v>
      </c>
      <c r="Q345" s="27">
        <v>2</v>
      </c>
      <c r="R345" s="27" t="s">
        <v>31</v>
      </c>
      <c r="S345" s="27" t="s">
        <v>80</v>
      </c>
      <c r="T345" s="27" t="s">
        <v>66</v>
      </c>
      <c r="U345" s="27">
        <v>9847386174</v>
      </c>
      <c r="V345" s="27" t="s">
        <v>52</v>
      </c>
    </row>
    <row r="346" spans="1:22" ht="15" thickBot="1" x14ac:dyDescent="0.4">
      <c r="A346" s="30" t="s">
        <v>456</v>
      </c>
      <c r="B346" s="30" t="s">
        <v>124</v>
      </c>
      <c r="C346" s="30" t="s">
        <v>68</v>
      </c>
      <c r="D346" s="31">
        <v>45827</v>
      </c>
      <c r="E346" s="31">
        <v>45836</v>
      </c>
      <c r="F346" s="30" t="s">
        <v>126</v>
      </c>
      <c r="G346" s="30" t="s">
        <v>58</v>
      </c>
      <c r="H346" s="31">
        <v>33821</v>
      </c>
      <c r="I346" s="30" t="s">
        <v>79</v>
      </c>
      <c r="J346" s="30" t="s">
        <v>75</v>
      </c>
      <c r="K346" s="30" t="s">
        <v>29</v>
      </c>
      <c r="L346" s="30" t="s">
        <v>70</v>
      </c>
      <c r="M346" s="30">
        <v>16</v>
      </c>
      <c r="N346" s="30">
        <v>3500</v>
      </c>
      <c r="O346" s="30">
        <v>20</v>
      </c>
      <c r="P346" s="30">
        <v>44800</v>
      </c>
      <c r="Q346" s="30">
        <v>2</v>
      </c>
      <c r="R346" s="30" t="s">
        <v>65</v>
      </c>
      <c r="S346" s="30" t="s">
        <v>32</v>
      </c>
      <c r="T346" s="30" t="s">
        <v>128</v>
      </c>
      <c r="U346" s="30">
        <v>9941274924</v>
      </c>
      <c r="V346" s="30" t="s">
        <v>52</v>
      </c>
    </row>
    <row r="347" spans="1:22" ht="15" thickBot="1" x14ac:dyDescent="0.4">
      <c r="A347" s="27" t="s">
        <v>457</v>
      </c>
      <c r="B347" s="27" t="s">
        <v>104</v>
      </c>
      <c r="C347" s="27" t="s">
        <v>68</v>
      </c>
      <c r="D347" s="28">
        <v>45860</v>
      </c>
      <c r="E347" s="28">
        <v>45870</v>
      </c>
      <c r="F347" s="27" t="s">
        <v>166</v>
      </c>
      <c r="G347" s="27" t="s">
        <v>26</v>
      </c>
      <c r="H347" s="28">
        <v>38349</v>
      </c>
      <c r="I347" s="27" t="s">
        <v>37</v>
      </c>
      <c r="J347" s="27" t="s">
        <v>38</v>
      </c>
      <c r="K347" s="27" t="s">
        <v>29</v>
      </c>
      <c r="L347" s="27" t="s">
        <v>70</v>
      </c>
      <c r="M347" s="27">
        <v>9</v>
      </c>
      <c r="N347" s="27">
        <v>3500</v>
      </c>
      <c r="O347" s="27">
        <v>20</v>
      </c>
      <c r="P347" s="27">
        <v>25200</v>
      </c>
      <c r="Q347" s="27">
        <v>1</v>
      </c>
      <c r="R347" s="27" t="s">
        <v>60</v>
      </c>
      <c r="S347" s="27" t="s">
        <v>42</v>
      </c>
      <c r="T347" s="27" t="s">
        <v>108</v>
      </c>
      <c r="U347" s="27">
        <v>9950650508</v>
      </c>
      <c r="V347" s="27" t="s">
        <v>53</v>
      </c>
    </row>
    <row r="348" spans="1:22" ht="15" thickBot="1" x14ac:dyDescent="0.4">
      <c r="A348" s="30" t="s">
        <v>458</v>
      </c>
      <c r="B348" s="30" t="s">
        <v>87</v>
      </c>
      <c r="C348" s="30" t="s">
        <v>112</v>
      </c>
      <c r="D348" s="31">
        <v>45959</v>
      </c>
      <c r="E348" s="31">
        <v>45960</v>
      </c>
      <c r="F348" s="30" t="s">
        <v>88</v>
      </c>
      <c r="G348" s="30" t="s">
        <v>58</v>
      </c>
      <c r="H348" s="31">
        <v>37628</v>
      </c>
      <c r="I348" s="30" t="s">
        <v>27</v>
      </c>
      <c r="J348" s="30" t="s">
        <v>28</v>
      </c>
      <c r="K348" s="30" t="s">
        <v>39</v>
      </c>
      <c r="L348" s="30" t="s">
        <v>114</v>
      </c>
      <c r="M348" s="30">
        <v>15</v>
      </c>
      <c r="N348" s="30">
        <v>700</v>
      </c>
      <c r="O348" s="30">
        <v>5</v>
      </c>
      <c r="P348" s="30">
        <v>9975</v>
      </c>
      <c r="Q348" s="30">
        <v>1</v>
      </c>
      <c r="R348" s="30" t="s">
        <v>31</v>
      </c>
      <c r="S348" s="30" t="s">
        <v>42</v>
      </c>
      <c r="T348" s="30" t="s">
        <v>89</v>
      </c>
      <c r="U348" s="30">
        <v>9464035549</v>
      </c>
      <c r="V348" s="30" t="s">
        <v>53</v>
      </c>
    </row>
    <row r="349" spans="1:22" ht="15" thickBot="1" x14ac:dyDescent="0.4">
      <c r="A349" s="27" t="s">
        <v>459</v>
      </c>
      <c r="B349" s="27" t="s">
        <v>45</v>
      </c>
      <c r="C349" s="27" t="s">
        <v>56</v>
      </c>
      <c r="D349" s="28">
        <v>46086</v>
      </c>
      <c r="E349" s="28">
        <v>46091</v>
      </c>
      <c r="F349" s="27" t="s">
        <v>101</v>
      </c>
      <c r="G349" s="27" t="s">
        <v>26</v>
      </c>
      <c r="H349" s="28">
        <v>34037</v>
      </c>
      <c r="I349" s="27" t="s">
        <v>91</v>
      </c>
      <c r="J349" s="27" t="s">
        <v>75</v>
      </c>
      <c r="K349" s="27" t="s">
        <v>39</v>
      </c>
      <c r="L349" s="27" t="s">
        <v>59</v>
      </c>
      <c r="M349" s="27">
        <v>13</v>
      </c>
      <c r="N349" s="27">
        <v>1200</v>
      </c>
      <c r="O349" s="27">
        <v>0</v>
      </c>
      <c r="P349" s="27">
        <v>15600</v>
      </c>
      <c r="Q349" s="27">
        <v>3</v>
      </c>
      <c r="R349" s="27" t="s">
        <v>41</v>
      </c>
      <c r="S349" s="27" t="s">
        <v>80</v>
      </c>
      <c r="T349" s="27" t="s">
        <v>51</v>
      </c>
      <c r="U349" s="27">
        <v>9142334315</v>
      </c>
      <c r="V349" s="27" t="s">
        <v>53</v>
      </c>
    </row>
    <row r="350" spans="1:22" ht="15" thickBot="1" x14ac:dyDescent="0.4">
      <c r="A350" s="30" t="s">
        <v>460</v>
      </c>
      <c r="B350" s="30" t="s">
        <v>156</v>
      </c>
      <c r="C350" s="30" t="s">
        <v>36</v>
      </c>
      <c r="D350" s="31">
        <v>45895</v>
      </c>
      <c r="E350" s="31">
        <v>45907</v>
      </c>
      <c r="F350" s="30" t="s">
        <v>106</v>
      </c>
      <c r="G350" s="30" t="s">
        <v>58</v>
      </c>
      <c r="H350" s="31">
        <v>34123</v>
      </c>
      <c r="I350" s="30" t="s">
        <v>37</v>
      </c>
      <c r="J350" s="30" t="s">
        <v>38</v>
      </c>
      <c r="K350" s="30" t="s">
        <v>39</v>
      </c>
      <c r="L350" s="30" t="s">
        <v>40</v>
      </c>
      <c r="M350" s="30">
        <v>5</v>
      </c>
      <c r="N350" s="30">
        <v>12000</v>
      </c>
      <c r="O350" s="30">
        <v>10</v>
      </c>
      <c r="P350" s="30">
        <v>54000</v>
      </c>
      <c r="Q350" s="30">
        <v>3</v>
      </c>
      <c r="R350" s="30" t="s">
        <v>65</v>
      </c>
      <c r="S350" s="30" t="s">
        <v>42</v>
      </c>
      <c r="T350" s="30" t="s">
        <v>158</v>
      </c>
      <c r="U350" s="30">
        <v>9123961962</v>
      </c>
      <c r="V350" s="22" t="s">
        <v>34</v>
      </c>
    </row>
    <row r="351" spans="1:22" ht="15" thickBot="1" x14ac:dyDescent="0.4">
      <c r="A351" s="27" t="s">
        <v>461</v>
      </c>
      <c r="B351" s="27" t="s">
        <v>45</v>
      </c>
      <c r="C351" s="27" t="s">
        <v>138</v>
      </c>
      <c r="D351" s="28">
        <v>45752</v>
      </c>
      <c r="E351" s="28">
        <v>45755</v>
      </c>
      <c r="F351" s="27" t="s">
        <v>101</v>
      </c>
      <c r="G351" s="27" t="s">
        <v>26</v>
      </c>
      <c r="H351" s="28">
        <v>36504</v>
      </c>
      <c r="I351" s="27" t="s">
        <v>48</v>
      </c>
      <c r="J351" s="27" t="s">
        <v>28</v>
      </c>
      <c r="K351" s="27" t="s">
        <v>83</v>
      </c>
      <c r="L351" s="27" t="s">
        <v>139</v>
      </c>
      <c r="M351" s="27">
        <v>12</v>
      </c>
      <c r="N351" s="27">
        <v>45</v>
      </c>
      <c r="O351" s="27">
        <v>20</v>
      </c>
      <c r="P351" s="27">
        <v>432</v>
      </c>
      <c r="Q351" s="27">
        <v>3</v>
      </c>
      <c r="R351" s="27" t="s">
        <v>41</v>
      </c>
      <c r="S351" s="27" t="s">
        <v>50</v>
      </c>
      <c r="T351" s="27" t="s">
        <v>51</v>
      </c>
      <c r="U351" s="27">
        <v>9741953402</v>
      </c>
      <c r="V351" s="21" t="s">
        <v>34</v>
      </c>
    </row>
    <row r="352" spans="1:22" ht="15" thickBot="1" x14ac:dyDescent="0.4">
      <c r="A352" s="30" t="s">
        <v>462</v>
      </c>
      <c r="B352" s="30" t="s">
        <v>23</v>
      </c>
      <c r="C352" s="30" t="s">
        <v>68</v>
      </c>
      <c r="D352" s="31">
        <v>45756</v>
      </c>
      <c r="E352" s="31">
        <v>45761</v>
      </c>
      <c r="F352" s="30" t="s">
        <v>25</v>
      </c>
      <c r="G352" s="30" t="s">
        <v>26</v>
      </c>
      <c r="H352" s="31">
        <v>27917</v>
      </c>
      <c r="I352" s="30" t="s">
        <v>48</v>
      </c>
      <c r="J352" s="30" t="s">
        <v>28</v>
      </c>
      <c r="K352" s="30" t="s">
        <v>29</v>
      </c>
      <c r="L352" s="30" t="s">
        <v>70</v>
      </c>
      <c r="M352" s="30">
        <v>2</v>
      </c>
      <c r="N352" s="30">
        <v>3500</v>
      </c>
      <c r="O352" s="30">
        <v>0</v>
      </c>
      <c r="P352" s="30">
        <v>7000</v>
      </c>
      <c r="Q352" s="30">
        <v>1</v>
      </c>
      <c r="R352" s="30" t="s">
        <v>41</v>
      </c>
      <c r="S352" s="30" t="s">
        <v>80</v>
      </c>
      <c r="T352" s="30" t="s">
        <v>43</v>
      </c>
      <c r="U352" s="30">
        <v>9404733633</v>
      </c>
      <c r="V352" s="30" t="s">
        <v>52</v>
      </c>
    </row>
    <row r="353" spans="1:22" ht="15" thickBot="1" x14ac:dyDescent="0.4">
      <c r="A353" s="27" t="s">
        <v>463</v>
      </c>
      <c r="B353" s="27" t="s">
        <v>23</v>
      </c>
      <c r="C353" s="27" t="s">
        <v>24</v>
      </c>
      <c r="D353" s="28">
        <v>46155</v>
      </c>
      <c r="E353" s="28">
        <v>46158</v>
      </c>
      <c r="F353" s="27" t="s">
        <v>25</v>
      </c>
      <c r="G353" s="27" t="s">
        <v>26</v>
      </c>
      <c r="H353" s="28">
        <v>30982</v>
      </c>
      <c r="I353" s="27" t="s">
        <v>79</v>
      </c>
      <c r="J353" s="27" t="s">
        <v>75</v>
      </c>
      <c r="K353" s="27" t="s">
        <v>29</v>
      </c>
      <c r="L353" s="27" t="s">
        <v>30</v>
      </c>
      <c r="M353" s="27">
        <v>15</v>
      </c>
      <c r="N353" s="27">
        <v>2200</v>
      </c>
      <c r="O353" s="27">
        <v>15</v>
      </c>
      <c r="P353" s="27">
        <v>28050</v>
      </c>
      <c r="Q353" s="27">
        <v>2</v>
      </c>
      <c r="R353" s="27" t="s">
        <v>41</v>
      </c>
      <c r="S353" s="27" t="s">
        <v>42</v>
      </c>
      <c r="T353" s="27" t="s">
        <v>43</v>
      </c>
      <c r="U353" s="27">
        <v>9297492337</v>
      </c>
      <c r="V353" s="27" t="s">
        <v>52</v>
      </c>
    </row>
    <row r="354" spans="1:22" ht="15" thickBot="1" x14ac:dyDescent="0.4">
      <c r="A354" s="30" t="s">
        <v>464</v>
      </c>
      <c r="B354" s="30" t="s">
        <v>72</v>
      </c>
      <c r="C354" s="30" t="s">
        <v>125</v>
      </c>
      <c r="D354" s="31">
        <v>45995</v>
      </c>
      <c r="E354" s="31">
        <v>46003</v>
      </c>
      <c r="F354" s="30" t="s">
        <v>73</v>
      </c>
      <c r="G354" s="30" t="s">
        <v>26</v>
      </c>
      <c r="H354" s="31">
        <v>27453</v>
      </c>
      <c r="I354" s="30" t="s">
        <v>91</v>
      </c>
      <c r="J354" s="30" t="s">
        <v>75</v>
      </c>
      <c r="K354" s="30" t="s">
        <v>83</v>
      </c>
      <c r="L354" s="30" t="s">
        <v>127</v>
      </c>
      <c r="M354" s="30">
        <v>8</v>
      </c>
      <c r="N354" s="30">
        <v>20</v>
      </c>
      <c r="O354" s="30">
        <v>20</v>
      </c>
      <c r="P354" s="30">
        <v>128</v>
      </c>
      <c r="Q354" s="30">
        <v>5</v>
      </c>
      <c r="R354" s="30" t="s">
        <v>65</v>
      </c>
      <c r="S354" s="30" t="s">
        <v>42</v>
      </c>
      <c r="T354" s="30" t="s">
        <v>93</v>
      </c>
      <c r="U354" s="30">
        <v>9350338928</v>
      </c>
      <c r="V354" s="22" t="s">
        <v>34</v>
      </c>
    </row>
    <row r="355" spans="1:22" ht="15" thickBot="1" x14ac:dyDescent="0.4">
      <c r="A355" s="27" t="s">
        <v>465</v>
      </c>
      <c r="B355" s="27" t="s">
        <v>87</v>
      </c>
      <c r="C355" s="27" t="s">
        <v>125</v>
      </c>
      <c r="D355" s="28">
        <v>46089</v>
      </c>
      <c r="E355" s="28">
        <v>46091</v>
      </c>
      <c r="F355" s="27" t="s">
        <v>88</v>
      </c>
      <c r="G355" s="27" t="s">
        <v>58</v>
      </c>
      <c r="H355" s="28">
        <v>34261</v>
      </c>
      <c r="I355" s="27" t="s">
        <v>27</v>
      </c>
      <c r="J355" s="27" t="s">
        <v>28</v>
      </c>
      <c r="K355" s="27" t="s">
        <v>83</v>
      </c>
      <c r="L355" s="27" t="s">
        <v>127</v>
      </c>
      <c r="M355" s="27">
        <v>1</v>
      </c>
      <c r="N355" s="27">
        <v>20</v>
      </c>
      <c r="O355" s="27">
        <v>0</v>
      </c>
      <c r="P355" s="27">
        <v>20</v>
      </c>
      <c r="Q355" s="27">
        <v>3</v>
      </c>
      <c r="R355" s="27" t="s">
        <v>65</v>
      </c>
      <c r="S355" s="27" t="s">
        <v>32</v>
      </c>
      <c r="T355" s="27" t="s">
        <v>89</v>
      </c>
      <c r="U355" s="27">
        <v>9933894798</v>
      </c>
      <c r="V355" s="21" t="s">
        <v>34</v>
      </c>
    </row>
    <row r="356" spans="1:22" ht="15" thickBot="1" x14ac:dyDescent="0.4">
      <c r="A356" s="30" t="s">
        <v>466</v>
      </c>
      <c r="B356" s="30" t="s">
        <v>23</v>
      </c>
      <c r="C356" s="30" t="s">
        <v>112</v>
      </c>
      <c r="D356" s="31">
        <v>46027</v>
      </c>
      <c r="E356" s="31">
        <v>46038</v>
      </c>
      <c r="F356" s="30" t="s">
        <v>25</v>
      </c>
      <c r="G356" s="30" t="s">
        <v>26</v>
      </c>
      <c r="H356" s="31">
        <v>30614</v>
      </c>
      <c r="I356" s="30" t="s">
        <v>121</v>
      </c>
      <c r="J356" s="30" t="s">
        <v>38</v>
      </c>
      <c r="K356" s="30" t="s">
        <v>39</v>
      </c>
      <c r="L356" s="30" t="s">
        <v>114</v>
      </c>
      <c r="M356" s="30">
        <v>15</v>
      </c>
      <c r="N356" s="30">
        <v>700</v>
      </c>
      <c r="O356" s="30">
        <v>0</v>
      </c>
      <c r="P356" s="30">
        <v>10500</v>
      </c>
      <c r="Q356" s="30">
        <v>2</v>
      </c>
      <c r="R356" s="30" t="s">
        <v>65</v>
      </c>
      <c r="S356" s="30" t="s">
        <v>42</v>
      </c>
      <c r="T356" s="30" t="s">
        <v>43</v>
      </c>
      <c r="U356" s="30">
        <v>9705218824</v>
      </c>
      <c r="V356" s="22" t="s">
        <v>34</v>
      </c>
    </row>
    <row r="357" spans="1:22" ht="15" thickBot="1" x14ac:dyDescent="0.4">
      <c r="A357" s="27" t="s">
        <v>467</v>
      </c>
      <c r="B357" s="27" t="s">
        <v>156</v>
      </c>
      <c r="C357" s="27" t="s">
        <v>68</v>
      </c>
      <c r="D357" s="28">
        <v>45695</v>
      </c>
      <c r="E357" s="28">
        <v>45698</v>
      </c>
      <c r="F357" s="27" t="s">
        <v>106</v>
      </c>
      <c r="G357" s="27" t="s">
        <v>58</v>
      </c>
      <c r="H357" s="28">
        <v>30324</v>
      </c>
      <c r="I357" s="27" t="s">
        <v>27</v>
      </c>
      <c r="J357" s="27" t="s">
        <v>28</v>
      </c>
      <c r="K357" s="27" t="s">
        <v>29</v>
      </c>
      <c r="L357" s="27" t="s">
        <v>70</v>
      </c>
      <c r="M357" s="27">
        <v>15</v>
      </c>
      <c r="N357" s="27">
        <v>3500</v>
      </c>
      <c r="O357" s="27">
        <v>10</v>
      </c>
      <c r="P357" s="27">
        <v>47250</v>
      </c>
      <c r="Q357" s="27">
        <v>3</v>
      </c>
      <c r="R357" s="27" t="s">
        <v>31</v>
      </c>
      <c r="S357" s="27" t="s">
        <v>96</v>
      </c>
      <c r="T357" s="27" t="s">
        <v>158</v>
      </c>
      <c r="U357" s="27">
        <v>9229164453</v>
      </c>
      <c r="V357" s="27" t="s">
        <v>52</v>
      </c>
    </row>
    <row r="358" spans="1:22" ht="15" thickBot="1" x14ac:dyDescent="0.4">
      <c r="A358" s="30" t="s">
        <v>468</v>
      </c>
      <c r="B358" s="30" t="s">
        <v>23</v>
      </c>
      <c r="C358" s="30" t="s">
        <v>82</v>
      </c>
      <c r="D358" s="31">
        <v>45866</v>
      </c>
      <c r="E358" s="31">
        <v>45876</v>
      </c>
      <c r="F358" s="30" t="s">
        <v>25</v>
      </c>
      <c r="G358" s="30" t="s">
        <v>26</v>
      </c>
      <c r="H358" s="31">
        <v>30664</v>
      </c>
      <c r="I358" s="30" t="s">
        <v>147</v>
      </c>
      <c r="J358" s="30" t="s">
        <v>148</v>
      </c>
      <c r="K358" s="30" t="s">
        <v>83</v>
      </c>
      <c r="L358" s="30" t="s">
        <v>84</v>
      </c>
      <c r="M358" s="30">
        <v>16</v>
      </c>
      <c r="N358" s="30">
        <v>60</v>
      </c>
      <c r="O358" s="30">
        <v>10</v>
      </c>
      <c r="P358" s="30">
        <v>864</v>
      </c>
      <c r="Q358" s="30">
        <v>4</v>
      </c>
      <c r="R358" s="30" t="s">
        <v>60</v>
      </c>
      <c r="S358" s="30" t="s">
        <v>50</v>
      </c>
      <c r="T358" s="30" t="s">
        <v>43</v>
      </c>
      <c r="U358" s="30">
        <v>9219806176</v>
      </c>
      <c r="V358" s="22" t="s">
        <v>34</v>
      </c>
    </row>
    <row r="359" spans="1:22" ht="15" thickBot="1" x14ac:dyDescent="0.4">
      <c r="A359" s="27" t="s">
        <v>469</v>
      </c>
      <c r="B359" s="27" t="s">
        <v>87</v>
      </c>
      <c r="C359" s="27" t="s">
        <v>138</v>
      </c>
      <c r="D359" s="28">
        <v>45945</v>
      </c>
      <c r="E359" s="28">
        <v>45951</v>
      </c>
      <c r="F359" s="27" t="s">
        <v>88</v>
      </c>
      <c r="G359" s="27" t="s">
        <v>58</v>
      </c>
      <c r="H359" s="28">
        <v>30585</v>
      </c>
      <c r="I359" s="27" t="s">
        <v>37</v>
      </c>
      <c r="J359" s="27" t="s">
        <v>38</v>
      </c>
      <c r="K359" s="27" t="s">
        <v>83</v>
      </c>
      <c r="L359" s="27" t="s">
        <v>139</v>
      </c>
      <c r="M359" s="27">
        <v>2</v>
      </c>
      <c r="N359" s="27">
        <v>45</v>
      </c>
      <c r="O359" s="27">
        <v>15</v>
      </c>
      <c r="P359" s="27">
        <v>76.5</v>
      </c>
      <c r="Q359" s="27">
        <v>1</v>
      </c>
      <c r="R359" s="27" t="s">
        <v>65</v>
      </c>
      <c r="S359" s="27" t="s">
        <v>96</v>
      </c>
      <c r="T359" s="27" t="s">
        <v>89</v>
      </c>
      <c r="U359" s="27">
        <v>9630210250</v>
      </c>
      <c r="V359" s="27" t="s">
        <v>53</v>
      </c>
    </row>
    <row r="360" spans="1:22" ht="15" thickBot="1" x14ac:dyDescent="0.4">
      <c r="A360" s="30" t="s">
        <v>470</v>
      </c>
      <c r="B360" s="30" t="s">
        <v>104</v>
      </c>
      <c r="C360" s="30" t="s">
        <v>82</v>
      </c>
      <c r="D360" s="31">
        <v>45997</v>
      </c>
      <c r="E360" s="31">
        <v>46006</v>
      </c>
      <c r="F360" s="30" t="s">
        <v>166</v>
      </c>
      <c r="G360" s="30" t="s">
        <v>26</v>
      </c>
      <c r="H360" s="31">
        <v>27537</v>
      </c>
      <c r="I360" s="30" t="s">
        <v>37</v>
      </c>
      <c r="J360" s="30" t="s">
        <v>38</v>
      </c>
      <c r="K360" s="30" t="s">
        <v>83</v>
      </c>
      <c r="L360" s="30" t="s">
        <v>84</v>
      </c>
      <c r="M360" s="30">
        <v>13</v>
      </c>
      <c r="N360" s="30">
        <v>60</v>
      </c>
      <c r="O360" s="30">
        <v>15</v>
      </c>
      <c r="P360" s="30">
        <v>663</v>
      </c>
      <c r="Q360" s="30">
        <v>2</v>
      </c>
      <c r="R360" s="30" t="s">
        <v>41</v>
      </c>
      <c r="S360" s="30" t="s">
        <v>50</v>
      </c>
      <c r="T360" s="30" t="s">
        <v>108</v>
      </c>
      <c r="U360" s="30">
        <v>9583354052</v>
      </c>
      <c r="V360" s="30" t="s">
        <v>53</v>
      </c>
    </row>
    <row r="361" spans="1:22" ht="15" thickBot="1" x14ac:dyDescent="0.4">
      <c r="A361" s="27" t="s">
        <v>471</v>
      </c>
      <c r="B361" s="27" t="s">
        <v>63</v>
      </c>
      <c r="C361" s="27" t="s">
        <v>36</v>
      </c>
      <c r="D361" s="28">
        <v>45797</v>
      </c>
      <c r="E361" s="28">
        <v>45799</v>
      </c>
      <c r="F361" s="27" t="s">
        <v>110</v>
      </c>
      <c r="G361" s="27" t="s">
        <v>58</v>
      </c>
      <c r="H361" s="28">
        <v>34647</v>
      </c>
      <c r="I361" s="27" t="s">
        <v>37</v>
      </c>
      <c r="J361" s="27" t="s">
        <v>38</v>
      </c>
      <c r="K361" s="27" t="s">
        <v>39</v>
      </c>
      <c r="L361" s="27" t="s">
        <v>40</v>
      </c>
      <c r="M361" s="27">
        <v>15</v>
      </c>
      <c r="N361" s="27">
        <v>12000</v>
      </c>
      <c r="O361" s="27">
        <v>20</v>
      </c>
      <c r="P361" s="27">
        <v>144000</v>
      </c>
      <c r="Q361" s="27">
        <v>3</v>
      </c>
      <c r="R361" s="27" t="s">
        <v>60</v>
      </c>
      <c r="S361" s="27" t="s">
        <v>32</v>
      </c>
      <c r="T361" s="27" t="s">
        <v>66</v>
      </c>
      <c r="U361" s="27">
        <v>9242534507</v>
      </c>
      <c r="V361" s="27" t="s">
        <v>53</v>
      </c>
    </row>
    <row r="362" spans="1:22" ht="15" thickBot="1" x14ac:dyDescent="0.4">
      <c r="A362" s="30" t="s">
        <v>472</v>
      </c>
      <c r="B362" s="30" t="s">
        <v>156</v>
      </c>
      <c r="C362" s="30" t="s">
        <v>125</v>
      </c>
      <c r="D362" s="31">
        <v>45863</v>
      </c>
      <c r="E362" s="31">
        <v>45871</v>
      </c>
      <c r="F362" s="30" t="s">
        <v>106</v>
      </c>
      <c r="G362" s="30" t="s">
        <v>58</v>
      </c>
      <c r="H362" s="31">
        <v>32128</v>
      </c>
      <c r="I362" s="30" t="s">
        <v>37</v>
      </c>
      <c r="J362" s="30" t="s">
        <v>38</v>
      </c>
      <c r="K362" s="30" t="s">
        <v>83</v>
      </c>
      <c r="L362" s="30" t="s">
        <v>127</v>
      </c>
      <c r="M362" s="30">
        <v>2</v>
      </c>
      <c r="N362" s="30">
        <v>20</v>
      </c>
      <c r="O362" s="30">
        <v>20</v>
      </c>
      <c r="P362" s="30">
        <v>32</v>
      </c>
      <c r="Q362" s="30">
        <v>4</v>
      </c>
      <c r="R362" s="30" t="s">
        <v>31</v>
      </c>
      <c r="S362" s="30" t="s">
        <v>32</v>
      </c>
      <c r="T362" s="30" t="s">
        <v>158</v>
      </c>
      <c r="U362" s="30">
        <v>9291239150</v>
      </c>
      <c r="V362" s="30" t="s">
        <v>52</v>
      </c>
    </row>
    <row r="363" spans="1:22" ht="15" thickBot="1" x14ac:dyDescent="0.4">
      <c r="A363" s="27" t="s">
        <v>473</v>
      </c>
      <c r="B363" s="27" t="s">
        <v>87</v>
      </c>
      <c r="C363" s="27" t="s">
        <v>68</v>
      </c>
      <c r="D363" s="28">
        <v>45874</v>
      </c>
      <c r="E363" s="28">
        <v>45886</v>
      </c>
      <c r="F363" s="27" t="s">
        <v>88</v>
      </c>
      <c r="G363" s="27" t="s">
        <v>58</v>
      </c>
      <c r="H363" s="28">
        <v>27564</v>
      </c>
      <c r="I363" s="27" t="s">
        <v>48</v>
      </c>
      <c r="J363" s="27" t="s">
        <v>28</v>
      </c>
      <c r="K363" s="27" t="s">
        <v>29</v>
      </c>
      <c r="L363" s="27" t="s">
        <v>70</v>
      </c>
      <c r="M363" s="27">
        <v>16</v>
      </c>
      <c r="N363" s="27">
        <v>3500</v>
      </c>
      <c r="O363" s="27">
        <v>0</v>
      </c>
      <c r="P363" s="27">
        <v>56000</v>
      </c>
      <c r="Q363" s="27">
        <v>4</v>
      </c>
      <c r="R363" s="27" t="s">
        <v>31</v>
      </c>
      <c r="S363" s="27" t="s">
        <v>80</v>
      </c>
      <c r="T363" s="27" t="s">
        <v>89</v>
      </c>
      <c r="U363" s="27">
        <v>9550820904</v>
      </c>
      <c r="V363" s="21" t="s">
        <v>34</v>
      </c>
    </row>
    <row r="364" spans="1:22" ht="15" thickBot="1" x14ac:dyDescent="0.4">
      <c r="A364" s="30" t="s">
        <v>474</v>
      </c>
      <c r="B364" s="30" t="s">
        <v>45</v>
      </c>
      <c r="C364" s="30" t="s">
        <v>68</v>
      </c>
      <c r="D364" s="31">
        <v>46071</v>
      </c>
      <c r="E364" s="31">
        <v>46078</v>
      </c>
      <c r="F364" s="30" t="s">
        <v>101</v>
      </c>
      <c r="G364" s="30" t="s">
        <v>26</v>
      </c>
      <c r="H364" s="31">
        <v>28134</v>
      </c>
      <c r="I364" s="30" t="s">
        <v>91</v>
      </c>
      <c r="J364" s="30" t="s">
        <v>75</v>
      </c>
      <c r="K364" s="30" t="s">
        <v>29</v>
      </c>
      <c r="L364" s="30" t="s">
        <v>70</v>
      </c>
      <c r="M364" s="30">
        <v>18</v>
      </c>
      <c r="N364" s="30">
        <v>3500</v>
      </c>
      <c r="O364" s="30">
        <v>15</v>
      </c>
      <c r="P364" s="30">
        <v>53550</v>
      </c>
      <c r="Q364" s="30">
        <v>5</v>
      </c>
      <c r="R364" s="30" t="s">
        <v>31</v>
      </c>
      <c r="S364" s="30" t="s">
        <v>96</v>
      </c>
      <c r="T364" s="30" t="s">
        <v>51</v>
      </c>
      <c r="U364" s="30">
        <v>9294486423</v>
      </c>
      <c r="V364" s="30" t="s">
        <v>53</v>
      </c>
    </row>
    <row r="365" spans="1:22" ht="15" thickBot="1" x14ac:dyDescent="0.4">
      <c r="A365" s="27" t="s">
        <v>475</v>
      </c>
      <c r="B365" s="27" t="s">
        <v>23</v>
      </c>
      <c r="C365" s="27" t="s">
        <v>138</v>
      </c>
      <c r="D365" s="28">
        <v>46102</v>
      </c>
      <c r="E365" s="28">
        <v>46107</v>
      </c>
      <c r="F365" s="27" t="s">
        <v>25</v>
      </c>
      <c r="G365" s="27" t="s">
        <v>26</v>
      </c>
      <c r="H365" s="28">
        <v>34232</v>
      </c>
      <c r="I365" s="27" t="s">
        <v>91</v>
      </c>
      <c r="J365" s="27" t="s">
        <v>75</v>
      </c>
      <c r="K365" s="27" t="s">
        <v>83</v>
      </c>
      <c r="L365" s="27" t="s">
        <v>139</v>
      </c>
      <c r="M365" s="27">
        <v>20</v>
      </c>
      <c r="N365" s="27">
        <v>45</v>
      </c>
      <c r="O365" s="27">
        <v>15</v>
      </c>
      <c r="P365" s="27">
        <v>765</v>
      </c>
      <c r="Q365" s="27">
        <v>4</v>
      </c>
      <c r="R365" s="27" t="s">
        <v>31</v>
      </c>
      <c r="S365" s="27" t="s">
        <v>96</v>
      </c>
      <c r="T365" s="27" t="s">
        <v>43</v>
      </c>
      <c r="U365" s="27">
        <v>9260258621</v>
      </c>
      <c r="V365" s="27" t="s">
        <v>53</v>
      </c>
    </row>
    <row r="366" spans="1:22" ht="15" thickBot="1" x14ac:dyDescent="0.4">
      <c r="A366" s="30" t="s">
        <v>476</v>
      </c>
      <c r="B366" s="30" t="s">
        <v>134</v>
      </c>
      <c r="C366" s="30" t="s">
        <v>24</v>
      </c>
      <c r="D366" s="31">
        <v>46128</v>
      </c>
      <c r="E366" s="31">
        <v>46131</v>
      </c>
      <c r="F366" s="30" t="s">
        <v>135</v>
      </c>
      <c r="G366" s="30" t="s">
        <v>26</v>
      </c>
      <c r="H366" s="31">
        <v>35494</v>
      </c>
      <c r="I366" s="30" t="s">
        <v>37</v>
      </c>
      <c r="J366" s="30" t="s">
        <v>38</v>
      </c>
      <c r="K366" s="30" t="s">
        <v>29</v>
      </c>
      <c r="L366" s="30" t="s">
        <v>30</v>
      </c>
      <c r="M366" s="30">
        <v>13</v>
      </c>
      <c r="N366" s="30">
        <v>2200</v>
      </c>
      <c r="O366" s="30">
        <v>15</v>
      </c>
      <c r="P366" s="30">
        <v>24310</v>
      </c>
      <c r="Q366" s="30">
        <v>2</v>
      </c>
      <c r="R366" s="30" t="s">
        <v>41</v>
      </c>
      <c r="S366" s="30" t="s">
        <v>80</v>
      </c>
      <c r="T366" s="30" t="s">
        <v>136</v>
      </c>
      <c r="U366" s="30">
        <v>9697433584</v>
      </c>
      <c r="V366" s="30" t="s">
        <v>52</v>
      </c>
    </row>
    <row r="367" spans="1:22" ht="15" thickBot="1" x14ac:dyDescent="0.4">
      <c r="A367" s="27" t="s">
        <v>477</v>
      </c>
      <c r="B367" s="27" t="s">
        <v>45</v>
      </c>
      <c r="C367" s="27" t="s">
        <v>478</v>
      </c>
      <c r="D367" s="28">
        <v>45943</v>
      </c>
      <c r="E367" s="28">
        <v>45944</v>
      </c>
      <c r="F367" s="27" t="s">
        <v>101</v>
      </c>
      <c r="G367" s="27" t="s">
        <v>26</v>
      </c>
      <c r="H367" s="28">
        <v>37447</v>
      </c>
      <c r="I367" s="27" t="s">
        <v>147</v>
      </c>
      <c r="J367" s="27" t="s">
        <v>148</v>
      </c>
      <c r="K367" s="27" t="s">
        <v>29</v>
      </c>
      <c r="L367" s="27" t="s">
        <v>107</v>
      </c>
      <c r="M367" s="27">
        <v>11</v>
      </c>
      <c r="N367" s="27">
        <v>8500</v>
      </c>
      <c r="O367" s="27">
        <v>5</v>
      </c>
      <c r="P367" s="27">
        <v>88825</v>
      </c>
      <c r="Q367" s="27">
        <v>1</v>
      </c>
      <c r="R367" s="27" t="s">
        <v>65</v>
      </c>
      <c r="S367" s="27" t="s">
        <v>80</v>
      </c>
      <c r="T367" s="27" t="s">
        <v>51</v>
      </c>
      <c r="U367" s="27">
        <v>9837969758</v>
      </c>
      <c r="V367" s="27" t="s">
        <v>53</v>
      </c>
    </row>
    <row r="368" spans="1:22" ht="15" thickBot="1" x14ac:dyDescent="0.4">
      <c r="A368" s="30" t="s">
        <v>479</v>
      </c>
      <c r="B368" s="30" t="s">
        <v>45</v>
      </c>
      <c r="C368" s="30" t="s">
        <v>24</v>
      </c>
      <c r="D368" s="31">
        <v>45996</v>
      </c>
      <c r="E368" s="31">
        <v>46001</v>
      </c>
      <c r="F368" s="30" t="s">
        <v>101</v>
      </c>
      <c r="G368" s="30" t="s">
        <v>26</v>
      </c>
      <c r="H368" s="31">
        <v>30790</v>
      </c>
      <c r="I368" s="30" t="s">
        <v>121</v>
      </c>
      <c r="J368" s="30" t="s">
        <v>38</v>
      </c>
      <c r="K368" s="30" t="s">
        <v>29</v>
      </c>
      <c r="L368" s="30" t="s">
        <v>30</v>
      </c>
      <c r="M368" s="30">
        <v>2</v>
      </c>
      <c r="N368" s="30">
        <v>2200</v>
      </c>
      <c r="O368" s="30">
        <v>0</v>
      </c>
      <c r="P368" s="30">
        <v>4400</v>
      </c>
      <c r="Q368" s="30">
        <v>4</v>
      </c>
      <c r="R368" s="30" t="s">
        <v>65</v>
      </c>
      <c r="S368" s="30" t="s">
        <v>96</v>
      </c>
      <c r="T368" s="30" t="s">
        <v>51</v>
      </c>
      <c r="U368" s="30">
        <v>9209736419</v>
      </c>
      <c r="V368" s="30" t="s">
        <v>52</v>
      </c>
    </row>
    <row r="369" spans="1:22" ht="15" thickBot="1" x14ac:dyDescent="0.4">
      <c r="A369" s="27" t="s">
        <v>480</v>
      </c>
      <c r="B369" s="27" t="s">
        <v>63</v>
      </c>
      <c r="C369" s="27" t="s">
        <v>112</v>
      </c>
      <c r="D369" s="28">
        <v>45868</v>
      </c>
      <c r="E369" s="28">
        <v>45873</v>
      </c>
      <c r="F369" s="27" t="s">
        <v>110</v>
      </c>
      <c r="G369" s="27" t="s">
        <v>58</v>
      </c>
      <c r="H369" s="28">
        <v>37803</v>
      </c>
      <c r="I369" s="27" t="s">
        <v>74</v>
      </c>
      <c r="J369" s="27" t="s">
        <v>75</v>
      </c>
      <c r="K369" s="27" t="s">
        <v>39</v>
      </c>
      <c r="L369" s="27" t="s">
        <v>114</v>
      </c>
      <c r="M369" s="27">
        <v>15</v>
      </c>
      <c r="N369" s="27">
        <v>700</v>
      </c>
      <c r="O369" s="27">
        <v>15</v>
      </c>
      <c r="P369" s="27">
        <v>8925</v>
      </c>
      <c r="Q369" s="27">
        <v>3</v>
      </c>
      <c r="R369" s="27" t="s">
        <v>41</v>
      </c>
      <c r="S369" s="27" t="s">
        <v>80</v>
      </c>
      <c r="T369" s="27" t="s">
        <v>66</v>
      </c>
      <c r="U369" s="27">
        <v>9645907237</v>
      </c>
      <c r="V369" s="21" t="s">
        <v>34</v>
      </c>
    </row>
    <row r="370" spans="1:22" ht="15" thickBot="1" x14ac:dyDescent="0.4">
      <c r="A370" s="30" t="s">
        <v>481</v>
      </c>
      <c r="B370" s="30" t="s">
        <v>87</v>
      </c>
      <c r="C370" s="30" t="s">
        <v>24</v>
      </c>
      <c r="D370" s="31">
        <v>45856</v>
      </c>
      <c r="E370" s="31">
        <v>45862</v>
      </c>
      <c r="F370" s="30" t="s">
        <v>88</v>
      </c>
      <c r="G370" s="30" t="s">
        <v>58</v>
      </c>
      <c r="H370" s="31">
        <v>33902</v>
      </c>
      <c r="I370" s="30" t="s">
        <v>91</v>
      </c>
      <c r="J370" s="30" t="s">
        <v>75</v>
      </c>
      <c r="K370" s="30" t="s">
        <v>29</v>
      </c>
      <c r="L370" s="30" t="s">
        <v>30</v>
      </c>
      <c r="M370" s="30">
        <v>5</v>
      </c>
      <c r="N370" s="30">
        <v>2200</v>
      </c>
      <c r="O370" s="30">
        <v>15</v>
      </c>
      <c r="P370" s="30">
        <v>9350</v>
      </c>
      <c r="Q370" s="30">
        <v>1</v>
      </c>
      <c r="R370" s="30" t="s">
        <v>41</v>
      </c>
      <c r="S370" s="30" t="s">
        <v>80</v>
      </c>
      <c r="T370" s="30" t="s">
        <v>89</v>
      </c>
      <c r="U370" s="30">
        <v>9566149945</v>
      </c>
      <c r="V370" s="30" t="s">
        <v>52</v>
      </c>
    </row>
    <row r="371" spans="1:22" ht="15" thickBot="1" x14ac:dyDescent="0.4">
      <c r="A371" s="27" t="s">
        <v>482</v>
      </c>
      <c r="B371" s="27" t="s">
        <v>63</v>
      </c>
      <c r="C371" s="27" t="s">
        <v>56</v>
      </c>
      <c r="D371" s="28">
        <v>46092</v>
      </c>
      <c r="E371" s="28">
        <v>46093</v>
      </c>
      <c r="F371" s="27" t="s">
        <v>110</v>
      </c>
      <c r="G371" s="27" t="s">
        <v>58</v>
      </c>
      <c r="H371" s="28">
        <v>32360</v>
      </c>
      <c r="I371" s="27" t="s">
        <v>91</v>
      </c>
      <c r="J371" s="27" t="s">
        <v>75</v>
      </c>
      <c r="K371" s="27" t="s">
        <v>39</v>
      </c>
      <c r="L371" s="27" t="s">
        <v>59</v>
      </c>
      <c r="M371" s="27">
        <v>15</v>
      </c>
      <c r="N371" s="27">
        <v>1200</v>
      </c>
      <c r="O371" s="27">
        <v>0</v>
      </c>
      <c r="P371" s="27">
        <v>18000</v>
      </c>
      <c r="Q371" s="27">
        <v>3</v>
      </c>
      <c r="R371" s="27" t="s">
        <v>41</v>
      </c>
      <c r="S371" s="27" t="s">
        <v>50</v>
      </c>
      <c r="T371" s="27" t="s">
        <v>66</v>
      </c>
      <c r="U371" s="27">
        <v>9935018068</v>
      </c>
      <c r="V371" s="27" t="s">
        <v>53</v>
      </c>
    </row>
    <row r="372" spans="1:22" ht="15" thickBot="1" x14ac:dyDescent="0.4">
      <c r="A372" s="30" t="s">
        <v>483</v>
      </c>
      <c r="B372" s="30" t="s">
        <v>134</v>
      </c>
      <c r="C372" s="30" t="s">
        <v>56</v>
      </c>
      <c r="D372" s="31">
        <v>46120</v>
      </c>
      <c r="E372" s="31">
        <v>46122</v>
      </c>
      <c r="F372" s="30" t="s">
        <v>135</v>
      </c>
      <c r="G372" s="30" t="s">
        <v>26</v>
      </c>
      <c r="H372" s="31">
        <v>31952</v>
      </c>
      <c r="I372" s="30" t="s">
        <v>74</v>
      </c>
      <c r="J372" s="30" t="s">
        <v>75</v>
      </c>
      <c r="K372" s="30" t="s">
        <v>39</v>
      </c>
      <c r="L372" s="30" t="s">
        <v>59</v>
      </c>
      <c r="M372" s="30">
        <v>19</v>
      </c>
      <c r="N372" s="30">
        <v>1200</v>
      </c>
      <c r="O372" s="30">
        <v>0</v>
      </c>
      <c r="P372" s="30">
        <v>22800</v>
      </c>
      <c r="Q372" s="30">
        <v>1</v>
      </c>
      <c r="R372" s="30" t="s">
        <v>31</v>
      </c>
      <c r="S372" s="30" t="s">
        <v>42</v>
      </c>
      <c r="T372" s="30" t="s">
        <v>136</v>
      </c>
      <c r="U372" s="30">
        <v>9171794652</v>
      </c>
      <c r="V372" s="30" t="s">
        <v>53</v>
      </c>
    </row>
    <row r="373" spans="1:22" ht="15" thickBot="1" x14ac:dyDescent="0.4">
      <c r="A373" s="27" t="s">
        <v>484</v>
      </c>
      <c r="B373" s="27" t="s">
        <v>104</v>
      </c>
      <c r="C373" s="27" t="s">
        <v>36</v>
      </c>
      <c r="D373" s="28">
        <v>45918</v>
      </c>
      <c r="E373" s="28">
        <v>45925</v>
      </c>
      <c r="F373" s="27" t="s">
        <v>166</v>
      </c>
      <c r="G373" s="27" t="s">
        <v>26</v>
      </c>
      <c r="H373" s="28">
        <v>32800</v>
      </c>
      <c r="I373" s="27" t="s">
        <v>74</v>
      </c>
      <c r="J373" s="27" t="s">
        <v>75</v>
      </c>
      <c r="K373" s="27" t="s">
        <v>39</v>
      </c>
      <c r="L373" s="27" t="s">
        <v>40</v>
      </c>
      <c r="M373" s="27">
        <v>9</v>
      </c>
      <c r="N373" s="27">
        <v>12000</v>
      </c>
      <c r="O373" s="27">
        <v>15</v>
      </c>
      <c r="P373" s="27">
        <v>91800</v>
      </c>
      <c r="Q373" s="27">
        <v>3</v>
      </c>
      <c r="R373" s="27" t="s">
        <v>65</v>
      </c>
      <c r="S373" s="27" t="s">
        <v>42</v>
      </c>
      <c r="T373" s="27" t="s">
        <v>108</v>
      </c>
      <c r="U373" s="27">
        <v>9671497416</v>
      </c>
      <c r="V373" s="27" t="s">
        <v>53</v>
      </c>
    </row>
    <row r="374" spans="1:22" ht="15" thickBot="1" x14ac:dyDescent="0.4">
      <c r="A374" s="30" t="s">
        <v>485</v>
      </c>
      <c r="B374" s="30" t="s">
        <v>23</v>
      </c>
      <c r="C374" s="30" t="s">
        <v>138</v>
      </c>
      <c r="D374" s="31">
        <v>45941</v>
      </c>
      <c r="E374" s="31">
        <v>45951</v>
      </c>
      <c r="F374" s="30" t="s">
        <v>25</v>
      </c>
      <c r="G374" s="30" t="s">
        <v>26</v>
      </c>
      <c r="H374" s="31">
        <v>33746</v>
      </c>
      <c r="I374" s="30" t="s">
        <v>121</v>
      </c>
      <c r="J374" s="30" t="s">
        <v>38</v>
      </c>
      <c r="K374" s="30" t="s">
        <v>83</v>
      </c>
      <c r="L374" s="30" t="s">
        <v>139</v>
      </c>
      <c r="M374" s="30">
        <v>5</v>
      </c>
      <c r="N374" s="30">
        <v>45</v>
      </c>
      <c r="O374" s="30">
        <v>5</v>
      </c>
      <c r="P374" s="30">
        <v>213.75</v>
      </c>
      <c r="Q374" s="30">
        <v>1</v>
      </c>
      <c r="R374" s="30" t="s">
        <v>60</v>
      </c>
      <c r="S374" s="30" t="s">
        <v>80</v>
      </c>
      <c r="T374" s="30" t="s">
        <v>43</v>
      </c>
      <c r="U374" s="30">
        <v>9810433484</v>
      </c>
      <c r="V374" s="22" t="s">
        <v>34</v>
      </c>
    </row>
    <row r="375" spans="1:22" ht="15" thickBot="1" x14ac:dyDescent="0.4">
      <c r="A375" s="27" t="s">
        <v>486</v>
      </c>
      <c r="B375" s="27" t="s">
        <v>134</v>
      </c>
      <c r="C375" s="27" t="s">
        <v>112</v>
      </c>
      <c r="D375" s="27" t="s">
        <v>487</v>
      </c>
      <c r="E375" s="28">
        <v>45699</v>
      </c>
      <c r="F375" s="27" t="s">
        <v>135</v>
      </c>
      <c r="G375" s="27" t="s">
        <v>26</v>
      </c>
      <c r="H375" s="28">
        <v>32822</v>
      </c>
      <c r="I375" s="27" t="s">
        <v>74</v>
      </c>
      <c r="J375" s="27" t="s">
        <v>75</v>
      </c>
      <c r="K375" s="27" t="s">
        <v>39</v>
      </c>
      <c r="L375" s="27" t="s">
        <v>114</v>
      </c>
      <c r="M375" s="27">
        <v>3</v>
      </c>
      <c r="N375" s="27">
        <v>700</v>
      </c>
      <c r="O375" s="27">
        <v>15</v>
      </c>
      <c r="P375" s="27">
        <v>1785</v>
      </c>
      <c r="Q375" s="27">
        <v>4</v>
      </c>
      <c r="R375" s="27" t="s">
        <v>31</v>
      </c>
      <c r="S375" s="27" t="s">
        <v>96</v>
      </c>
      <c r="T375" s="27" t="s">
        <v>136</v>
      </c>
      <c r="U375" s="27">
        <v>9990243436</v>
      </c>
      <c r="V375" s="21" t="s">
        <v>34</v>
      </c>
    </row>
    <row r="376" spans="1:22" ht="15" thickBot="1" x14ac:dyDescent="0.4">
      <c r="A376" s="30" t="s">
        <v>488</v>
      </c>
      <c r="B376" s="30" t="s">
        <v>55</v>
      </c>
      <c r="C376" s="30" t="s">
        <v>105</v>
      </c>
      <c r="D376" s="31">
        <v>46005</v>
      </c>
      <c r="E376" s="31">
        <v>46017</v>
      </c>
      <c r="F376" s="30" t="s">
        <v>57</v>
      </c>
      <c r="G376" s="30" t="s">
        <v>58</v>
      </c>
      <c r="H376" s="31">
        <v>29467</v>
      </c>
      <c r="I376" s="30" t="s">
        <v>121</v>
      </c>
      <c r="J376" s="30" t="s">
        <v>38</v>
      </c>
      <c r="K376" s="30" t="s">
        <v>29</v>
      </c>
      <c r="L376" s="30" t="s">
        <v>107</v>
      </c>
      <c r="M376" s="30">
        <v>12</v>
      </c>
      <c r="N376" s="30">
        <v>8500</v>
      </c>
      <c r="O376" s="30">
        <v>5</v>
      </c>
      <c r="P376" s="30">
        <v>96900</v>
      </c>
      <c r="Q376" s="30">
        <v>3</v>
      </c>
      <c r="R376" s="30" t="s">
        <v>60</v>
      </c>
      <c r="S376" s="30" t="s">
        <v>50</v>
      </c>
      <c r="T376" s="30" t="s">
        <v>61</v>
      </c>
      <c r="U376" s="30">
        <v>9396678031</v>
      </c>
      <c r="V376" s="30" t="s">
        <v>52</v>
      </c>
    </row>
    <row r="377" spans="1:22" ht="15" thickBot="1" x14ac:dyDescent="0.4">
      <c r="A377" s="27" t="s">
        <v>489</v>
      </c>
      <c r="B377" s="27" t="s">
        <v>134</v>
      </c>
      <c r="C377" s="27" t="s">
        <v>105</v>
      </c>
      <c r="D377" s="28">
        <v>46123</v>
      </c>
      <c r="E377" s="28">
        <v>46131</v>
      </c>
      <c r="F377" s="27" t="s">
        <v>135</v>
      </c>
      <c r="G377" s="27" t="s">
        <v>26</v>
      </c>
      <c r="H377" s="28">
        <v>28920</v>
      </c>
      <c r="I377" s="27" t="s">
        <v>79</v>
      </c>
      <c r="J377" s="27" t="s">
        <v>75</v>
      </c>
      <c r="K377" s="27" t="s">
        <v>29</v>
      </c>
      <c r="L377" s="27" t="s">
        <v>107</v>
      </c>
      <c r="M377" s="27">
        <v>4</v>
      </c>
      <c r="N377" s="27">
        <v>8500</v>
      </c>
      <c r="O377" s="27">
        <v>15</v>
      </c>
      <c r="P377" s="27">
        <v>28900</v>
      </c>
      <c r="Q377" s="27">
        <v>4</v>
      </c>
      <c r="R377" s="27" t="s">
        <v>41</v>
      </c>
      <c r="S377" s="27" t="s">
        <v>50</v>
      </c>
      <c r="T377" s="27" t="s">
        <v>136</v>
      </c>
      <c r="U377" s="27">
        <v>9818591245</v>
      </c>
      <c r="V377" s="27" t="s">
        <v>52</v>
      </c>
    </row>
    <row r="378" spans="1:22" ht="15" thickBot="1" x14ac:dyDescent="0.4">
      <c r="A378" s="30" t="s">
        <v>490</v>
      </c>
      <c r="B378" s="30" t="s">
        <v>87</v>
      </c>
      <c r="C378" s="30" t="s">
        <v>125</v>
      </c>
      <c r="D378" s="31">
        <v>45766</v>
      </c>
      <c r="E378" s="31">
        <v>45769</v>
      </c>
      <c r="F378" s="30" t="s">
        <v>88</v>
      </c>
      <c r="G378" s="30" t="s">
        <v>58</v>
      </c>
      <c r="H378" s="31">
        <v>35312</v>
      </c>
      <c r="I378" s="30" t="s">
        <v>121</v>
      </c>
      <c r="J378" s="30" t="s">
        <v>38</v>
      </c>
      <c r="K378" s="30" t="s">
        <v>83</v>
      </c>
      <c r="L378" s="30" t="s">
        <v>127</v>
      </c>
      <c r="M378" s="30">
        <v>16</v>
      </c>
      <c r="N378" s="30">
        <v>20</v>
      </c>
      <c r="O378" s="30">
        <v>10</v>
      </c>
      <c r="P378" s="30">
        <v>288</v>
      </c>
      <c r="Q378" s="30">
        <v>4</v>
      </c>
      <c r="R378" s="30" t="s">
        <v>31</v>
      </c>
      <c r="S378" s="30" t="s">
        <v>80</v>
      </c>
      <c r="T378" s="30" t="s">
        <v>89</v>
      </c>
      <c r="U378" s="30">
        <v>9505550047</v>
      </c>
      <c r="V378" s="30" t="s">
        <v>53</v>
      </c>
    </row>
    <row r="379" spans="1:22" ht="15" thickBot="1" x14ac:dyDescent="0.4">
      <c r="A379" s="27" t="s">
        <v>491</v>
      </c>
      <c r="B379" s="27" t="s">
        <v>87</v>
      </c>
      <c r="C379" s="27" t="s">
        <v>82</v>
      </c>
      <c r="D379" s="28">
        <v>46152</v>
      </c>
      <c r="E379" s="28">
        <v>46160</v>
      </c>
      <c r="F379" s="27" t="s">
        <v>88</v>
      </c>
      <c r="G379" s="27" t="s">
        <v>58</v>
      </c>
      <c r="H379" s="28">
        <v>36233</v>
      </c>
      <c r="I379" s="27" t="s">
        <v>74</v>
      </c>
      <c r="J379" s="27" t="s">
        <v>75</v>
      </c>
      <c r="K379" s="27" t="s">
        <v>83</v>
      </c>
      <c r="L379" s="27" t="s">
        <v>84</v>
      </c>
      <c r="M379" s="27">
        <v>3</v>
      </c>
      <c r="N379" s="27">
        <v>60</v>
      </c>
      <c r="O379" s="27">
        <v>20</v>
      </c>
      <c r="P379" s="27">
        <v>144</v>
      </c>
      <c r="Q379" s="27">
        <v>4</v>
      </c>
      <c r="R379" s="27" t="s">
        <v>65</v>
      </c>
      <c r="S379" s="27" t="s">
        <v>96</v>
      </c>
      <c r="T379" s="27" t="s">
        <v>89</v>
      </c>
      <c r="U379" s="27">
        <v>9469828772</v>
      </c>
      <c r="V379" s="27" t="s">
        <v>52</v>
      </c>
    </row>
    <row r="380" spans="1:22" ht="15" thickBot="1" x14ac:dyDescent="0.4">
      <c r="A380" s="30" t="s">
        <v>492</v>
      </c>
      <c r="B380" s="30" t="s">
        <v>55</v>
      </c>
      <c r="C380" s="30" t="s">
        <v>24</v>
      </c>
      <c r="D380" s="31">
        <v>45858</v>
      </c>
      <c r="E380" s="31">
        <v>45864</v>
      </c>
      <c r="F380" s="30" t="s">
        <v>57</v>
      </c>
      <c r="G380" s="30" t="s">
        <v>58</v>
      </c>
      <c r="H380" s="31">
        <v>30958</v>
      </c>
      <c r="I380" s="30" t="s">
        <v>74</v>
      </c>
      <c r="J380" s="30" t="s">
        <v>75</v>
      </c>
      <c r="K380" s="30" t="s">
        <v>29</v>
      </c>
      <c r="L380" s="30" t="s">
        <v>30</v>
      </c>
      <c r="M380" s="30">
        <v>19</v>
      </c>
      <c r="N380" s="30">
        <v>2200</v>
      </c>
      <c r="O380" s="30">
        <v>10</v>
      </c>
      <c r="P380" s="30">
        <v>37620</v>
      </c>
      <c r="Q380" s="30">
        <v>2</v>
      </c>
      <c r="R380" s="30" t="s">
        <v>31</v>
      </c>
      <c r="S380" s="30" t="s">
        <v>96</v>
      </c>
      <c r="T380" s="30" t="s">
        <v>61</v>
      </c>
      <c r="U380" s="30">
        <v>9885092680</v>
      </c>
      <c r="V380" s="30" t="s">
        <v>52</v>
      </c>
    </row>
    <row r="381" spans="1:22" ht="15" thickBot="1" x14ac:dyDescent="0.4">
      <c r="A381" s="27" t="s">
        <v>493</v>
      </c>
      <c r="B381" s="27" t="s">
        <v>55</v>
      </c>
      <c r="C381" s="27" t="s">
        <v>56</v>
      </c>
      <c r="D381" s="28">
        <v>46045</v>
      </c>
      <c r="E381" s="28">
        <v>46049</v>
      </c>
      <c r="F381" s="27" t="s">
        <v>57</v>
      </c>
      <c r="G381" s="27" t="s">
        <v>58</v>
      </c>
      <c r="H381" s="28">
        <v>30872</v>
      </c>
      <c r="I381" s="27" t="s">
        <v>27</v>
      </c>
      <c r="J381" s="27" t="s">
        <v>28</v>
      </c>
      <c r="K381" s="27" t="s">
        <v>39</v>
      </c>
      <c r="L381" s="27" t="s">
        <v>59</v>
      </c>
      <c r="M381" s="27">
        <v>7</v>
      </c>
      <c r="N381" s="27">
        <v>1200</v>
      </c>
      <c r="O381" s="27">
        <v>20</v>
      </c>
      <c r="P381" s="27">
        <v>6720</v>
      </c>
      <c r="Q381" s="27">
        <v>3</v>
      </c>
      <c r="R381" s="27" t="s">
        <v>60</v>
      </c>
      <c r="S381" s="27" t="s">
        <v>80</v>
      </c>
      <c r="T381" s="27" t="s">
        <v>61</v>
      </c>
      <c r="U381" s="27">
        <v>9362319457</v>
      </c>
      <c r="V381" s="27" t="s">
        <v>53</v>
      </c>
    </row>
    <row r="382" spans="1:22" ht="15" thickBot="1" x14ac:dyDescent="0.4">
      <c r="A382" s="30" t="s">
        <v>494</v>
      </c>
      <c r="B382" s="30" t="s">
        <v>45</v>
      </c>
      <c r="C382" s="30" t="s">
        <v>125</v>
      </c>
      <c r="D382" s="31">
        <v>46097</v>
      </c>
      <c r="E382" s="31">
        <v>46102</v>
      </c>
      <c r="F382" s="30" t="s">
        <v>101</v>
      </c>
      <c r="G382" s="30" t="s">
        <v>26</v>
      </c>
      <c r="H382" s="31">
        <v>32577</v>
      </c>
      <c r="I382" s="30" t="s">
        <v>48</v>
      </c>
      <c r="J382" s="30" t="s">
        <v>28</v>
      </c>
      <c r="K382" s="30" t="s">
        <v>83</v>
      </c>
      <c r="L382" s="30" t="s">
        <v>127</v>
      </c>
      <c r="M382" s="30">
        <v>20</v>
      </c>
      <c r="N382" s="30">
        <v>20</v>
      </c>
      <c r="O382" s="30">
        <v>20</v>
      </c>
      <c r="P382" s="30">
        <v>320</v>
      </c>
      <c r="Q382" s="30">
        <v>5</v>
      </c>
      <c r="R382" s="30" t="s">
        <v>60</v>
      </c>
      <c r="S382" s="30" t="s">
        <v>80</v>
      </c>
      <c r="T382" s="30" t="s">
        <v>51</v>
      </c>
      <c r="U382" s="30">
        <v>9223945130</v>
      </c>
      <c r="V382" s="30" t="s">
        <v>52</v>
      </c>
    </row>
    <row r="383" spans="1:22" ht="15" thickBot="1" x14ac:dyDescent="0.4">
      <c r="A383" s="27" t="s">
        <v>495</v>
      </c>
      <c r="B383" s="27" t="s">
        <v>72</v>
      </c>
      <c r="C383" s="27" t="s">
        <v>56</v>
      </c>
      <c r="D383" s="28">
        <v>45777</v>
      </c>
      <c r="E383" s="28">
        <v>45784</v>
      </c>
      <c r="F383" s="27" t="s">
        <v>73</v>
      </c>
      <c r="G383" s="27" t="s">
        <v>26</v>
      </c>
      <c r="H383" s="28">
        <v>31156</v>
      </c>
      <c r="I383" s="27" t="s">
        <v>27</v>
      </c>
      <c r="J383" s="27" t="s">
        <v>28</v>
      </c>
      <c r="K383" s="27" t="s">
        <v>39</v>
      </c>
      <c r="L383" s="27" t="s">
        <v>59</v>
      </c>
      <c r="M383" s="27">
        <v>19</v>
      </c>
      <c r="N383" s="27">
        <v>1200</v>
      </c>
      <c r="O383" s="27">
        <v>5</v>
      </c>
      <c r="P383" s="27">
        <v>21660</v>
      </c>
      <c r="Q383" s="27">
        <v>3</v>
      </c>
      <c r="R383" s="27" t="s">
        <v>60</v>
      </c>
      <c r="S383" s="27" t="s">
        <v>32</v>
      </c>
      <c r="T383" s="27" t="s">
        <v>93</v>
      </c>
      <c r="U383" s="27">
        <v>9910804926</v>
      </c>
      <c r="V383" s="27" t="s">
        <v>52</v>
      </c>
    </row>
    <row r="384" spans="1:22" ht="15" thickBot="1" x14ac:dyDescent="0.4">
      <c r="A384" s="30" t="s">
        <v>496</v>
      </c>
      <c r="B384" s="30" t="s">
        <v>45</v>
      </c>
      <c r="C384" s="30" t="s">
        <v>125</v>
      </c>
      <c r="D384" s="31">
        <v>45691</v>
      </c>
      <c r="E384" s="31">
        <v>45701</v>
      </c>
      <c r="F384" s="30" t="s">
        <v>101</v>
      </c>
      <c r="G384" s="30" t="s">
        <v>26</v>
      </c>
      <c r="H384" s="31">
        <v>37846</v>
      </c>
      <c r="I384" s="30" t="s">
        <v>27</v>
      </c>
      <c r="J384" s="30" t="s">
        <v>28</v>
      </c>
      <c r="K384" s="30" t="s">
        <v>83</v>
      </c>
      <c r="L384" s="30" t="s">
        <v>127</v>
      </c>
      <c r="M384" s="30">
        <v>5</v>
      </c>
      <c r="N384" s="30">
        <v>20</v>
      </c>
      <c r="O384" s="30">
        <v>0</v>
      </c>
      <c r="P384" s="30">
        <v>100</v>
      </c>
      <c r="Q384" s="30">
        <v>2</v>
      </c>
      <c r="R384" s="30" t="s">
        <v>65</v>
      </c>
      <c r="S384" s="30" t="s">
        <v>42</v>
      </c>
      <c r="T384" s="30" t="s">
        <v>51</v>
      </c>
      <c r="U384" s="30">
        <v>9274269744</v>
      </c>
      <c r="V384" s="30" t="s">
        <v>52</v>
      </c>
    </row>
    <row r="385" spans="1:22" ht="15" thickBot="1" x14ac:dyDescent="0.4">
      <c r="A385" s="27" t="s">
        <v>497</v>
      </c>
      <c r="B385" s="27" t="s">
        <v>72</v>
      </c>
      <c r="C385" s="27" t="s">
        <v>138</v>
      </c>
      <c r="D385" s="28">
        <v>46088</v>
      </c>
      <c r="E385" s="28">
        <v>46097</v>
      </c>
      <c r="F385" s="27" t="s">
        <v>73</v>
      </c>
      <c r="G385" s="27" t="s">
        <v>26</v>
      </c>
      <c r="H385" s="28">
        <v>30570</v>
      </c>
      <c r="I385" s="27" t="s">
        <v>121</v>
      </c>
      <c r="J385" s="27" t="s">
        <v>38</v>
      </c>
      <c r="K385" s="27" t="s">
        <v>83</v>
      </c>
      <c r="L385" s="27" t="s">
        <v>139</v>
      </c>
      <c r="M385" s="27">
        <v>16</v>
      </c>
      <c r="N385" s="27">
        <v>45</v>
      </c>
      <c r="O385" s="27">
        <v>15</v>
      </c>
      <c r="P385" s="27">
        <v>612</v>
      </c>
      <c r="Q385" s="27">
        <v>5</v>
      </c>
      <c r="R385" s="27" t="s">
        <v>31</v>
      </c>
      <c r="S385" s="27" t="s">
        <v>50</v>
      </c>
      <c r="T385" s="27" t="s">
        <v>93</v>
      </c>
      <c r="U385" s="27">
        <v>9223196101</v>
      </c>
      <c r="V385" s="27" t="s">
        <v>53</v>
      </c>
    </row>
    <row r="386" spans="1:22" ht="15" thickBot="1" x14ac:dyDescent="0.4">
      <c r="A386" s="30" t="s">
        <v>498</v>
      </c>
      <c r="B386" s="30" t="s">
        <v>23</v>
      </c>
      <c r="C386" s="30" t="s">
        <v>24</v>
      </c>
      <c r="D386" s="31">
        <v>45780</v>
      </c>
      <c r="E386" s="31">
        <v>45792</v>
      </c>
      <c r="F386" s="30" t="s">
        <v>25</v>
      </c>
      <c r="G386" s="30" t="s">
        <v>26</v>
      </c>
      <c r="H386" s="31">
        <v>27922</v>
      </c>
      <c r="I386" s="30" t="s">
        <v>121</v>
      </c>
      <c r="J386" s="30" t="s">
        <v>38</v>
      </c>
      <c r="K386" s="30" t="s">
        <v>29</v>
      </c>
      <c r="L386" s="30" t="s">
        <v>30</v>
      </c>
      <c r="M386" s="30">
        <v>1</v>
      </c>
      <c r="N386" s="30">
        <v>2200</v>
      </c>
      <c r="O386" s="30">
        <v>10</v>
      </c>
      <c r="P386" s="30">
        <v>1980</v>
      </c>
      <c r="Q386" s="30">
        <v>5</v>
      </c>
      <c r="R386" s="30" t="s">
        <v>60</v>
      </c>
      <c r="S386" s="30" t="s">
        <v>42</v>
      </c>
      <c r="T386" s="30" t="s">
        <v>43</v>
      </c>
      <c r="U386" s="30">
        <v>9888477457</v>
      </c>
      <c r="V386" s="22" t="s">
        <v>34</v>
      </c>
    </row>
    <row r="387" spans="1:22" ht="15" thickBot="1" x14ac:dyDescent="0.4">
      <c r="A387" s="27" t="s">
        <v>499</v>
      </c>
      <c r="B387" s="27" t="s">
        <v>45</v>
      </c>
      <c r="C387" s="27" t="s">
        <v>82</v>
      </c>
      <c r="D387" s="28">
        <v>46113</v>
      </c>
      <c r="E387" s="28">
        <v>46117</v>
      </c>
      <c r="F387" s="27" t="s">
        <v>101</v>
      </c>
      <c r="G387" s="27" t="s">
        <v>26</v>
      </c>
      <c r="H387" s="28">
        <v>31781</v>
      </c>
      <c r="I387" s="27" t="s">
        <v>27</v>
      </c>
      <c r="J387" s="27" t="s">
        <v>28</v>
      </c>
      <c r="K387" s="27" t="s">
        <v>83</v>
      </c>
      <c r="L387" s="27" t="s">
        <v>84</v>
      </c>
      <c r="M387" s="27">
        <v>19</v>
      </c>
      <c r="N387" s="27">
        <v>60</v>
      </c>
      <c r="O387" s="27">
        <v>15</v>
      </c>
      <c r="P387" s="27">
        <v>969</v>
      </c>
      <c r="Q387" s="27">
        <v>4</v>
      </c>
      <c r="R387" s="27" t="s">
        <v>41</v>
      </c>
      <c r="S387" s="27" t="s">
        <v>80</v>
      </c>
      <c r="T387" s="27" t="s">
        <v>51</v>
      </c>
      <c r="U387" s="27">
        <v>9435947486</v>
      </c>
      <c r="V387" s="27" t="s">
        <v>53</v>
      </c>
    </row>
    <row r="388" spans="1:22" ht="15" thickBot="1" x14ac:dyDescent="0.4">
      <c r="A388" s="30" t="s">
        <v>500</v>
      </c>
      <c r="B388" s="30" t="s">
        <v>156</v>
      </c>
      <c r="C388" s="30" t="s">
        <v>46</v>
      </c>
      <c r="D388" s="30"/>
      <c r="E388" s="31">
        <v>45690</v>
      </c>
      <c r="F388" s="30" t="s">
        <v>106</v>
      </c>
      <c r="G388" s="30" t="s">
        <v>58</v>
      </c>
      <c r="H388" s="31">
        <v>33738</v>
      </c>
      <c r="I388" s="30" t="s">
        <v>37</v>
      </c>
      <c r="J388" s="30" t="s">
        <v>38</v>
      </c>
      <c r="K388" s="30" t="s">
        <v>39</v>
      </c>
      <c r="L388" s="30" t="s">
        <v>49</v>
      </c>
      <c r="M388" s="30">
        <v>15</v>
      </c>
      <c r="N388" s="30">
        <v>55000</v>
      </c>
      <c r="O388" s="30">
        <v>0</v>
      </c>
      <c r="P388" s="30">
        <v>825000</v>
      </c>
      <c r="Q388" s="30">
        <v>5</v>
      </c>
      <c r="R388" s="30" t="s">
        <v>60</v>
      </c>
      <c r="S388" s="30" t="s">
        <v>80</v>
      </c>
      <c r="T388" s="30" t="s">
        <v>158</v>
      </c>
      <c r="U388" s="30">
        <v>9411668831</v>
      </c>
      <c r="V388" s="30" t="s">
        <v>53</v>
      </c>
    </row>
    <row r="389" spans="1:22" ht="15" thickBot="1" x14ac:dyDescent="0.4">
      <c r="A389" s="27" t="s">
        <v>501</v>
      </c>
      <c r="B389" s="27" t="s">
        <v>55</v>
      </c>
      <c r="C389" s="27" t="s">
        <v>138</v>
      </c>
      <c r="D389" s="28">
        <v>45936</v>
      </c>
      <c r="E389" s="28">
        <v>45938</v>
      </c>
      <c r="F389" s="27" t="s">
        <v>57</v>
      </c>
      <c r="G389" s="27" t="s">
        <v>58</v>
      </c>
      <c r="H389" s="28">
        <v>32631</v>
      </c>
      <c r="I389" s="27" t="s">
        <v>48</v>
      </c>
      <c r="J389" s="27" t="s">
        <v>28</v>
      </c>
      <c r="K389" s="27" t="s">
        <v>83</v>
      </c>
      <c r="L389" s="27" t="s">
        <v>139</v>
      </c>
      <c r="M389" s="27">
        <v>11</v>
      </c>
      <c r="N389" s="27">
        <v>45</v>
      </c>
      <c r="O389" s="27">
        <v>5</v>
      </c>
      <c r="P389" s="27">
        <v>470.25</v>
      </c>
      <c r="Q389" s="27">
        <v>5</v>
      </c>
      <c r="R389" s="27" t="s">
        <v>41</v>
      </c>
      <c r="S389" s="27" t="s">
        <v>96</v>
      </c>
      <c r="T389" s="27" t="s">
        <v>61</v>
      </c>
      <c r="U389" s="27">
        <v>9523682403</v>
      </c>
      <c r="V389" s="21" t="s">
        <v>34</v>
      </c>
    </row>
    <row r="390" spans="1:22" ht="15" thickBot="1" x14ac:dyDescent="0.4">
      <c r="A390" s="30" t="s">
        <v>502</v>
      </c>
      <c r="B390" s="30" t="s">
        <v>134</v>
      </c>
      <c r="C390" s="30" t="s">
        <v>125</v>
      </c>
      <c r="D390" s="31">
        <v>45820</v>
      </c>
      <c r="E390" s="31">
        <v>45825</v>
      </c>
      <c r="F390" s="30" t="s">
        <v>135</v>
      </c>
      <c r="G390" s="30" t="s">
        <v>26</v>
      </c>
      <c r="H390" s="31">
        <v>33226</v>
      </c>
      <c r="I390" s="30" t="s">
        <v>121</v>
      </c>
      <c r="J390" s="30" t="s">
        <v>38</v>
      </c>
      <c r="K390" s="30" t="s">
        <v>83</v>
      </c>
      <c r="L390" s="30" t="s">
        <v>127</v>
      </c>
      <c r="M390" s="30">
        <v>9</v>
      </c>
      <c r="N390" s="30">
        <v>20</v>
      </c>
      <c r="O390" s="30">
        <v>10</v>
      </c>
      <c r="P390" s="30">
        <v>162</v>
      </c>
      <c r="Q390" s="30">
        <v>1</v>
      </c>
      <c r="R390" s="30" t="s">
        <v>60</v>
      </c>
      <c r="S390" s="30" t="s">
        <v>42</v>
      </c>
      <c r="T390" s="30" t="s">
        <v>136</v>
      </c>
      <c r="U390" s="30">
        <v>9652936744</v>
      </c>
      <c r="V390" s="30" t="s">
        <v>53</v>
      </c>
    </row>
    <row r="391" spans="1:22" ht="15" thickBot="1" x14ac:dyDescent="0.4">
      <c r="A391" s="27" t="s">
        <v>503</v>
      </c>
      <c r="B391" s="27" t="s">
        <v>104</v>
      </c>
      <c r="C391" s="27" t="s">
        <v>138</v>
      </c>
      <c r="D391" s="28">
        <v>45979</v>
      </c>
      <c r="E391" s="28">
        <v>45981</v>
      </c>
      <c r="F391" s="27" t="s">
        <v>166</v>
      </c>
      <c r="G391" s="27" t="s">
        <v>26</v>
      </c>
      <c r="H391" s="28">
        <v>34889</v>
      </c>
      <c r="I391" s="27" t="s">
        <v>48</v>
      </c>
      <c r="J391" s="27" t="s">
        <v>28</v>
      </c>
      <c r="K391" s="27" t="s">
        <v>83</v>
      </c>
      <c r="L391" s="27" t="s">
        <v>139</v>
      </c>
      <c r="M391" s="27">
        <v>5</v>
      </c>
      <c r="N391" s="27">
        <v>45</v>
      </c>
      <c r="O391" s="27">
        <v>5</v>
      </c>
      <c r="P391" s="27">
        <v>213.75</v>
      </c>
      <c r="Q391" s="27">
        <v>3</v>
      </c>
      <c r="R391" s="27" t="s">
        <v>60</v>
      </c>
      <c r="S391" s="27" t="s">
        <v>80</v>
      </c>
      <c r="T391" s="27" t="s">
        <v>108</v>
      </c>
      <c r="U391" s="27">
        <v>9726464733</v>
      </c>
      <c r="V391" s="27" t="s">
        <v>52</v>
      </c>
    </row>
    <row r="392" spans="1:22" ht="15" thickBot="1" x14ac:dyDescent="0.4">
      <c r="A392" s="30" t="s">
        <v>504</v>
      </c>
      <c r="B392" s="30" t="s">
        <v>63</v>
      </c>
      <c r="C392" s="30" t="s">
        <v>112</v>
      </c>
      <c r="D392" s="31">
        <v>45962</v>
      </c>
      <c r="E392" s="31">
        <v>45963</v>
      </c>
      <c r="F392" s="30" t="s">
        <v>110</v>
      </c>
      <c r="G392" s="30" t="s">
        <v>58</v>
      </c>
      <c r="H392" s="31">
        <v>36152</v>
      </c>
      <c r="I392" s="30" t="s">
        <v>27</v>
      </c>
      <c r="J392" s="30" t="s">
        <v>28</v>
      </c>
      <c r="K392" s="30" t="s">
        <v>39</v>
      </c>
      <c r="L392" s="30" t="s">
        <v>114</v>
      </c>
      <c r="M392" s="30">
        <v>5</v>
      </c>
      <c r="N392" s="30">
        <v>700</v>
      </c>
      <c r="O392" s="30">
        <v>10</v>
      </c>
      <c r="P392" s="30">
        <v>3150</v>
      </c>
      <c r="Q392" s="30">
        <v>2</v>
      </c>
      <c r="R392" s="30" t="s">
        <v>65</v>
      </c>
      <c r="S392" s="30" t="s">
        <v>42</v>
      </c>
      <c r="T392" s="30" t="s">
        <v>66</v>
      </c>
      <c r="U392" s="30">
        <v>9273520544</v>
      </c>
      <c r="V392" s="22" t="s">
        <v>34</v>
      </c>
    </row>
    <row r="393" spans="1:22" ht="15" thickBot="1" x14ac:dyDescent="0.4">
      <c r="A393" s="27" t="s">
        <v>505</v>
      </c>
      <c r="B393" s="27" t="s">
        <v>124</v>
      </c>
      <c r="C393" s="27" t="s">
        <v>112</v>
      </c>
      <c r="D393" s="28">
        <v>45681</v>
      </c>
      <c r="E393" s="28">
        <v>45688</v>
      </c>
      <c r="F393" s="27" t="s">
        <v>126</v>
      </c>
      <c r="G393" s="27" t="s">
        <v>58</v>
      </c>
      <c r="H393" s="28">
        <v>29212</v>
      </c>
      <c r="I393" s="27" t="s">
        <v>147</v>
      </c>
      <c r="J393" s="27" t="s">
        <v>148</v>
      </c>
      <c r="K393" s="27" t="s">
        <v>39</v>
      </c>
      <c r="L393" s="27" t="s">
        <v>114</v>
      </c>
      <c r="M393" s="27">
        <v>1</v>
      </c>
      <c r="N393" s="27">
        <v>700</v>
      </c>
      <c r="O393" s="27">
        <v>0</v>
      </c>
      <c r="P393" s="27">
        <v>700</v>
      </c>
      <c r="Q393" s="27">
        <v>1</v>
      </c>
      <c r="R393" s="27" t="s">
        <v>65</v>
      </c>
      <c r="S393" s="27" t="s">
        <v>96</v>
      </c>
      <c r="T393" s="27" t="s">
        <v>128</v>
      </c>
      <c r="U393" s="27">
        <v>9374259988</v>
      </c>
      <c r="V393" s="21" t="s">
        <v>34</v>
      </c>
    </row>
    <row r="394" spans="1:22" ht="15" thickBot="1" x14ac:dyDescent="0.4">
      <c r="A394" s="30" t="s">
        <v>506</v>
      </c>
      <c r="B394" s="30" t="s">
        <v>23</v>
      </c>
      <c r="C394" s="30" t="s">
        <v>112</v>
      </c>
      <c r="D394" s="31">
        <v>46066</v>
      </c>
      <c r="E394" s="31">
        <v>46074</v>
      </c>
      <c r="F394" s="30" t="s">
        <v>25</v>
      </c>
      <c r="G394" s="30" t="s">
        <v>26</v>
      </c>
      <c r="H394" s="31">
        <v>27743</v>
      </c>
      <c r="I394" s="30" t="s">
        <v>74</v>
      </c>
      <c r="J394" s="30" t="s">
        <v>75</v>
      </c>
      <c r="K394" s="30" t="s">
        <v>39</v>
      </c>
      <c r="L394" s="30" t="s">
        <v>114</v>
      </c>
      <c r="M394" s="30">
        <v>13</v>
      </c>
      <c r="N394" s="30">
        <v>700</v>
      </c>
      <c r="O394" s="30">
        <v>20</v>
      </c>
      <c r="P394" s="30">
        <v>7280</v>
      </c>
      <c r="Q394" s="30">
        <v>2</v>
      </c>
      <c r="R394" s="30" t="s">
        <v>60</v>
      </c>
      <c r="S394" s="30" t="s">
        <v>32</v>
      </c>
      <c r="T394" s="30" t="s">
        <v>43</v>
      </c>
      <c r="U394" s="30">
        <v>9538129419</v>
      </c>
      <c r="V394" s="22" t="s">
        <v>34</v>
      </c>
    </row>
    <row r="395" spans="1:22" ht="15" thickBot="1" x14ac:dyDescent="0.4">
      <c r="A395" s="27" t="s">
        <v>507</v>
      </c>
      <c r="B395" s="27" t="s">
        <v>55</v>
      </c>
      <c r="C395" s="27" t="s">
        <v>36</v>
      </c>
      <c r="D395" s="28">
        <v>45696</v>
      </c>
      <c r="E395" s="28">
        <v>45707</v>
      </c>
      <c r="F395" s="27" t="s">
        <v>57</v>
      </c>
      <c r="G395" s="27" t="s">
        <v>58</v>
      </c>
      <c r="H395" s="28">
        <v>34106</v>
      </c>
      <c r="I395" s="27" t="s">
        <v>79</v>
      </c>
      <c r="J395" s="27" t="s">
        <v>75</v>
      </c>
      <c r="K395" s="27" t="s">
        <v>39</v>
      </c>
      <c r="L395" s="27" t="s">
        <v>40</v>
      </c>
      <c r="M395" s="27">
        <v>20</v>
      </c>
      <c r="N395" s="27">
        <v>12000</v>
      </c>
      <c r="O395" s="27">
        <v>0</v>
      </c>
      <c r="P395" s="27">
        <v>240000</v>
      </c>
      <c r="Q395" s="27">
        <v>2</v>
      </c>
      <c r="R395" s="27" t="s">
        <v>60</v>
      </c>
      <c r="S395" s="27" t="s">
        <v>80</v>
      </c>
      <c r="T395" s="27" t="s">
        <v>61</v>
      </c>
      <c r="U395" s="27">
        <v>9382815686</v>
      </c>
      <c r="V395" s="21" t="s">
        <v>34</v>
      </c>
    </row>
    <row r="396" spans="1:22" ht="15" thickBot="1" x14ac:dyDescent="0.4">
      <c r="A396" s="30" t="s">
        <v>508</v>
      </c>
      <c r="B396" s="30" t="s">
        <v>63</v>
      </c>
      <c r="C396" s="30" t="s">
        <v>56</v>
      </c>
      <c r="D396" s="31">
        <v>46019</v>
      </c>
      <c r="E396" s="31">
        <v>46028</v>
      </c>
      <c r="F396" s="30" t="s">
        <v>110</v>
      </c>
      <c r="G396" s="30" t="s">
        <v>58</v>
      </c>
      <c r="H396" s="31">
        <v>28020</v>
      </c>
      <c r="I396" s="30" t="s">
        <v>147</v>
      </c>
      <c r="J396" s="30" t="s">
        <v>148</v>
      </c>
      <c r="K396" s="30" t="s">
        <v>39</v>
      </c>
      <c r="L396" s="30" t="s">
        <v>59</v>
      </c>
      <c r="M396" s="30">
        <v>9</v>
      </c>
      <c r="N396" s="30">
        <v>1200</v>
      </c>
      <c r="O396" s="30">
        <v>15</v>
      </c>
      <c r="P396" s="30">
        <v>9180</v>
      </c>
      <c r="Q396" s="30">
        <v>1</v>
      </c>
      <c r="R396" s="30" t="s">
        <v>65</v>
      </c>
      <c r="S396" s="30" t="s">
        <v>32</v>
      </c>
      <c r="T396" s="30" t="s">
        <v>66</v>
      </c>
      <c r="U396" s="30">
        <v>9450746157</v>
      </c>
      <c r="V396" s="30" t="s">
        <v>52</v>
      </c>
    </row>
    <row r="397" spans="1:22" ht="15" thickBot="1" x14ac:dyDescent="0.4">
      <c r="A397" s="27" t="s">
        <v>509</v>
      </c>
      <c r="B397" s="27" t="s">
        <v>63</v>
      </c>
      <c r="C397" s="27" t="s">
        <v>125</v>
      </c>
      <c r="D397" s="28">
        <v>45931</v>
      </c>
      <c r="E397" s="28">
        <v>45933</v>
      </c>
      <c r="F397" s="27" t="s">
        <v>110</v>
      </c>
      <c r="G397" s="27" t="s">
        <v>58</v>
      </c>
      <c r="H397" s="28">
        <v>35421</v>
      </c>
      <c r="I397" s="27" t="s">
        <v>121</v>
      </c>
      <c r="J397" s="27" t="s">
        <v>38</v>
      </c>
      <c r="K397" s="27" t="s">
        <v>83</v>
      </c>
      <c r="L397" s="27" t="s">
        <v>127</v>
      </c>
      <c r="M397" s="27">
        <v>3</v>
      </c>
      <c r="N397" s="27">
        <v>20</v>
      </c>
      <c r="O397" s="27">
        <v>15</v>
      </c>
      <c r="P397" s="27">
        <v>51</v>
      </c>
      <c r="Q397" s="27">
        <v>3</v>
      </c>
      <c r="R397" s="27" t="s">
        <v>31</v>
      </c>
      <c r="S397" s="27" t="s">
        <v>80</v>
      </c>
      <c r="T397" s="27" t="s">
        <v>66</v>
      </c>
      <c r="U397" s="27">
        <v>9349012570</v>
      </c>
      <c r="V397" s="27" t="s">
        <v>52</v>
      </c>
    </row>
    <row r="398" spans="1:22" ht="15" thickBot="1" x14ac:dyDescent="0.4">
      <c r="A398" s="30" t="s">
        <v>510</v>
      </c>
      <c r="B398" s="30" t="s">
        <v>134</v>
      </c>
      <c r="C398" s="30" t="s">
        <v>46</v>
      </c>
      <c r="D398" s="31">
        <v>46009</v>
      </c>
      <c r="E398" s="31">
        <v>46010</v>
      </c>
      <c r="F398" s="30" t="s">
        <v>135</v>
      </c>
      <c r="G398" s="30" t="s">
        <v>26</v>
      </c>
      <c r="H398" s="31">
        <v>35058</v>
      </c>
      <c r="I398" s="30" t="s">
        <v>37</v>
      </c>
      <c r="J398" s="30" t="s">
        <v>38</v>
      </c>
      <c r="K398" s="30" t="s">
        <v>39</v>
      </c>
      <c r="L398" s="30" t="s">
        <v>49</v>
      </c>
      <c r="M398" s="30">
        <v>8</v>
      </c>
      <c r="N398" s="30">
        <v>55000</v>
      </c>
      <c r="O398" s="30">
        <v>20</v>
      </c>
      <c r="P398" s="30">
        <v>352000</v>
      </c>
      <c r="Q398" s="30">
        <v>5</v>
      </c>
      <c r="R398" s="30" t="s">
        <v>60</v>
      </c>
      <c r="S398" s="30" t="s">
        <v>96</v>
      </c>
      <c r="T398" s="30" t="s">
        <v>136</v>
      </c>
      <c r="U398" s="30">
        <v>9442163790</v>
      </c>
      <c r="V398" s="30" t="s">
        <v>52</v>
      </c>
    </row>
    <row r="399" spans="1:22" ht="15" thickBot="1" x14ac:dyDescent="0.4">
      <c r="A399" s="27" t="s">
        <v>511</v>
      </c>
      <c r="B399" s="27" t="s">
        <v>134</v>
      </c>
      <c r="C399" s="27" t="s">
        <v>82</v>
      </c>
      <c r="D399" s="28">
        <v>45929</v>
      </c>
      <c r="E399" s="28">
        <v>45937</v>
      </c>
      <c r="F399" s="27" t="s">
        <v>135</v>
      </c>
      <c r="G399" s="27" t="s">
        <v>26</v>
      </c>
      <c r="H399" s="28">
        <v>31221</v>
      </c>
      <c r="I399" s="27" t="s">
        <v>37</v>
      </c>
      <c r="J399" s="27" t="s">
        <v>38</v>
      </c>
      <c r="K399" s="27" t="s">
        <v>83</v>
      </c>
      <c r="L399" s="27" t="s">
        <v>84</v>
      </c>
      <c r="M399" s="27">
        <v>17</v>
      </c>
      <c r="N399" s="27">
        <v>60</v>
      </c>
      <c r="O399" s="27">
        <v>20</v>
      </c>
      <c r="P399" s="27">
        <v>816</v>
      </c>
      <c r="Q399" s="27">
        <v>1</v>
      </c>
      <c r="R399" s="27" t="s">
        <v>65</v>
      </c>
      <c r="S399" s="27" t="s">
        <v>32</v>
      </c>
      <c r="T399" s="27" t="s">
        <v>136</v>
      </c>
      <c r="U399" s="27">
        <v>9953329223</v>
      </c>
      <c r="V399" s="27" t="s">
        <v>52</v>
      </c>
    </row>
    <row r="400" spans="1:22" ht="15" thickBot="1" x14ac:dyDescent="0.4">
      <c r="A400" s="30" t="s">
        <v>512</v>
      </c>
      <c r="B400" s="30" t="s">
        <v>87</v>
      </c>
      <c r="C400" s="30" t="s">
        <v>125</v>
      </c>
      <c r="D400" s="31">
        <v>45791</v>
      </c>
      <c r="E400" s="31">
        <v>45799</v>
      </c>
      <c r="F400" s="30" t="s">
        <v>88</v>
      </c>
      <c r="G400" s="30" t="s">
        <v>58</v>
      </c>
      <c r="H400" s="31">
        <v>30722</v>
      </c>
      <c r="I400" s="30" t="s">
        <v>48</v>
      </c>
      <c r="J400" s="30" t="s">
        <v>28</v>
      </c>
      <c r="K400" s="30" t="s">
        <v>83</v>
      </c>
      <c r="L400" s="30" t="s">
        <v>127</v>
      </c>
      <c r="M400" s="30">
        <v>4</v>
      </c>
      <c r="N400" s="30">
        <v>20</v>
      </c>
      <c r="O400" s="30">
        <v>15</v>
      </c>
      <c r="P400" s="30">
        <v>68</v>
      </c>
      <c r="Q400" s="30">
        <v>3</v>
      </c>
      <c r="R400" s="30" t="s">
        <v>41</v>
      </c>
      <c r="S400" s="30" t="s">
        <v>50</v>
      </c>
      <c r="T400" s="30" t="s">
        <v>89</v>
      </c>
      <c r="U400" s="30">
        <v>9202321359</v>
      </c>
      <c r="V400" s="30" t="s">
        <v>52</v>
      </c>
    </row>
    <row r="401" spans="1:22" ht="15" thickBot="1" x14ac:dyDescent="0.4">
      <c r="A401" s="27" t="s">
        <v>513</v>
      </c>
      <c r="B401" s="27" t="s">
        <v>87</v>
      </c>
      <c r="C401" s="27" t="s">
        <v>24</v>
      </c>
      <c r="D401" s="28">
        <v>45748</v>
      </c>
      <c r="E401" s="28">
        <v>45758</v>
      </c>
      <c r="F401" s="27" t="s">
        <v>88</v>
      </c>
      <c r="G401" s="27" t="s">
        <v>58</v>
      </c>
      <c r="H401" s="28">
        <v>37348</v>
      </c>
      <c r="I401" s="27" t="s">
        <v>147</v>
      </c>
      <c r="J401" s="27" t="s">
        <v>148</v>
      </c>
      <c r="K401" s="27" t="s">
        <v>29</v>
      </c>
      <c r="L401" s="27" t="s">
        <v>30</v>
      </c>
      <c r="M401" s="27">
        <v>2</v>
      </c>
      <c r="N401" s="27">
        <v>2200</v>
      </c>
      <c r="O401" s="27">
        <v>10</v>
      </c>
      <c r="P401" s="27">
        <v>3960</v>
      </c>
      <c r="Q401" s="27">
        <v>2</v>
      </c>
      <c r="R401" s="27" t="s">
        <v>65</v>
      </c>
      <c r="S401" s="27" t="s">
        <v>42</v>
      </c>
      <c r="T401" s="27" t="s">
        <v>89</v>
      </c>
      <c r="U401" s="27">
        <v>9812564160</v>
      </c>
      <c r="V401" s="27" t="s">
        <v>52</v>
      </c>
    </row>
    <row r="402" spans="1:22" ht="15" thickBot="1" x14ac:dyDescent="0.4">
      <c r="A402" s="30" t="s">
        <v>514</v>
      </c>
      <c r="B402" s="30" t="s">
        <v>124</v>
      </c>
      <c r="C402" s="30" t="s">
        <v>82</v>
      </c>
      <c r="D402" s="31">
        <v>45754</v>
      </c>
      <c r="E402" s="31">
        <v>45765</v>
      </c>
      <c r="F402" s="30" t="s">
        <v>126</v>
      </c>
      <c r="G402" s="30" t="s">
        <v>58</v>
      </c>
      <c r="H402" s="31">
        <v>37819</v>
      </c>
      <c r="I402" s="30" t="s">
        <v>48</v>
      </c>
      <c r="J402" s="30" t="s">
        <v>28</v>
      </c>
      <c r="K402" s="30" t="s">
        <v>83</v>
      </c>
      <c r="L402" s="30" t="s">
        <v>84</v>
      </c>
      <c r="M402" s="30">
        <v>5</v>
      </c>
      <c r="N402" s="30">
        <v>60</v>
      </c>
      <c r="O402" s="30">
        <v>5</v>
      </c>
      <c r="P402" s="30">
        <v>285</v>
      </c>
      <c r="Q402" s="30">
        <v>1</v>
      </c>
      <c r="R402" s="30" t="s">
        <v>65</v>
      </c>
      <c r="S402" s="30" t="s">
        <v>32</v>
      </c>
      <c r="T402" s="30" t="s">
        <v>128</v>
      </c>
      <c r="U402" s="30">
        <v>9688458222</v>
      </c>
      <c r="V402" s="30" t="s">
        <v>53</v>
      </c>
    </row>
    <row r="403" spans="1:22" ht="15" thickBot="1" x14ac:dyDescent="0.4">
      <c r="A403" s="27" t="s">
        <v>515</v>
      </c>
      <c r="B403" s="27" t="s">
        <v>87</v>
      </c>
      <c r="C403" s="27" t="s">
        <v>24</v>
      </c>
      <c r="D403" s="28">
        <v>46072</v>
      </c>
      <c r="E403" s="28">
        <v>46076</v>
      </c>
      <c r="F403" s="27" t="s">
        <v>88</v>
      </c>
      <c r="G403" s="27" t="s">
        <v>58</v>
      </c>
      <c r="H403" s="28">
        <v>33517</v>
      </c>
      <c r="I403" s="27" t="s">
        <v>37</v>
      </c>
      <c r="J403" s="27" t="s">
        <v>38</v>
      </c>
      <c r="K403" s="27" t="s">
        <v>29</v>
      </c>
      <c r="L403" s="27" t="s">
        <v>30</v>
      </c>
      <c r="M403" s="27">
        <v>17</v>
      </c>
      <c r="N403" s="27">
        <v>2200</v>
      </c>
      <c r="O403" s="27">
        <v>0</v>
      </c>
      <c r="P403" s="27">
        <v>37400</v>
      </c>
      <c r="Q403" s="27">
        <v>2</v>
      </c>
      <c r="R403" s="27" t="s">
        <v>65</v>
      </c>
      <c r="S403" s="27" t="s">
        <v>96</v>
      </c>
      <c r="T403" s="27" t="s">
        <v>89</v>
      </c>
      <c r="U403" s="27">
        <v>9634473337</v>
      </c>
      <c r="V403" s="27" t="s">
        <v>53</v>
      </c>
    </row>
    <row r="404" spans="1:22" ht="15" thickBot="1" x14ac:dyDescent="0.4">
      <c r="A404" s="30" t="s">
        <v>516</v>
      </c>
      <c r="B404" s="30" t="s">
        <v>104</v>
      </c>
      <c r="C404" s="30" t="s">
        <v>82</v>
      </c>
      <c r="D404" s="31">
        <v>45995</v>
      </c>
      <c r="E404" s="31">
        <v>46002</v>
      </c>
      <c r="F404" s="30" t="s">
        <v>166</v>
      </c>
      <c r="G404" s="30" t="s">
        <v>26</v>
      </c>
      <c r="H404" s="31">
        <v>30686</v>
      </c>
      <c r="I404" s="30" t="s">
        <v>91</v>
      </c>
      <c r="J404" s="30" t="s">
        <v>75</v>
      </c>
      <c r="K404" s="30" t="s">
        <v>83</v>
      </c>
      <c r="L404" s="30" t="s">
        <v>84</v>
      </c>
      <c r="M404" s="30">
        <v>7</v>
      </c>
      <c r="N404" s="30">
        <v>60</v>
      </c>
      <c r="O404" s="30">
        <v>0</v>
      </c>
      <c r="P404" s="30">
        <v>420</v>
      </c>
      <c r="Q404" s="30">
        <v>2</v>
      </c>
      <c r="R404" s="30" t="s">
        <v>65</v>
      </c>
      <c r="S404" s="30" t="s">
        <v>50</v>
      </c>
      <c r="T404" s="30" t="s">
        <v>108</v>
      </c>
      <c r="U404" s="30">
        <v>9608737026</v>
      </c>
      <c r="V404" s="30" t="s">
        <v>52</v>
      </c>
    </row>
    <row r="405" spans="1:22" ht="15" thickBot="1" x14ac:dyDescent="0.4">
      <c r="A405" s="27" t="s">
        <v>517</v>
      </c>
      <c r="B405" s="27" t="s">
        <v>124</v>
      </c>
      <c r="C405" s="27" t="s">
        <v>46</v>
      </c>
      <c r="D405" s="28">
        <v>45950</v>
      </c>
      <c r="E405" s="28">
        <v>45954</v>
      </c>
      <c r="F405" s="27" t="s">
        <v>126</v>
      </c>
      <c r="G405" s="27" t="s">
        <v>58</v>
      </c>
      <c r="H405" s="28">
        <v>27465</v>
      </c>
      <c r="I405" s="27" t="s">
        <v>27</v>
      </c>
      <c r="J405" s="27" t="s">
        <v>28</v>
      </c>
      <c r="K405" s="27" t="s">
        <v>39</v>
      </c>
      <c r="L405" s="27" t="s">
        <v>49</v>
      </c>
      <c r="M405" s="27">
        <v>6</v>
      </c>
      <c r="N405" s="27">
        <v>55000</v>
      </c>
      <c r="O405" s="27">
        <v>5</v>
      </c>
      <c r="P405" s="27">
        <v>313500</v>
      </c>
      <c r="Q405" s="27">
        <v>4</v>
      </c>
      <c r="R405" s="27" t="s">
        <v>60</v>
      </c>
      <c r="S405" s="27" t="s">
        <v>50</v>
      </c>
      <c r="T405" s="27" t="s">
        <v>128</v>
      </c>
      <c r="U405" s="27">
        <v>9804498139</v>
      </c>
      <c r="V405" s="21" t="s">
        <v>34</v>
      </c>
    </row>
    <row r="406" spans="1:22" ht="15" thickBot="1" x14ac:dyDescent="0.4">
      <c r="A406" s="30" t="s">
        <v>518</v>
      </c>
      <c r="B406" s="30" t="s">
        <v>55</v>
      </c>
      <c r="C406" s="30" t="s">
        <v>125</v>
      </c>
      <c r="D406" s="31">
        <v>46043</v>
      </c>
      <c r="E406" s="31">
        <v>46047</v>
      </c>
      <c r="F406" s="30" t="s">
        <v>57</v>
      </c>
      <c r="G406" s="30" t="s">
        <v>58</v>
      </c>
      <c r="H406" s="31">
        <v>30390</v>
      </c>
      <c r="I406" s="30" t="s">
        <v>27</v>
      </c>
      <c r="J406" s="30" t="s">
        <v>28</v>
      </c>
      <c r="K406" s="30" t="s">
        <v>83</v>
      </c>
      <c r="L406" s="30" t="s">
        <v>127</v>
      </c>
      <c r="M406" s="30">
        <v>16</v>
      </c>
      <c r="N406" s="30">
        <v>20</v>
      </c>
      <c r="O406" s="30">
        <v>5</v>
      </c>
      <c r="P406" s="30">
        <v>304</v>
      </c>
      <c r="Q406" s="30">
        <v>1</v>
      </c>
      <c r="R406" s="30" t="s">
        <v>60</v>
      </c>
      <c r="S406" s="30" t="s">
        <v>42</v>
      </c>
      <c r="T406" s="30" t="s">
        <v>61</v>
      </c>
      <c r="U406" s="30">
        <v>9798643580</v>
      </c>
      <c r="V406" s="22" t="s">
        <v>34</v>
      </c>
    </row>
    <row r="407" spans="1:22" ht="15" thickBot="1" x14ac:dyDescent="0.4">
      <c r="A407" s="27" t="s">
        <v>519</v>
      </c>
      <c r="B407" s="27" t="s">
        <v>23</v>
      </c>
      <c r="C407" s="27" t="s">
        <v>24</v>
      </c>
      <c r="D407" s="28">
        <v>45682</v>
      </c>
      <c r="E407" s="28">
        <v>45685</v>
      </c>
      <c r="F407" s="27" t="s">
        <v>25</v>
      </c>
      <c r="G407" s="27" t="s">
        <v>26</v>
      </c>
      <c r="H407" s="28">
        <v>27870</v>
      </c>
      <c r="I407" s="27" t="s">
        <v>147</v>
      </c>
      <c r="J407" s="27" t="s">
        <v>148</v>
      </c>
      <c r="K407" s="27" t="s">
        <v>29</v>
      </c>
      <c r="L407" s="27" t="s">
        <v>30</v>
      </c>
      <c r="M407" s="27">
        <v>11</v>
      </c>
      <c r="N407" s="27">
        <v>2200</v>
      </c>
      <c r="O407" s="27">
        <v>15</v>
      </c>
      <c r="P407" s="27">
        <v>20570</v>
      </c>
      <c r="Q407" s="27">
        <v>1</v>
      </c>
      <c r="R407" s="27" t="s">
        <v>41</v>
      </c>
      <c r="S407" s="27" t="s">
        <v>80</v>
      </c>
      <c r="T407" s="27" t="s">
        <v>43</v>
      </c>
      <c r="U407" s="27">
        <v>9809823278</v>
      </c>
      <c r="V407" s="27" t="s">
        <v>53</v>
      </c>
    </row>
    <row r="408" spans="1:22" ht="15" thickBot="1" x14ac:dyDescent="0.4">
      <c r="A408" s="30" t="s">
        <v>520</v>
      </c>
      <c r="B408" s="30" t="s">
        <v>72</v>
      </c>
      <c r="C408" s="30" t="s">
        <v>125</v>
      </c>
      <c r="D408" s="31">
        <v>45716</v>
      </c>
      <c r="E408" s="31">
        <v>45718</v>
      </c>
      <c r="F408" s="30" t="s">
        <v>73</v>
      </c>
      <c r="G408" s="30" t="s">
        <v>26</v>
      </c>
      <c r="H408" s="31">
        <v>31454</v>
      </c>
      <c r="I408" s="30" t="s">
        <v>79</v>
      </c>
      <c r="J408" s="30" t="s">
        <v>75</v>
      </c>
      <c r="K408" s="30" t="s">
        <v>83</v>
      </c>
      <c r="L408" s="30" t="s">
        <v>127</v>
      </c>
      <c r="M408" s="30">
        <v>19</v>
      </c>
      <c r="N408" s="30">
        <v>20</v>
      </c>
      <c r="O408" s="30">
        <v>5</v>
      </c>
      <c r="P408" s="30">
        <v>361</v>
      </c>
      <c r="Q408" s="30">
        <v>4</v>
      </c>
      <c r="R408" s="30" t="s">
        <v>65</v>
      </c>
      <c r="S408" s="30" t="s">
        <v>32</v>
      </c>
      <c r="T408" s="30" t="s">
        <v>93</v>
      </c>
      <c r="U408" s="30">
        <v>9177767854</v>
      </c>
      <c r="V408" s="30" t="s">
        <v>52</v>
      </c>
    </row>
    <row r="409" spans="1:22" ht="15" thickBot="1" x14ac:dyDescent="0.4">
      <c r="A409" s="27" t="s">
        <v>521</v>
      </c>
      <c r="B409" s="27" t="s">
        <v>72</v>
      </c>
      <c r="C409" s="27" t="s">
        <v>56</v>
      </c>
      <c r="D409" s="28">
        <v>45828</v>
      </c>
      <c r="E409" s="28">
        <v>45829</v>
      </c>
      <c r="F409" s="27" t="s">
        <v>73</v>
      </c>
      <c r="G409" s="27" t="s">
        <v>26</v>
      </c>
      <c r="H409" s="28">
        <v>28570</v>
      </c>
      <c r="I409" s="27" t="s">
        <v>79</v>
      </c>
      <c r="J409" s="27" t="s">
        <v>75</v>
      </c>
      <c r="K409" s="27" t="s">
        <v>39</v>
      </c>
      <c r="L409" s="27" t="s">
        <v>59</v>
      </c>
      <c r="M409" s="27">
        <v>20</v>
      </c>
      <c r="N409" s="27">
        <v>1200</v>
      </c>
      <c r="O409" s="27">
        <v>15</v>
      </c>
      <c r="P409" s="27">
        <v>20400</v>
      </c>
      <c r="Q409" s="27">
        <v>4</v>
      </c>
      <c r="R409" s="27" t="s">
        <v>60</v>
      </c>
      <c r="S409" s="27" t="s">
        <v>32</v>
      </c>
      <c r="T409" s="27" t="s">
        <v>93</v>
      </c>
      <c r="U409" s="27">
        <v>9643440006</v>
      </c>
      <c r="V409" s="27" t="s">
        <v>52</v>
      </c>
    </row>
    <row r="410" spans="1:22" ht="15" thickBot="1" x14ac:dyDescent="0.4">
      <c r="A410" s="30" t="s">
        <v>522</v>
      </c>
      <c r="B410" s="30" t="s">
        <v>45</v>
      </c>
      <c r="C410" s="30" t="s">
        <v>125</v>
      </c>
      <c r="D410" s="31">
        <v>45805</v>
      </c>
      <c r="E410" s="31">
        <v>45814</v>
      </c>
      <c r="F410" s="30" t="s">
        <v>101</v>
      </c>
      <c r="G410" s="30" t="s">
        <v>26</v>
      </c>
      <c r="H410" s="31">
        <v>35258</v>
      </c>
      <c r="I410" s="30" t="s">
        <v>27</v>
      </c>
      <c r="J410" s="30" t="s">
        <v>28</v>
      </c>
      <c r="K410" s="30" t="s">
        <v>83</v>
      </c>
      <c r="L410" s="30" t="s">
        <v>127</v>
      </c>
      <c r="M410" s="30">
        <v>13</v>
      </c>
      <c r="N410" s="30">
        <v>20</v>
      </c>
      <c r="O410" s="30">
        <v>15</v>
      </c>
      <c r="P410" s="30">
        <v>221</v>
      </c>
      <c r="Q410" s="30">
        <v>4</v>
      </c>
      <c r="R410" s="30" t="s">
        <v>31</v>
      </c>
      <c r="S410" s="30" t="s">
        <v>32</v>
      </c>
      <c r="T410" s="30" t="s">
        <v>51</v>
      </c>
      <c r="U410" s="30">
        <v>9673698825</v>
      </c>
      <c r="V410" s="30" t="s">
        <v>52</v>
      </c>
    </row>
    <row r="411" spans="1:22" ht="15" thickBot="1" x14ac:dyDescent="0.4">
      <c r="A411" s="27" t="s">
        <v>523</v>
      </c>
      <c r="B411" s="27" t="s">
        <v>134</v>
      </c>
      <c r="C411" s="27" t="s">
        <v>56</v>
      </c>
      <c r="D411" s="28">
        <v>45660</v>
      </c>
      <c r="E411" s="28">
        <v>45665</v>
      </c>
      <c r="F411" s="27" t="s">
        <v>135</v>
      </c>
      <c r="G411" s="27" t="s">
        <v>26</v>
      </c>
      <c r="H411" s="28">
        <v>33940</v>
      </c>
      <c r="I411" s="27" t="s">
        <v>37</v>
      </c>
      <c r="J411" s="27" t="s">
        <v>38</v>
      </c>
      <c r="K411" s="27" t="s">
        <v>39</v>
      </c>
      <c r="L411" s="27" t="s">
        <v>59</v>
      </c>
      <c r="M411" s="27">
        <v>12</v>
      </c>
      <c r="N411" s="27">
        <v>1200</v>
      </c>
      <c r="O411" s="27">
        <v>10</v>
      </c>
      <c r="P411" s="27">
        <v>12960</v>
      </c>
      <c r="Q411" s="27">
        <v>3</v>
      </c>
      <c r="R411" s="27" t="s">
        <v>41</v>
      </c>
      <c r="S411" s="27" t="s">
        <v>32</v>
      </c>
      <c r="T411" s="27" t="s">
        <v>136</v>
      </c>
      <c r="U411" s="27">
        <v>9706238784</v>
      </c>
      <c r="V411" s="27" t="s">
        <v>52</v>
      </c>
    </row>
    <row r="412" spans="1:22" ht="15" thickBot="1" x14ac:dyDescent="0.4">
      <c r="A412" s="30" t="s">
        <v>524</v>
      </c>
      <c r="B412" s="30" t="s">
        <v>72</v>
      </c>
      <c r="C412" s="30" t="s">
        <v>105</v>
      </c>
      <c r="D412" s="31">
        <v>45685</v>
      </c>
      <c r="E412" s="31">
        <v>45686</v>
      </c>
      <c r="F412" s="30" t="s">
        <v>73</v>
      </c>
      <c r="G412" s="30" t="s">
        <v>26</v>
      </c>
      <c r="H412" s="31">
        <v>35147</v>
      </c>
      <c r="I412" s="30" t="s">
        <v>147</v>
      </c>
      <c r="J412" s="30" t="s">
        <v>148</v>
      </c>
      <c r="K412" s="30" t="s">
        <v>29</v>
      </c>
      <c r="L412" s="30" t="s">
        <v>107</v>
      </c>
      <c r="M412" s="30">
        <v>6</v>
      </c>
      <c r="N412" s="30">
        <v>8500</v>
      </c>
      <c r="O412" s="30">
        <v>5</v>
      </c>
      <c r="P412" s="30">
        <v>48450</v>
      </c>
      <c r="Q412" s="30">
        <v>5</v>
      </c>
      <c r="R412" s="30" t="s">
        <v>31</v>
      </c>
      <c r="S412" s="30" t="s">
        <v>80</v>
      </c>
      <c r="T412" s="30" t="s">
        <v>93</v>
      </c>
      <c r="U412" s="30">
        <v>9132959877</v>
      </c>
      <c r="V412" s="30" t="s">
        <v>53</v>
      </c>
    </row>
    <row r="413" spans="1:22" ht="15" thickBot="1" x14ac:dyDescent="0.4">
      <c r="A413" s="27" t="s">
        <v>525</v>
      </c>
      <c r="B413" s="27" t="s">
        <v>23</v>
      </c>
      <c r="C413" s="27" t="s">
        <v>105</v>
      </c>
      <c r="D413" s="28">
        <v>46071</v>
      </c>
      <c r="E413" s="28">
        <v>46079</v>
      </c>
      <c r="F413" s="27" t="s">
        <v>25</v>
      </c>
      <c r="G413" s="27" t="s">
        <v>26</v>
      </c>
      <c r="H413" s="28">
        <v>34508</v>
      </c>
      <c r="I413" s="27" t="s">
        <v>91</v>
      </c>
      <c r="J413" s="27" t="s">
        <v>75</v>
      </c>
      <c r="K413" s="27" t="s">
        <v>29</v>
      </c>
      <c r="L413" s="27" t="s">
        <v>107</v>
      </c>
      <c r="M413" s="27">
        <v>15</v>
      </c>
      <c r="N413" s="27">
        <v>8500</v>
      </c>
      <c r="O413" s="27">
        <v>10</v>
      </c>
      <c r="P413" s="27">
        <v>114750</v>
      </c>
      <c r="Q413" s="27">
        <v>1</v>
      </c>
      <c r="R413" s="27" t="s">
        <v>31</v>
      </c>
      <c r="S413" s="27" t="s">
        <v>80</v>
      </c>
      <c r="T413" s="27" t="s">
        <v>43</v>
      </c>
      <c r="U413" s="27">
        <v>9295011645</v>
      </c>
      <c r="V413" s="21" t="s">
        <v>34</v>
      </c>
    </row>
    <row r="414" spans="1:22" ht="15" thickBot="1" x14ac:dyDescent="0.4">
      <c r="A414" s="30" t="s">
        <v>526</v>
      </c>
      <c r="B414" s="30" t="s">
        <v>87</v>
      </c>
      <c r="C414" s="30" t="s">
        <v>36</v>
      </c>
      <c r="D414" s="31">
        <v>45872</v>
      </c>
      <c r="E414" s="31">
        <v>45884</v>
      </c>
      <c r="F414" s="30" t="s">
        <v>88</v>
      </c>
      <c r="G414" s="30" t="s">
        <v>58</v>
      </c>
      <c r="H414" s="31">
        <v>29253</v>
      </c>
      <c r="I414" s="30" t="s">
        <v>27</v>
      </c>
      <c r="J414" s="30" t="s">
        <v>28</v>
      </c>
      <c r="K414" s="30" t="s">
        <v>39</v>
      </c>
      <c r="L414" s="30" t="s">
        <v>40</v>
      </c>
      <c r="M414" s="30">
        <v>19</v>
      </c>
      <c r="N414" s="30">
        <v>12000</v>
      </c>
      <c r="O414" s="30">
        <v>20</v>
      </c>
      <c r="P414" s="30">
        <v>182400</v>
      </c>
      <c r="Q414" s="30">
        <v>5</v>
      </c>
      <c r="R414" s="30" t="s">
        <v>31</v>
      </c>
      <c r="S414" s="30" t="s">
        <v>80</v>
      </c>
      <c r="T414" s="30" t="s">
        <v>89</v>
      </c>
      <c r="U414" s="30">
        <v>9677606427</v>
      </c>
      <c r="V414" s="22" t="s">
        <v>34</v>
      </c>
    </row>
    <row r="415" spans="1:22" ht="15" thickBot="1" x14ac:dyDescent="0.4">
      <c r="A415" s="27" t="s">
        <v>527</v>
      </c>
      <c r="B415" s="27" t="s">
        <v>63</v>
      </c>
      <c r="C415" s="27" t="s">
        <v>112</v>
      </c>
      <c r="D415" s="28">
        <v>45672</v>
      </c>
      <c r="E415" s="28">
        <v>45675</v>
      </c>
      <c r="F415" s="27" t="s">
        <v>110</v>
      </c>
      <c r="G415" s="27" t="s">
        <v>58</v>
      </c>
      <c r="H415" s="28">
        <v>33109</v>
      </c>
      <c r="I415" s="27" t="s">
        <v>37</v>
      </c>
      <c r="J415" s="27" t="s">
        <v>38</v>
      </c>
      <c r="K415" s="27" t="s">
        <v>39</v>
      </c>
      <c r="L415" s="27" t="s">
        <v>114</v>
      </c>
      <c r="M415" s="27">
        <v>5</v>
      </c>
      <c r="N415" s="27">
        <v>700</v>
      </c>
      <c r="O415" s="27">
        <v>0</v>
      </c>
      <c r="P415" s="27">
        <v>3500</v>
      </c>
      <c r="Q415" s="27">
        <v>2</v>
      </c>
      <c r="R415" s="27" t="s">
        <v>60</v>
      </c>
      <c r="S415" s="27" t="s">
        <v>50</v>
      </c>
      <c r="T415" s="27" t="s">
        <v>66</v>
      </c>
      <c r="U415" s="27">
        <v>9161631566</v>
      </c>
      <c r="V415" s="27" t="s">
        <v>53</v>
      </c>
    </row>
    <row r="416" spans="1:22" ht="15" thickBot="1" x14ac:dyDescent="0.4">
      <c r="A416" s="30" t="s">
        <v>528</v>
      </c>
      <c r="B416" s="30" t="s">
        <v>63</v>
      </c>
      <c r="C416" s="30" t="s">
        <v>36</v>
      </c>
      <c r="D416" s="31">
        <v>45688</v>
      </c>
      <c r="E416" s="31">
        <v>45692</v>
      </c>
      <c r="F416" s="30" t="s">
        <v>110</v>
      </c>
      <c r="G416" s="30" t="s">
        <v>58</v>
      </c>
      <c r="H416" s="31">
        <v>28834</v>
      </c>
      <c r="I416" s="30" t="s">
        <v>147</v>
      </c>
      <c r="J416" s="30" t="s">
        <v>148</v>
      </c>
      <c r="K416" s="30" t="s">
        <v>39</v>
      </c>
      <c r="L416" s="30" t="s">
        <v>40</v>
      </c>
      <c r="M416" s="30">
        <v>19</v>
      </c>
      <c r="N416" s="30">
        <v>12000</v>
      </c>
      <c r="O416" s="30">
        <v>0</v>
      </c>
      <c r="P416" s="30">
        <v>228000</v>
      </c>
      <c r="Q416" s="30">
        <v>4</v>
      </c>
      <c r="R416" s="30" t="s">
        <v>65</v>
      </c>
      <c r="S416" s="30" t="s">
        <v>50</v>
      </c>
      <c r="T416" s="30" t="s">
        <v>66</v>
      </c>
      <c r="U416" s="30">
        <v>9136906750</v>
      </c>
      <c r="V416" s="30" t="s">
        <v>52</v>
      </c>
    </row>
    <row r="417" spans="1:22" ht="15" thickBot="1" x14ac:dyDescent="0.4">
      <c r="A417" s="27" t="s">
        <v>529</v>
      </c>
      <c r="B417" s="27" t="s">
        <v>156</v>
      </c>
      <c r="C417" s="27" t="s">
        <v>112</v>
      </c>
      <c r="D417" s="27"/>
      <c r="E417" s="28">
        <v>45964</v>
      </c>
      <c r="F417" s="27" t="s">
        <v>106</v>
      </c>
      <c r="G417" s="27" t="s">
        <v>58</v>
      </c>
      <c r="H417" s="28">
        <v>29099</v>
      </c>
      <c r="I417" s="27" t="s">
        <v>48</v>
      </c>
      <c r="J417" s="27" t="s">
        <v>28</v>
      </c>
      <c r="K417" s="27" t="s">
        <v>39</v>
      </c>
      <c r="L417" s="27" t="s">
        <v>114</v>
      </c>
      <c r="M417" s="27">
        <v>12</v>
      </c>
      <c r="N417" s="27">
        <v>700</v>
      </c>
      <c r="O417" s="27">
        <v>15</v>
      </c>
      <c r="P417" s="27">
        <v>7140</v>
      </c>
      <c r="Q417" s="27">
        <v>3</v>
      </c>
      <c r="R417" s="27" t="s">
        <v>60</v>
      </c>
      <c r="S417" s="27" t="s">
        <v>32</v>
      </c>
      <c r="T417" s="27" t="s">
        <v>158</v>
      </c>
      <c r="U417" s="27">
        <v>9485286324</v>
      </c>
      <c r="V417" s="21" t="s">
        <v>34</v>
      </c>
    </row>
    <row r="418" spans="1:22" ht="15" thickBot="1" x14ac:dyDescent="0.4">
      <c r="A418" s="30" t="s">
        <v>530</v>
      </c>
      <c r="B418" s="30" t="s">
        <v>23</v>
      </c>
      <c r="C418" s="30" t="s">
        <v>56</v>
      </c>
      <c r="D418" s="31">
        <v>45790</v>
      </c>
      <c r="E418" s="31">
        <v>45798</v>
      </c>
      <c r="F418" s="30" t="s">
        <v>25</v>
      </c>
      <c r="G418" s="30" t="s">
        <v>26</v>
      </c>
      <c r="H418" s="31">
        <v>36989</v>
      </c>
      <c r="I418" s="30" t="s">
        <v>37</v>
      </c>
      <c r="J418" s="30" t="s">
        <v>38</v>
      </c>
      <c r="K418" s="30" t="s">
        <v>39</v>
      </c>
      <c r="L418" s="30" t="s">
        <v>59</v>
      </c>
      <c r="M418" s="30">
        <v>16</v>
      </c>
      <c r="N418" s="30">
        <v>1200</v>
      </c>
      <c r="O418" s="30">
        <v>20</v>
      </c>
      <c r="P418" s="30">
        <v>15360</v>
      </c>
      <c r="Q418" s="30">
        <v>1</v>
      </c>
      <c r="R418" s="30" t="s">
        <v>31</v>
      </c>
      <c r="S418" s="30" t="s">
        <v>42</v>
      </c>
      <c r="T418" s="30" t="s">
        <v>43</v>
      </c>
      <c r="U418" s="30">
        <v>9414633966</v>
      </c>
      <c r="V418" s="30" t="s">
        <v>52</v>
      </c>
    </row>
    <row r="419" spans="1:22" ht="15" thickBot="1" x14ac:dyDescent="0.4">
      <c r="A419" s="27" t="s">
        <v>531</v>
      </c>
      <c r="B419" s="27" t="s">
        <v>55</v>
      </c>
      <c r="C419" s="27" t="s">
        <v>105</v>
      </c>
      <c r="D419" s="28">
        <v>46018</v>
      </c>
      <c r="E419" s="28">
        <v>46026</v>
      </c>
      <c r="F419" s="27" t="s">
        <v>57</v>
      </c>
      <c r="G419" s="27" t="s">
        <v>58</v>
      </c>
      <c r="H419" s="28">
        <v>30317</v>
      </c>
      <c r="I419" s="27" t="s">
        <v>27</v>
      </c>
      <c r="J419" s="27" t="s">
        <v>28</v>
      </c>
      <c r="K419" s="27" t="s">
        <v>29</v>
      </c>
      <c r="L419" s="27" t="s">
        <v>107</v>
      </c>
      <c r="M419" s="27">
        <v>10</v>
      </c>
      <c r="N419" s="27">
        <v>8500</v>
      </c>
      <c r="O419" s="27">
        <v>5</v>
      </c>
      <c r="P419" s="27">
        <v>80750</v>
      </c>
      <c r="Q419" s="27">
        <v>5</v>
      </c>
      <c r="R419" s="27" t="s">
        <v>41</v>
      </c>
      <c r="S419" s="27" t="s">
        <v>32</v>
      </c>
      <c r="T419" s="27" t="s">
        <v>61</v>
      </c>
      <c r="U419" s="27">
        <v>9833735234</v>
      </c>
      <c r="V419" s="21" t="s">
        <v>34</v>
      </c>
    </row>
    <row r="420" spans="1:22" ht="15" thickBot="1" x14ac:dyDescent="0.4">
      <c r="A420" s="30" t="s">
        <v>532</v>
      </c>
      <c r="B420" s="30" t="s">
        <v>23</v>
      </c>
      <c r="C420" s="30" t="s">
        <v>125</v>
      </c>
      <c r="D420" s="31">
        <v>45699</v>
      </c>
      <c r="E420" s="31">
        <v>45709</v>
      </c>
      <c r="F420" s="30" t="s">
        <v>25</v>
      </c>
      <c r="G420" s="30" t="s">
        <v>26</v>
      </c>
      <c r="H420" s="31">
        <v>32729</v>
      </c>
      <c r="I420" s="30" t="s">
        <v>91</v>
      </c>
      <c r="J420" s="30" t="s">
        <v>75</v>
      </c>
      <c r="K420" s="30" t="s">
        <v>83</v>
      </c>
      <c r="L420" s="30" t="s">
        <v>127</v>
      </c>
      <c r="M420" s="30">
        <v>18</v>
      </c>
      <c r="N420" s="30">
        <v>20</v>
      </c>
      <c r="O420" s="30">
        <v>20</v>
      </c>
      <c r="P420" s="30">
        <v>288</v>
      </c>
      <c r="Q420" s="30">
        <v>1</v>
      </c>
      <c r="R420" s="30" t="s">
        <v>65</v>
      </c>
      <c r="S420" s="30" t="s">
        <v>32</v>
      </c>
      <c r="T420" s="30" t="s">
        <v>43</v>
      </c>
      <c r="U420" s="30">
        <v>9523689108</v>
      </c>
      <c r="V420" s="30" t="s">
        <v>52</v>
      </c>
    </row>
    <row r="421" spans="1:22" ht="15" thickBot="1" x14ac:dyDescent="0.4">
      <c r="A421" s="27" t="s">
        <v>533</v>
      </c>
      <c r="B421" s="27" t="s">
        <v>55</v>
      </c>
      <c r="C421" s="27" t="s">
        <v>105</v>
      </c>
      <c r="D421" s="28">
        <v>46094</v>
      </c>
      <c r="E421" s="28">
        <v>46100</v>
      </c>
      <c r="F421" s="27" t="s">
        <v>57</v>
      </c>
      <c r="G421" s="27" t="s">
        <v>58</v>
      </c>
      <c r="H421" s="28">
        <v>34264</v>
      </c>
      <c r="I421" s="27" t="s">
        <v>74</v>
      </c>
      <c r="J421" s="27" t="s">
        <v>75</v>
      </c>
      <c r="K421" s="27" t="s">
        <v>29</v>
      </c>
      <c r="L421" s="27" t="s">
        <v>107</v>
      </c>
      <c r="M421" s="27">
        <v>9</v>
      </c>
      <c r="N421" s="27">
        <v>8500</v>
      </c>
      <c r="O421" s="27">
        <v>0</v>
      </c>
      <c r="P421" s="27">
        <v>76500</v>
      </c>
      <c r="Q421" s="27">
        <v>2</v>
      </c>
      <c r="R421" s="27" t="s">
        <v>60</v>
      </c>
      <c r="S421" s="27" t="s">
        <v>32</v>
      </c>
      <c r="T421" s="27" t="s">
        <v>61</v>
      </c>
      <c r="U421" s="27">
        <v>9812909831</v>
      </c>
      <c r="V421" s="27" t="s">
        <v>52</v>
      </c>
    </row>
    <row r="422" spans="1:22" ht="15" thickBot="1" x14ac:dyDescent="0.4">
      <c r="A422" s="30" t="s">
        <v>534</v>
      </c>
      <c r="B422" s="30" t="s">
        <v>23</v>
      </c>
      <c r="C422" s="30" t="s">
        <v>105</v>
      </c>
      <c r="D422" s="31">
        <v>45931</v>
      </c>
      <c r="E422" s="31">
        <v>45942</v>
      </c>
      <c r="F422" s="30" t="s">
        <v>25</v>
      </c>
      <c r="G422" s="30" t="s">
        <v>26</v>
      </c>
      <c r="H422" s="31">
        <v>36651</v>
      </c>
      <c r="I422" s="30" t="s">
        <v>74</v>
      </c>
      <c r="J422" s="30" t="s">
        <v>75</v>
      </c>
      <c r="K422" s="30" t="s">
        <v>29</v>
      </c>
      <c r="L422" s="30" t="s">
        <v>107</v>
      </c>
      <c r="M422" s="30">
        <v>8</v>
      </c>
      <c r="N422" s="30">
        <v>8500</v>
      </c>
      <c r="O422" s="30">
        <v>10</v>
      </c>
      <c r="P422" s="30">
        <v>61200</v>
      </c>
      <c r="Q422" s="30">
        <v>4</v>
      </c>
      <c r="R422" s="30" t="s">
        <v>31</v>
      </c>
      <c r="S422" s="30" t="s">
        <v>80</v>
      </c>
      <c r="T422" s="30" t="s">
        <v>43</v>
      </c>
      <c r="U422" s="30">
        <v>9106290987</v>
      </c>
      <c r="V422" s="30" t="s">
        <v>53</v>
      </c>
    </row>
    <row r="423" spans="1:22" ht="15" thickBot="1" x14ac:dyDescent="0.4">
      <c r="A423" s="27" t="s">
        <v>535</v>
      </c>
      <c r="B423" s="27" t="s">
        <v>45</v>
      </c>
      <c r="C423" s="27" t="s">
        <v>125</v>
      </c>
      <c r="D423" s="28">
        <v>46048</v>
      </c>
      <c r="E423" s="28">
        <v>46054</v>
      </c>
      <c r="F423" s="27" t="s">
        <v>101</v>
      </c>
      <c r="G423" s="27" t="s">
        <v>26</v>
      </c>
      <c r="H423" s="28">
        <v>30730</v>
      </c>
      <c r="I423" s="27" t="s">
        <v>79</v>
      </c>
      <c r="J423" s="27" t="s">
        <v>75</v>
      </c>
      <c r="K423" s="27" t="s">
        <v>83</v>
      </c>
      <c r="L423" s="27" t="s">
        <v>127</v>
      </c>
      <c r="M423" s="27">
        <v>3</v>
      </c>
      <c r="N423" s="27">
        <v>20</v>
      </c>
      <c r="O423" s="27">
        <v>10</v>
      </c>
      <c r="P423" s="27">
        <v>54</v>
      </c>
      <c r="Q423" s="27">
        <v>3</v>
      </c>
      <c r="R423" s="27" t="s">
        <v>60</v>
      </c>
      <c r="S423" s="27" t="s">
        <v>96</v>
      </c>
      <c r="T423" s="27" t="s">
        <v>51</v>
      </c>
      <c r="U423" s="27">
        <v>9767727724</v>
      </c>
      <c r="V423" s="27" t="s">
        <v>52</v>
      </c>
    </row>
    <row r="424" spans="1:22" ht="15" thickBot="1" x14ac:dyDescent="0.4">
      <c r="A424" s="30" t="s">
        <v>536</v>
      </c>
      <c r="B424" s="30" t="s">
        <v>104</v>
      </c>
      <c r="C424" s="30" t="s">
        <v>105</v>
      </c>
      <c r="D424" s="31">
        <v>45840</v>
      </c>
      <c r="E424" s="31">
        <v>45850</v>
      </c>
      <c r="F424" s="30" t="s">
        <v>166</v>
      </c>
      <c r="G424" s="30" t="s">
        <v>26</v>
      </c>
      <c r="H424" s="31">
        <v>33402</v>
      </c>
      <c r="I424" s="30" t="s">
        <v>147</v>
      </c>
      <c r="J424" s="30" t="s">
        <v>148</v>
      </c>
      <c r="K424" s="30" t="s">
        <v>29</v>
      </c>
      <c r="L424" s="30" t="s">
        <v>107</v>
      </c>
      <c r="M424" s="30">
        <v>18</v>
      </c>
      <c r="N424" s="30">
        <v>8500</v>
      </c>
      <c r="O424" s="30">
        <v>10</v>
      </c>
      <c r="P424" s="30">
        <v>137700</v>
      </c>
      <c r="Q424" s="30">
        <v>4</v>
      </c>
      <c r="R424" s="30" t="s">
        <v>31</v>
      </c>
      <c r="S424" s="30" t="s">
        <v>42</v>
      </c>
      <c r="T424" s="30" t="s">
        <v>108</v>
      </c>
      <c r="U424" s="30">
        <v>9865401727</v>
      </c>
      <c r="V424" s="30" t="s">
        <v>53</v>
      </c>
    </row>
    <row r="425" spans="1:22" ht="15" thickBot="1" x14ac:dyDescent="0.4">
      <c r="A425" s="27" t="s">
        <v>537</v>
      </c>
      <c r="B425" s="27" t="s">
        <v>45</v>
      </c>
      <c r="C425" s="27" t="s">
        <v>138</v>
      </c>
      <c r="D425" s="28">
        <v>45935</v>
      </c>
      <c r="E425" s="28">
        <v>45939</v>
      </c>
      <c r="F425" s="27" t="s">
        <v>101</v>
      </c>
      <c r="G425" s="27" t="s">
        <v>26</v>
      </c>
      <c r="H425" s="28">
        <v>35204</v>
      </c>
      <c r="I425" s="27" t="s">
        <v>79</v>
      </c>
      <c r="J425" s="27" t="s">
        <v>75</v>
      </c>
      <c r="K425" s="27" t="s">
        <v>83</v>
      </c>
      <c r="L425" s="27" t="s">
        <v>139</v>
      </c>
      <c r="M425" s="27">
        <v>5</v>
      </c>
      <c r="N425" s="27">
        <v>45</v>
      </c>
      <c r="O425" s="27">
        <v>10</v>
      </c>
      <c r="P425" s="27">
        <v>202.5</v>
      </c>
      <c r="Q425" s="27">
        <v>3</v>
      </c>
      <c r="R425" s="27" t="s">
        <v>31</v>
      </c>
      <c r="S425" s="27" t="s">
        <v>80</v>
      </c>
      <c r="T425" s="27" t="s">
        <v>51</v>
      </c>
      <c r="U425" s="27">
        <v>9603848571</v>
      </c>
      <c r="V425" s="27" t="s">
        <v>52</v>
      </c>
    </row>
    <row r="426" spans="1:22" ht="15" thickBot="1" x14ac:dyDescent="0.4">
      <c r="A426" s="30" t="s">
        <v>538</v>
      </c>
      <c r="B426" s="30" t="s">
        <v>55</v>
      </c>
      <c r="C426" s="30" t="s">
        <v>138</v>
      </c>
      <c r="D426" s="31">
        <v>45807</v>
      </c>
      <c r="E426" s="31">
        <v>45810</v>
      </c>
      <c r="F426" s="30" t="s">
        <v>57</v>
      </c>
      <c r="G426" s="30" t="s">
        <v>58</v>
      </c>
      <c r="H426" s="31">
        <v>33747</v>
      </c>
      <c r="I426" s="30" t="s">
        <v>74</v>
      </c>
      <c r="J426" s="30" t="s">
        <v>75</v>
      </c>
      <c r="K426" s="30" t="s">
        <v>83</v>
      </c>
      <c r="L426" s="30" t="s">
        <v>139</v>
      </c>
      <c r="M426" s="30">
        <v>2</v>
      </c>
      <c r="N426" s="30">
        <v>45</v>
      </c>
      <c r="O426" s="30">
        <v>20</v>
      </c>
      <c r="P426" s="30">
        <v>72</v>
      </c>
      <c r="Q426" s="30">
        <v>5</v>
      </c>
      <c r="R426" s="30" t="s">
        <v>65</v>
      </c>
      <c r="S426" s="30" t="s">
        <v>50</v>
      </c>
      <c r="T426" s="30" t="s">
        <v>61</v>
      </c>
      <c r="U426" s="30">
        <v>9101231789</v>
      </c>
      <c r="V426" s="30" t="s">
        <v>53</v>
      </c>
    </row>
    <row r="427" spans="1:22" ht="15" thickBot="1" x14ac:dyDescent="0.4">
      <c r="A427" s="27" t="s">
        <v>539</v>
      </c>
      <c r="B427" s="27" t="s">
        <v>72</v>
      </c>
      <c r="C427" s="27" t="s">
        <v>138</v>
      </c>
      <c r="D427" s="28">
        <v>45684</v>
      </c>
      <c r="E427" s="28">
        <v>45694</v>
      </c>
      <c r="F427" s="27" t="s">
        <v>73</v>
      </c>
      <c r="G427" s="27" t="s">
        <v>26</v>
      </c>
      <c r="H427" s="28">
        <v>32309</v>
      </c>
      <c r="I427" s="27" t="s">
        <v>27</v>
      </c>
      <c r="J427" s="27" t="s">
        <v>28</v>
      </c>
      <c r="K427" s="27" t="s">
        <v>83</v>
      </c>
      <c r="L427" s="27" t="s">
        <v>139</v>
      </c>
      <c r="M427" s="27">
        <v>18</v>
      </c>
      <c r="N427" s="27">
        <v>45</v>
      </c>
      <c r="O427" s="27">
        <v>10</v>
      </c>
      <c r="P427" s="27">
        <v>729</v>
      </c>
      <c r="Q427" s="27">
        <v>2</v>
      </c>
      <c r="R427" s="27" t="s">
        <v>41</v>
      </c>
      <c r="S427" s="27" t="s">
        <v>80</v>
      </c>
      <c r="T427" s="27" t="s">
        <v>93</v>
      </c>
      <c r="U427" s="27">
        <v>9485017802</v>
      </c>
      <c r="V427" s="27" t="s">
        <v>52</v>
      </c>
    </row>
    <row r="428" spans="1:22" ht="15" thickBot="1" x14ac:dyDescent="0.4">
      <c r="A428" s="30" t="s">
        <v>540</v>
      </c>
      <c r="B428" s="30" t="s">
        <v>87</v>
      </c>
      <c r="C428" s="30" t="s">
        <v>56</v>
      </c>
      <c r="D428" s="31">
        <v>46015</v>
      </c>
      <c r="E428" s="31">
        <v>46023</v>
      </c>
      <c r="F428" s="30" t="s">
        <v>88</v>
      </c>
      <c r="G428" s="30" t="s">
        <v>58</v>
      </c>
      <c r="H428" s="31">
        <v>34172</v>
      </c>
      <c r="I428" s="30" t="s">
        <v>147</v>
      </c>
      <c r="J428" s="30" t="s">
        <v>148</v>
      </c>
      <c r="K428" s="30" t="s">
        <v>39</v>
      </c>
      <c r="L428" s="30" t="s">
        <v>59</v>
      </c>
      <c r="M428" s="30">
        <v>13</v>
      </c>
      <c r="N428" s="30">
        <v>1200</v>
      </c>
      <c r="O428" s="30">
        <v>5</v>
      </c>
      <c r="P428" s="30">
        <v>14820</v>
      </c>
      <c r="Q428" s="30">
        <v>4</v>
      </c>
      <c r="R428" s="30" t="s">
        <v>60</v>
      </c>
      <c r="S428" s="30" t="s">
        <v>80</v>
      </c>
      <c r="T428" s="30" t="s">
        <v>89</v>
      </c>
      <c r="U428" s="30">
        <v>9815464650</v>
      </c>
      <c r="V428" s="22" t="s">
        <v>34</v>
      </c>
    </row>
    <row r="429" spans="1:22" ht="15" thickBot="1" x14ac:dyDescent="0.4">
      <c r="A429" s="27" t="s">
        <v>541</v>
      </c>
      <c r="B429" s="27" t="s">
        <v>23</v>
      </c>
      <c r="C429" s="27" t="s">
        <v>125</v>
      </c>
      <c r="D429" s="28">
        <v>46153</v>
      </c>
      <c r="E429" s="28">
        <v>46159</v>
      </c>
      <c r="F429" s="27" t="s">
        <v>25</v>
      </c>
      <c r="G429" s="27" t="s">
        <v>26</v>
      </c>
      <c r="H429" s="28">
        <v>38020</v>
      </c>
      <c r="I429" s="27" t="s">
        <v>27</v>
      </c>
      <c r="J429" s="27" t="s">
        <v>28</v>
      </c>
      <c r="K429" s="27" t="s">
        <v>83</v>
      </c>
      <c r="L429" s="27" t="s">
        <v>127</v>
      </c>
      <c r="M429" s="27">
        <v>14</v>
      </c>
      <c r="N429" s="27">
        <v>20</v>
      </c>
      <c r="O429" s="27">
        <v>20</v>
      </c>
      <c r="P429" s="27">
        <v>224</v>
      </c>
      <c r="Q429" s="27">
        <v>5</v>
      </c>
      <c r="R429" s="27" t="s">
        <v>65</v>
      </c>
      <c r="S429" s="27" t="s">
        <v>42</v>
      </c>
      <c r="T429" s="27" t="s">
        <v>43</v>
      </c>
      <c r="U429" s="27">
        <v>9860715839</v>
      </c>
      <c r="V429" s="27" t="s">
        <v>52</v>
      </c>
    </row>
    <row r="430" spans="1:22" ht="15" thickBot="1" x14ac:dyDescent="0.4">
      <c r="A430" s="30" t="s">
        <v>542</v>
      </c>
      <c r="B430" s="30" t="s">
        <v>72</v>
      </c>
      <c r="C430" s="30" t="s">
        <v>68</v>
      </c>
      <c r="D430" s="31">
        <v>46064</v>
      </c>
      <c r="E430" s="31">
        <v>46076</v>
      </c>
      <c r="F430" s="30" t="s">
        <v>73</v>
      </c>
      <c r="G430" s="30" t="s">
        <v>26</v>
      </c>
      <c r="H430" s="31">
        <v>28847</v>
      </c>
      <c r="I430" s="30" t="s">
        <v>27</v>
      </c>
      <c r="J430" s="30" t="s">
        <v>28</v>
      </c>
      <c r="K430" s="30" t="s">
        <v>29</v>
      </c>
      <c r="L430" s="30" t="s">
        <v>70</v>
      </c>
      <c r="M430" s="30">
        <v>16</v>
      </c>
      <c r="N430" s="30">
        <v>3500</v>
      </c>
      <c r="O430" s="30">
        <v>15</v>
      </c>
      <c r="P430" s="30">
        <v>47600</v>
      </c>
      <c r="Q430" s="30">
        <v>3</v>
      </c>
      <c r="R430" s="30" t="s">
        <v>65</v>
      </c>
      <c r="S430" s="30" t="s">
        <v>50</v>
      </c>
      <c r="T430" s="30" t="s">
        <v>93</v>
      </c>
      <c r="U430" s="30">
        <v>9207561051</v>
      </c>
      <c r="V430" s="30" t="s">
        <v>53</v>
      </c>
    </row>
    <row r="431" spans="1:22" ht="15" thickBot="1" x14ac:dyDescent="0.4">
      <c r="A431" s="27" t="s">
        <v>543</v>
      </c>
      <c r="B431" s="27" t="s">
        <v>134</v>
      </c>
      <c r="C431" s="27" t="s">
        <v>125</v>
      </c>
      <c r="D431" s="28">
        <v>45704</v>
      </c>
      <c r="E431" s="28">
        <v>45712</v>
      </c>
      <c r="F431" s="27" t="s">
        <v>135</v>
      </c>
      <c r="G431" s="27" t="s">
        <v>26</v>
      </c>
      <c r="H431" s="28">
        <v>34257</v>
      </c>
      <c r="I431" s="27" t="s">
        <v>48</v>
      </c>
      <c r="J431" s="27" t="s">
        <v>28</v>
      </c>
      <c r="K431" s="27" t="s">
        <v>83</v>
      </c>
      <c r="L431" s="27" t="s">
        <v>127</v>
      </c>
      <c r="M431" s="27">
        <v>20</v>
      </c>
      <c r="N431" s="27">
        <v>20</v>
      </c>
      <c r="O431" s="27">
        <v>15</v>
      </c>
      <c r="P431" s="27">
        <v>340</v>
      </c>
      <c r="Q431" s="27">
        <v>1</v>
      </c>
      <c r="R431" s="27" t="s">
        <v>41</v>
      </c>
      <c r="S431" s="27" t="s">
        <v>50</v>
      </c>
      <c r="T431" s="27" t="s">
        <v>136</v>
      </c>
      <c r="U431" s="27">
        <v>9159894508</v>
      </c>
      <c r="V431" s="27" t="s">
        <v>53</v>
      </c>
    </row>
    <row r="432" spans="1:22" ht="15" thickBot="1" x14ac:dyDescent="0.4">
      <c r="A432" s="30" t="s">
        <v>544</v>
      </c>
      <c r="B432" s="30" t="s">
        <v>104</v>
      </c>
      <c r="C432" s="30" t="s">
        <v>46</v>
      </c>
      <c r="D432" s="31">
        <v>45756</v>
      </c>
      <c r="E432" s="31">
        <v>45761</v>
      </c>
      <c r="F432" s="30" t="s">
        <v>166</v>
      </c>
      <c r="G432" s="30" t="s">
        <v>26</v>
      </c>
      <c r="H432" s="31">
        <v>29201</v>
      </c>
      <c r="I432" s="30" t="s">
        <v>91</v>
      </c>
      <c r="J432" s="30" t="s">
        <v>75</v>
      </c>
      <c r="K432" s="30" t="s">
        <v>39</v>
      </c>
      <c r="L432" s="30" t="s">
        <v>49</v>
      </c>
      <c r="M432" s="30">
        <v>1</v>
      </c>
      <c r="N432" s="30">
        <v>55000</v>
      </c>
      <c r="O432" s="30">
        <v>15</v>
      </c>
      <c r="P432" s="30">
        <v>46750</v>
      </c>
      <c r="Q432" s="30">
        <v>2</v>
      </c>
      <c r="R432" s="30" t="s">
        <v>65</v>
      </c>
      <c r="S432" s="30" t="s">
        <v>80</v>
      </c>
      <c r="T432" s="30" t="s">
        <v>108</v>
      </c>
      <c r="U432" s="30">
        <v>9531465024</v>
      </c>
      <c r="V432" s="30" t="s">
        <v>53</v>
      </c>
    </row>
    <row r="433" spans="1:22" ht="15" thickBot="1" x14ac:dyDescent="0.4">
      <c r="A433" s="27" t="s">
        <v>545</v>
      </c>
      <c r="B433" s="27" t="s">
        <v>72</v>
      </c>
      <c r="C433" s="27" t="s">
        <v>82</v>
      </c>
      <c r="D433" s="28">
        <v>45672</v>
      </c>
      <c r="E433" s="28">
        <v>45677</v>
      </c>
      <c r="F433" s="27" t="s">
        <v>73</v>
      </c>
      <c r="G433" s="27" t="s">
        <v>26</v>
      </c>
      <c r="H433" s="28">
        <v>37400</v>
      </c>
      <c r="I433" s="27" t="s">
        <v>91</v>
      </c>
      <c r="J433" s="27" t="s">
        <v>75</v>
      </c>
      <c r="K433" s="27" t="s">
        <v>83</v>
      </c>
      <c r="L433" s="27" t="s">
        <v>84</v>
      </c>
      <c r="M433" s="27">
        <v>15</v>
      </c>
      <c r="N433" s="27">
        <v>60</v>
      </c>
      <c r="O433" s="27">
        <v>5</v>
      </c>
      <c r="P433" s="27">
        <v>855</v>
      </c>
      <c r="Q433" s="27">
        <v>4</v>
      </c>
      <c r="R433" s="27" t="s">
        <v>41</v>
      </c>
      <c r="S433" s="27" t="s">
        <v>50</v>
      </c>
      <c r="T433" s="27" t="s">
        <v>93</v>
      </c>
      <c r="U433" s="27">
        <v>9158813608</v>
      </c>
      <c r="V433" s="21" t="s">
        <v>34</v>
      </c>
    </row>
    <row r="434" spans="1:22" ht="15" thickBot="1" x14ac:dyDescent="0.4">
      <c r="A434" s="30" t="s">
        <v>546</v>
      </c>
      <c r="B434" s="30" t="s">
        <v>63</v>
      </c>
      <c r="C434" s="30" t="s">
        <v>112</v>
      </c>
      <c r="D434" s="31">
        <v>46108</v>
      </c>
      <c r="E434" s="31">
        <v>46114</v>
      </c>
      <c r="F434" s="30" t="s">
        <v>110</v>
      </c>
      <c r="G434" s="30" t="s">
        <v>58</v>
      </c>
      <c r="H434" s="31">
        <v>27828</v>
      </c>
      <c r="I434" s="30" t="s">
        <v>74</v>
      </c>
      <c r="J434" s="30" t="s">
        <v>75</v>
      </c>
      <c r="K434" s="30" t="s">
        <v>39</v>
      </c>
      <c r="L434" s="30" t="s">
        <v>114</v>
      </c>
      <c r="M434" s="30">
        <v>15</v>
      </c>
      <c r="N434" s="30">
        <v>700</v>
      </c>
      <c r="O434" s="30">
        <v>0</v>
      </c>
      <c r="P434" s="30">
        <v>10500</v>
      </c>
      <c r="Q434" s="30">
        <v>5</v>
      </c>
      <c r="R434" s="30" t="s">
        <v>41</v>
      </c>
      <c r="S434" s="30" t="s">
        <v>80</v>
      </c>
      <c r="T434" s="30" t="s">
        <v>66</v>
      </c>
      <c r="U434" s="30">
        <v>9308461700</v>
      </c>
      <c r="V434" s="22" t="s">
        <v>34</v>
      </c>
    </row>
    <row r="435" spans="1:22" ht="15" thickBot="1" x14ac:dyDescent="0.4">
      <c r="A435" s="27" t="s">
        <v>547</v>
      </c>
      <c r="B435" s="27" t="s">
        <v>124</v>
      </c>
      <c r="C435" s="27" t="s">
        <v>36</v>
      </c>
      <c r="D435" s="28">
        <v>46027</v>
      </c>
      <c r="E435" s="28">
        <v>46031</v>
      </c>
      <c r="F435" s="27" t="s">
        <v>126</v>
      </c>
      <c r="G435" s="27" t="s">
        <v>58</v>
      </c>
      <c r="H435" s="28">
        <v>29484</v>
      </c>
      <c r="I435" s="27" t="s">
        <v>147</v>
      </c>
      <c r="J435" s="27" t="s">
        <v>148</v>
      </c>
      <c r="K435" s="27" t="s">
        <v>39</v>
      </c>
      <c r="L435" s="27" t="s">
        <v>40</v>
      </c>
      <c r="M435" s="27">
        <v>13</v>
      </c>
      <c r="N435" s="27">
        <v>12000</v>
      </c>
      <c r="O435" s="27">
        <v>10</v>
      </c>
      <c r="P435" s="27">
        <v>140400</v>
      </c>
      <c r="Q435" s="27">
        <v>1</v>
      </c>
      <c r="R435" s="27" t="s">
        <v>31</v>
      </c>
      <c r="S435" s="27" t="s">
        <v>96</v>
      </c>
      <c r="T435" s="27" t="s">
        <v>128</v>
      </c>
      <c r="U435" s="27">
        <v>9882279049</v>
      </c>
      <c r="V435" s="27" t="s">
        <v>53</v>
      </c>
    </row>
    <row r="436" spans="1:22" ht="15" thickBot="1" x14ac:dyDescent="0.4">
      <c r="A436" s="30" t="s">
        <v>548</v>
      </c>
      <c r="B436" s="30" t="s">
        <v>63</v>
      </c>
      <c r="C436" s="30" t="s">
        <v>36</v>
      </c>
      <c r="D436" s="31">
        <v>46129</v>
      </c>
      <c r="E436" s="31">
        <v>46141</v>
      </c>
      <c r="F436" s="30" t="s">
        <v>110</v>
      </c>
      <c r="G436" s="30" t="s">
        <v>58</v>
      </c>
      <c r="H436" s="31">
        <v>32318</v>
      </c>
      <c r="I436" s="30" t="s">
        <v>27</v>
      </c>
      <c r="J436" s="30" t="s">
        <v>28</v>
      </c>
      <c r="K436" s="30" t="s">
        <v>39</v>
      </c>
      <c r="L436" s="30" t="s">
        <v>40</v>
      </c>
      <c r="M436" s="30">
        <v>12</v>
      </c>
      <c r="N436" s="30">
        <v>12000</v>
      </c>
      <c r="O436" s="30">
        <v>20</v>
      </c>
      <c r="P436" s="30">
        <v>115200</v>
      </c>
      <c r="Q436" s="30">
        <v>2</v>
      </c>
      <c r="R436" s="30" t="s">
        <v>31</v>
      </c>
      <c r="S436" s="30" t="s">
        <v>32</v>
      </c>
      <c r="T436" s="30" t="s">
        <v>66</v>
      </c>
      <c r="U436" s="30">
        <v>9961801338</v>
      </c>
      <c r="V436" s="22" t="s">
        <v>34</v>
      </c>
    </row>
    <row r="437" spans="1:22" ht="15" thickBot="1" x14ac:dyDescent="0.4">
      <c r="A437" s="27" t="s">
        <v>549</v>
      </c>
      <c r="B437" s="27" t="s">
        <v>63</v>
      </c>
      <c r="C437" s="27" t="s">
        <v>138</v>
      </c>
      <c r="D437" s="28">
        <v>45741</v>
      </c>
      <c r="E437" s="28">
        <v>45745</v>
      </c>
      <c r="F437" s="27" t="s">
        <v>110</v>
      </c>
      <c r="G437" s="27" t="s">
        <v>58</v>
      </c>
      <c r="H437" s="28">
        <v>37783</v>
      </c>
      <c r="I437" s="27" t="s">
        <v>74</v>
      </c>
      <c r="J437" s="27" t="s">
        <v>75</v>
      </c>
      <c r="K437" s="27" t="s">
        <v>83</v>
      </c>
      <c r="L437" s="27" t="s">
        <v>139</v>
      </c>
      <c r="M437" s="27">
        <v>10</v>
      </c>
      <c r="N437" s="27">
        <v>45</v>
      </c>
      <c r="O437" s="27">
        <v>0</v>
      </c>
      <c r="P437" s="27">
        <v>450</v>
      </c>
      <c r="Q437" s="27">
        <v>5</v>
      </c>
      <c r="R437" s="27" t="s">
        <v>60</v>
      </c>
      <c r="S437" s="27" t="s">
        <v>80</v>
      </c>
      <c r="T437" s="27" t="s">
        <v>66</v>
      </c>
      <c r="U437" s="27">
        <v>9853525026</v>
      </c>
      <c r="V437" s="27" t="s">
        <v>53</v>
      </c>
    </row>
    <row r="438" spans="1:22" ht="15" thickBot="1" x14ac:dyDescent="0.4">
      <c r="A438" s="30" t="s">
        <v>550</v>
      </c>
      <c r="B438" s="30" t="s">
        <v>87</v>
      </c>
      <c r="C438" s="30" t="s">
        <v>56</v>
      </c>
      <c r="D438" s="31">
        <v>45774</v>
      </c>
      <c r="E438" s="31">
        <v>45786</v>
      </c>
      <c r="F438" s="30" t="s">
        <v>88</v>
      </c>
      <c r="G438" s="30" t="s">
        <v>58</v>
      </c>
      <c r="H438" s="31">
        <v>29930</v>
      </c>
      <c r="I438" s="30" t="s">
        <v>74</v>
      </c>
      <c r="J438" s="30" t="s">
        <v>75</v>
      </c>
      <c r="K438" s="30" t="s">
        <v>39</v>
      </c>
      <c r="L438" s="30" t="s">
        <v>59</v>
      </c>
      <c r="M438" s="30">
        <v>20</v>
      </c>
      <c r="N438" s="30">
        <v>1200</v>
      </c>
      <c r="O438" s="30">
        <v>20</v>
      </c>
      <c r="P438" s="30">
        <v>19200</v>
      </c>
      <c r="Q438" s="30">
        <v>5</v>
      </c>
      <c r="R438" s="30" t="s">
        <v>41</v>
      </c>
      <c r="S438" s="30" t="s">
        <v>50</v>
      </c>
      <c r="T438" s="30" t="s">
        <v>89</v>
      </c>
      <c r="U438" s="30">
        <v>9209649485</v>
      </c>
      <c r="V438" s="30" t="s">
        <v>53</v>
      </c>
    </row>
    <row r="439" spans="1:22" ht="15" thickBot="1" x14ac:dyDescent="0.4">
      <c r="A439" s="27" t="s">
        <v>551</v>
      </c>
      <c r="B439" s="27" t="s">
        <v>55</v>
      </c>
      <c r="C439" s="27" t="s">
        <v>56</v>
      </c>
      <c r="D439" s="28">
        <v>45919</v>
      </c>
      <c r="E439" s="28">
        <v>45926</v>
      </c>
      <c r="F439" s="27" t="s">
        <v>57</v>
      </c>
      <c r="G439" s="27" t="s">
        <v>58</v>
      </c>
      <c r="H439" s="28">
        <v>27449</v>
      </c>
      <c r="I439" s="27" t="s">
        <v>79</v>
      </c>
      <c r="J439" s="27" t="s">
        <v>75</v>
      </c>
      <c r="K439" s="27" t="s">
        <v>39</v>
      </c>
      <c r="L439" s="27" t="s">
        <v>59</v>
      </c>
      <c r="M439" s="27">
        <v>8</v>
      </c>
      <c r="N439" s="27">
        <v>1200</v>
      </c>
      <c r="O439" s="27">
        <v>10</v>
      </c>
      <c r="P439" s="27">
        <v>8640</v>
      </c>
      <c r="Q439" s="27">
        <v>4</v>
      </c>
      <c r="R439" s="27" t="s">
        <v>41</v>
      </c>
      <c r="S439" s="27" t="s">
        <v>50</v>
      </c>
      <c r="T439" s="27" t="s">
        <v>61</v>
      </c>
      <c r="U439" s="27">
        <v>9712905525</v>
      </c>
      <c r="V439" s="21" t="s">
        <v>34</v>
      </c>
    </row>
    <row r="440" spans="1:22" ht="15" thickBot="1" x14ac:dyDescent="0.4">
      <c r="A440" s="30" t="s">
        <v>552</v>
      </c>
      <c r="B440" s="30" t="s">
        <v>87</v>
      </c>
      <c r="C440" s="30" t="s">
        <v>56</v>
      </c>
      <c r="D440" s="31">
        <v>45795</v>
      </c>
      <c r="E440" s="31">
        <v>45797</v>
      </c>
      <c r="F440" s="30" t="s">
        <v>88</v>
      </c>
      <c r="G440" s="30" t="s">
        <v>58</v>
      </c>
      <c r="H440" s="31">
        <v>28395</v>
      </c>
      <c r="I440" s="30" t="s">
        <v>121</v>
      </c>
      <c r="J440" s="30" t="s">
        <v>38</v>
      </c>
      <c r="K440" s="30" t="s">
        <v>39</v>
      </c>
      <c r="L440" s="30" t="s">
        <v>59</v>
      </c>
      <c r="M440" s="30">
        <v>8</v>
      </c>
      <c r="N440" s="30">
        <v>1200</v>
      </c>
      <c r="O440" s="30">
        <v>10</v>
      </c>
      <c r="P440" s="30">
        <v>8640</v>
      </c>
      <c r="Q440" s="30">
        <v>5</v>
      </c>
      <c r="R440" s="30" t="s">
        <v>60</v>
      </c>
      <c r="S440" s="30" t="s">
        <v>42</v>
      </c>
      <c r="T440" s="30" t="s">
        <v>89</v>
      </c>
      <c r="U440" s="30">
        <v>9812472447</v>
      </c>
      <c r="V440" s="30" t="s">
        <v>53</v>
      </c>
    </row>
    <row r="441" spans="1:22" ht="15" thickBot="1" x14ac:dyDescent="0.4">
      <c r="A441" s="27" t="s">
        <v>553</v>
      </c>
      <c r="B441" s="27" t="s">
        <v>156</v>
      </c>
      <c r="C441" s="27" t="s">
        <v>24</v>
      </c>
      <c r="D441" s="28">
        <v>46020</v>
      </c>
      <c r="E441" s="28">
        <v>46021</v>
      </c>
      <c r="F441" s="27" t="s">
        <v>106</v>
      </c>
      <c r="G441" s="27" t="s">
        <v>58</v>
      </c>
      <c r="H441" s="28">
        <v>32136</v>
      </c>
      <c r="I441" s="27" t="s">
        <v>121</v>
      </c>
      <c r="J441" s="27" t="s">
        <v>38</v>
      </c>
      <c r="K441" s="27" t="s">
        <v>29</v>
      </c>
      <c r="L441" s="27" t="s">
        <v>30</v>
      </c>
      <c r="M441" s="27">
        <v>9</v>
      </c>
      <c r="N441" s="27">
        <v>2200</v>
      </c>
      <c r="O441" s="27">
        <v>20</v>
      </c>
      <c r="P441" s="27">
        <v>15840</v>
      </c>
      <c r="Q441" s="27">
        <v>1</v>
      </c>
      <c r="R441" s="27" t="s">
        <v>41</v>
      </c>
      <c r="S441" s="27" t="s">
        <v>80</v>
      </c>
      <c r="T441" s="27" t="s">
        <v>158</v>
      </c>
      <c r="U441" s="27">
        <v>9281127052</v>
      </c>
      <c r="V441" s="21" t="s">
        <v>34</v>
      </c>
    </row>
    <row r="442" spans="1:22" ht="15" thickBot="1" x14ac:dyDescent="0.4">
      <c r="A442" s="30" t="s">
        <v>554</v>
      </c>
      <c r="B442" s="30" t="s">
        <v>87</v>
      </c>
      <c r="C442" s="30" t="s">
        <v>125</v>
      </c>
      <c r="D442" s="31">
        <v>45669</v>
      </c>
      <c r="E442" s="31">
        <v>45673</v>
      </c>
      <c r="F442" s="30" t="s">
        <v>88</v>
      </c>
      <c r="G442" s="30" t="s">
        <v>58</v>
      </c>
      <c r="H442" s="31">
        <v>36973</v>
      </c>
      <c r="I442" s="30" t="s">
        <v>147</v>
      </c>
      <c r="J442" s="30" t="s">
        <v>148</v>
      </c>
      <c r="K442" s="30" t="s">
        <v>83</v>
      </c>
      <c r="L442" s="30" t="s">
        <v>127</v>
      </c>
      <c r="M442" s="30">
        <v>8</v>
      </c>
      <c r="N442" s="30">
        <v>20</v>
      </c>
      <c r="O442" s="30">
        <v>20</v>
      </c>
      <c r="P442" s="30">
        <v>128</v>
      </c>
      <c r="Q442" s="30">
        <v>4</v>
      </c>
      <c r="R442" s="30" t="s">
        <v>31</v>
      </c>
      <c r="S442" s="30" t="s">
        <v>32</v>
      </c>
      <c r="T442" s="30" t="s">
        <v>89</v>
      </c>
      <c r="U442" s="30">
        <v>9346312555</v>
      </c>
      <c r="V442" s="30" t="s">
        <v>53</v>
      </c>
    </row>
    <row r="443" spans="1:22" ht="15" thickBot="1" x14ac:dyDescent="0.4">
      <c r="A443" s="27" t="s">
        <v>555</v>
      </c>
      <c r="B443" s="27" t="s">
        <v>124</v>
      </c>
      <c r="C443" s="27" t="s">
        <v>46</v>
      </c>
      <c r="D443" s="28">
        <v>46035</v>
      </c>
      <c r="E443" s="28">
        <v>46044</v>
      </c>
      <c r="F443" s="27" t="s">
        <v>126</v>
      </c>
      <c r="G443" s="27" t="s">
        <v>58</v>
      </c>
      <c r="H443" s="28">
        <v>30216</v>
      </c>
      <c r="I443" s="27" t="s">
        <v>79</v>
      </c>
      <c r="J443" s="27" t="s">
        <v>75</v>
      </c>
      <c r="K443" s="27" t="s">
        <v>39</v>
      </c>
      <c r="L443" s="27" t="s">
        <v>49</v>
      </c>
      <c r="M443" s="27">
        <v>5</v>
      </c>
      <c r="N443" s="27">
        <v>55000</v>
      </c>
      <c r="O443" s="27">
        <v>0</v>
      </c>
      <c r="P443" s="27">
        <v>275000</v>
      </c>
      <c r="Q443" s="27">
        <v>1</v>
      </c>
      <c r="R443" s="27" t="s">
        <v>60</v>
      </c>
      <c r="S443" s="27" t="s">
        <v>80</v>
      </c>
      <c r="T443" s="27" t="s">
        <v>128</v>
      </c>
      <c r="U443" s="27">
        <v>9443786067</v>
      </c>
      <c r="V443" s="21" t="s">
        <v>34</v>
      </c>
    </row>
    <row r="444" spans="1:22" ht="15" thickBot="1" x14ac:dyDescent="0.4">
      <c r="A444" s="30" t="s">
        <v>556</v>
      </c>
      <c r="B444" s="30" t="s">
        <v>72</v>
      </c>
      <c r="C444" s="30" t="s">
        <v>56</v>
      </c>
      <c r="D444" s="31">
        <v>46096</v>
      </c>
      <c r="E444" s="31">
        <v>46099</v>
      </c>
      <c r="F444" s="30" t="s">
        <v>73</v>
      </c>
      <c r="G444" s="30" t="s">
        <v>26</v>
      </c>
      <c r="H444" s="31">
        <v>31670</v>
      </c>
      <c r="I444" s="30" t="s">
        <v>74</v>
      </c>
      <c r="J444" s="30" t="s">
        <v>75</v>
      </c>
      <c r="K444" s="30" t="s">
        <v>39</v>
      </c>
      <c r="L444" s="30" t="s">
        <v>59</v>
      </c>
      <c r="M444" s="30">
        <v>13</v>
      </c>
      <c r="N444" s="30">
        <v>1200</v>
      </c>
      <c r="O444" s="30">
        <v>5</v>
      </c>
      <c r="P444" s="30">
        <v>14820</v>
      </c>
      <c r="Q444" s="30">
        <v>2</v>
      </c>
      <c r="R444" s="30" t="s">
        <v>60</v>
      </c>
      <c r="S444" s="30" t="s">
        <v>32</v>
      </c>
      <c r="T444" s="30" t="s">
        <v>93</v>
      </c>
      <c r="U444" s="30">
        <v>9452540528</v>
      </c>
      <c r="V444" s="30" t="s">
        <v>53</v>
      </c>
    </row>
    <row r="445" spans="1:22" ht="15" thickBot="1" x14ac:dyDescent="0.4">
      <c r="A445" s="27" t="s">
        <v>557</v>
      </c>
      <c r="B445" s="27" t="s">
        <v>63</v>
      </c>
      <c r="C445" s="27" t="s">
        <v>105</v>
      </c>
      <c r="D445" s="28">
        <v>45986</v>
      </c>
      <c r="E445" s="28">
        <v>45991</v>
      </c>
      <c r="F445" s="27" t="s">
        <v>110</v>
      </c>
      <c r="G445" s="27" t="s">
        <v>58</v>
      </c>
      <c r="H445" s="28">
        <v>37602</v>
      </c>
      <c r="I445" s="27" t="s">
        <v>121</v>
      </c>
      <c r="J445" s="27" t="s">
        <v>38</v>
      </c>
      <c r="K445" s="27" t="s">
        <v>29</v>
      </c>
      <c r="L445" s="27" t="s">
        <v>107</v>
      </c>
      <c r="M445" s="27">
        <v>13</v>
      </c>
      <c r="N445" s="27">
        <v>8500</v>
      </c>
      <c r="O445" s="27">
        <v>20</v>
      </c>
      <c r="P445" s="27">
        <v>88400</v>
      </c>
      <c r="Q445" s="27">
        <v>5</v>
      </c>
      <c r="R445" s="27" t="s">
        <v>31</v>
      </c>
      <c r="S445" s="27" t="s">
        <v>42</v>
      </c>
      <c r="T445" s="27" t="s">
        <v>66</v>
      </c>
      <c r="U445" s="27">
        <v>9750918728</v>
      </c>
      <c r="V445" s="27" t="s">
        <v>52</v>
      </c>
    </row>
    <row r="446" spans="1:22" ht="15" thickBot="1" x14ac:dyDescent="0.4">
      <c r="A446" s="30" t="s">
        <v>558</v>
      </c>
      <c r="B446" s="30" t="s">
        <v>55</v>
      </c>
      <c r="C446" s="30" t="s">
        <v>82</v>
      </c>
      <c r="D446" s="31">
        <v>45692</v>
      </c>
      <c r="E446" s="31">
        <v>45703</v>
      </c>
      <c r="F446" s="30" t="s">
        <v>57</v>
      </c>
      <c r="G446" s="30" t="s">
        <v>58</v>
      </c>
      <c r="H446" s="31">
        <v>36053</v>
      </c>
      <c r="I446" s="30" t="s">
        <v>79</v>
      </c>
      <c r="J446" s="30" t="s">
        <v>75</v>
      </c>
      <c r="K446" s="30" t="s">
        <v>83</v>
      </c>
      <c r="L446" s="30" t="s">
        <v>84</v>
      </c>
      <c r="M446" s="30">
        <v>14</v>
      </c>
      <c r="N446" s="30">
        <v>60</v>
      </c>
      <c r="O446" s="30">
        <v>10</v>
      </c>
      <c r="P446" s="30">
        <v>756</v>
      </c>
      <c r="Q446" s="30">
        <v>1</v>
      </c>
      <c r="R446" s="30" t="s">
        <v>31</v>
      </c>
      <c r="S446" s="30" t="s">
        <v>50</v>
      </c>
      <c r="T446" s="30" t="s">
        <v>61</v>
      </c>
      <c r="U446" s="30">
        <v>9375975834</v>
      </c>
      <c r="V446" s="30" t="s">
        <v>53</v>
      </c>
    </row>
    <row r="447" spans="1:22" ht="15" thickBot="1" x14ac:dyDescent="0.4">
      <c r="A447" s="27" t="s">
        <v>559</v>
      </c>
      <c r="B447" s="27" t="s">
        <v>134</v>
      </c>
      <c r="C447" s="27" t="s">
        <v>24</v>
      </c>
      <c r="D447" s="28">
        <v>45775</v>
      </c>
      <c r="E447" s="28">
        <v>45776</v>
      </c>
      <c r="F447" s="27" t="s">
        <v>135</v>
      </c>
      <c r="G447" s="27" t="s">
        <v>26</v>
      </c>
      <c r="H447" s="28">
        <v>31337</v>
      </c>
      <c r="I447" s="27" t="s">
        <v>48</v>
      </c>
      <c r="J447" s="27" t="s">
        <v>28</v>
      </c>
      <c r="K447" s="27" t="s">
        <v>29</v>
      </c>
      <c r="L447" s="27" t="s">
        <v>30</v>
      </c>
      <c r="M447" s="27">
        <v>15</v>
      </c>
      <c r="N447" s="27">
        <v>2200</v>
      </c>
      <c r="O447" s="27">
        <v>0</v>
      </c>
      <c r="P447" s="27">
        <v>33000</v>
      </c>
      <c r="Q447" s="27">
        <v>1</v>
      </c>
      <c r="R447" s="27" t="s">
        <v>31</v>
      </c>
      <c r="S447" s="27" t="s">
        <v>50</v>
      </c>
      <c r="T447" s="27" t="s">
        <v>136</v>
      </c>
      <c r="U447" s="27">
        <v>9497321112</v>
      </c>
      <c r="V447" s="21" t="s">
        <v>34</v>
      </c>
    </row>
    <row r="448" spans="1:22" ht="15" thickBot="1" x14ac:dyDescent="0.4">
      <c r="A448" s="30" t="s">
        <v>560</v>
      </c>
      <c r="B448" s="30" t="s">
        <v>63</v>
      </c>
      <c r="C448" s="30" t="s">
        <v>82</v>
      </c>
      <c r="D448" s="31">
        <v>45896</v>
      </c>
      <c r="E448" s="31">
        <v>45898</v>
      </c>
      <c r="F448" s="30" t="s">
        <v>110</v>
      </c>
      <c r="G448" s="30" t="s">
        <v>58</v>
      </c>
      <c r="H448" s="31">
        <v>34926</v>
      </c>
      <c r="I448" s="30" t="s">
        <v>121</v>
      </c>
      <c r="J448" s="30" t="s">
        <v>38</v>
      </c>
      <c r="K448" s="30" t="s">
        <v>83</v>
      </c>
      <c r="L448" s="30" t="s">
        <v>84</v>
      </c>
      <c r="M448" s="30">
        <v>19</v>
      </c>
      <c r="N448" s="30">
        <v>60</v>
      </c>
      <c r="O448" s="30">
        <v>20</v>
      </c>
      <c r="P448" s="30">
        <v>912</v>
      </c>
      <c r="Q448" s="30">
        <v>3</v>
      </c>
      <c r="R448" s="30" t="s">
        <v>31</v>
      </c>
      <c r="S448" s="30" t="s">
        <v>96</v>
      </c>
      <c r="T448" s="30" t="s">
        <v>66</v>
      </c>
      <c r="U448" s="30">
        <v>9828749888</v>
      </c>
      <c r="V448" s="30" t="s">
        <v>52</v>
      </c>
    </row>
    <row r="449" spans="1:22" ht="15" thickBot="1" x14ac:dyDescent="0.4">
      <c r="A449" s="27" t="s">
        <v>561</v>
      </c>
      <c r="B449" s="27" t="s">
        <v>45</v>
      </c>
      <c r="C449" s="27" t="s">
        <v>138</v>
      </c>
      <c r="D449" s="28">
        <v>45942</v>
      </c>
      <c r="E449" s="28">
        <v>45953</v>
      </c>
      <c r="F449" s="27" t="s">
        <v>101</v>
      </c>
      <c r="G449" s="27" t="s">
        <v>26</v>
      </c>
      <c r="H449" s="28">
        <v>31286</v>
      </c>
      <c r="I449" s="27" t="s">
        <v>121</v>
      </c>
      <c r="J449" s="27" t="s">
        <v>38</v>
      </c>
      <c r="K449" s="27" t="s">
        <v>83</v>
      </c>
      <c r="L449" s="27" t="s">
        <v>139</v>
      </c>
      <c r="M449" s="27">
        <v>13</v>
      </c>
      <c r="N449" s="27">
        <v>45</v>
      </c>
      <c r="O449" s="27">
        <v>15</v>
      </c>
      <c r="P449" s="27">
        <v>497.25</v>
      </c>
      <c r="Q449" s="27">
        <v>2</v>
      </c>
      <c r="R449" s="27" t="s">
        <v>31</v>
      </c>
      <c r="S449" s="27" t="s">
        <v>42</v>
      </c>
      <c r="T449" s="27" t="s">
        <v>51</v>
      </c>
      <c r="U449" s="27">
        <v>9814267382</v>
      </c>
      <c r="V449" s="21" t="s">
        <v>34</v>
      </c>
    </row>
    <row r="450" spans="1:22" ht="15" thickBot="1" x14ac:dyDescent="0.4">
      <c r="A450" s="30" t="s">
        <v>562</v>
      </c>
      <c r="B450" s="30" t="s">
        <v>134</v>
      </c>
      <c r="C450" s="30" t="s">
        <v>36</v>
      </c>
      <c r="D450" s="31">
        <v>46036</v>
      </c>
      <c r="E450" s="31">
        <v>46046</v>
      </c>
      <c r="F450" s="30" t="s">
        <v>135</v>
      </c>
      <c r="G450" s="30" t="s">
        <v>26</v>
      </c>
      <c r="H450" s="31">
        <v>27550</v>
      </c>
      <c r="I450" s="30" t="s">
        <v>74</v>
      </c>
      <c r="J450" s="30" t="s">
        <v>75</v>
      </c>
      <c r="K450" s="30" t="s">
        <v>39</v>
      </c>
      <c r="L450" s="30" t="s">
        <v>40</v>
      </c>
      <c r="M450" s="30">
        <v>7</v>
      </c>
      <c r="N450" s="30">
        <v>12000</v>
      </c>
      <c r="O450" s="30">
        <v>5</v>
      </c>
      <c r="P450" s="30">
        <v>79800</v>
      </c>
      <c r="Q450" s="30">
        <v>4</v>
      </c>
      <c r="R450" s="30" t="s">
        <v>60</v>
      </c>
      <c r="S450" s="30" t="s">
        <v>96</v>
      </c>
      <c r="T450" s="30" t="s">
        <v>136</v>
      </c>
      <c r="U450" s="30">
        <v>9937007439</v>
      </c>
      <c r="V450" s="30" t="s">
        <v>53</v>
      </c>
    </row>
    <row r="451" spans="1:22" ht="15" thickBot="1" x14ac:dyDescent="0.4">
      <c r="A451" s="27" t="s">
        <v>563</v>
      </c>
      <c r="B451" s="27" t="s">
        <v>156</v>
      </c>
      <c r="C451" s="27" t="s">
        <v>125</v>
      </c>
      <c r="D451" s="23">
        <v>46152</v>
      </c>
      <c r="E451" s="27"/>
      <c r="F451" s="27" t="s">
        <v>106</v>
      </c>
      <c r="G451" s="27" t="s">
        <v>58</v>
      </c>
      <c r="H451" s="28">
        <v>35514</v>
      </c>
      <c r="I451" s="27" t="s">
        <v>147</v>
      </c>
      <c r="J451" s="27" t="s">
        <v>148</v>
      </c>
      <c r="K451" s="27" t="s">
        <v>83</v>
      </c>
      <c r="L451" s="27" t="s">
        <v>127</v>
      </c>
      <c r="M451" s="27">
        <v>8</v>
      </c>
      <c r="N451" s="27">
        <v>20</v>
      </c>
      <c r="O451" s="27">
        <v>0</v>
      </c>
      <c r="P451" s="27">
        <v>160</v>
      </c>
      <c r="Q451" s="27">
        <v>4</v>
      </c>
      <c r="R451" s="27" t="s">
        <v>60</v>
      </c>
      <c r="S451" s="27" t="s">
        <v>50</v>
      </c>
      <c r="T451" s="27" t="s">
        <v>158</v>
      </c>
      <c r="U451" s="27">
        <v>9657513435</v>
      </c>
      <c r="V451" s="27" t="s">
        <v>52</v>
      </c>
    </row>
    <row r="452" spans="1:22" ht="15" thickBot="1" x14ac:dyDescent="0.4">
      <c r="A452" s="30" t="s">
        <v>564</v>
      </c>
      <c r="B452" s="30" t="s">
        <v>23</v>
      </c>
      <c r="C452" s="30" t="s">
        <v>68</v>
      </c>
      <c r="D452" s="31">
        <v>45689</v>
      </c>
      <c r="E452" s="31">
        <v>45694</v>
      </c>
      <c r="F452" s="30" t="s">
        <v>25</v>
      </c>
      <c r="G452" s="30" t="s">
        <v>26</v>
      </c>
      <c r="H452" s="31">
        <v>35538</v>
      </c>
      <c r="I452" s="30" t="s">
        <v>147</v>
      </c>
      <c r="J452" s="30" t="s">
        <v>148</v>
      </c>
      <c r="K452" s="30" t="s">
        <v>29</v>
      </c>
      <c r="L452" s="30" t="s">
        <v>70</v>
      </c>
      <c r="M452" s="30">
        <v>16</v>
      </c>
      <c r="N452" s="30">
        <v>3500</v>
      </c>
      <c r="O452" s="30">
        <v>5</v>
      </c>
      <c r="P452" s="30">
        <v>53200</v>
      </c>
      <c r="Q452" s="30">
        <v>1</v>
      </c>
      <c r="R452" s="30" t="s">
        <v>60</v>
      </c>
      <c r="S452" s="30" t="s">
        <v>50</v>
      </c>
      <c r="T452" s="30" t="s">
        <v>43</v>
      </c>
      <c r="U452" s="30">
        <v>9999406260</v>
      </c>
      <c r="V452" s="30" t="s">
        <v>53</v>
      </c>
    </row>
    <row r="453" spans="1:22" ht="15" thickBot="1" x14ac:dyDescent="0.4">
      <c r="A453" s="27" t="s">
        <v>565</v>
      </c>
      <c r="B453" s="27" t="s">
        <v>156</v>
      </c>
      <c r="C453" s="27" t="s">
        <v>105</v>
      </c>
      <c r="D453" s="28">
        <v>45710</v>
      </c>
      <c r="E453" s="28">
        <v>45720</v>
      </c>
      <c r="F453" s="27" t="s">
        <v>106</v>
      </c>
      <c r="G453" s="27" t="s">
        <v>58</v>
      </c>
      <c r="H453" s="28">
        <v>36308</v>
      </c>
      <c r="I453" s="27" t="s">
        <v>74</v>
      </c>
      <c r="J453" s="27" t="s">
        <v>75</v>
      </c>
      <c r="K453" s="27" t="s">
        <v>29</v>
      </c>
      <c r="L453" s="27" t="s">
        <v>107</v>
      </c>
      <c r="M453" s="27">
        <v>12</v>
      </c>
      <c r="N453" s="27">
        <v>8500</v>
      </c>
      <c r="O453" s="27">
        <v>10</v>
      </c>
      <c r="P453" s="27">
        <v>91800</v>
      </c>
      <c r="Q453" s="27">
        <v>3</v>
      </c>
      <c r="R453" s="27" t="s">
        <v>60</v>
      </c>
      <c r="S453" s="27" t="s">
        <v>32</v>
      </c>
      <c r="T453" s="27" t="s">
        <v>158</v>
      </c>
      <c r="U453" s="27">
        <v>9233727886</v>
      </c>
      <c r="V453" s="21" t="s">
        <v>34</v>
      </c>
    </row>
    <row r="454" spans="1:22" ht="15" thickBot="1" x14ac:dyDescent="0.4">
      <c r="A454" s="30" t="s">
        <v>566</v>
      </c>
      <c r="B454" s="30" t="s">
        <v>23</v>
      </c>
      <c r="C454" s="30" t="s">
        <v>82</v>
      </c>
      <c r="D454" s="31">
        <v>45765</v>
      </c>
      <c r="E454" s="31">
        <v>45767</v>
      </c>
      <c r="F454" s="30" t="s">
        <v>25</v>
      </c>
      <c r="G454" s="30" t="s">
        <v>26</v>
      </c>
      <c r="H454" s="31">
        <v>30492</v>
      </c>
      <c r="I454" s="30" t="s">
        <v>91</v>
      </c>
      <c r="J454" s="30" t="s">
        <v>75</v>
      </c>
      <c r="K454" s="30" t="s">
        <v>83</v>
      </c>
      <c r="L454" s="30" t="s">
        <v>84</v>
      </c>
      <c r="M454" s="30">
        <v>1</v>
      </c>
      <c r="N454" s="30">
        <v>60</v>
      </c>
      <c r="O454" s="30">
        <v>20</v>
      </c>
      <c r="P454" s="30">
        <v>48</v>
      </c>
      <c r="Q454" s="30">
        <v>2</v>
      </c>
      <c r="R454" s="30" t="s">
        <v>60</v>
      </c>
      <c r="S454" s="30" t="s">
        <v>96</v>
      </c>
      <c r="T454" s="30" t="s">
        <v>43</v>
      </c>
      <c r="U454" s="30">
        <v>9831688801</v>
      </c>
      <c r="V454" s="22" t="s">
        <v>34</v>
      </c>
    </row>
    <row r="455" spans="1:22" ht="15" thickBot="1" x14ac:dyDescent="0.4">
      <c r="A455" s="27" t="s">
        <v>567</v>
      </c>
      <c r="B455" s="27" t="s">
        <v>87</v>
      </c>
      <c r="C455" s="27" t="s">
        <v>82</v>
      </c>
      <c r="D455" s="28">
        <v>45967</v>
      </c>
      <c r="E455" s="28">
        <v>45972</v>
      </c>
      <c r="F455" s="27" t="s">
        <v>88</v>
      </c>
      <c r="G455" s="27" t="s">
        <v>58</v>
      </c>
      <c r="H455" s="28">
        <v>33995</v>
      </c>
      <c r="I455" s="27" t="s">
        <v>27</v>
      </c>
      <c r="J455" s="27" t="s">
        <v>28</v>
      </c>
      <c r="K455" s="27" t="s">
        <v>83</v>
      </c>
      <c r="L455" s="27" t="s">
        <v>84</v>
      </c>
      <c r="M455" s="27">
        <v>3</v>
      </c>
      <c r="N455" s="27">
        <v>60</v>
      </c>
      <c r="O455" s="27">
        <v>15</v>
      </c>
      <c r="P455" s="27">
        <v>153</v>
      </c>
      <c r="Q455" s="27">
        <v>4</v>
      </c>
      <c r="R455" s="27" t="s">
        <v>60</v>
      </c>
      <c r="S455" s="27" t="s">
        <v>32</v>
      </c>
      <c r="T455" s="27" t="s">
        <v>89</v>
      </c>
      <c r="U455" s="27">
        <v>9982849508</v>
      </c>
      <c r="V455" s="21" t="s">
        <v>34</v>
      </c>
    </row>
    <row r="456" spans="1:22" ht="15" thickBot="1" x14ac:dyDescent="0.4">
      <c r="A456" s="30" t="s">
        <v>568</v>
      </c>
      <c r="B456" s="30" t="s">
        <v>72</v>
      </c>
      <c r="C456" s="30" t="s">
        <v>112</v>
      </c>
      <c r="D456" s="31">
        <v>45736</v>
      </c>
      <c r="E456" s="31">
        <v>45741</v>
      </c>
      <c r="F456" s="30" t="s">
        <v>73</v>
      </c>
      <c r="G456" s="30" t="s">
        <v>26</v>
      </c>
      <c r="H456" s="31">
        <v>28917</v>
      </c>
      <c r="I456" s="30" t="s">
        <v>147</v>
      </c>
      <c r="J456" s="30" t="s">
        <v>148</v>
      </c>
      <c r="K456" s="30" t="s">
        <v>39</v>
      </c>
      <c r="L456" s="30" t="s">
        <v>114</v>
      </c>
      <c r="M456" s="30">
        <v>10</v>
      </c>
      <c r="N456" s="30">
        <v>700</v>
      </c>
      <c r="O456" s="30">
        <v>15</v>
      </c>
      <c r="P456" s="30">
        <v>5950</v>
      </c>
      <c r="Q456" s="30">
        <v>3</v>
      </c>
      <c r="R456" s="30" t="s">
        <v>41</v>
      </c>
      <c r="S456" s="30" t="s">
        <v>32</v>
      </c>
      <c r="T456" s="30" t="s">
        <v>93</v>
      </c>
      <c r="U456" s="30">
        <v>9288309246</v>
      </c>
      <c r="V456" s="30" t="s">
        <v>52</v>
      </c>
    </row>
    <row r="457" spans="1:22" ht="15" thickBot="1" x14ac:dyDescent="0.4">
      <c r="A457" s="27" t="s">
        <v>569</v>
      </c>
      <c r="B457" s="27" t="s">
        <v>63</v>
      </c>
      <c r="C457" s="27" t="s">
        <v>125</v>
      </c>
      <c r="D457" s="28">
        <v>45952</v>
      </c>
      <c r="E457" s="28">
        <v>45955</v>
      </c>
      <c r="F457" s="27" t="s">
        <v>110</v>
      </c>
      <c r="G457" s="27" t="s">
        <v>58</v>
      </c>
      <c r="H457" s="28">
        <v>28016</v>
      </c>
      <c r="I457" s="27" t="s">
        <v>91</v>
      </c>
      <c r="J457" s="27" t="s">
        <v>75</v>
      </c>
      <c r="K457" s="27" t="s">
        <v>83</v>
      </c>
      <c r="L457" s="27" t="s">
        <v>127</v>
      </c>
      <c r="M457" s="27">
        <v>2</v>
      </c>
      <c r="N457" s="27">
        <v>20</v>
      </c>
      <c r="O457" s="27">
        <v>10</v>
      </c>
      <c r="P457" s="27">
        <v>36</v>
      </c>
      <c r="Q457" s="27">
        <v>2</v>
      </c>
      <c r="R457" s="27" t="s">
        <v>65</v>
      </c>
      <c r="S457" s="27" t="s">
        <v>50</v>
      </c>
      <c r="T457" s="27" t="s">
        <v>66</v>
      </c>
      <c r="U457" s="27">
        <v>9808476235</v>
      </c>
      <c r="V457" s="21" t="s">
        <v>34</v>
      </c>
    </row>
    <row r="458" spans="1:22" ht="15" thickBot="1" x14ac:dyDescent="0.4">
      <c r="A458" s="30" t="s">
        <v>570</v>
      </c>
      <c r="B458" s="30" t="s">
        <v>63</v>
      </c>
      <c r="C458" s="30" t="s">
        <v>125</v>
      </c>
      <c r="D458" s="31">
        <v>46022</v>
      </c>
      <c r="E458" s="31">
        <v>46027</v>
      </c>
      <c r="F458" s="30" t="s">
        <v>110</v>
      </c>
      <c r="G458" s="30" t="s">
        <v>58</v>
      </c>
      <c r="H458" s="31">
        <v>33446</v>
      </c>
      <c r="I458" s="30" t="s">
        <v>37</v>
      </c>
      <c r="J458" s="30" t="s">
        <v>38</v>
      </c>
      <c r="K458" s="30" t="s">
        <v>83</v>
      </c>
      <c r="L458" s="30" t="s">
        <v>127</v>
      </c>
      <c r="M458" s="30">
        <v>14</v>
      </c>
      <c r="N458" s="30">
        <v>20</v>
      </c>
      <c r="O458" s="30">
        <v>20</v>
      </c>
      <c r="P458" s="30">
        <v>224</v>
      </c>
      <c r="Q458" s="30">
        <v>5</v>
      </c>
      <c r="R458" s="30" t="s">
        <v>31</v>
      </c>
      <c r="S458" s="30" t="s">
        <v>96</v>
      </c>
      <c r="T458" s="30" t="s">
        <v>66</v>
      </c>
      <c r="U458" s="30">
        <v>9869056117</v>
      </c>
      <c r="V458" s="30" t="s">
        <v>52</v>
      </c>
    </row>
    <row r="459" spans="1:22" ht="15" thickBot="1" x14ac:dyDescent="0.4">
      <c r="A459" s="27" t="s">
        <v>571</v>
      </c>
      <c r="B459" s="27" t="s">
        <v>156</v>
      </c>
      <c r="C459" s="27" t="s">
        <v>68</v>
      </c>
      <c r="D459" s="28">
        <v>45829</v>
      </c>
      <c r="E459" s="28">
        <v>45833</v>
      </c>
      <c r="F459" s="27" t="s">
        <v>106</v>
      </c>
      <c r="G459" s="27" t="s">
        <v>58</v>
      </c>
      <c r="H459" s="28">
        <v>32075</v>
      </c>
      <c r="I459" s="27" t="s">
        <v>91</v>
      </c>
      <c r="J459" s="27" t="s">
        <v>75</v>
      </c>
      <c r="K459" s="27" t="s">
        <v>29</v>
      </c>
      <c r="L459" s="27" t="s">
        <v>70</v>
      </c>
      <c r="M459" s="27">
        <v>4</v>
      </c>
      <c r="N459" s="27">
        <v>3500</v>
      </c>
      <c r="O459" s="27">
        <v>0</v>
      </c>
      <c r="P459" s="27">
        <v>14000</v>
      </c>
      <c r="Q459" s="27">
        <v>2</v>
      </c>
      <c r="R459" s="27" t="s">
        <v>65</v>
      </c>
      <c r="S459" s="27" t="s">
        <v>32</v>
      </c>
      <c r="T459" s="27" t="s">
        <v>158</v>
      </c>
      <c r="U459" s="27">
        <v>9734229772</v>
      </c>
      <c r="V459" s="27" t="s">
        <v>53</v>
      </c>
    </row>
    <row r="460" spans="1:22" ht="15" thickBot="1" x14ac:dyDescent="0.4">
      <c r="A460" s="30" t="s">
        <v>572</v>
      </c>
      <c r="B460" s="30" t="s">
        <v>63</v>
      </c>
      <c r="C460" s="30" t="s">
        <v>68</v>
      </c>
      <c r="D460" s="31">
        <v>45812</v>
      </c>
      <c r="E460" s="31">
        <v>45813</v>
      </c>
      <c r="F460" s="30" t="s">
        <v>110</v>
      </c>
      <c r="G460" s="30" t="s">
        <v>58</v>
      </c>
      <c r="H460" s="31">
        <v>30629</v>
      </c>
      <c r="I460" s="30" t="s">
        <v>121</v>
      </c>
      <c r="J460" s="30" t="s">
        <v>38</v>
      </c>
      <c r="K460" s="30" t="s">
        <v>29</v>
      </c>
      <c r="L460" s="30" t="s">
        <v>70</v>
      </c>
      <c r="M460" s="30">
        <v>9</v>
      </c>
      <c r="N460" s="30">
        <v>3500</v>
      </c>
      <c r="O460" s="30">
        <v>5</v>
      </c>
      <c r="P460" s="30">
        <v>29925</v>
      </c>
      <c r="Q460" s="30">
        <v>3</v>
      </c>
      <c r="R460" s="30" t="s">
        <v>60</v>
      </c>
      <c r="S460" s="30" t="s">
        <v>50</v>
      </c>
      <c r="T460" s="30" t="s">
        <v>66</v>
      </c>
      <c r="U460" s="30">
        <v>9791617906</v>
      </c>
      <c r="V460" s="22" t="s">
        <v>34</v>
      </c>
    </row>
    <row r="461" spans="1:22" ht="15" thickBot="1" x14ac:dyDescent="0.4">
      <c r="A461" s="27" t="s">
        <v>573</v>
      </c>
      <c r="B461" s="27" t="s">
        <v>87</v>
      </c>
      <c r="C461" s="27" t="s">
        <v>82</v>
      </c>
      <c r="D461" s="28">
        <v>45807</v>
      </c>
      <c r="E461" s="28">
        <v>45811</v>
      </c>
      <c r="F461" s="27" t="s">
        <v>88</v>
      </c>
      <c r="G461" s="27" t="s">
        <v>58</v>
      </c>
      <c r="H461" s="28">
        <v>30678</v>
      </c>
      <c r="I461" s="27" t="s">
        <v>74</v>
      </c>
      <c r="J461" s="27" t="s">
        <v>75</v>
      </c>
      <c r="K461" s="27" t="s">
        <v>83</v>
      </c>
      <c r="L461" s="27" t="s">
        <v>84</v>
      </c>
      <c r="M461" s="27">
        <v>9</v>
      </c>
      <c r="N461" s="27">
        <v>60</v>
      </c>
      <c r="O461" s="27">
        <v>0</v>
      </c>
      <c r="P461" s="27">
        <v>540</v>
      </c>
      <c r="Q461" s="27">
        <v>3</v>
      </c>
      <c r="R461" s="27" t="s">
        <v>65</v>
      </c>
      <c r="S461" s="27" t="s">
        <v>32</v>
      </c>
      <c r="T461" s="27" t="s">
        <v>89</v>
      </c>
      <c r="U461" s="27">
        <v>9286316823</v>
      </c>
      <c r="V461" s="27" t="s">
        <v>52</v>
      </c>
    </row>
    <row r="462" spans="1:22" ht="15" thickBot="1" x14ac:dyDescent="0.4">
      <c r="A462" s="30" t="s">
        <v>574</v>
      </c>
      <c r="B462" s="30" t="s">
        <v>104</v>
      </c>
      <c r="C462" s="30" t="s">
        <v>56</v>
      </c>
      <c r="D462" s="31">
        <v>45779</v>
      </c>
      <c r="E462" s="31">
        <v>45780</v>
      </c>
      <c r="F462" s="30" t="s">
        <v>166</v>
      </c>
      <c r="G462" s="30" t="s">
        <v>26</v>
      </c>
      <c r="H462" s="31">
        <v>33862</v>
      </c>
      <c r="I462" s="30" t="s">
        <v>91</v>
      </c>
      <c r="J462" s="30" t="s">
        <v>75</v>
      </c>
      <c r="K462" s="30" t="s">
        <v>39</v>
      </c>
      <c r="L462" s="30" t="s">
        <v>59</v>
      </c>
      <c r="M462" s="30">
        <v>4</v>
      </c>
      <c r="N462" s="30">
        <v>1200</v>
      </c>
      <c r="O462" s="30">
        <v>0</v>
      </c>
      <c r="P462" s="30">
        <v>4800</v>
      </c>
      <c r="Q462" s="30">
        <v>1</v>
      </c>
      <c r="R462" s="30" t="s">
        <v>41</v>
      </c>
      <c r="S462" s="30" t="s">
        <v>50</v>
      </c>
      <c r="T462" s="30" t="s">
        <v>108</v>
      </c>
      <c r="U462" s="30">
        <v>9810569252</v>
      </c>
      <c r="V462" s="22" t="s">
        <v>34</v>
      </c>
    </row>
    <row r="463" spans="1:22" ht="15" thickBot="1" x14ac:dyDescent="0.4">
      <c r="A463" s="27" t="s">
        <v>575</v>
      </c>
      <c r="B463" s="27" t="s">
        <v>45</v>
      </c>
      <c r="C463" s="27" t="s">
        <v>46</v>
      </c>
      <c r="D463" s="28">
        <v>45691</v>
      </c>
      <c r="E463" s="28">
        <v>45701</v>
      </c>
      <c r="F463" s="27" t="s">
        <v>101</v>
      </c>
      <c r="G463" s="27" t="s">
        <v>26</v>
      </c>
      <c r="H463" s="28">
        <v>36381</v>
      </c>
      <c r="I463" s="27" t="s">
        <v>27</v>
      </c>
      <c r="J463" s="27" t="s">
        <v>28</v>
      </c>
      <c r="K463" s="27" t="s">
        <v>39</v>
      </c>
      <c r="L463" s="27" t="s">
        <v>49</v>
      </c>
      <c r="M463" s="27">
        <v>10</v>
      </c>
      <c r="N463" s="27">
        <v>55000</v>
      </c>
      <c r="O463" s="27">
        <v>5</v>
      </c>
      <c r="P463" s="27">
        <v>522500</v>
      </c>
      <c r="Q463" s="27">
        <v>5</v>
      </c>
      <c r="R463" s="27" t="s">
        <v>65</v>
      </c>
      <c r="S463" s="27" t="s">
        <v>80</v>
      </c>
      <c r="T463" s="27" t="s">
        <v>51</v>
      </c>
      <c r="U463" s="27">
        <v>9771745925</v>
      </c>
      <c r="V463" s="21" t="s">
        <v>34</v>
      </c>
    </row>
    <row r="464" spans="1:22" ht="15" thickBot="1" x14ac:dyDescent="0.4">
      <c r="A464" s="30" t="s">
        <v>576</v>
      </c>
      <c r="B464" s="30" t="s">
        <v>124</v>
      </c>
      <c r="C464" s="30" t="s">
        <v>138</v>
      </c>
      <c r="D464" s="31">
        <v>45837</v>
      </c>
      <c r="E464" s="31">
        <v>45844</v>
      </c>
      <c r="F464" s="30" t="s">
        <v>126</v>
      </c>
      <c r="G464" s="30" t="s">
        <v>58</v>
      </c>
      <c r="H464" s="31">
        <v>32931</v>
      </c>
      <c r="I464" s="30" t="s">
        <v>27</v>
      </c>
      <c r="J464" s="30" t="s">
        <v>28</v>
      </c>
      <c r="K464" s="30" t="s">
        <v>83</v>
      </c>
      <c r="L464" s="30" t="s">
        <v>139</v>
      </c>
      <c r="M464" s="30">
        <v>20</v>
      </c>
      <c r="N464" s="30">
        <v>45</v>
      </c>
      <c r="O464" s="30">
        <v>15</v>
      </c>
      <c r="P464" s="30">
        <v>765</v>
      </c>
      <c r="Q464" s="30">
        <v>2</v>
      </c>
      <c r="R464" s="30" t="s">
        <v>60</v>
      </c>
      <c r="S464" s="30" t="s">
        <v>32</v>
      </c>
      <c r="T464" s="30" t="s">
        <v>128</v>
      </c>
      <c r="U464" s="30">
        <v>9820683063</v>
      </c>
      <c r="V464" s="30" t="s">
        <v>53</v>
      </c>
    </row>
    <row r="465" spans="1:22" ht="15" thickBot="1" x14ac:dyDescent="0.4">
      <c r="A465" s="27" t="s">
        <v>577</v>
      </c>
      <c r="B465" s="27" t="s">
        <v>23</v>
      </c>
      <c r="C465" s="27" t="s">
        <v>125</v>
      </c>
      <c r="D465" s="28">
        <v>46065</v>
      </c>
      <c r="E465" s="28">
        <v>46075</v>
      </c>
      <c r="F465" s="27" t="s">
        <v>25</v>
      </c>
      <c r="G465" s="27" t="s">
        <v>26</v>
      </c>
      <c r="H465" s="28">
        <v>34420</v>
      </c>
      <c r="I465" s="27" t="s">
        <v>74</v>
      </c>
      <c r="J465" s="27" t="s">
        <v>75</v>
      </c>
      <c r="K465" s="27" t="s">
        <v>83</v>
      </c>
      <c r="L465" s="27" t="s">
        <v>127</v>
      </c>
      <c r="M465" s="27">
        <v>9</v>
      </c>
      <c r="N465" s="27">
        <v>20</v>
      </c>
      <c r="O465" s="27">
        <v>20</v>
      </c>
      <c r="P465" s="27">
        <v>144</v>
      </c>
      <c r="Q465" s="27">
        <v>3</v>
      </c>
      <c r="R465" s="27" t="s">
        <v>60</v>
      </c>
      <c r="S465" s="27" t="s">
        <v>50</v>
      </c>
      <c r="T465" s="27" t="s">
        <v>43</v>
      </c>
      <c r="U465" s="27">
        <v>9292891941</v>
      </c>
      <c r="V465" s="21" t="s">
        <v>34</v>
      </c>
    </row>
    <row r="466" spans="1:22" ht="15" thickBot="1" x14ac:dyDescent="0.4">
      <c r="A466" s="30" t="s">
        <v>578</v>
      </c>
      <c r="B466" s="30" t="s">
        <v>23</v>
      </c>
      <c r="C466" s="30" t="s">
        <v>46</v>
      </c>
      <c r="D466" s="31">
        <v>45719</v>
      </c>
      <c r="E466" s="31">
        <v>45730</v>
      </c>
      <c r="F466" s="30" t="s">
        <v>25</v>
      </c>
      <c r="G466" s="30" t="s">
        <v>26</v>
      </c>
      <c r="H466" s="31">
        <v>29383</v>
      </c>
      <c r="I466" s="30" t="s">
        <v>79</v>
      </c>
      <c r="J466" s="30" t="s">
        <v>75</v>
      </c>
      <c r="K466" s="30" t="s">
        <v>39</v>
      </c>
      <c r="L466" s="30" t="s">
        <v>49</v>
      </c>
      <c r="M466" s="30">
        <v>8</v>
      </c>
      <c r="N466" s="30">
        <v>55000</v>
      </c>
      <c r="O466" s="30">
        <v>0</v>
      </c>
      <c r="P466" s="30">
        <v>440000</v>
      </c>
      <c r="Q466" s="30">
        <v>4</v>
      </c>
      <c r="R466" s="30" t="s">
        <v>31</v>
      </c>
      <c r="S466" s="30" t="s">
        <v>80</v>
      </c>
      <c r="T466" s="30" t="s">
        <v>43</v>
      </c>
      <c r="U466" s="30">
        <v>9413789556</v>
      </c>
      <c r="V466" s="22" t="s">
        <v>34</v>
      </c>
    </row>
    <row r="467" spans="1:22" ht="15" thickBot="1" x14ac:dyDescent="0.4">
      <c r="A467" s="27" t="s">
        <v>579</v>
      </c>
      <c r="B467" s="27" t="s">
        <v>156</v>
      </c>
      <c r="C467" s="27" t="s">
        <v>56</v>
      </c>
      <c r="D467" s="28">
        <v>46136</v>
      </c>
      <c r="E467" s="28">
        <v>46140</v>
      </c>
      <c r="F467" s="27" t="s">
        <v>106</v>
      </c>
      <c r="G467" s="27" t="s">
        <v>58</v>
      </c>
      <c r="H467" s="28">
        <v>36687</v>
      </c>
      <c r="I467" s="27" t="s">
        <v>91</v>
      </c>
      <c r="J467" s="27" t="s">
        <v>75</v>
      </c>
      <c r="K467" s="27" t="s">
        <v>39</v>
      </c>
      <c r="L467" s="27" t="s">
        <v>59</v>
      </c>
      <c r="M467" s="27">
        <v>4</v>
      </c>
      <c r="N467" s="27">
        <v>1200</v>
      </c>
      <c r="O467" s="27">
        <v>10</v>
      </c>
      <c r="P467" s="27">
        <v>4320</v>
      </c>
      <c r="Q467" s="27">
        <v>4</v>
      </c>
      <c r="R467" s="27" t="s">
        <v>65</v>
      </c>
      <c r="S467" s="27" t="s">
        <v>32</v>
      </c>
      <c r="T467" s="29" t="s">
        <v>580</v>
      </c>
      <c r="U467" s="27">
        <v>98765</v>
      </c>
      <c r="V467" s="27" t="s">
        <v>53</v>
      </c>
    </row>
    <row r="468" spans="1:22" ht="15" thickBot="1" x14ac:dyDescent="0.4">
      <c r="A468" s="30" t="s">
        <v>581</v>
      </c>
      <c r="B468" s="30" t="s">
        <v>156</v>
      </c>
      <c r="C468" s="30" t="s">
        <v>105</v>
      </c>
      <c r="D468" s="31">
        <v>46145</v>
      </c>
      <c r="E468" s="31">
        <v>46155</v>
      </c>
      <c r="F468" s="30" t="s">
        <v>106</v>
      </c>
      <c r="G468" s="30" t="s">
        <v>58</v>
      </c>
      <c r="H468" s="31">
        <v>35906</v>
      </c>
      <c r="I468" s="30" t="s">
        <v>147</v>
      </c>
      <c r="J468" s="30" t="s">
        <v>148</v>
      </c>
      <c r="K468" s="30" t="s">
        <v>29</v>
      </c>
      <c r="L468" s="30" t="s">
        <v>107</v>
      </c>
      <c r="M468" s="30">
        <v>14</v>
      </c>
      <c r="N468" s="30">
        <v>8500</v>
      </c>
      <c r="O468" s="30">
        <v>10</v>
      </c>
      <c r="P468" s="30">
        <v>107100</v>
      </c>
      <c r="Q468" s="30">
        <v>4</v>
      </c>
      <c r="R468" s="30" t="s">
        <v>31</v>
      </c>
      <c r="S468" s="30" t="s">
        <v>32</v>
      </c>
      <c r="T468" s="30" t="s">
        <v>158</v>
      </c>
      <c r="U468" s="30">
        <v>9211936331</v>
      </c>
      <c r="V468" s="22" t="s">
        <v>34</v>
      </c>
    </row>
    <row r="469" spans="1:22" ht="15" thickBot="1" x14ac:dyDescent="0.4">
      <c r="A469" s="27" t="s">
        <v>582</v>
      </c>
      <c r="B469" s="27" t="s">
        <v>55</v>
      </c>
      <c r="C469" s="27" t="s">
        <v>138</v>
      </c>
      <c r="D469" s="28">
        <v>45807</v>
      </c>
      <c r="E469" s="28">
        <v>45815</v>
      </c>
      <c r="F469" s="27" t="s">
        <v>57</v>
      </c>
      <c r="G469" s="27" t="s">
        <v>58</v>
      </c>
      <c r="H469" s="28">
        <v>30812</v>
      </c>
      <c r="I469" s="27" t="s">
        <v>27</v>
      </c>
      <c r="J469" s="27" t="s">
        <v>28</v>
      </c>
      <c r="K469" s="27" t="s">
        <v>83</v>
      </c>
      <c r="L469" s="27" t="s">
        <v>139</v>
      </c>
      <c r="M469" s="27">
        <v>1</v>
      </c>
      <c r="N469" s="27">
        <v>45</v>
      </c>
      <c r="O469" s="27">
        <v>0</v>
      </c>
      <c r="P469" s="27">
        <v>45</v>
      </c>
      <c r="Q469" s="27">
        <v>3</v>
      </c>
      <c r="R469" s="27" t="s">
        <v>65</v>
      </c>
      <c r="S469" s="27" t="s">
        <v>96</v>
      </c>
      <c r="T469" s="27" t="s">
        <v>61</v>
      </c>
      <c r="U469" s="27">
        <v>9167291747</v>
      </c>
      <c r="V469" s="27" t="s">
        <v>53</v>
      </c>
    </row>
    <row r="470" spans="1:22" ht="15" thickBot="1" x14ac:dyDescent="0.4">
      <c r="A470" s="30" t="s">
        <v>583</v>
      </c>
      <c r="B470" s="30" t="s">
        <v>55</v>
      </c>
      <c r="C470" s="30" t="s">
        <v>46</v>
      </c>
      <c r="D470" s="31">
        <v>45705</v>
      </c>
      <c r="E470" s="31">
        <v>45716</v>
      </c>
      <c r="F470" s="30" t="s">
        <v>57</v>
      </c>
      <c r="G470" s="30" t="s">
        <v>58</v>
      </c>
      <c r="H470" s="31">
        <v>31692</v>
      </c>
      <c r="I470" s="30" t="s">
        <v>37</v>
      </c>
      <c r="J470" s="30" t="s">
        <v>38</v>
      </c>
      <c r="K470" s="30" t="s">
        <v>39</v>
      </c>
      <c r="L470" s="30" t="s">
        <v>49</v>
      </c>
      <c r="M470" s="30">
        <v>16</v>
      </c>
      <c r="N470" s="30">
        <v>55000</v>
      </c>
      <c r="O470" s="30">
        <v>15</v>
      </c>
      <c r="P470" s="30">
        <v>748000</v>
      </c>
      <c r="Q470" s="30">
        <v>1</v>
      </c>
      <c r="R470" s="30" t="s">
        <v>60</v>
      </c>
      <c r="S470" s="30" t="s">
        <v>96</v>
      </c>
      <c r="T470" s="30" t="s">
        <v>61</v>
      </c>
      <c r="U470" s="30">
        <v>9637283597</v>
      </c>
      <c r="V470" s="30" t="s">
        <v>53</v>
      </c>
    </row>
    <row r="471" spans="1:22" ht="15" thickBot="1" x14ac:dyDescent="0.4">
      <c r="A471" s="27" t="s">
        <v>584</v>
      </c>
      <c r="B471" s="27" t="s">
        <v>45</v>
      </c>
      <c r="C471" s="27" t="s">
        <v>112</v>
      </c>
      <c r="D471" s="28">
        <v>46103</v>
      </c>
      <c r="E471" s="28">
        <v>46110</v>
      </c>
      <c r="F471" s="27" t="s">
        <v>101</v>
      </c>
      <c r="G471" s="27" t="s">
        <v>26</v>
      </c>
      <c r="H471" s="28">
        <v>37926</v>
      </c>
      <c r="I471" s="27" t="s">
        <v>91</v>
      </c>
      <c r="J471" s="27" t="s">
        <v>75</v>
      </c>
      <c r="K471" s="27" t="s">
        <v>39</v>
      </c>
      <c r="L471" s="27" t="s">
        <v>114</v>
      </c>
      <c r="M471" s="27">
        <v>8</v>
      </c>
      <c r="N471" s="27">
        <v>700</v>
      </c>
      <c r="O471" s="27">
        <v>0</v>
      </c>
      <c r="P471" s="27">
        <v>5600</v>
      </c>
      <c r="Q471" s="27">
        <v>3</v>
      </c>
      <c r="R471" s="27" t="s">
        <v>31</v>
      </c>
      <c r="S471" s="27" t="s">
        <v>42</v>
      </c>
      <c r="T471" s="27" t="s">
        <v>51</v>
      </c>
      <c r="U471" s="27">
        <v>9514269002</v>
      </c>
      <c r="V471" s="21" t="s">
        <v>34</v>
      </c>
    </row>
    <row r="472" spans="1:22" ht="15" thickBot="1" x14ac:dyDescent="0.4">
      <c r="A472" s="30" t="s">
        <v>585</v>
      </c>
      <c r="B472" s="30" t="s">
        <v>134</v>
      </c>
      <c r="C472" s="30" t="s">
        <v>56</v>
      </c>
      <c r="D472" s="31">
        <v>46114</v>
      </c>
      <c r="E472" s="31">
        <v>46125</v>
      </c>
      <c r="F472" s="30" t="s">
        <v>135</v>
      </c>
      <c r="G472" s="30" t="s">
        <v>26</v>
      </c>
      <c r="H472" s="31">
        <v>37782</v>
      </c>
      <c r="I472" s="30" t="s">
        <v>91</v>
      </c>
      <c r="J472" s="30" t="s">
        <v>75</v>
      </c>
      <c r="K472" s="30" t="s">
        <v>39</v>
      </c>
      <c r="L472" s="30" t="s">
        <v>59</v>
      </c>
      <c r="M472" s="30">
        <v>3</v>
      </c>
      <c r="N472" s="30">
        <v>1200</v>
      </c>
      <c r="O472" s="30">
        <v>0</v>
      </c>
      <c r="P472" s="30">
        <v>3600</v>
      </c>
      <c r="Q472" s="30">
        <v>1</v>
      </c>
      <c r="R472" s="30" t="s">
        <v>60</v>
      </c>
      <c r="S472" s="30" t="s">
        <v>42</v>
      </c>
      <c r="T472" s="30" t="s">
        <v>136</v>
      </c>
      <c r="U472" s="30">
        <v>9778908233</v>
      </c>
      <c r="V472" s="30" t="s">
        <v>53</v>
      </c>
    </row>
    <row r="473" spans="1:22" ht="15" thickBot="1" x14ac:dyDescent="0.4">
      <c r="A473" s="27" t="s">
        <v>586</v>
      </c>
      <c r="B473" s="27" t="s">
        <v>55</v>
      </c>
      <c r="C473" s="27" t="s">
        <v>68</v>
      </c>
      <c r="D473" s="28">
        <v>45706</v>
      </c>
      <c r="E473" s="28">
        <v>45714</v>
      </c>
      <c r="F473" s="27" t="s">
        <v>57</v>
      </c>
      <c r="G473" s="27" t="s">
        <v>58</v>
      </c>
      <c r="H473" s="28">
        <v>32959</v>
      </c>
      <c r="I473" s="27" t="s">
        <v>147</v>
      </c>
      <c r="J473" s="27" t="s">
        <v>148</v>
      </c>
      <c r="K473" s="27" t="s">
        <v>29</v>
      </c>
      <c r="L473" s="27" t="s">
        <v>70</v>
      </c>
      <c r="M473" s="27">
        <v>7</v>
      </c>
      <c r="N473" s="27">
        <v>3500</v>
      </c>
      <c r="O473" s="27">
        <v>15</v>
      </c>
      <c r="P473" s="27">
        <v>20825</v>
      </c>
      <c r="Q473" s="27">
        <v>4</v>
      </c>
      <c r="R473" s="27" t="s">
        <v>60</v>
      </c>
      <c r="S473" s="27" t="s">
        <v>50</v>
      </c>
      <c r="T473" s="27" t="s">
        <v>61</v>
      </c>
      <c r="U473" s="27">
        <v>9981118755</v>
      </c>
      <c r="V473" s="27" t="s">
        <v>52</v>
      </c>
    </row>
    <row r="474" spans="1:22" ht="15" thickBot="1" x14ac:dyDescent="0.4">
      <c r="A474" s="30" t="s">
        <v>587</v>
      </c>
      <c r="B474" s="30" t="s">
        <v>45</v>
      </c>
      <c r="C474" s="30" t="s">
        <v>46</v>
      </c>
      <c r="D474" s="31">
        <v>46110</v>
      </c>
      <c r="E474" s="31">
        <v>46116</v>
      </c>
      <c r="F474" s="30" t="s">
        <v>101</v>
      </c>
      <c r="G474" s="30" t="s">
        <v>26</v>
      </c>
      <c r="H474" s="31">
        <v>37769</v>
      </c>
      <c r="I474" s="30" t="s">
        <v>79</v>
      </c>
      <c r="J474" s="30" t="s">
        <v>75</v>
      </c>
      <c r="K474" s="30" t="s">
        <v>39</v>
      </c>
      <c r="L474" s="30" t="s">
        <v>49</v>
      </c>
      <c r="M474" s="30">
        <v>9</v>
      </c>
      <c r="N474" s="30">
        <v>55000</v>
      </c>
      <c r="O474" s="30">
        <v>15</v>
      </c>
      <c r="P474" s="30">
        <v>420750</v>
      </c>
      <c r="Q474" s="30">
        <v>3</v>
      </c>
      <c r="R474" s="30" t="s">
        <v>65</v>
      </c>
      <c r="S474" s="30" t="s">
        <v>32</v>
      </c>
      <c r="T474" s="30" t="s">
        <v>51</v>
      </c>
      <c r="U474" s="30">
        <v>9887896743</v>
      </c>
      <c r="V474" s="30" t="s">
        <v>53</v>
      </c>
    </row>
    <row r="475" spans="1:22" ht="15" thickBot="1" x14ac:dyDescent="0.4">
      <c r="A475" s="27" t="s">
        <v>588</v>
      </c>
      <c r="B475" s="27" t="s">
        <v>156</v>
      </c>
      <c r="C475" s="27" t="s">
        <v>36</v>
      </c>
      <c r="D475" s="28">
        <v>45992</v>
      </c>
      <c r="E475" s="28">
        <v>45993</v>
      </c>
      <c r="F475" s="27" t="s">
        <v>106</v>
      </c>
      <c r="G475" s="27" t="s">
        <v>58</v>
      </c>
      <c r="H475" s="28">
        <v>34006</v>
      </c>
      <c r="I475" s="27" t="s">
        <v>48</v>
      </c>
      <c r="J475" s="27" t="s">
        <v>28</v>
      </c>
      <c r="K475" s="27" t="s">
        <v>39</v>
      </c>
      <c r="L475" s="27" t="s">
        <v>40</v>
      </c>
      <c r="M475" s="27">
        <v>12</v>
      </c>
      <c r="N475" s="27">
        <v>12000</v>
      </c>
      <c r="O475" s="27">
        <v>0</v>
      </c>
      <c r="P475" s="27">
        <v>144000</v>
      </c>
      <c r="Q475" s="27">
        <v>3</v>
      </c>
      <c r="R475" s="27" t="s">
        <v>60</v>
      </c>
      <c r="S475" s="27" t="s">
        <v>96</v>
      </c>
      <c r="T475" s="27" t="s">
        <v>158</v>
      </c>
      <c r="U475" s="27">
        <v>9585330043</v>
      </c>
      <c r="V475" s="27" t="s">
        <v>53</v>
      </c>
    </row>
    <row r="476" spans="1:22" ht="15" thickBot="1" x14ac:dyDescent="0.4">
      <c r="A476" s="30" t="s">
        <v>589</v>
      </c>
      <c r="B476" s="30" t="s">
        <v>72</v>
      </c>
      <c r="C476" s="30" t="s">
        <v>82</v>
      </c>
      <c r="D476" s="31">
        <v>45781</v>
      </c>
      <c r="E476" s="31">
        <v>45788</v>
      </c>
      <c r="F476" s="30" t="s">
        <v>73</v>
      </c>
      <c r="G476" s="30" t="s">
        <v>26</v>
      </c>
      <c r="H476" s="31">
        <v>27639</v>
      </c>
      <c r="I476" s="30" t="s">
        <v>91</v>
      </c>
      <c r="J476" s="30" t="s">
        <v>75</v>
      </c>
      <c r="K476" s="30" t="s">
        <v>83</v>
      </c>
      <c r="L476" s="30" t="s">
        <v>84</v>
      </c>
      <c r="M476" s="30">
        <v>7</v>
      </c>
      <c r="N476" s="30">
        <v>60</v>
      </c>
      <c r="O476" s="30">
        <v>10</v>
      </c>
      <c r="P476" s="30">
        <v>378</v>
      </c>
      <c r="Q476" s="30">
        <v>4</v>
      </c>
      <c r="R476" s="30" t="s">
        <v>31</v>
      </c>
      <c r="S476" s="30" t="s">
        <v>42</v>
      </c>
      <c r="T476" s="30" t="s">
        <v>93</v>
      </c>
      <c r="U476" s="30">
        <v>9423719975</v>
      </c>
      <c r="V476" s="30" t="s">
        <v>53</v>
      </c>
    </row>
    <row r="477" spans="1:22" ht="15" thickBot="1" x14ac:dyDescent="0.4">
      <c r="A477" s="27" t="s">
        <v>590</v>
      </c>
      <c r="B477" s="27" t="s">
        <v>124</v>
      </c>
      <c r="C477" s="27" t="s">
        <v>24</v>
      </c>
      <c r="D477" s="28">
        <v>45892</v>
      </c>
      <c r="E477" s="28">
        <v>45900</v>
      </c>
      <c r="F477" s="27" t="s">
        <v>126</v>
      </c>
      <c r="G477" s="27" t="s">
        <v>58</v>
      </c>
      <c r="H477" s="28">
        <v>34586</v>
      </c>
      <c r="I477" s="27" t="s">
        <v>74</v>
      </c>
      <c r="J477" s="27" t="s">
        <v>75</v>
      </c>
      <c r="K477" s="27" t="s">
        <v>29</v>
      </c>
      <c r="L477" s="27" t="s">
        <v>30</v>
      </c>
      <c r="M477" s="27">
        <v>17</v>
      </c>
      <c r="N477" s="27">
        <v>2200</v>
      </c>
      <c r="O477" s="27">
        <v>15</v>
      </c>
      <c r="P477" s="27">
        <v>31790</v>
      </c>
      <c r="Q477" s="27">
        <v>3</v>
      </c>
      <c r="R477" s="27" t="s">
        <v>65</v>
      </c>
      <c r="S477" s="27" t="s">
        <v>96</v>
      </c>
      <c r="T477" s="27" t="s">
        <v>128</v>
      </c>
      <c r="U477" s="27">
        <v>9270746961</v>
      </c>
      <c r="V477" s="27" t="s">
        <v>52</v>
      </c>
    </row>
    <row r="478" spans="1:22" ht="15" thickBot="1" x14ac:dyDescent="0.4">
      <c r="A478" s="30" t="s">
        <v>591</v>
      </c>
      <c r="B478" s="30" t="s">
        <v>156</v>
      </c>
      <c r="C478" s="30" t="s">
        <v>112</v>
      </c>
      <c r="D478" s="31">
        <v>45988</v>
      </c>
      <c r="E478" s="31">
        <v>45997</v>
      </c>
      <c r="F478" s="30" t="s">
        <v>106</v>
      </c>
      <c r="G478" s="30" t="s">
        <v>58</v>
      </c>
      <c r="H478" s="31">
        <v>33884</v>
      </c>
      <c r="I478" s="30" t="s">
        <v>48</v>
      </c>
      <c r="J478" s="30" t="s">
        <v>28</v>
      </c>
      <c r="K478" s="30" t="s">
        <v>39</v>
      </c>
      <c r="L478" s="30" t="s">
        <v>114</v>
      </c>
      <c r="M478" s="30">
        <v>17</v>
      </c>
      <c r="N478" s="30">
        <v>700</v>
      </c>
      <c r="O478" s="30">
        <v>10</v>
      </c>
      <c r="P478" s="30">
        <v>10710</v>
      </c>
      <c r="Q478" s="30">
        <v>2</v>
      </c>
      <c r="R478" s="30" t="s">
        <v>31</v>
      </c>
      <c r="S478" s="30" t="s">
        <v>50</v>
      </c>
      <c r="T478" s="30" t="s">
        <v>158</v>
      </c>
      <c r="U478" s="30">
        <v>9333162025</v>
      </c>
      <c r="V478" s="30" t="s">
        <v>52</v>
      </c>
    </row>
    <row r="479" spans="1:22" ht="15" thickBot="1" x14ac:dyDescent="0.4">
      <c r="A479" s="27" t="s">
        <v>592</v>
      </c>
      <c r="B479" s="27" t="s">
        <v>156</v>
      </c>
      <c r="C479" s="27" t="s">
        <v>46</v>
      </c>
      <c r="D479" s="28">
        <v>45806</v>
      </c>
      <c r="E479" s="28">
        <v>45809</v>
      </c>
      <c r="F479" s="27" t="s">
        <v>106</v>
      </c>
      <c r="G479" s="27" t="s">
        <v>58</v>
      </c>
      <c r="H479" s="28">
        <v>37454</v>
      </c>
      <c r="I479" s="27" t="s">
        <v>37</v>
      </c>
      <c r="J479" s="27" t="s">
        <v>38</v>
      </c>
      <c r="K479" s="27" t="s">
        <v>39</v>
      </c>
      <c r="L479" s="27" t="s">
        <v>49</v>
      </c>
      <c r="M479" s="27">
        <v>19</v>
      </c>
      <c r="N479" s="27">
        <v>55000</v>
      </c>
      <c r="O479" s="27">
        <v>20</v>
      </c>
      <c r="P479" s="27">
        <v>836000</v>
      </c>
      <c r="Q479" s="27">
        <v>5</v>
      </c>
      <c r="R479" s="27" t="s">
        <v>41</v>
      </c>
      <c r="S479" s="27" t="s">
        <v>50</v>
      </c>
      <c r="T479" s="27" t="s">
        <v>158</v>
      </c>
      <c r="U479" s="27">
        <v>9247023285</v>
      </c>
      <c r="V479" s="21" t="s">
        <v>34</v>
      </c>
    </row>
    <row r="480" spans="1:22" ht="15" thickBot="1" x14ac:dyDescent="0.4">
      <c r="A480" s="30" t="s">
        <v>593</v>
      </c>
      <c r="B480" s="30" t="s">
        <v>87</v>
      </c>
      <c r="C480" s="30" t="s">
        <v>82</v>
      </c>
      <c r="D480" s="31">
        <v>45912</v>
      </c>
      <c r="E480" s="31">
        <v>45919</v>
      </c>
      <c r="F480" s="30" t="s">
        <v>88</v>
      </c>
      <c r="G480" s="30" t="s">
        <v>58</v>
      </c>
      <c r="H480" s="31">
        <v>36925</v>
      </c>
      <c r="I480" s="30" t="s">
        <v>37</v>
      </c>
      <c r="J480" s="30" t="s">
        <v>38</v>
      </c>
      <c r="K480" s="30" t="s">
        <v>83</v>
      </c>
      <c r="L480" s="30" t="s">
        <v>84</v>
      </c>
      <c r="M480" s="30">
        <v>1</v>
      </c>
      <c r="N480" s="30">
        <v>60</v>
      </c>
      <c r="O480" s="30">
        <v>10</v>
      </c>
      <c r="P480" s="30">
        <v>54</v>
      </c>
      <c r="Q480" s="30">
        <v>4</v>
      </c>
      <c r="R480" s="22" t="s">
        <v>41</v>
      </c>
      <c r="S480" s="30"/>
      <c r="T480" s="32" t="s">
        <v>594</v>
      </c>
      <c r="U480" s="30">
        <v>9448658297</v>
      </c>
      <c r="V480" s="30" t="s">
        <v>53</v>
      </c>
    </row>
    <row r="481" spans="1:22" ht="15" thickBot="1" x14ac:dyDescent="0.4">
      <c r="A481" s="27" t="s">
        <v>595</v>
      </c>
      <c r="B481" s="27" t="s">
        <v>55</v>
      </c>
      <c r="C481" s="27" t="s">
        <v>68</v>
      </c>
      <c r="D481" s="28">
        <v>46085</v>
      </c>
      <c r="E481" s="28">
        <v>46092</v>
      </c>
      <c r="F481" s="27" t="s">
        <v>57</v>
      </c>
      <c r="G481" s="27" t="s">
        <v>58</v>
      </c>
      <c r="H481" s="28">
        <v>33047</v>
      </c>
      <c r="I481" s="27" t="s">
        <v>27</v>
      </c>
      <c r="J481" s="27" t="s">
        <v>28</v>
      </c>
      <c r="K481" s="27" t="s">
        <v>29</v>
      </c>
      <c r="L481" s="27" t="s">
        <v>70</v>
      </c>
      <c r="M481" s="27">
        <v>16</v>
      </c>
      <c r="N481" s="27">
        <v>3500</v>
      </c>
      <c r="O481" s="27">
        <v>0</v>
      </c>
      <c r="P481" s="27">
        <v>56000</v>
      </c>
      <c r="Q481" s="27">
        <v>4</v>
      </c>
      <c r="R481" s="27" t="s">
        <v>41</v>
      </c>
      <c r="S481" s="27" t="s">
        <v>32</v>
      </c>
      <c r="T481" s="27" t="s">
        <v>61</v>
      </c>
      <c r="U481" s="27">
        <v>9906748486</v>
      </c>
      <c r="V481" s="27" t="s">
        <v>52</v>
      </c>
    </row>
    <row r="482" spans="1:22" ht="15" thickBot="1" x14ac:dyDescent="0.4">
      <c r="A482" s="30" t="s">
        <v>596</v>
      </c>
      <c r="B482" s="30" t="s">
        <v>87</v>
      </c>
      <c r="C482" s="30" t="s">
        <v>125</v>
      </c>
      <c r="D482" s="31">
        <v>45681</v>
      </c>
      <c r="E482" s="31">
        <v>45693</v>
      </c>
      <c r="F482" s="30" t="s">
        <v>88</v>
      </c>
      <c r="G482" s="30" t="s">
        <v>58</v>
      </c>
      <c r="H482" s="31">
        <v>28623</v>
      </c>
      <c r="I482" s="30" t="s">
        <v>79</v>
      </c>
      <c r="J482" s="30" t="s">
        <v>75</v>
      </c>
      <c r="K482" s="30" t="s">
        <v>83</v>
      </c>
      <c r="L482" s="30" t="s">
        <v>127</v>
      </c>
      <c r="M482" s="30">
        <v>14</v>
      </c>
      <c r="N482" s="30">
        <v>20</v>
      </c>
      <c r="O482" s="30">
        <v>10</v>
      </c>
      <c r="P482" s="30">
        <v>252</v>
      </c>
      <c r="Q482" s="30">
        <v>1</v>
      </c>
      <c r="R482" s="30" t="s">
        <v>41</v>
      </c>
      <c r="S482" s="30" t="s">
        <v>50</v>
      </c>
      <c r="T482" s="30" t="s">
        <v>89</v>
      </c>
      <c r="U482" s="30">
        <v>9365182725</v>
      </c>
      <c r="V482" s="30" t="s">
        <v>52</v>
      </c>
    </row>
    <row r="483" spans="1:22" ht="15" thickBot="1" x14ac:dyDescent="0.4">
      <c r="A483" s="27" t="s">
        <v>597</v>
      </c>
      <c r="B483" s="27" t="s">
        <v>55</v>
      </c>
      <c r="C483" s="27" t="s">
        <v>24</v>
      </c>
      <c r="D483" s="28">
        <v>46004</v>
      </c>
      <c r="E483" s="28">
        <v>46005</v>
      </c>
      <c r="F483" s="27" t="s">
        <v>57</v>
      </c>
      <c r="G483" s="27" t="s">
        <v>58</v>
      </c>
      <c r="H483" s="28">
        <v>36729</v>
      </c>
      <c r="I483" s="27" t="s">
        <v>48</v>
      </c>
      <c r="J483" s="27" t="s">
        <v>28</v>
      </c>
      <c r="K483" s="27" t="s">
        <v>29</v>
      </c>
      <c r="L483" s="27" t="s">
        <v>30</v>
      </c>
      <c r="M483" s="27">
        <v>11</v>
      </c>
      <c r="N483" s="27">
        <v>2200</v>
      </c>
      <c r="O483" s="27">
        <v>15</v>
      </c>
      <c r="P483" s="27">
        <v>20570</v>
      </c>
      <c r="Q483" s="27">
        <v>4</v>
      </c>
      <c r="R483" s="27" t="s">
        <v>41</v>
      </c>
      <c r="S483" s="27" t="s">
        <v>42</v>
      </c>
      <c r="T483" s="27" t="s">
        <v>61</v>
      </c>
      <c r="U483" s="27">
        <v>9937119494</v>
      </c>
      <c r="V483" s="27" t="s">
        <v>53</v>
      </c>
    </row>
    <row r="484" spans="1:22" ht="15" thickBot="1" x14ac:dyDescent="0.4">
      <c r="A484" s="30" t="s">
        <v>598</v>
      </c>
      <c r="B484" s="30" t="s">
        <v>63</v>
      </c>
      <c r="C484" s="30" t="s">
        <v>46</v>
      </c>
      <c r="D484" s="31">
        <v>45870</v>
      </c>
      <c r="E484" s="31">
        <v>45878</v>
      </c>
      <c r="F484" s="30" t="s">
        <v>110</v>
      </c>
      <c r="G484" s="30" t="s">
        <v>58</v>
      </c>
      <c r="H484" s="31">
        <v>31126</v>
      </c>
      <c r="I484" s="30" t="s">
        <v>121</v>
      </c>
      <c r="J484" s="30" t="s">
        <v>38</v>
      </c>
      <c r="K484" s="30" t="s">
        <v>39</v>
      </c>
      <c r="L484" s="30" t="s">
        <v>49</v>
      </c>
      <c r="M484" s="30">
        <v>2</v>
      </c>
      <c r="N484" s="30">
        <v>55000</v>
      </c>
      <c r="O484" s="30">
        <v>0</v>
      </c>
      <c r="P484" s="30">
        <v>110000</v>
      </c>
      <c r="Q484" s="30">
        <v>4</v>
      </c>
      <c r="R484" s="30" t="s">
        <v>41</v>
      </c>
      <c r="S484" s="30" t="s">
        <v>42</v>
      </c>
      <c r="T484" s="30" t="s">
        <v>66</v>
      </c>
      <c r="U484" s="30">
        <v>9828015293</v>
      </c>
      <c r="V484" s="30" t="s">
        <v>53</v>
      </c>
    </row>
    <row r="485" spans="1:22" ht="15" thickBot="1" x14ac:dyDescent="0.4">
      <c r="A485" s="27" t="s">
        <v>599</v>
      </c>
      <c r="B485" s="27" t="s">
        <v>45</v>
      </c>
      <c r="C485" s="27" t="s">
        <v>24</v>
      </c>
      <c r="D485" s="28">
        <v>45658</v>
      </c>
      <c r="E485" s="28">
        <v>45664</v>
      </c>
      <c r="F485" s="27" t="s">
        <v>101</v>
      </c>
      <c r="G485" s="27" t="s">
        <v>26</v>
      </c>
      <c r="H485" s="28">
        <v>32181</v>
      </c>
      <c r="I485" s="27" t="s">
        <v>79</v>
      </c>
      <c r="J485" s="27" t="s">
        <v>75</v>
      </c>
      <c r="K485" s="27" t="s">
        <v>29</v>
      </c>
      <c r="L485" s="27" t="s">
        <v>30</v>
      </c>
      <c r="M485" s="27">
        <v>7</v>
      </c>
      <c r="N485" s="27">
        <v>2200</v>
      </c>
      <c r="O485" s="27">
        <v>5</v>
      </c>
      <c r="P485" s="27">
        <v>14630</v>
      </c>
      <c r="Q485" s="27">
        <v>4</v>
      </c>
      <c r="R485" s="27" t="s">
        <v>60</v>
      </c>
      <c r="S485" s="27" t="s">
        <v>80</v>
      </c>
      <c r="T485" s="27" t="s">
        <v>51</v>
      </c>
      <c r="U485" s="27">
        <v>9864206250</v>
      </c>
      <c r="V485" s="27" t="s">
        <v>53</v>
      </c>
    </row>
    <row r="486" spans="1:22" ht="15" thickBot="1" x14ac:dyDescent="0.4">
      <c r="A486" s="30" t="s">
        <v>600</v>
      </c>
      <c r="B486" s="30" t="s">
        <v>23</v>
      </c>
      <c r="C486" s="30" t="s">
        <v>138</v>
      </c>
      <c r="D486" s="31">
        <v>45755</v>
      </c>
      <c r="E486" s="31">
        <v>45759</v>
      </c>
      <c r="F486" s="30" t="s">
        <v>25</v>
      </c>
      <c r="G486" s="30" t="s">
        <v>26</v>
      </c>
      <c r="H486" s="31">
        <v>35546</v>
      </c>
      <c r="I486" s="30" t="s">
        <v>91</v>
      </c>
      <c r="J486" s="30" t="s">
        <v>75</v>
      </c>
      <c r="K486" s="30" t="s">
        <v>83</v>
      </c>
      <c r="L486" s="30" t="s">
        <v>139</v>
      </c>
      <c r="M486" s="30">
        <v>11</v>
      </c>
      <c r="N486" s="30">
        <v>45</v>
      </c>
      <c r="O486" s="30">
        <v>15</v>
      </c>
      <c r="P486" s="30">
        <v>420.75</v>
      </c>
      <c r="Q486" s="30">
        <v>4</v>
      </c>
      <c r="R486" s="30" t="s">
        <v>60</v>
      </c>
      <c r="S486" s="30" t="s">
        <v>50</v>
      </c>
      <c r="T486" s="30" t="s">
        <v>43</v>
      </c>
      <c r="U486" s="30">
        <v>9519293104</v>
      </c>
      <c r="V486" s="30" t="s">
        <v>52</v>
      </c>
    </row>
    <row r="487" spans="1:22" ht="15" thickBot="1" x14ac:dyDescent="0.4">
      <c r="A487" s="27" t="s">
        <v>601</v>
      </c>
      <c r="B487" s="27" t="s">
        <v>72</v>
      </c>
      <c r="C487" s="27" t="s">
        <v>82</v>
      </c>
      <c r="D487" s="28">
        <v>45767</v>
      </c>
      <c r="E487" s="28">
        <v>45777</v>
      </c>
      <c r="F487" s="27" t="s">
        <v>73</v>
      </c>
      <c r="G487" s="27" t="s">
        <v>26</v>
      </c>
      <c r="H487" s="28">
        <v>37033</v>
      </c>
      <c r="I487" s="27" t="s">
        <v>74</v>
      </c>
      <c r="J487" s="27" t="s">
        <v>75</v>
      </c>
      <c r="K487" s="27" t="s">
        <v>83</v>
      </c>
      <c r="L487" s="27" t="s">
        <v>84</v>
      </c>
      <c r="M487" s="27">
        <v>16</v>
      </c>
      <c r="N487" s="27">
        <v>60</v>
      </c>
      <c r="O487" s="27">
        <v>5</v>
      </c>
      <c r="P487" s="27">
        <v>912</v>
      </c>
      <c r="Q487" s="27">
        <v>2</v>
      </c>
      <c r="R487" s="27" t="s">
        <v>31</v>
      </c>
      <c r="S487" s="27" t="s">
        <v>80</v>
      </c>
      <c r="T487" s="27" t="s">
        <v>93</v>
      </c>
      <c r="U487" s="27">
        <v>9296075245</v>
      </c>
      <c r="V487" s="27" t="s">
        <v>53</v>
      </c>
    </row>
    <row r="488" spans="1:22" ht="15" thickBot="1" x14ac:dyDescent="0.4">
      <c r="A488" s="30" t="s">
        <v>602</v>
      </c>
      <c r="B488" s="30" t="s">
        <v>156</v>
      </c>
      <c r="C488" s="30" t="s">
        <v>46</v>
      </c>
      <c r="D488" s="31">
        <v>45963</v>
      </c>
      <c r="E488" s="31">
        <v>45965</v>
      </c>
      <c r="F488" s="30" t="s">
        <v>106</v>
      </c>
      <c r="G488" s="30" t="s">
        <v>58</v>
      </c>
      <c r="H488" s="31">
        <v>30121</v>
      </c>
      <c r="I488" s="30" t="s">
        <v>79</v>
      </c>
      <c r="J488" s="30" t="s">
        <v>75</v>
      </c>
      <c r="K488" s="30" t="s">
        <v>39</v>
      </c>
      <c r="L488" s="30" t="s">
        <v>49</v>
      </c>
      <c r="M488" s="30">
        <v>18</v>
      </c>
      <c r="N488" s="30">
        <v>55000</v>
      </c>
      <c r="O488" s="30">
        <v>0</v>
      </c>
      <c r="P488" s="30">
        <v>990000</v>
      </c>
      <c r="Q488" s="30">
        <v>5</v>
      </c>
      <c r="R488" s="30" t="s">
        <v>41</v>
      </c>
      <c r="S488" s="30" t="s">
        <v>42</v>
      </c>
      <c r="T488" s="30" t="s">
        <v>158</v>
      </c>
      <c r="U488" s="30">
        <v>9316770206</v>
      </c>
      <c r="V488" s="30" t="s">
        <v>52</v>
      </c>
    </row>
    <row r="489" spans="1:22" ht="15" thickBot="1" x14ac:dyDescent="0.4">
      <c r="A489" s="27" t="s">
        <v>603</v>
      </c>
      <c r="B489" s="27" t="s">
        <v>23</v>
      </c>
      <c r="C489" s="27" t="s">
        <v>56</v>
      </c>
      <c r="D489" s="28">
        <v>45948</v>
      </c>
      <c r="E489" s="28">
        <v>45952</v>
      </c>
      <c r="F489" s="27" t="s">
        <v>25</v>
      </c>
      <c r="G489" s="27" t="s">
        <v>26</v>
      </c>
      <c r="H489" s="28">
        <v>36334</v>
      </c>
      <c r="I489" s="27" t="s">
        <v>48</v>
      </c>
      <c r="J489" s="27" t="s">
        <v>28</v>
      </c>
      <c r="K489" s="27" t="s">
        <v>39</v>
      </c>
      <c r="L489" s="27" t="s">
        <v>59</v>
      </c>
      <c r="M489" s="27">
        <v>17</v>
      </c>
      <c r="N489" s="27">
        <v>1200</v>
      </c>
      <c r="O489" s="27">
        <v>5</v>
      </c>
      <c r="P489" s="27">
        <v>19380</v>
      </c>
      <c r="Q489" s="27">
        <v>1</v>
      </c>
      <c r="R489" s="27" t="s">
        <v>41</v>
      </c>
      <c r="S489" s="27" t="s">
        <v>32</v>
      </c>
      <c r="T489" s="27" t="s">
        <v>43</v>
      </c>
      <c r="U489" s="27">
        <v>9706553861</v>
      </c>
      <c r="V489" s="27" t="s">
        <v>52</v>
      </c>
    </row>
    <row r="490" spans="1:22" ht="15" thickBot="1" x14ac:dyDescent="0.4">
      <c r="A490" s="30" t="s">
        <v>604</v>
      </c>
      <c r="B490" s="30" t="s">
        <v>45</v>
      </c>
      <c r="C490" s="30" t="s">
        <v>46</v>
      </c>
      <c r="D490" s="31">
        <v>45774</v>
      </c>
      <c r="E490" s="31">
        <v>45782</v>
      </c>
      <c r="F490" s="30" t="s">
        <v>101</v>
      </c>
      <c r="G490" s="30" t="s">
        <v>26</v>
      </c>
      <c r="H490" s="31">
        <v>36924</v>
      </c>
      <c r="I490" s="30" t="s">
        <v>79</v>
      </c>
      <c r="J490" s="30" t="s">
        <v>75</v>
      </c>
      <c r="K490" s="30" t="s">
        <v>39</v>
      </c>
      <c r="L490" s="30" t="s">
        <v>49</v>
      </c>
      <c r="M490" s="30">
        <v>11</v>
      </c>
      <c r="N490" s="30">
        <v>55000</v>
      </c>
      <c r="O490" s="30">
        <v>0</v>
      </c>
      <c r="P490" s="30">
        <v>605000</v>
      </c>
      <c r="Q490" s="30">
        <v>2</v>
      </c>
      <c r="R490" s="30" t="s">
        <v>31</v>
      </c>
      <c r="S490" s="30" t="s">
        <v>50</v>
      </c>
      <c r="T490" s="30" t="s">
        <v>51</v>
      </c>
      <c r="U490" s="30">
        <v>9524904662</v>
      </c>
      <c r="V490" s="30" t="s">
        <v>52</v>
      </c>
    </row>
    <row r="491" spans="1:22" ht="15" thickBot="1" x14ac:dyDescent="0.4">
      <c r="A491" s="27" t="s">
        <v>605</v>
      </c>
      <c r="B491" s="27" t="s">
        <v>134</v>
      </c>
      <c r="C491" s="27" t="s">
        <v>112</v>
      </c>
      <c r="D491" s="28">
        <v>45799</v>
      </c>
      <c r="E491" s="28">
        <v>45808</v>
      </c>
      <c r="F491" s="27" t="s">
        <v>135</v>
      </c>
      <c r="G491" s="27" t="s">
        <v>26</v>
      </c>
      <c r="H491" s="28">
        <v>36200</v>
      </c>
      <c r="I491" s="27" t="s">
        <v>37</v>
      </c>
      <c r="J491" s="27" t="s">
        <v>38</v>
      </c>
      <c r="K491" s="27" t="s">
        <v>39</v>
      </c>
      <c r="L491" s="27" t="s">
        <v>114</v>
      </c>
      <c r="M491" s="27">
        <v>20</v>
      </c>
      <c r="N491" s="27">
        <v>700</v>
      </c>
      <c r="O491" s="27">
        <v>20</v>
      </c>
      <c r="P491" s="27">
        <v>11200</v>
      </c>
      <c r="Q491" s="27">
        <v>5</v>
      </c>
      <c r="R491" s="27" t="s">
        <v>41</v>
      </c>
      <c r="S491" s="27" t="s">
        <v>50</v>
      </c>
      <c r="T491" s="27" t="s">
        <v>136</v>
      </c>
      <c r="U491" s="27">
        <v>9577624596</v>
      </c>
      <c r="V491" s="21" t="s">
        <v>34</v>
      </c>
    </row>
    <row r="492" spans="1:22" ht="15" thickBot="1" x14ac:dyDescent="0.4">
      <c r="A492" s="30" t="s">
        <v>606</v>
      </c>
      <c r="B492" s="30" t="s">
        <v>55</v>
      </c>
      <c r="C492" s="30" t="s">
        <v>125</v>
      </c>
      <c r="D492" s="31">
        <v>46050</v>
      </c>
      <c r="E492" s="31">
        <v>46061</v>
      </c>
      <c r="F492" s="30" t="s">
        <v>57</v>
      </c>
      <c r="G492" s="30" t="s">
        <v>58</v>
      </c>
      <c r="H492" s="31">
        <v>32269</v>
      </c>
      <c r="I492" s="30" t="s">
        <v>37</v>
      </c>
      <c r="J492" s="30" t="s">
        <v>38</v>
      </c>
      <c r="K492" s="30" t="s">
        <v>83</v>
      </c>
      <c r="L492" s="30" t="s">
        <v>127</v>
      </c>
      <c r="M492" s="30">
        <v>5</v>
      </c>
      <c r="N492" s="30">
        <v>20</v>
      </c>
      <c r="O492" s="30">
        <v>5</v>
      </c>
      <c r="P492" s="30">
        <v>95</v>
      </c>
      <c r="Q492" s="30">
        <v>4</v>
      </c>
      <c r="R492" s="30" t="s">
        <v>31</v>
      </c>
      <c r="S492" s="30" t="s">
        <v>42</v>
      </c>
      <c r="T492" s="30" t="s">
        <v>61</v>
      </c>
      <c r="U492" s="30">
        <v>9898452436</v>
      </c>
      <c r="V492" s="30" t="s">
        <v>53</v>
      </c>
    </row>
    <row r="493" spans="1:22" ht="15" thickBot="1" x14ac:dyDescent="0.4">
      <c r="A493" s="27" t="s">
        <v>607</v>
      </c>
      <c r="B493" s="27" t="s">
        <v>156</v>
      </c>
      <c r="C493" s="27" t="s">
        <v>46</v>
      </c>
      <c r="D493" s="28">
        <v>45692</v>
      </c>
      <c r="E493" s="28">
        <v>45699</v>
      </c>
      <c r="F493" s="27" t="s">
        <v>106</v>
      </c>
      <c r="G493" s="27" t="s">
        <v>58</v>
      </c>
      <c r="H493" s="28">
        <v>27437</v>
      </c>
      <c r="I493" s="27" t="s">
        <v>74</v>
      </c>
      <c r="J493" s="27" t="s">
        <v>75</v>
      </c>
      <c r="K493" s="27" t="s">
        <v>39</v>
      </c>
      <c r="L493" s="27" t="s">
        <v>49</v>
      </c>
      <c r="M493" s="27">
        <v>13</v>
      </c>
      <c r="N493" s="27">
        <v>55000</v>
      </c>
      <c r="O493" s="27">
        <v>5</v>
      </c>
      <c r="P493" s="27">
        <v>679250</v>
      </c>
      <c r="Q493" s="27">
        <v>1</v>
      </c>
      <c r="R493" s="27" t="s">
        <v>41</v>
      </c>
      <c r="S493" s="27" t="s">
        <v>42</v>
      </c>
      <c r="T493" s="27" t="s">
        <v>158</v>
      </c>
      <c r="U493" s="27">
        <v>9960757012</v>
      </c>
      <c r="V493" s="27" t="s">
        <v>52</v>
      </c>
    </row>
    <row r="494" spans="1:22" ht="15" thickBot="1" x14ac:dyDescent="0.4">
      <c r="A494" s="30" t="s">
        <v>608</v>
      </c>
      <c r="B494" s="30" t="s">
        <v>87</v>
      </c>
      <c r="C494" s="30" t="s">
        <v>46</v>
      </c>
      <c r="D494" s="31">
        <v>45766</v>
      </c>
      <c r="E494" s="31">
        <v>45767</v>
      </c>
      <c r="F494" s="30" t="s">
        <v>88</v>
      </c>
      <c r="G494" s="30" t="s">
        <v>58</v>
      </c>
      <c r="H494" s="31">
        <v>37987</v>
      </c>
      <c r="I494" s="30" t="s">
        <v>147</v>
      </c>
      <c r="J494" s="30" t="s">
        <v>148</v>
      </c>
      <c r="K494" s="30" t="s">
        <v>39</v>
      </c>
      <c r="L494" s="30" t="s">
        <v>49</v>
      </c>
      <c r="M494" s="30">
        <v>12</v>
      </c>
      <c r="N494" s="30">
        <v>55000</v>
      </c>
      <c r="O494" s="30">
        <v>5</v>
      </c>
      <c r="P494" s="30">
        <v>627000</v>
      </c>
      <c r="Q494" s="30">
        <v>1</v>
      </c>
      <c r="R494" s="30" t="s">
        <v>41</v>
      </c>
      <c r="S494" s="30" t="s">
        <v>80</v>
      </c>
      <c r="T494" s="30" t="s">
        <v>89</v>
      </c>
      <c r="U494" s="30">
        <v>9331268182</v>
      </c>
      <c r="V494" s="30" t="s">
        <v>53</v>
      </c>
    </row>
    <row r="495" spans="1:22" ht="15" thickBot="1" x14ac:dyDescent="0.4">
      <c r="A495" s="27" t="s">
        <v>609</v>
      </c>
      <c r="B495" s="27" t="s">
        <v>45</v>
      </c>
      <c r="C495" s="27" t="s">
        <v>138</v>
      </c>
      <c r="D495" s="28">
        <v>45678</v>
      </c>
      <c r="E495" s="28">
        <v>45685</v>
      </c>
      <c r="F495" s="27" t="s">
        <v>101</v>
      </c>
      <c r="G495" s="27" t="s">
        <v>26</v>
      </c>
      <c r="H495" s="28">
        <v>37126</v>
      </c>
      <c r="I495" s="27" t="s">
        <v>74</v>
      </c>
      <c r="J495" s="27" t="s">
        <v>75</v>
      </c>
      <c r="K495" s="27" t="s">
        <v>83</v>
      </c>
      <c r="L495" s="27" t="s">
        <v>139</v>
      </c>
      <c r="M495" s="27">
        <v>16</v>
      </c>
      <c r="N495" s="27">
        <v>45</v>
      </c>
      <c r="O495" s="27">
        <v>20</v>
      </c>
      <c r="P495" s="27">
        <v>576</v>
      </c>
      <c r="Q495" s="27">
        <v>2</v>
      </c>
      <c r="R495" s="27" t="s">
        <v>31</v>
      </c>
      <c r="S495" s="27" t="s">
        <v>42</v>
      </c>
      <c r="T495" s="27" t="s">
        <v>51</v>
      </c>
      <c r="U495" s="27">
        <v>9135996862</v>
      </c>
      <c r="V495" s="27" t="s">
        <v>52</v>
      </c>
    </row>
    <row r="496" spans="1:22" ht="15" thickBot="1" x14ac:dyDescent="0.4">
      <c r="A496" s="30" t="s">
        <v>610</v>
      </c>
      <c r="B496" s="30" t="s">
        <v>23</v>
      </c>
      <c r="C496" s="30" t="s">
        <v>56</v>
      </c>
      <c r="D496" s="31">
        <v>45918</v>
      </c>
      <c r="E496" s="31">
        <v>45927</v>
      </c>
      <c r="F496" s="30" t="s">
        <v>25</v>
      </c>
      <c r="G496" s="30" t="s">
        <v>26</v>
      </c>
      <c r="H496" s="31">
        <v>35818</v>
      </c>
      <c r="I496" s="30" t="s">
        <v>48</v>
      </c>
      <c r="J496" s="30" t="s">
        <v>28</v>
      </c>
      <c r="K496" s="30" t="s">
        <v>39</v>
      </c>
      <c r="L496" s="30" t="s">
        <v>59</v>
      </c>
      <c r="M496" s="30">
        <v>5</v>
      </c>
      <c r="N496" s="30">
        <v>1200</v>
      </c>
      <c r="O496" s="30">
        <v>10</v>
      </c>
      <c r="P496" s="30">
        <v>5400</v>
      </c>
      <c r="Q496" s="30">
        <v>1</v>
      </c>
      <c r="R496" s="30" t="s">
        <v>31</v>
      </c>
      <c r="S496" s="30"/>
      <c r="T496" s="32" t="s">
        <v>611</v>
      </c>
      <c r="U496" s="30">
        <v>9540813143</v>
      </c>
      <c r="V496" s="22" t="s">
        <v>34</v>
      </c>
    </row>
    <row r="497" spans="1:22" ht="15" thickBot="1" x14ac:dyDescent="0.4">
      <c r="A497" s="27" t="s">
        <v>612</v>
      </c>
      <c r="B497" s="27" t="s">
        <v>104</v>
      </c>
      <c r="C497" s="27" t="s">
        <v>138</v>
      </c>
      <c r="D497" s="28">
        <v>45949</v>
      </c>
      <c r="E497" s="28">
        <v>45950</v>
      </c>
      <c r="F497" s="27" t="s">
        <v>166</v>
      </c>
      <c r="G497" s="27" t="s">
        <v>26</v>
      </c>
      <c r="H497" s="28">
        <v>38135</v>
      </c>
      <c r="I497" s="27" t="s">
        <v>147</v>
      </c>
      <c r="J497" s="27" t="s">
        <v>148</v>
      </c>
      <c r="K497" s="27" t="s">
        <v>83</v>
      </c>
      <c r="L497" s="27" t="s">
        <v>139</v>
      </c>
      <c r="M497" s="27">
        <v>2</v>
      </c>
      <c r="N497" s="27">
        <v>45</v>
      </c>
      <c r="O497" s="27">
        <v>10</v>
      </c>
      <c r="P497" s="27">
        <v>81</v>
      </c>
      <c r="Q497" s="27">
        <v>4</v>
      </c>
      <c r="R497" s="27" t="s">
        <v>65</v>
      </c>
      <c r="S497" s="27" t="s">
        <v>42</v>
      </c>
      <c r="T497" s="27" t="s">
        <v>108</v>
      </c>
      <c r="U497" s="27">
        <v>9910913552</v>
      </c>
      <c r="V497" s="27" t="s">
        <v>52</v>
      </c>
    </row>
    <row r="498" spans="1:22" ht="15" thickBot="1" x14ac:dyDescent="0.4">
      <c r="A498" s="30" t="s">
        <v>613</v>
      </c>
      <c r="B498" s="30" t="s">
        <v>87</v>
      </c>
      <c r="C498" s="30" t="s">
        <v>36</v>
      </c>
      <c r="D498" s="31">
        <v>46034</v>
      </c>
      <c r="E498" s="31">
        <v>46040</v>
      </c>
      <c r="F498" s="30" t="s">
        <v>88</v>
      </c>
      <c r="G498" s="30" t="s">
        <v>58</v>
      </c>
      <c r="H498" s="31">
        <v>31112</v>
      </c>
      <c r="I498" s="30" t="s">
        <v>91</v>
      </c>
      <c r="J498" s="30" t="s">
        <v>75</v>
      </c>
      <c r="K498" s="30" t="s">
        <v>39</v>
      </c>
      <c r="L498" s="30" t="s">
        <v>40</v>
      </c>
      <c r="M498" s="30">
        <v>3</v>
      </c>
      <c r="N498" s="30">
        <v>12000</v>
      </c>
      <c r="O498" s="30">
        <v>0</v>
      </c>
      <c r="P498" s="30">
        <v>36000</v>
      </c>
      <c r="Q498" s="30">
        <v>2</v>
      </c>
      <c r="R498" s="30" t="s">
        <v>65</v>
      </c>
      <c r="S498" s="30" t="s">
        <v>96</v>
      </c>
      <c r="T498" s="30" t="s">
        <v>89</v>
      </c>
      <c r="U498" s="30">
        <v>9282751683</v>
      </c>
      <c r="V498" s="30" t="s">
        <v>52</v>
      </c>
    </row>
    <row r="499" spans="1:22" ht="15" thickBot="1" x14ac:dyDescent="0.4">
      <c r="A499" s="27" t="s">
        <v>614</v>
      </c>
      <c r="B499" s="27" t="s">
        <v>23</v>
      </c>
      <c r="C499" s="27" t="s">
        <v>36</v>
      </c>
      <c r="D499" s="28">
        <v>45683</v>
      </c>
      <c r="E499" s="28">
        <v>45689</v>
      </c>
      <c r="F499" s="27" t="s">
        <v>25</v>
      </c>
      <c r="G499" s="27" t="s">
        <v>26</v>
      </c>
      <c r="H499" s="28">
        <v>31661</v>
      </c>
      <c r="I499" s="27" t="s">
        <v>48</v>
      </c>
      <c r="J499" s="27" t="s">
        <v>28</v>
      </c>
      <c r="K499" s="27" t="s">
        <v>39</v>
      </c>
      <c r="L499" s="27" t="s">
        <v>40</v>
      </c>
      <c r="M499" s="27">
        <v>3</v>
      </c>
      <c r="N499" s="27">
        <v>12000</v>
      </c>
      <c r="O499" s="27">
        <v>20</v>
      </c>
      <c r="P499" s="27">
        <v>28800</v>
      </c>
      <c r="Q499" s="27">
        <v>3</v>
      </c>
      <c r="R499" s="27" t="s">
        <v>65</v>
      </c>
      <c r="S499" s="27" t="s">
        <v>80</v>
      </c>
      <c r="T499" s="27" t="s">
        <v>43</v>
      </c>
      <c r="U499" s="27">
        <v>9939332058</v>
      </c>
      <c r="V499" s="21" t="s">
        <v>34</v>
      </c>
    </row>
    <row r="500" spans="1:22" ht="15" thickBot="1" x14ac:dyDescent="0.4">
      <c r="A500" s="30" t="s">
        <v>615</v>
      </c>
      <c r="B500" s="30" t="s">
        <v>87</v>
      </c>
      <c r="C500" s="30" t="s">
        <v>105</v>
      </c>
      <c r="D500" s="31">
        <v>46119</v>
      </c>
      <c r="E500" s="31">
        <v>46120</v>
      </c>
      <c r="F500" s="30" t="s">
        <v>88</v>
      </c>
      <c r="G500" s="30" t="s">
        <v>58</v>
      </c>
      <c r="H500" s="31">
        <v>29819</v>
      </c>
      <c r="I500" s="30" t="s">
        <v>147</v>
      </c>
      <c r="J500" s="30" t="s">
        <v>148</v>
      </c>
      <c r="K500" s="30" t="s">
        <v>29</v>
      </c>
      <c r="L500" s="30" t="s">
        <v>107</v>
      </c>
      <c r="M500" s="30">
        <v>9</v>
      </c>
      <c r="N500" s="30">
        <v>8500</v>
      </c>
      <c r="O500" s="30">
        <v>15</v>
      </c>
      <c r="P500" s="30">
        <v>65025</v>
      </c>
      <c r="Q500" s="30">
        <v>5</v>
      </c>
      <c r="R500" s="30" t="s">
        <v>31</v>
      </c>
      <c r="S500" s="30" t="s">
        <v>42</v>
      </c>
      <c r="T500" s="30" t="s">
        <v>89</v>
      </c>
      <c r="U500" s="30">
        <v>9780626473</v>
      </c>
      <c r="V500" s="30" t="s">
        <v>52</v>
      </c>
    </row>
    <row r="501" spans="1:22" ht="15" thickBot="1" x14ac:dyDescent="0.4">
      <c r="A501" s="27" t="s">
        <v>616</v>
      </c>
      <c r="B501" s="27" t="s">
        <v>55</v>
      </c>
      <c r="C501" s="27" t="s">
        <v>112</v>
      </c>
      <c r="D501" s="28">
        <v>45834</v>
      </c>
      <c r="E501" s="28">
        <v>45844</v>
      </c>
      <c r="F501" s="27" t="s">
        <v>617</v>
      </c>
      <c r="G501" s="27" t="s">
        <v>58</v>
      </c>
      <c r="H501" s="28">
        <v>33717</v>
      </c>
      <c r="I501" s="27" t="s">
        <v>147</v>
      </c>
      <c r="J501" s="27" t="s">
        <v>148</v>
      </c>
      <c r="K501" s="27" t="s">
        <v>39</v>
      </c>
      <c r="L501" s="27" t="s">
        <v>114</v>
      </c>
      <c r="M501" s="27">
        <v>17</v>
      </c>
      <c r="N501" s="27">
        <v>700</v>
      </c>
      <c r="O501" s="27">
        <v>0</v>
      </c>
      <c r="P501" s="27">
        <v>11900</v>
      </c>
      <c r="Q501" s="27">
        <v>2</v>
      </c>
      <c r="R501" s="27" t="s">
        <v>31</v>
      </c>
      <c r="S501" s="27" t="s">
        <v>50</v>
      </c>
      <c r="T501" s="27" t="s">
        <v>61</v>
      </c>
      <c r="U501" s="27">
        <v>9347298020</v>
      </c>
      <c r="V501" s="27" t="s">
        <v>53</v>
      </c>
    </row>
    <row r="502" spans="1:22" ht="15" thickBot="1" x14ac:dyDescent="0.4">
      <c r="A502" s="30" t="s">
        <v>618</v>
      </c>
      <c r="B502" s="30" t="s">
        <v>23</v>
      </c>
      <c r="C502" s="30" t="s">
        <v>112</v>
      </c>
      <c r="D502" s="31">
        <v>45846</v>
      </c>
      <c r="E502" s="31">
        <v>45856</v>
      </c>
      <c r="F502" s="30" t="s">
        <v>25</v>
      </c>
      <c r="G502" s="30" t="s">
        <v>26</v>
      </c>
      <c r="H502" s="31">
        <v>33422</v>
      </c>
      <c r="I502" s="30" t="s">
        <v>27</v>
      </c>
      <c r="J502" s="30" t="s">
        <v>28</v>
      </c>
      <c r="K502" s="30" t="s">
        <v>39</v>
      </c>
      <c r="L502" s="30" t="s">
        <v>114</v>
      </c>
      <c r="M502" s="30">
        <v>20</v>
      </c>
      <c r="N502" s="30">
        <v>700</v>
      </c>
      <c r="O502" s="30">
        <v>5</v>
      </c>
      <c r="P502" s="30">
        <v>13300</v>
      </c>
      <c r="Q502" s="30">
        <v>2</v>
      </c>
      <c r="R502" s="30" t="s">
        <v>65</v>
      </c>
      <c r="S502" s="30" t="s">
        <v>32</v>
      </c>
      <c r="T502" s="30" t="s">
        <v>43</v>
      </c>
      <c r="U502" s="30">
        <v>9345328522</v>
      </c>
      <c r="V502" s="22" t="s">
        <v>34</v>
      </c>
    </row>
    <row r="503" spans="1:22" ht="15" thickBot="1" x14ac:dyDescent="0.4">
      <c r="A503" s="27" t="s">
        <v>619</v>
      </c>
      <c r="B503" s="27" t="s">
        <v>156</v>
      </c>
      <c r="C503" s="27" t="s">
        <v>56</v>
      </c>
      <c r="D503" s="28">
        <v>46092</v>
      </c>
      <c r="E503" s="28">
        <v>46102</v>
      </c>
      <c r="F503" s="27" t="s">
        <v>106</v>
      </c>
      <c r="G503" s="27" t="s">
        <v>58</v>
      </c>
      <c r="H503" s="28">
        <v>28526</v>
      </c>
      <c r="I503" s="27" t="s">
        <v>91</v>
      </c>
      <c r="J503" s="27" t="s">
        <v>75</v>
      </c>
      <c r="K503" s="27" t="s">
        <v>39</v>
      </c>
      <c r="L503" s="27" t="s">
        <v>59</v>
      </c>
      <c r="M503" s="27">
        <v>13</v>
      </c>
      <c r="N503" s="27">
        <v>1200</v>
      </c>
      <c r="O503" s="27">
        <v>20</v>
      </c>
      <c r="P503" s="27">
        <v>12480</v>
      </c>
      <c r="Q503" s="27">
        <v>5</v>
      </c>
      <c r="R503" s="27" t="s">
        <v>60</v>
      </c>
      <c r="S503" s="27" t="s">
        <v>80</v>
      </c>
      <c r="T503" s="27" t="s">
        <v>158</v>
      </c>
      <c r="U503" s="27">
        <v>9160310438</v>
      </c>
      <c r="V503" s="21" t="s">
        <v>34</v>
      </c>
    </row>
    <row r="504" spans="1:22" ht="15" thickBot="1" x14ac:dyDescent="0.4">
      <c r="A504" s="30" t="s">
        <v>620</v>
      </c>
      <c r="B504" s="30" t="s">
        <v>72</v>
      </c>
      <c r="C504" s="30" t="s">
        <v>46</v>
      </c>
      <c r="D504" s="31">
        <v>46104</v>
      </c>
      <c r="E504" s="31">
        <v>46110</v>
      </c>
      <c r="F504" s="30" t="s">
        <v>73</v>
      </c>
      <c r="G504" s="30" t="s">
        <v>26</v>
      </c>
      <c r="H504" s="31">
        <v>36359</v>
      </c>
      <c r="I504" s="30" t="s">
        <v>121</v>
      </c>
      <c r="J504" s="30" t="s">
        <v>38</v>
      </c>
      <c r="K504" s="30" t="s">
        <v>39</v>
      </c>
      <c r="L504" s="30" t="s">
        <v>49</v>
      </c>
      <c r="M504" s="30">
        <v>20</v>
      </c>
      <c r="N504" s="30">
        <v>55000</v>
      </c>
      <c r="O504" s="30">
        <v>10</v>
      </c>
      <c r="P504" s="30">
        <v>990000</v>
      </c>
      <c r="Q504" s="30">
        <v>1</v>
      </c>
      <c r="R504" s="30" t="s">
        <v>65</v>
      </c>
      <c r="S504" s="30" t="s">
        <v>32</v>
      </c>
      <c r="T504" s="30" t="s">
        <v>93</v>
      </c>
      <c r="U504" s="30">
        <v>9343776153</v>
      </c>
      <c r="V504" s="30" t="s">
        <v>52</v>
      </c>
    </row>
    <row r="505" spans="1:22" ht="15" thickBot="1" x14ac:dyDescent="0.4">
      <c r="A505" s="27" t="s">
        <v>621</v>
      </c>
      <c r="B505" s="27" t="s">
        <v>134</v>
      </c>
      <c r="C505" s="27" t="s">
        <v>56</v>
      </c>
      <c r="D505" s="28">
        <v>45961</v>
      </c>
      <c r="E505" s="28">
        <v>45966</v>
      </c>
      <c r="F505" s="27" t="s">
        <v>135</v>
      </c>
      <c r="G505" s="27" t="s">
        <v>26</v>
      </c>
      <c r="H505" s="28">
        <v>32236</v>
      </c>
      <c r="I505" s="27" t="s">
        <v>147</v>
      </c>
      <c r="J505" s="27" t="s">
        <v>148</v>
      </c>
      <c r="K505" s="27" t="s">
        <v>39</v>
      </c>
      <c r="L505" s="27" t="s">
        <v>59</v>
      </c>
      <c r="M505" s="27">
        <v>8</v>
      </c>
      <c r="N505" s="27">
        <v>1200</v>
      </c>
      <c r="O505" s="27">
        <v>0</v>
      </c>
      <c r="P505" s="27">
        <v>9600</v>
      </c>
      <c r="Q505" s="27">
        <v>2</v>
      </c>
      <c r="R505" s="27" t="s">
        <v>41</v>
      </c>
      <c r="S505" s="27" t="s">
        <v>96</v>
      </c>
      <c r="T505" s="27" t="s">
        <v>136</v>
      </c>
      <c r="U505" s="27">
        <v>9458599727</v>
      </c>
      <c r="V505" s="21" t="s">
        <v>34</v>
      </c>
    </row>
    <row r="506" spans="1:22" ht="15" thickBot="1" x14ac:dyDescent="0.4">
      <c r="A506" s="30" t="s">
        <v>622</v>
      </c>
      <c r="B506" s="30" t="s">
        <v>45</v>
      </c>
      <c r="C506" s="30" t="s">
        <v>125</v>
      </c>
      <c r="D506" s="31">
        <v>46147</v>
      </c>
      <c r="E506" s="31">
        <v>46151</v>
      </c>
      <c r="F506" s="30" t="s">
        <v>101</v>
      </c>
      <c r="G506" s="30" t="s">
        <v>26</v>
      </c>
      <c r="H506" s="31">
        <v>28805</v>
      </c>
      <c r="I506" s="30" t="s">
        <v>147</v>
      </c>
      <c r="J506" s="30" t="s">
        <v>148</v>
      </c>
      <c r="K506" s="30" t="s">
        <v>83</v>
      </c>
      <c r="L506" s="30" t="s">
        <v>127</v>
      </c>
      <c r="M506" s="30">
        <v>18</v>
      </c>
      <c r="N506" s="30">
        <v>20</v>
      </c>
      <c r="O506" s="30">
        <v>10</v>
      </c>
      <c r="P506" s="30">
        <v>324</v>
      </c>
      <c r="Q506" s="30">
        <v>5</v>
      </c>
      <c r="R506" s="30" t="s">
        <v>60</v>
      </c>
      <c r="S506" s="30"/>
      <c r="T506" s="32" t="s">
        <v>623</v>
      </c>
      <c r="U506" s="30">
        <v>9218660140</v>
      </c>
      <c r="V506" s="30" t="s">
        <v>52</v>
      </c>
    </row>
    <row r="507" spans="1:22" ht="15" thickBot="1" x14ac:dyDescent="0.4">
      <c r="A507" s="27" t="s">
        <v>624</v>
      </c>
      <c r="B507" s="27" t="s">
        <v>104</v>
      </c>
      <c r="C507" s="27" t="s">
        <v>36</v>
      </c>
      <c r="D507" s="28">
        <v>45711</v>
      </c>
      <c r="E507" s="28">
        <v>45723</v>
      </c>
      <c r="F507" s="27" t="s">
        <v>166</v>
      </c>
      <c r="G507" s="27" t="s">
        <v>26</v>
      </c>
      <c r="H507" s="28">
        <v>34426</v>
      </c>
      <c r="I507" s="27" t="s">
        <v>79</v>
      </c>
      <c r="J507" s="27" t="s">
        <v>75</v>
      </c>
      <c r="K507" s="27" t="s">
        <v>39</v>
      </c>
      <c r="L507" s="27" t="s">
        <v>40</v>
      </c>
      <c r="M507" s="27">
        <v>11</v>
      </c>
      <c r="N507" s="27">
        <v>12000</v>
      </c>
      <c r="O507" s="27">
        <v>10</v>
      </c>
      <c r="P507" s="27">
        <v>118800</v>
      </c>
      <c r="Q507" s="27">
        <v>1</v>
      </c>
      <c r="R507" s="27" t="s">
        <v>60</v>
      </c>
      <c r="S507" s="27" t="s">
        <v>42</v>
      </c>
      <c r="T507" s="27" t="s">
        <v>108</v>
      </c>
      <c r="U507" s="27">
        <v>9341979199</v>
      </c>
      <c r="V507" s="27" t="s">
        <v>53</v>
      </c>
    </row>
    <row r="508" spans="1:22" ht="15" thickBot="1" x14ac:dyDescent="0.4">
      <c r="A508" s="30" t="s">
        <v>625</v>
      </c>
      <c r="B508" s="30" t="s">
        <v>156</v>
      </c>
      <c r="C508" s="30" t="s">
        <v>105</v>
      </c>
      <c r="D508" s="31">
        <v>45672</v>
      </c>
      <c r="E508" s="31">
        <v>45674</v>
      </c>
      <c r="F508" s="30" t="s">
        <v>106</v>
      </c>
      <c r="G508" s="30" t="s">
        <v>58</v>
      </c>
      <c r="H508" s="31">
        <v>34098</v>
      </c>
      <c r="I508" s="30" t="s">
        <v>27</v>
      </c>
      <c r="J508" s="30" t="s">
        <v>28</v>
      </c>
      <c r="K508" s="30" t="s">
        <v>29</v>
      </c>
      <c r="L508" s="30" t="s">
        <v>107</v>
      </c>
      <c r="M508" s="30">
        <v>2</v>
      </c>
      <c r="N508" s="30">
        <v>8500</v>
      </c>
      <c r="O508" s="30">
        <v>5</v>
      </c>
      <c r="P508" s="30">
        <v>16150</v>
      </c>
      <c r="Q508" s="30">
        <v>1</v>
      </c>
      <c r="R508" s="30" t="s">
        <v>60</v>
      </c>
      <c r="S508" s="30" t="s">
        <v>50</v>
      </c>
      <c r="T508" s="30" t="s">
        <v>158</v>
      </c>
      <c r="U508" s="30">
        <v>9823080381</v>
      </c>
      <c r="V508" s="22" t="s">
        <v>34</v>
      </c>
    </row>
    <row r="509" spans="1:22" ht="15" thickBot="1" x14ac:dyDescent="0.4">
      <c r="A509" s="27" t="s">
        <v>626</v>
      </c>
      <c r="B509" s="27" t="s">
        <v>72</v>
      </c>
      <c r="C509" s="27" t="s">
        <v>24</v>
      </c>
      <c r="D509" s="28">
        <v>45746</v>
      </c>
      <c r="E509" s="28">
        <v>45755</v>
      </c>
      <c r="F509" s="27" t="s">
        <v>73</v>
      </c>
      <c r="G509" s="27" t="s">
        <v>26</v>
      </c>
      <c r="H509" s="28">
        <v>34526</v>
      </c>
      <c r="I509" s="27" t="s">
        <v>79</v>
      </c>
      <c r="J509" s="27" t="s">
        <v>75</v>
      </c>
      <c r="K509" s="27" t="s">
        <v>29</v>
      </c>
      <c r="L509" s="27" t="s">
        <v>30</v>
      </c>
      <c r="M509" s="27">
        <v>7</v>
      </c>
      <c r="N509" s="27">
        <v>2200</v>
      </c>
      <c r="O509" s="27">
        <v>0</v>
      </c>
      <c r="P509" s="27">
        <v>15400</v>
      </c>
      <c r="Q509" s="27">
        <v>5</v>
      </c>
      <c r="R509" s="27" t="s">
        <v>41</v>
      </c>
      <c r="S509" s="27" t="s">
        <v>32</v>
      </c>
      <c r="T509" s="27" t="s">
        <v>93</v>
      </c>
      <c r="U509" s="27">
        <v>9981183477</v>
      </c>
      <c r="V509" s="27" t="s">
        <v>52</v>
      </c>
    </row>
    <row r="510" spans="1:22" ht="15" thickBot="1" x14ac:dyDescent="0.4">
      <c r="A510" s="30" t="s">
        <v>627</v>
      </c>
      <c r="B510" s="30" t="s">
        <v>63</v>
      </c>
      <c r="C510" s="30" t="s">
        <v>105</v>
      </c>
      <c r="D510" s="31">
        <v>46136</v>
      </c>
      <c r="E510" s="31">
        <v>46144</v>
      </c>
      <c r="F510" s="30" t="s">
        <v>110</v>
      </c>
      <c r="G510" s="30" t="s">
        <v>58</v>
      </c>
      <c r="H510" s="31">
        <v>30304</v>
      </c>
      <c r="I510" s="30" t="s">
        <v>37</v>
      </c>
      <c r="J510" s="30" t="s">
        <v>38</v>
      </c>
      <c r="K510" s="30" t="s">
        <v>29</v>
      </c>
      <c r="L510" s="30" t="s">
        <v>107</v>
      </c>
      <c r="M510" s="30">
        <v>20</v>
      </c>
      <c r="N510" s="30">
        <v>8500</v>
      </c>
      <c r="O510" s="30">
        <v>0</v>
      </c>
      <c r="P510" s="30">
        <v>170000</v>
      </c>
      <c r="Q510" s="30">
        <v>3</v>
      </c>
      <c r="R510" s="30" t="s">
        <v>41</v>
      </c>
      <c r="S510" s="30" t="s">
        <v>42</v>
      </c>
      <c r="T510" s="30" t="s">
        <v>66</v>
      </c>
      <c r="U510" s="30">
        <v>9281596011</v>
      </c>
      <c r="V510" s="22" t="s">
        <v>34</v>
      </c>
    </row>
    <row r="511" spans="1:22" ht="15" thickBot="1" x14ac:dyDescent="0.4">
      <c r="A511" s="27" t="s">
        <v>628</v>
      </c>
      <c r="B511" s="27" t="s">
        <v>87</v>
      </c>
      <c r="C511" s="27" t="s">
        <v>56</v>
      </c>
      <c r="D511" s="28">
        <v>45858</v>
      </c>
      <c r="E511" s="28">
        <v>45867</v>
      </c>
      <c r="F511" s="27" t="s">
        <v>88</v>
      </c>
      <c r="G511" s="27" t="s">
        <v>58</v>
      </c>
      <c r="H511" s="28">
        <v>37197</v>
      </c>
      <c r="I511" s="27" t="s">
        <v>27</v>
      </c>
      <c r="J511" s="27" t="s">
        <v>28</v>
      </c>
      <c r="K511" s="27" t="s">
        <v>39</v>
      </c>
      <c r="L511" s="27" t="s">
        <v>59</v>
      </c>
      <c r="M511" s="27">
        <v>11</v>
      </c>
      <c r="N511" s="27">
        <v>1200</v>
      </c>
      <c r="O511" s="27">
        <v>5</v>
      </c>
      <c r="P511" s="27">
        <v>12540</v>
      </c>
      <c r="Q511" s="27">
        <v>2</v>
      </c>
      <c r="R511" s="27" t="s">
        <v>31</v>
      </c>
      <c r="S511" s="27" t="s">
        <v>32</v>
      </c>
      <c r="T511" s="27" t="s">
        <v>89</v>
      </c>
      <c r="U511" s="27">
        <v>9211734022</v>
      </c>
      <c r="V511" s="27" t="s">
        <v>52</v>
      </c>
    </row>
    <row r="512" spans="1:22" ht="15" thickBot="1" x14ac:dyDescent="0.4">
      <c r="A512" s="30" t="s">
        <v>629</v>
      </c>
      <c r="B512" s="30" t="s">
        <v>63</v>
      </c>
      <c r="C512" s="30" t="s">
        <v>112</v>
      </c>
      <c r="D512" s="31">
        <v>45867</v>
      </c>
      <c r="E512" s="31">
        <v>45870</v>
      </c>
      <c r="F512" s="30" t="s">
        <v>110</v>
      </c>
      <c r="G512" s="30" t="s">
        <v>58</v>
      </c>
      <c r="H512" s="31">
        <v>37182</v>
      </c>
      <c r="I512" s="30" t="s">
        <v>91</v>
      </c>
      <c r="J512" s="30" t="s">
        <v>75</v>
      </c>
      <c r="K512" s="30" t="s">
        <v>39</v>
      </c>
      <c r="L512" s="30" t="s">
        <v>114</v>
      </c>
      <c r="M512" s="30">
        <v>14</v>
      </c>
      <c r="N512" s="30">
        <v>700</v>
      </c>
      <c r="O512" s="30">
        <v>0</v>
      </c>
      <c r="P512" s="30">
        <v>9800</v>
      </c>
      <c r="Q512" s="30">
        <v>2</v>
      </c>
      <c r="R512" s="30" t="s">
        <v>60</v>
      </c>
      <c r="S512" s="30" t="s">
        <v>96</v>
      </c>
      <c r="T512" s="30" t="s">
        <v>66</v>
      </c>
      <c r="U512" s="30">
        <v>9447151666</v>
      </c>
      <c r="V512" s="30" t="s">
        <v>53</v>
      </c>
    </row>
    <row r="513" spans="1:22" ht="15" thickBot="1" x14ac:dyDescent="0.4">
      <c r="A513" s="27" t="s">
        <v>630</v>
      </c>
      <c r="B513" s="27" t="s">
        <v>55</v>
      </c>
      <c r="C513" s="27" t="s">
        <v>56</v>
      </c>
      <c r="D513" s="28">
        <v>45951</v>
      </c>
      <c r="E513" s="28">
        <v>45962</v>
      </c>
      <c r="F513" s="27" t="s">
        <v>57</v>
      </c>
      <c r="G513" s="27" t="s">
        <v>58</v>
      </c>
      <c r="H513" s="28">
        <v>36881</v>
      </c>
      <c r="I513" s="27" t="s">
        <v>79</v>
      </c>
      <c r="J513" s="27" t="s">
        <v>75</v>
      </c>
      <c r="K513" s="27" t="s">
        <v>39</v>
      </c>
      <c r="L513" s="27" t="s">
        <v>59</v>
      </c>
      <c r="M513" s="27">
        <v>16</v>
      </c>
      <c r="N513" s="27">
        <v>1200</v>
      </c>
      <c r="O513" s="27">
        <v>15</v>
      </c>
      <c r="P513" s="27">
        <v>16320</v>
      </c>
      <c r="Q513" s="27">
        <v>4</v>
      </c>
      <c r="R513" s="27" t="s">
        <v>31</v>
      </c>
      <c r="S513" s="27" t="s">
        <v>96</v>
      </c>
      <c r="T513" s="27" t="s">
        <v>61</v>
      </c>
      <c r="U513" s="27">
        <v>9345342793</v>
      </c>
      <c r="V513" s="27" t="s">
        <v>52</v>
      </c>
    </row>
    <row r="514" spans="1:22" ht="15" thickBot="1" x14ac:dyDescent="0.4">
      <c r="A514" s="30" t="s">
        <v>631</v>
      </c>
      <c r="B514" s="30" t="s">
        <v>104</v>
      </c>
      <c r="C514" s="30" t="s">
        <v>24</v>
      </c>
      <c r="D514" s="31">
        <v>46098</v>
      </c>
      <c r="E514" s="31">
        <v>46110</v>
      </c>
      <c r="F514" s="30" t="s">
        <v>166</v>
      </c>
      <c r="G514" s="30" t="s">
        <v>26</v>
      </c>
      <c r="H514" s="31">
        <v>30367</v>
      </c>
      <c r="I514" s="30" t="s">
        <v>121</v>
      </c>
      <c r="J514" s="30" t="s">
        <v>38</v>
      </c>
      <c r="K514" s="30" t="s">
        <v>29</v>
      </c>
      <c r="L514" s="30" t="s">
        <v>30</v>
      </c>
      <c r="M514" s="30">
        <v>20</v>
      </c>
      <c r="N514" s="30">
        <v>2200</v>
      </c>
      <c r="O514" s="30">
        <v>0</v>
      </c>
      <c r="P514" s="30">
        <v>44000</v>
      </c>
      <c r="Q514" s="30">
        <v>5</v>
      </c>
      <c r="R514" s="30" t="s">
        <v>31</v>
      </c>
      <c r="S514" s="30" t="s">
        <v>32</v>
      </c>
      <c r="T514" s="30" t="s">
        <v>108</v>
      </c>
      <c r="U514" s="30">
        <v>9329668173</v>
      </c>
      <c r="V514" s="30" t="s">
        <v>53</v>
      </c>
    </row>
    <row r="515" spans="1:22" ht="15" thickBot="1" x14ac:dyDescent="0.4">
      <c r="A515" s="27" t="s">
        <v>632</v>
      </c>
      <c r="B515" s="27" t="s">
        <v>63</v>
      </c>
      <c r="C515" s="27" t="s">
        <v>36</v>
      </c>
      <c r="D515" s="28">
        <v>45711</v>
      </c>
      <c r="E515" s="28">
        <v>45723</v>
      </c>
      <c r="F515" s="27" t="s">
        <v>110</v>
      </c>
      <c r="G515" s="27" t="s">
        <v>58</v>
      </c>
      <c r="H515" s="28">
        <v>32307</v>
      </c>
      <c r="I515" s="27" t="s">
        <v>121</v>
      </c>
      <c r="J515" s="27" t="s">
        <v>38</v>
      </c>
      <c r="K515" s="27" t="s">
        <v>39</v>
      </c>
      <c r="L515" s="27" t="s">
        <v>40</v>
      </c>
      <c r="M515" s="27">
        <v>12</v>
      </c>
      <c r="N515" s="27">
        <v>12000</v>
      </c>
      <c r="O515" s="27">
        <v>15</v>
      </c>
      <c r="P515" s="27">
        <v>122400</v>
      </c>
      <c r="Q515" s="27">
        <v>5</v>
      </c>
      <c r="R515" s="27" t="s">
        <v>31</v>
      </c>
      <c r="S515" s="27" t="s">
        <v>96</v>
      </c>
      <c r="T515" s="27" t="s">
        <v>66</v>
      </c>
      <c r="U515" s="27">
        <v>9294740227</v>
      </c>
      <c r="V515" s="21" t="s">
        <v>34</v>
      </c>
    </row>
    <row r="516" spans="1:22" ht="15" thickBot="1" x14ac:dyDescent="0.4">
      <c r="A516" s="30" t="s">
        <v>633</v>
      </c>
      <c r="B516" s="30" t="s">
        <v>124</v>
      </c>
      <c r="C516" s="30" t="s">
        <v>56</v>
      </c>
      <c r="D516" s="31">
        <v>46002</v>
      </c>
      <c r="E516" s="31">
        <v>46011</v>
      </c>
      <c r="F516" s="30" t="s">
        <v>126</v>
      </c>
      <c r="G516" s="30" t="s">
        <v>58</v>
      </c>
      <c r="H516" s="31">
        <v>33807</v>
      </c>
      <c r="I516" s="30" t="s">
        <v>37</v>
      </c>
      <c r="J516" s="30" t="s">
        <v>38</v>
      </c>
      <c r="K516" s="30" t="s">
        <v>39</v>
      </c>
      <c r="L516" s="30" t="s">
        <v>59</v>
      </c>
      <c r="M516" s="30">
        <v>3</v>
      </c>
      <c r="N516" s="30">
        <v>1200</v>
      </c>
      <c r="O516" s="30">
        <v>20</v>
      </c>
      <c r="P516" s="30">
        <v>2880</v>
      </c>
      <c r="Q516" s="30">
        <v>2</v>
      </c>
      <c r="R516" s="30" t="s">
        <v>41</v>
      </c>
      <c r="S516" s="30" t="s">
        <v>80</v>
      </c>
      <c r="T516" s="30" t="s">
        <v>298</v>
      </c>
      <c r="U516" s="30">
        <v>9549426303</v>
      </c>
      <c r="V516" s="30" t="s">
        <v>52</v>
      </c>
    </row>
    <row r="517" spans="1:22" ht="15" thickBot="1" x14ac:dyDescent="0.4">
      <c r="A517" s="27" t="s">
        <v>634</v>
      </c>
      <c r="B517" s="27" t="s">
        <v>72</v>
      </c>
      <c r="C517" s="27" t="s">
        <v>46</v>
      </c>
      <c r="D517" s="28">
        <v>45842</v>
      </c>
      <c r="E517" s="28">
        <v>45843</v>
      </c>
      <c r="F517" s="27" t="s">
        <v>73</v>
      </c>
      <c r="G517" s="27" t="s">
        <v>26</v>
      </c>
      <c r="H517" s="28">
        <v>29079</v>
      </c>
      <c r="I517" s="27" t="s">
        <v>74</v>
      </c>
      <c r="J517" s="27" t="s">
        <v>75</v>
      </c>
      <c r="K517" s="27" t="s">
        <v>39</v>
      </c>
      <c r="L517" s="27" t="s">
        <v>635</v>
      </c>
      <c r="M517" s="27">
        <v>6</v>
      </c>
      <c r="N517" s="27">
        <v>55000</v>
      </c>
      <c r="O517" s="27">
        <v>20</v>
      </c>
      <c r="P517" s="27">
        <v>264000</v>
      </c>
      <c r="Q517" s="27">
        <v>3</v>
      </c>
      <c r="R517" s="27" t="s">
        <v>31</v>
      </c>
      <c r="S517" s="27" t="s">
        <v>96</v>
      </c>
      <c r="T517" s="27" t="s">
        <v>93</v>
      </c>
      <c r="U517" s="27">
        <v>9374249303</v>
      </c>
      <c r="V517" s="21" t="s">
        <v>34</v>
      </c>
    </row>
    <row r="518" spans="1:22" ht="15" thickBot="1" x14ac:dyDescent="0.4">
      <c r="A518" s="33" t="s">
        <v>636</v>
      </c>
      <c r="B518" s="33" t="s">
        <v>72</v>
      </c>
      <c r="C518" s="33" t="s">
        <v>68</v>
      </c>
      <c r="D518" s="34">
        <v>45916</v>
      </c>
      <c r="E518" s="34">
        <v>45923</v>
      </c>
      <c r="F518" s="33" t="s">
        <v>73</v>
      </c>
      <c r="G518" s="33" t="s">
        <v>26</v>
      </c>
      <c r="H518" s="34">
        <v>28088</v>
      </c>
      <c r="I518" s="33" t="s">
        <v>48</v>
      </c>
      <c r="J518" s="33" t="s">
        <v>28</v>
      </c>
      <c r="K518" s="33" t="s">
        <v>29</v>
      </c>
      <c r="L518" s="33" t="s">
        <v>70</v>
      </c>
      <c r="M518" s="33">
        <v>20</v>
      </c>
      <c r="N518" s="33">
        <v>3500</v>
      </c>
      <c r="O518" s="33">
        <v>0</v>
      </c>
      <c r="P518" s="33">
        <v>70000</v>
      </c>
      <c r="Q518" s="33">
        <v>1</v>
      </c>
      <c r="R518" s="33" t="s">
        <v>41</v>
      </c>
      <c r="S518" s="33" t="s">
        <v>96</v>
      </c>
      <c r="T518" s="33" t="s">
        <v>93</v>
      </c>
      <c r="U518" s="33">
        <v>9810334941</v>
      </c>
      <c r="V518" s="33" t="s">
        <v>52</v>
      </c>
    </row>
  </sheetData>
  <mergeCells count="7">
    <mergeCell ref="C2:L2"/>
    <mergeCell ref="D4:E4"/>
    <mergeCell ref="D5:E5"/>
    <mergeCell ref="G4:H4"/>
    <mergeCell ref="G5:H5"/>
    <mergeCell ref="J4:K4"/>
    <mergeCell ref="J5:K5"/>
  </mergeCells>
  <hyperlinks>
    <hyperlink ref="T19" r:id="rId1" display="mailto:KAvya.nair@company.com" xr:uid="{5C53F4D8-55F6-4920-AA5D-AB0847CCBBF0}"/>
    <hyperlink ref="T22" r:id="rId2" display="mailto:kavya.nair@company.com" xr:uid="{79CD5679-9216-4ACB-BF86-A4899C6917E1}"/>
    <hyperlink ref="T26" r:id="rId3" display="mailto:priYa.patel@company.com" xr:uid="{8768B11D-888C-4F32-AB7B-C5FF444992C2}"/>
    <hyperlink ref="T28" r:id="rId4" display="mailto:PRiya.patel@company.com" xr:uid="{215DDD13-8F57-455D-BEA4-6628CE92C6EC}"/>
    <hyperlink ref="T32" r:id="rId5" display="mailto:rOhit.singh@company.com" xr:uid="{05C678E8-B17A-4DFC-8C7A-0255ECD1ABBA}"/>
    <hyperlink ref="T33" r:id="rId6" display="mailto:kavya.nair@company.com" xr:uid="{297C863B-6C48-468A-BF41-9A29C3949C5D}"/>
    <hyperlink ref="T37" r:id="rId7" display="mailto:arjun.Rao@company.com" xr:uid="{314F53CA-0D3E-481B-BA7A-92DF4601C0B2}"/>
    <hyperlink ref="T78" r:id="rId8" display="mailto:Vikas.mehta@company.com" xr:uid="{2FCFB1E7-7F9A-4AD7-897F-196A61262978}"/>
    <hyperlink ref="T89" r:id="rId9" display="mailto:Anita.gupta@company.com" xr:uid="{66B1A137-9773-4EA0-8C1E-14A120077334}"/>
    <hyperlink ref="T311" r:id="rId10" display="mailto:Pooja.shah@company.com" xr:uid="{6A6320A0-8DD8-45EA-BCBA-163B8E77771C}"/>
    <hyperlink ref="T467" r:id="rId11" display="mailto:amit.SHarma@company.com" xr:uid="{1E3E5643-1C95-4B17-AE00-C0AFFFB0078F}"/>
    <hyperlink ref="T480" r:id="rId12" display="mailto:rohit.sinGh@company.com" xr:uid="{76DDAE7A-DC73-48BB-9132-B00C6A02CF80}"/>
    <hyperlink ref="T496" r:id="rId13" display="mailto:kavya.Nair@company.com" xr:uid="{2FD4F044-5D30-4DBA-9C25-1FDA62D0D910}"/>
    <hyperlink ref="T506" r:id="rId14" display="mailto:pOOja.shah@company.com" xr:uid="{75B90107-B797-4A55-9DB6-DF7A339DE45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20CC0-5C9E-4FAC-B645-EB58DEBEAB49}">
  <dimension ref="A2:N10"/>
  <sheetViews>
    <sheetView workbookViewId="0">
      <selection activeCell="G15" sqref="G15"/>
    </sheetView>
  </sheetViews>
  <sheetFormatPr defaultRowHeight="14.5" x14ac:dyDescent="0.35"/>
  <cols>
    <col min="2" max="2" width="10.26953125" bestFit="1" customWidth="1"/>
    <col min="12" max="12" width="10.26953125" bestFit="1" customWidth="1"/>
  </cols>
  <sheetData>
    <row r="2" spans="1:14" ht="21" x14ac:dyDescent="0.5">
      <c r="F2" s="134" t="s">
        <v>678</v>
      </c>
      <c r="G2" s="134"/>
      <c r="H2" s="134"/>
      <c r="I2" s="134"/>
      <c r="J2" s="134"/>
      <c r="K2" s="134"/>
      <c r="L2" s="134"/>
      <c r="M2" s="134"/>
    </row>
    <row r="5" spans="1:14" x14ac:dyDescent="0.35">
      <c r="A5" s="73">
        <v>1</v>
      </c>
      <c r="B5" s="87"/>
      <c r="C5" s="88" t="s">
        <v>679</v>
      </c>
      <c r="D5" s="45"/>
      <c r="F5" s="73">
        <v>2</v>
      </c>
      <c r="G5" s="137" t="s">
        <v>680</v>
      </c>
      <c r="H5" s="137"/>
      <c r="I5" s="137"/>
      <c r="K5" s="73">
        <v>3</v>
      </c>
      <c r="L5" s="140" t="s">
        <v>681</v>
      </c>
      <c r="M5" s="140"/>
      <c r="N5" s="140"/>
    </row>
    <row r="6" spans="1:14" x14ac:dyDescent="0.35">
      <c r="B6" s="135">
        <f>FV(10%/12, 12*5, -50000)</f>
        <v>3871853.6086715083</v>
      </c>
      <c r="C6" s="136"/>
      <c r="D6" s="136"/>
      <c r="G6" s="138">
        <f>PMT(10%/12,5*12,0,-5000000)</f>
        <v>64568.556889674721</v>
      </c>
      <c r="H6" s="139"/>
      <c r="I6" s="139"/>
      <c r="L6" s="138">
        <f>PMT(9%/12,5*12,0,-1000000)</f>
        <v>13258.35522635401</v>
      </c>
      <c r="M6" s="138"/>
      <c r="N6" s="138"/>
    </row>
    <row r="9" spans="1:14" x14ac:dyDescent="0.35">
      <c r="A9" s="73">
        <v>4</v>
      </c>
      <c r="B9" s="131" t="s">
        <v>682</v>
      </c>
      <c r="C9" s="131"/>
      <c r="D9" s="131"/>
      <c r="F9" s="73"/>
      <c r="G9" s="72" t="s">
        <v>683</v>
      </c>
      <c r="H9" s="73"/>
    </row>
    <row r="10" spans="1:14" x14ac:dyDescent="0.35">
      <c r="B10" s="132">
        <f>ROUND(L6,0)</f>
        <v>13258</v>
      </c>
      <c r="C10" s="132"/>
      <c r="D10" s="132"/>
      <c r="F10" s="133">
        <f>ROUND(B10,2)</f>
        <v>13258</v>
      </c>
      <c r="G10" s="133"/>
      <c r="H10" s="133"/>
    </row>
  </sheetData>
  <mergeCells count="9">
    <mergeCell ref="B9:D9"/>
    <mergeCell ref="B10:D10"/>
    <mergeCell ref="F10:H10"/>
    <mergeCell ref="F2:M2"/>
    <mergeCell ref="B6:D6"/>
    <mergeCell ref="G5:I5"/>
    <mergeCell ref="G6:I6"/>
    <mergeCell ref="L5:N5"/>
    <mergeCell ref="L6:N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8462F-0651-4656-83CD-4C00C692C2EA}">
  <dimension ref="A1:Z501"/>
  <sheetViews>
    <sheetView workbookViewId="0">
      <selection activeCell="K6" sqref="K6"/>
    </sheetView>
  </sheetViews>
  <sheetFormatPr defaultRowHeight="14.5" x14ac:dyDescent="0.35"/>
  <cols>
    <col min="1" max="1" width="9.54296875" bestFit="1" customWidth="1"/>
    <col min="2" max="2" width="11.6328125" bestFit="1" customWidth="1"/>
    <col min="3" max="3" width="10" bestFit="1" customWidth="1"/>
    <col min="4" max="4" width="10.1796875" bestFit="1" customWidth="1"/>
    <col min="5" max="5" width="12.36328125" bestFit="1" customWidth="1"/>
    <col min="6" max="6" width="14.81640625" bestFit="1" customWidth="1"/>
    <col min="7" max="7" width="6.90625" bestFit="1" customWidth="1"/>
    <col min="8" max="8" width="10.08984375" bestFit="1" customWidth="1"/>
    <col min="9" max="9" width="10.453125" bestFit="1" customWidth="1"/>
    <col min="10" max="10" width="6.54296875" bestFit="1" customWidth="1"/>
    <col min="11" max="11" width="22.7265625" customWidth="1"/>
    <col min="12" max="12" width="13.1796875" bestFit="1" customWidth="1"/>
    <col min="13" max="13" width="8" bestFit="1" customWidth="1"/>
    <col min="14" max="14" width="9.453125" bestFit="1" customWidth="1"/>
    <col min="15" max="15" width="10.7265625" bestFit="1" customWidth="1"/>
    <col min="16" max="16" width="7.81640625" bestFit="1" customWidth="1"/>
    <col min="17" max="17" width="6.1796875" bestFit="1" customWidth="1"/>
    <col min="18" max="18" width="13.6328125" bestFit="1" customWidth="1"/>
    <col min="19" max="19" width="11.6328125" customWidth="1"/>
    <col min="20" max="20" width="24.81640625" bestFit="1" customWidth="1"/>
    <col min="21" max="21" width="10.81640625" bestFit="1" customWidth="1"/>
    <col min="22" max="22" width="11.6328125" bestFit="1" customWidth="1"/>
    <col min="23" max="23" width="20.08984375" customWidth="1"/>
    <col min="24" max="24" width="19.08984375" customWidth="1"/>
    <col min="25" max="25" width="19" customWidth="1"/>
    <col min="26" max="26" width="16.453125" customWidth="1"/>
  </cols>
  <sheetData>
    <row r="1" spans="1:26" ht="15" thickBot="1" x14ac:dyDescent="0.4">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99" t="s">
        <v>17</v>
      </c>
      <c r="S1" s="25" t="s">
        <v>18</v>
      </c>
      <c r="T1" s="25" t="s">
        <v>19</v>
      </c>
      <c r="U1" s="25" t="s">
        <v>20</v>
      </c>
      <c r="V1" s="20" t="s">
        <v>21</v>
      </c>
      <c r="W1" s="26" t="s">
        <v>685</v>
      </c>
      <c r="X1" s="89" t="s">
        <v>686</v>
      </c>
      <c r="Y1" s="89" t="s">
        <v>687</v>
      </c>
      <c r="Z1" s="89" t="s">
        <v>688</v>
      </c>
    </row>
    <row r="2" spans="1:26" ht="15.5" thickTop="1" thickBot="1" x14ac:dyDescent="0.4">
      <c r="A2" s="90" t="s">
        <v>22</v>
      </c>
      <c r="B2" s="27" t="s">
        <v>23</v>
      </c>
      <c r="C2" s="27" t="s">
        <v>24</v>
      </c>
      <c r="D2" s="28">
        <v>45918</v>
      </c>
      <c r="E2" s="28">
        <v>45922</v>
      </c>
      <c r="F2" s="27" t="s">
        <v>25</v>
      </c>
      <c r="G2" s="27" t="s">
        <v>26</v>
      </c>
      <c r="H2" s="28">
        <v>27973</v>
      </c>
      <c r="I2" s="27" t="s">
        <v>27</v>
      </c>
      <c r="J2" s="27" t="s">
        <v>28</v>
      </c>
      <c r="K2" s="27" t="s">
        <v>29</v>
      </c>
      <c r="L2" s="27" t="s">
        <v>30</v>
      </c>
      <c r="M2" s="95">
        <v>4</v>
      </c>
      <c r="N2" s="27">
        <v>2200</v>
      </c>
      <c r="O2" s="27">
        <v>10</v>
      </c>
      <c r="P2" s="27">
        <v>7920</v>
      </c>
      <c r="Q2" s="27">
        <v>4</v>
      </c>
      <c r="R2" s="90" t="s">
        <v>31</v>
      </c>
      <c r="S2" s="27" t="s">
        <v>32</v>
      </c>
      <c r="T2" s="29" t="s">
        <v>33</v>
      </c>
      <c r="U2" s="27">
        <v>9431429797</v>
      </c>
      <c r="V2" s="35" t="s">
        <v>34</v>
      </c>
      <c r="W2" s="40" t="str">
        <f>PROPER(TRIM(F2))</f>
        <v>Kavya Nair</v>
      </c>
      <c r="X2" s="93" t="str">
        <f>PROPER(K2)</f>
        <v>Home Appliances</v>
      </c>
      <c r="Y2" s="94" t="str">
        <f>PROPER(J2)</f>
        <v>South</v>
      </c>
    </row>
    <row r="3" spans="1:26" ht="15" thickBot="1" x14ac:dyDescent="0.4">
      <c r="A3" s="90" t="s">
        <v>35</v>
      </c>
      <c r="B3" s="30" t="s">
        <v>23</v>
      </c>
      <c r="C3" s="30" t="s">
        <v>36</v>
      </c>
      <c r="D3" s="31">
        <v>45774</v>
      </c>
      <c r="E3" s="31">
        <v>45781</v>
      </c>
      <c r="F3" s="30" t="s">
        <v>25</v>
      </c>
      <c r="G3" s="30" t="s">
        <v>26</v>
      </c>
      <c r="H3" s="31">
        <v>36815</v>
      </c>
      <c r="I3" s="30" t="s">
        <v>37</v>
      </c>
      <c r="J3" s="30" t="s">
        <v>38</v>
      </c>
      <c r="K3" s="30" t="s">
        <v>39</v>
      </c>
      <c r="L3" s="30" t="s">
        <v>40</v>
      </c>
      <c r="M3" s="95">
        <v>17</v>
      </c>
      <c r="N3" s="30">
        <v>12000</v>
      </c>
      <c r="O3" s="30">
        <v>10</v>
      </c>
      <c r="P3" s="30">
        <v>183600</v>
      </c>
      <c r="Q3" s="30">
        <v>1</v>
      </c>
      <c r="R3" s="90" t="s">
        <v>41</v>
      </c>
      <c r="S3" s="30" t="s">
        <v>42</v>
      </c>
      <c r="T3" s="30" t="s">
        <v>43</v>
      </c>
      <c r="U3" s="30">
        <v>9129865339</v>
      </c>
      <c r="V3" s="36" t="s">
        <v>34</v>
      </c>
      <c r="W3" s="40" t="str">
        <f t="shared" ref="W3:W66" si="0">PROPER(TRIM(F3))</f>
        <v>Kavya Nair</v>
      </c>
      <c r="X3" s="93" t="str">
        <f t="shared" ref="X3:X66" si="1">PROPER(K3)</f>
        <v>Electronics</v>
      </c>
      <c r="Y3" s="94" t="str">
        <f t="shared" ref="Y3:Y66" si="2">PROPER(J3)</f>
        <v>North</v>
      </c>
    </row>
    <row r="4" spans="1:26" ht="15" thickBot="1" x14ac:dyDescent="0.4">
      <c r="A4" s="90" t="s">
        <v>44</v>
      </c>
      <c r="B4" s="27" t="s">
        <v>45</v>
      </c>
      <c r="C4" s="27" t="s">
        <v>46</v>
      </c>
      <c r="D4" s="28">
        <v>45903</v>
      </c>
      <c r="E4" s="28">
        <v>45914</v>
      </c>
      <c r="F4" s="27" t="s">
        <v>47</v>
      </c>
      <c r="G4" s="27" t="s">
        <v>26</v>
      </c>
      <c r="H4" s="28">
        <v>34593</v>
      </c>
      <c r="I4" s="27" t="s">
        <v>48</v>
      </c>
      <c r="J4" s="27" t="s">
        <v>28</v>
      </c>
      <c r="K4" s="27" t="s">
        <v>39</v>
      </c>
      <c r="L4" s="27" t="s">
        <v>49</v>
      </c>
      <c r="M4" s="95">
        <v>5</v>
      </c>
      <c r="N4" s="27">
        <v>55000</v>
      </c>
      <c r="O4" s="27">
        <v>5</v>
      </c>
      <c r="P4" s="27">
        <v>261250</v>
      </c>
      <c r="Q4" s="27">
        <v>3</v>
      </c>
      <c r="R4" s="90" t="s">
        <v>41</v>
      </c>
      <c r="S4" s="27" t="s">
        <v>50</v>
      </c>
      <c r="T4" s="27" t="s">
        <v>51</v>
      </c>
      <c r="U4" s="27">
        <v>9380975626</v>
      </c>
      <c r="V4" s="37" t="s">
        <v>52</v>
      </c>
      <c r="W4" s="40" t="str">
        <f t="shared" si="0"/>
        <v>Pooja Shah</v>
      </c>
      <c r="X4" s="93" t="str">
        <f t="shared" si="1"/>
        <v>Electronics</v>
      </c>
      <c r="Y4" s="94" t="str">
        <f t="shared" si="2"/>
        <v>South</v>
      </c>
    </row>
    <row r="5" spans="1:26" ht="15" thickBot="1" x14ac:dyDescent="0.4">
      <c r="A5" s="90" t="s">
        <v>54</v>
      </c>
      <c r="B5" s="30" t="s">
        <v>23</v>
      </c>
      <c r="C5" s="30" t="s">
        <v>24</v>
      </c>
      <c r="D5" s="31">
        <v>46102</v>
      </c>
      <c r="E5" s="31">
        <v>46114</v>
      </c>
      <c r="F5" s="30" t="s">
        <v>25</v>
      </c>
      <c r="G5" s="30" t="s">
        <v>26</v>
      </c>
      <c r="H5" s="31">
        <v>38053</v>
      </c>
      <c r="I5" s="30" t="s">
        <v>48</v>
      </c>
      <c r="J5" s="30" t="s">
        <v>28</v>
      </c>
      <c r="K5" s="30" t="s">
        <v>29</v>
      </c>
      <c r="L5" s="30" t="s">
        <v>30</v>
      </c>
      <c r="M5" s="95">
        <v>5</v>
      </c>
      <c r="N5" s="30">
        <v>2200</v>
      </c>
      <c r="O5" s="30">
        <v>5</v>
      </c>
      <c r="P5" s="30">
        <v>10450</v>
      </c>
      <c r="Q5" s="30">
        <v>5</v>
      </c>
      <c r="R5" s="90" t="s">
        <v>41</v>
      </c>
      <c r="S5" s="30" t="s">
        <v>50</v>
      </c>
      <c r="T5" s="32" t="s">
        <v>43</v>
      </c>
      <c r="U5" s="30">
        <v>9600261125</v>
      </c>
      <c r="V5" s="38" t="s">
        <v>53</v>
      </c>
      <c r="W5" s="40" t="str">
        <f t="shared" si="0"/>
        <v>Kavya Nair</v>
      </c>
      <c r="X5" s="93" t="str">
        <f t="shared" si="1"/>
        <v>Home Appliances</v>
      </c>
      <c r="Y5" s="94" t="str">
        <f t="shared" si="2"/>
        <v>South</v>
      </c>
    </row>
    <row r="6" spans="1:26" ht="15" thickBot="1" x14ac:dyDescent="0.4">
      <c r="A6" s="90" t="s">
        <v>62</v>
      </c>
      <c r="B6" s="27" t="s">
        <v>55</v>
      </c>
      <c r="C6" s="27" t="s">
        <v>56</v>
      </c>
      <c r="D6" s="28">
        <v>45927</v>
      </c>
      <c r="E6" s="28">
        <v>45937</v>
      </c>
      <c r="F6" s="27" t="s">
        <v>57</v>
      </c>
      <c r="G6" s="27" t="s">
        <v>58</v>
      </c>
      <c r="H6" s="28">
        <v>27863</v>
      </c>
      <c r="I6" s="27" t="s">
        <v>37</v>
      </c>
      <c r="J6" s="27" t="s">
        <v>38</v>
      </c>
      <c r="K6" s="27" t="s">
        <v>39</v>
      </c>
      <c r="L6" s="27" t="s">
        <v>59</v>
      </c>
      <c r="M6" s="95">
        <v>8</v>
      </c>
      <c r="N6" s="27">
        <v>1200</v>
      </c>
      <c r="O6" s="27">
        <v>5</v>
      </c>
      <c r="P6" s="27">
        <v>9120</v>
      </c>
      <c r="Q6" s="27">
        <v>2</v>
      </c>
      <c r="R6" s="90" t="s">
        <v>60</v>
      </c>
      <c r="S6" s="27" t="s">
        <v>50</v>
      </c>
      <c r="T6" s="27" t="s">
        <v>61</v>
      </c>
      <c r="U6" s="27">
        <v>9724635978</v>
      </c>
      <c r="V6" s="37" t="s">
        <v>52</v>
      </c>
      <c r="W6" s="40" t="str">
        <f t="shared" si="0"/>
        <v>Mohit Verma</v>
      </c>
      <c r="X6" s="93" t="str">
        <f t="shared" si="1"/>
        <v>Electronics</v>
      </c>
      <c r="Y6" s="94" t="str">
        <f t="shared" si="2"/>
        <v>North</v>
      </c>
    </row>
    <row r="7" spans="1:26" ht="15" thickBot="1" x14ac:dyDescent="0.4">
      <c r="A7" s="90" t="s">
        <v>67</v>
      </c>
      <c r="B7" s="30" t="s">
        <v>63</v>
      </c>
      <c r="C7" s="30" t="s">
        <v>24</v>
      </c>
      <c r="D7" s="31">
        <v>46026</v>
      </c>
      <c r="E7" s="31">
        <v>46034</v>
      </c>
      <c r="F7" s="30" t="s">
        <v>64</v>
      </c>
      <c r="G7" s="30" t="s">
        <v>58</v>
      </c>
      <c r="H7" s="31">
        <v>32180</v>
      </c>
      <c r="I7" s="30" t="s">
        <v>27</v>
      </c>
      <c r="J7" s="30" t="s">
        <v>28</v>
      </c>
      <c r="K7" s="30" t="s">
        <v>29</v>
      </c>
      <c r="L7" s="30" t="s">
        <v>30</v>
      </c>
      <c r="M7" s="95">
        <v>4</v>
      </c>
      <c r="N7" s="30">
        <v>2200</v>
      </c>
      <c r="O7" s="30">
        <v>0</v>
      </c>
      <c r="P7" s="30">
        <v>8800</v>
      </c>
      <c r="Q7" s="30">
        <v>1</v>
      </c>
      <c r="R7" s="90" t="s">
        <v>65</v>
      </c>
      <c r="S7" s="30" t="s">
        <v>32</v>
      </c>
      <c r="T7" s="30" t="s">
        <v>66</v>
      </c>
      <c r="U7" s="30">
        <v>9780584905</v>
      </c>
      <c r="V7" s="36" t="s">
        <v>34</v>
      </c>
      <c r="W7" s="40" t="str">
        <f t="shared" si="0"/>
        <v>Arjun Rao</v>
      </c>
      <c r="X7" s="93" t="str">
        <f t="shared" si="1"/>
        <v>Home Appliances</v>
      </c>
      <c r="Y7" s="94" t="str">
        <f t="shared" si="2"/>
        <v>South</v>
      </c>
    </row>
    <row r="8" spans="1:26" ht="15" thickBot="1" x14ac:dyDescent="0.4">
      <c r="A8" s="90" t="s">
        <v>71</v>
      </c>
      <c r="B8" s="27" t="s">
        <v>23</v>
      </c>
      <c r="C8" s="27" t="s">
        <v>68</v>
      </c>
      <c r="D8" s="92" t="s">
        <v>52</v>
      </c>
      <c r="E8" s="28">
        <v>46078</v>
      </c>
      <c r="F8" s="27" t="s">
        <v>25</v>
      </c>
      <c r="G8" s="27" t="s">
        <v>26</v>
      </c>
      <c r="H8" s="28">
        <v>37700</v>
      </c>
      <c r="I8" s="27" t="s">
        <v>27</v>
      </c>
      <c r="J8" s="27" t="s">
        <v>28</v>
      </c>
      <c r="K8" s="27" t="s">
        <v>29</v>
      </c>
      <c r="L8" s="27" t="s">
        <v>70</v>
      </c>
      <c r="M8" s="95">
        <v>2</v>
      </c>
      <c r="N8" s="27">
        <v>3500</v>
      </c>
      <c r="O8" s="27">
        <v>5</v>
      </c>
      <c r="P8" s="27">
        <v>6650</v>
      </c>
      <c r="Q8" s="27">
        <v>1</v>
      </c>
      <c r="R8" s="90" t="s">
        <v>65</v>
      </c>
      <c r="S8" s="27" t="s">
        <v>32</v>
      </c>
      <c r="T8" s="27" t="s">
        <v>43</v>
      </c>
      <c r="U8" s="27">
        <v>9958252176</v>
      </c>
      <c r="V8" s="35" t="s">
        <v>34</v>
      </c>
      <c r="W8" s="40" t="str">
        <f t="shared" si="0"/>
        <v>Kavya Nair</v>
      </c>
      <c r="X8" s="93" t="str">
        <f t="shared" si="1"/>
        <v>Home Appliances</v>
      </c>
      <c r="Y8" s="94" t="str">
        <f t="shared" si="2"/>
        <v>South</v>
      </c>
    </row>
    <row r="9" spans="1:26" ht="15" thickBot="1" x14ac:dyDescent="0.4">
      <c r="A9" s="90" t="s">
        <v>77</v>
      </c>
      <c r="B9" s="30" t="s">
        <v>72</v>
      </c>
      <c r="C9" s="30" t="s">
        <v>36</v>
      </c>
      <c r="D9" s="31">
        <v>45760</v>
      </c>
      <c r="E9" s="31">
        <v>45766</v>
      </c>
      <c r="F9" s="30" t="s">
        <v>73</v>
      </c>
      <c r="G9" s="30" t="s">
        <v>26</v>
      </c>
      <c r="H9" s="31">
        <v>34765</v>
      </c>
      <c r="I9" s="30" t="s">
        <v>74</v>
      </c>
      <c r="J9" s="30" t="s">
        <v>75</v>
      </c>
      <c r="K9" s="30" t="s">
        <v>39</v>
      </c>
      <c r="L9" s="30" t="s">
        <v>40</v>
      </c>
      <c r="M9" s="95">
        <v>14</v>
      </c>
      <c r="N9" s="30">
        <v>12000</v>
      </c>
      <c r="O9" s="30">
        <v>15</v>
      </c>
      <c r="P9" s="30">
        <v>142800</v>
      </c>
      <c r="Q9" s="30">
        <v>4</v>
      </c>
      <c r="R9" s="90" t="s">
        <v>41</v>
      </c>
      <c r="S9" s="30" t="s">
        <v>32</v>
      </c>
      <c r="T9" s="32" t="s">
        <v>76</v>
      </c>
      <c r="U9" s="30">
        <v>9705521654</v>
      </c>
      <c r="V9" s="36" t="s">
        <v>34</v>
      </c>
      <c r="W9" s="40" t="str">
        <f t="shared" si="0"/>
        <v>Priya Patel</v>
      </c>
      <c r="X9" s="93" t="str">
        <f t="shared" si="1"/>
        <v>Electronics</v>
      </c>
      <c r="Y9" s="94" t="str">
        <f t="shared" si="2"/>
        <v>West</v>
      </c>
    </row>
    <row r="10" spans="1:26" ht="15" thickBot="1" x14ac:dyDescent="0.4">
      <c r="A10" s="90" t="s">
        <v>81</v>
      </c>
      <c r="B10" s="27" t="s">
        <v>23</v>
      </c>
      <c r="C10" s="27" t="s">
        <v>36</v>
      </c>
      <c r="D10" s="28">
        <v>46053</v>
      </c>
      <c r="E10" s="28">
        <v>46055</v>
      </c>
      <c r="F10" s="27" t="s">
        <v>78</v>
      </c>
      <c r="G10" s="27" t="s">
        <v>26</v>
      </c>
      <c r="H10" s="28">
        <v>35526</v>
      </c>
      <c r="I10" s="27" t="s">
        <v>79</v>
      </c>
      <c r="J10" s="27" t="s">
        <v>75</v>
      </c>
      <c r="K10" s="27" t="s">
        <v>39</v>
      </c>
      <c r="L10" s="27" t="s">
        <v>40</v>
      </c>
      <c r="M10" s="95">
        <v>4</v>
      </c>
      <c r="N10" s="27">
        <v>12000</v>
      </c>
      <c r="O10" s="27">
        <v>15</v>
      </c>
      <c r="P10" s="27">
        <v>40800</v>
      </c>
      <c r="Q10" s="27">
        <v>4</v>
      </c>
      <c r="R10" s="90" t="s">
        <v>65</v>
      </c>
      <c r="S10" s="27" t="s">
        <v>80</v>
      </c>
      <c r="T10" s="27" t="s">
        <v>43</v>
      </c>
      <c r="U10" s="27">
        <v>9588041011</v>
      </c>
      <c r="V10" s="35" t="s">
        <v>34</v>
      </c>
      <c r="W10" s="40" t="str">
        <f t="shared" si="0"/>
        <v>Kavya Nair</v>
      </c>
      <c r="X10" s="93" t="str">
        <f t="shared" si="1"/>
        <v>Electronics</v>
      </c>
      <c r="Y10" s="94" t="str">
        <f t="shared" si="2"/>
        <v>West</v>
      </c>
    </row>
    <row r="11" spans="1:26" ht="15" thickBot="1" x14ac:dyDescent="0.4">
      <c r="A11" s="90" t="s">
        <v>86</v>
      </c>
      <c r="B11" s="30" t="s">
        <v>72</v>
      </c>
      <c r="C11" s="30" t="s">
        <v>82</v>
      </c>
      <c r="D11" s="31">
        <v>45741</v>
      </c>
      <c r="E11" s="31">
        <v>45743</v>
      </c>
      <c r="F11" s="30" t="s">
        <v>73</v>
      </c>
      <c r="G11" s="30" t="s">
        <v>26</v>
      </c>
      <c r="H11" s="31">
        <v>32880</v>
      </c>
      <c r="I11" s="30" t="s">
        <v>74</v>
      </c>
      <c r="J11" s="30" t="s">
        <v>75</v>
      </c>
      <c r="K11" s="30" t="s">
        <v>83</v>
      </c>
      <c r="L11" s="30" t="s">
        <v>84</v>
      </c>
      <c r="M11" s="95">
        <v>6</v>
      </c>
      <c r="N11" s="30">
        <v>60</v>
      </c>
      <c r="O11" s="30">
        <v>0</v>
      </c>
      <c r="P11" s="30">
        <v>360</v>
      </c>
      <c r="Q11" s="30">
        <v>4</v>
      </c>
      <c r="R11" s="90" t="s">
        <v>60</v>
      </c>
      <c r="S11" s="30" t="s">
        <v>80</v>
      </c>
      <c r="T11" s="32" t="s">
        <v>85</v>
      </c>
      <c r="U11" s="30">
        <v>9340540608</v>
      </c>
      <c r="V11" s="36" t="s">
        <v>34</v>
      </c>
      <c r="W11" s="40" t="str">
        <f t="shared" si="0"/>
        <v>Priya Patel</v>
      </c>
      <c r="X11" s="93" t="str">
        <f t="shared" si="1"/>
        <v>Stationery</v>
      </c>
      <c r="Y11" s="94" t="str">
        <f t="shared" si="2"/>
        <v>West</v>
      </c>
    </row>
    <row r="12" spans="1:26" ht="15" thickBot="1" x14ac:dyDescent="0.4">
      <c r="A12" s="90" t="s">
        <v>90</v>
      </c>
      <c r="B12" s="27" t="s">
        <v>87</v>
      </c>
      <c r="C12" s="27" t="s">
        <v>24</v>
      </c>
      <c r="D12" s="28">
        <v>45919</v>
      </c>
      <c r="E12" s="28">
        <v>45923</v>
      </c>
      <c r="F12" s="27" t="s">
        <v>88</v>
      </c>
      <c r="G12" s="27" t="s">
        <v>58</v>
      </c>
      <c r="H12" s="28">
        <v>30081</v>
      </c>
      <c r="I12" s="27" t="s">
        <v>37</v>
      </c>
      <c r="J12" s="27" t="s">
        <v>38</v>
      </c>
      <c r="K12" s="27" t="s">
        <v>29</v>
      </c>
      <c r="L12" s="27" t="s">
        <v>30</v>
      </c>
      <c r="M12" s="95">
        <v>-3</v>
      </c>
      <c r="N12" s="27">
        <v>2200</v>
      </c>
      <c r="O12" s="27">
        <v>0</v>
      </c>
      <c r="P12" s="27">
        <v>35200</v>
      </c>
      <c r="Q12" s="27">
        <v>2</v>
      </c>
      <c r="R12" s="90" t="s">
        <v>60</v>
      </c>
      <c r="S12" s="27" t="s">
        <v>42</v>
      </c>
      <c r="T12" s="27" t="s">
        <v>89</v>
      </c>
      <c r="U12" s="27">
        <v>9521710321</v>
      </c>
      <c r="V12" s="37" t="s">
        <v>52</v>
      </c>
      <c r="W12" s="40" t="str">
        <f t="shared" si="0"/>
        <v>Rohit Singh</v>
      </c>
      <c r="X12" s="93" t="str">
        <f t="shared" si="1"/>
        <v>Home Appliances</v>
      </c>
      <c r="Y12" s="94" t="str">
        <f t="shared" si="2"/>
        <v>North</v>
      </c>
    </row>
    <row r="13" spans="1:26" ht="15" thickBot="1" x14ac:dyDescent="0.4">
      <c r="A13" s="90" t="s">
        <v>92</v>
      </c>
      <c r="B13" s="30" t="s">
        <v>23</v>
      </c>
      <c r="C13" s="30" t="s">
        <v>68</v>
      </c>
      <c r="D13" s="31">
        <v>45724</v>
      </c>
      <c r="E13" s="31">
        <v>45731</v>
      </c>
      <c r="F13" s="30" t="s">
        <v>25</v>
      </c>
      <c r="G13" s="30" t="s">
        <v>26</v>
      </c>
      <c r="H13" s="31">
        <v>29974</v>
      </c>
      <c r="I13" s="30" t="s">
        <v>91</v>
      </c>
      <c r="J13" s="30" t="s">
        <v>75</v>
      </c>
      <c r="K13" s="30" t="s">
        <v>29</v>
      </c>
      <c r="L13" s="30" t="s">
        <v>70</v>
      </c>
      <c r="M13" s="95">
        <v>10</v>
      </c>
      <c r="N13" s="30">
        <v>3500</v>
      </c>
      <c r="O13" s="30">
        <v>5</v>
      </c>
      <c r="P13" s="30">
        <v>33250</v>
      </c>
      <c r="Q13" s="30">
        <v>5</v>
      </c>
      <c r="R13" s="90" t="s">
        <v>60</v>
      </c>
      <c r="S13" s="30" t="s">
        <v>50</v>
      </c>
      <c r="T13" s="30" t="s">
        <v>43</v>
      </c>
      <c r="U13" s="30">
        <v>9123535241</v>
      </c>
      <c r="V13" s="38" t="s">
        <v>53</v>
      </c>
      <c r="W13" s="40" t="str">
        <f t="shared" si="0"/>
        <v>Kavya Nair</v>
      </c>
      <c r="X13" s="93" t="str">
        <f t="shared" si="1"/>
        <v>Home Appliances</v>
      </c>
      <c r="Y13" s="94" t="str">
        <f t="shared" si="2"/>
        <v>West</v>
      </c>
    </row>
    <row r="14" spans="1:26" ht="15" thickBot="1" x14ac:dyDescent="0.4">
      <c r="A14" s="90" t="s">
        <v>94</v>
      </c>
      <c r="B14" s="27" t="s">
        <v>72</v>
      </c>
      <c r="C14" s="27" t="s">
        <v>24</v>
      </c>
      <c r="D14" s="28">
        <v>45667</v>
      </c>
      <c r="E14" s="28">
        <v>45672</v>
      </c>
      <c r="F14" s="27" t="s">
        <v>73</v>
      </c>
      <c r="G14" s="27" t="s">
        <v>26</v>
      </c>
      <c r="H14" s="28">
        <v>33791</v>
      </c>
      <c r="I14" s="27" t="s">
        <v>79</v>
      </c>
      <c r="J14" s="27" t="s">
        <v>75</v>
      </c>
      <c r="K14" s="27" t="s">
        <v>29</v>
      </c>
      <c r="L14" s="27" t="s">
        <v>30</v>
      </c>
      <c r="M14" s="95">
        <v>15</v>
      </c>
      <c r="N14" s="27">
        <v>2200</v>
      </c>
      <c r="O14" s="27">
        <v>10</v>
      </c>
      <c r="P14" s="27">
        <v>29700</v>
      </c>
      <c r="Q14" s="27">
        <v>1</v>
      </c>
      <c r="R14" s="90" t="s">
        <v>65</v>
      </c>
      <c r="S14" s="27" t="s">
        <v>80</v>
      </c>
      <c r="T14" s="27" t="s">
        <v>93</v>
      </c>
      <c r="U14" s="27">
        <v>9367316892</v>
      </c>
      <c r="V14" s="37" t="s">
        <v>52</v>
      </c>
      <c r="W14" s="40" t="str">
        <f t="shared" si="0"/>
        <v>Priya Patel</v>
      </c>
      <c r="X14" s="93" t="str">
        <f t="shared" si="1"/>
        <v>Home Appliances</v>
      </c>
      <c r="Y14" s="94" t="str">
        <f t="shared" si="2"/>
        <v>West</v>
      </c>
    </row>
    <row r="15" spans="1:26" ht="15" thickBot="1" x14ac:dyDescent="0.4">
      <c r="A15" s="90" t="s">
        <v>98</v>
      </c>
      <c r="B15" s="30" t="s">
        <v>87</v>
      </c>
      <c r="C15" s="30" t="s">
        <v>24</v>
      </c>
      <c r="D15" s="31">
        <v>45725</v>
      </c>
      <c r="E15" s="31">
        <v>45729</v>
      </c>
      <c r="F15" s="30" t="s">
        <v>95</v>
      </c>
      <c r="G15" s="30" t="s">
        <v>58</v>
      </c>
      <c r="H15" s="31">
        <v>37334</v>
      </c>
      <c r="I15" s="30" t="s">
        <v>74</v>
      </c>
      <c r="J15" s="30" t="s">
        <v>75</v>
      </c>
      <c r="K15" s="30" t="s">
        <v>29</v>
      </c>
      <c r="L15" s="30" t="s">
        <v>30</v>
      </c>
      <c r="M15" s="95">
        <v>17</v>
      </c>
      <c r="N15" s="30">
        <v>2200</v>
      </c>
      <c r="O15" s="30">
        <v>5</v>
      </c>
      <c r="P15" s="30">
        <v>35530</v>
      </c>
      <c r="Q15" s="30">
        <v>1</v>
      </c>
      <c r="R15" s="90" t="s">
        <v>31</v>
      </c>
      <c r="S15" s="30" t="s">
        <v>96</v>
      </c>
      <c r="T15" s="32" t="s">
        <v>97</v>
      </c>
      <c r="U15" s="30">
        <v>9778489803</v>
      </c>
      <c r="V15" s="36" t="s">
        <v>34</v>
      </c>
      <c r="W15" s="40" t="str">
        <f t="shared" si="0"/>
        <v>Rohit Singh</v>
      </c>
      <c r="X15" s="93" t="str">
        <f t="shared" si="1"/>
        <v>Home Appliances</v>
      </c>
      <c r="Y15" s="94" t="str">
        <f t="shared" si="2"/>
        <v>West</v>
      </c>
    </row>
    <row r="16" spans="1:26" ht="15" thickBot="1" x14ac:dyDescent="0.4">
      <c r="A16" s="90" t="s">
        <v>100</v>
      </c>
      <c r="B16" s="27" t="s">
        <v>23</v>
      </c>
      <c r="C16" s="27" t="s">
        <v>68</v>
      </c>
      <c r="D16" s="28">
        <v>45864</v>
      </c>
      <c r="E16" s="28">
        <v>45876</v>
      </c>
      <c r="F16" s="27" t="s">
        <v>99</v>
      </c>
      <c r="G16" s="27" t="s">
        <v>26</v>
      </c>
      <c r="H16" s="28">
        <v>36908</v>
      </c>
      <c r="I16" s="27" t="s">
        <v>74</v>
      </c>
      <c r="J16" s="27" t="s">
        <v>75</v>
      </c>
      <c r="K16" s="27" t="s">
        <v>29</v>
      </c>
      <c r="L16" s="27" t="s">
        <v>70</v>
      </c>
      <c r="M16" s="95">
        <v>15</v>
      </c>
      <c r="N16" s="27">
        <v>3500</v>
      </c>
      <c r="O16" s="27">
        <v>15</v>
      </c>
      <c r="P16" s="27">
        <v>44625</v>
      </c>
      <c r="Q16" s="27">
        <v>2</v>
      </c>
      <c r="R16" s="90" t="s">
        <v>31</v>
      </c>
      <c r="S16" s="27" t="s">
        <v>80</v>
      </c>
      <c r="T16" s="29" t="s">
        <v>43</v>
      </c>
      <c r="U16" s="27">
        <v>9582960180</v>
      </c>
      <c r="V16" s="37" t="s">
        <v>53</v>
      </c>
      <c r="W16" s="40" t="str">
        <f t="shared" si="0"/>
        <v>Kavya Nair</v>
      </c>
      <c r="X16" s="93" t="str">
        <f t="shared" si="1"/>
        <v>Home Appliances</v>
      </c>
      <c r="Y16" s="94" t="str">
        <f t="shared" si="2"/>
        <v>West</v>
      </c>
    </row>
    <row r="17" spans="1:25" ht="15" thickBot="1" x14ac:dyDescent="0.4">
      <c r="A17" s="90" t="s">
        <v>103</v>
      </c>
      <c r="B17" s="30" t="s">
        <v>45</v>
      </c>
      <c r="C17" s="30" t="s">
        <v>56</v>
      </c>
      <c r="D17" s="31">
        <v>46120</v>
      </c>
      <c r="E17" s="31">
        <v>46123</v>
      </c>
      <c r="F17" s="30" t="s">
        <v>101</v>
      </c>
      <c r="G17" s="30" t="s">
        <v>26</v>
      </c>
      <c r="H17" s="31">
        <v>37357</v>
      </c>
      <c r="I17" s="30" t="s">
        <v>27</v>
      </c>
      <c r="J17" s="30" t="s">
        <v>28</v>
      </c>
      <c r="K17" s="30" t="s">
        <v>39</v>
      </c>
      <c r="L17" s="30" t="s">
        <v>59</v>
      </c>
      <c r="M17" s="95">
        <v>3</v>
      </c>
      <c r="N17" s="30">
        <v>1200</v>
      </c>
      <c r="O17" s="30">
        <v>5</v>
      </c>
      <c r="P17" s="30">
        <v>3420</v>
      </c>
      <c r="Q17" s="30">
        <v>5</v>
      </c>
      <c r="R17" s="90" t="s">
        <v>65</v>
      </c>
      <c r="S17" s="30" t="s">
        <v>32</v>
      </c>
      <c r="T17" s="30" t="s">
        <v>102</v>
      </c>
      <c r="U17" s="30">
        <v>9611394005</v>
      </c>
      <c r="V17" s="36" t="s">
        <v>34</v>
      </c>
      <c r="W17" s="40" t="str">
        <f t="shared" si="0"/>
        <v>Pooja Shah</v>
      </c>
      <c r="X17" s="93" t="str">
        <f t="shared" si="1"/>
        <v>Electronics</v>
      </c>
      <c r="Y17" s="94" t="str">
        <f t="shared" si="2"/>
        <v>South</v>
      </c>
    </row>
    <row r="18" spans="1:25" ht="15" thickBot="1" x14ac:dyDescent="0.4">
      <c r="A18" s="90" t="s">
        <v>109</v>
      </c>
      <c r="B18" s="27" t="s">
        <v>104</v>
      </c>
      <c r="C18" s="27" t="s">
        <v>105</v>
      </c>
      <c r="D18" s="28">
        <v>46075</v>
      </c>
      <c r="E18" s="28">
        <v>46084</v>
      </c>
      <c r="F18" s="27" t="s">
        <v>106</v>
      </c>
      <c r="G18" s="27" t="s">
        <v>26</v>
      </c>
      <c r="H18" s="28">
        <v>37272</v>
      </c>
      <c r="I18" s="27" t="s">
        <v>79</v>
      </c>
      <c r="J18" s="27" t="s">
        <v>75</v>
      </c>
      <c r="K18" s="27" t="s">
        <v>29</v>
      </c>
      <c r="L18" s="27" t="s">
        <v>107</v>
      </c>
      <c r="M18" s="95">
        <v>13</v>
      </c>
      <c r="N18" s="27">
        <v>8500</v>
      </c>
      <c r="O18" s="27">
        <v>20</v>
      </c>
      <c r="P18" s="27">
        <v>88400</v>
      </c>
      <c r="Q18" s="27">
        <v>4</v>
      </c>
      <c r="R18" s="90" t="s">
        <v>60</v>
      </c>
      <c r="S18" s="27" t="s">
        <v>42</v>
      </c>
      <c r="T18" s="27" t="s">
        <v>108</v>
      </c>
      <c r="U18" s="27">
        <v>9692599404</v>
      </c>
      <c r="V18" s="37" t="s">
        <v>52</v>
      </c>
      <c r="W18" s="40" t="str">
        <f t="shared" si="0"/>
        <v>Amit Sharma</v>
      </c>
      <c r="X18" s="93" t="str">
        <f t="shared" si="1"/>
        <v>Home Appliances</v>
      </c>
      <c r="Y18" s="94" t="str">
        <f t="shared" si="2"/>
        <v>West</v>
      </c>
    </row>
    <row r="19" spans="1:25" ht="15" thickBot="1" x14ac:dyDescent="0.4">
      <c r="A19" s="90" t="s">
        <v>111</v>
      </c>
      <c r="B19" s="30" t="s">
        <v>63</v>
      </c>
      <c r="C19" s="30" t="s">
        <v>105</v>
      </c>
      <c r="D19" s="31">
        <v>46081</v>
      </c>
      <c r="E19" s="31">
        <v>46086</v>
      </c>
      <c r="F19" s="30" t="s">
        <v>110</v>
      </c>
      <c r="G19" s="30" t="s">
        <v>58</v>
      </c>
      <c r="H19" s="31">
        <v>32790</v>
      </c>
      <c r="I19" s="30" t="s">
        <v>91</v>
      </c>
      <c r="J19" s="30" t="s">
        <v>75</v>
      </c>
      <c r="K19" s="30" t="s">
        <v>29</v>
      </c>
      <c r="L19" s="30" t="s">
        <v>107</v>
      </c>
      <c r="M19" s="95">
        <v>4</v>
      </c>
      <c r="N19" s="30">
        <v>8500</v>
      </c>
      <c r="O19" s="30">
        <v>20</v>
      </c>
      <c r="P19" s="30">
        <v>27200</v>
      </c>
      <c r="Q19" s="30">
        <v>5</v>
      </c>
      <c r="R19" s="90" t="s">
        <v>60</v>
      </c>
      <c r="S19" s="30" t="s">
        <v>50</v>
      </c>
      <c r="T19" s="30" t="s">
        <v>66</v>
      </c>
      <c r="U19" s="30">
        <v>9426119622</v>
      </c>
      <c r="V19" s="38" t="s">
        <v>52</v>
      </c>
      <c r="W19" s="40" t="str">
        <f t="shared" si="0"/>
        <v>Arjun Rao</v>
      </c>
      <c r="X19" s="93" t="str">
        <f t="shared" si="1"/>
        <v>Home Appliances</v>
      </c>
      <c r="Y19" s="94" t="str">
        <f t="shared" si="2"/>
        <v>West</v>
      </c>
    </row>
    <row r="20" spans="1:25" ht="15" thickBot="1" x14ac:dyDescent="0.4">
      <c r="A20" s="90" t="s">
        <v>116</v>
      </c>
      <c r="B20" s="27" t="s">
        <v>63</v>
      </c>
      <c r="C20" s="27" t="s">
        <v>112</v>
      </c>
      <c r="D20" s="28">
        <v>45992</v>
      </c>
      <c r="E20" s="28">
        <v>45995</v>
      </c>
      <c r="F20" s="27" t="s">
        <v>113</v>
      </c>
      <c r="G20" s="27" t="s">
        <v>58</v>
      </c>
      <c r="H20" s="28">
        <v>33539</v>
      </c>
      <c r="I20" s="27" t="s">
        <v>74</v>
      </c>
      <c r="J20" s="27" t="s">
        <v>75</v>
      </c>
      <c r="K20" s="27" t="s">
        <v>39</v>
      </c>
      <c r="L20" s="27" t="s">
        <v>114</v>
      </c>
      <c r="M20" s="95">
        <v>9</v>
      </c>
      <c r="N20" s="27">
        <v>700</v>
      </c>
      <c r="O20" s="27">
        <v>5</v>
      </c>
      <c r="P20" s="27">
        <v>5985</v>
      </c>
      <c r="Q20" s="27">
        <v>3</v>
      </c>
      <c r="R20" s="90" t="s">
        <v>65</v>
      </c>
      <c r="S20" s="27" t="s">
        <v>32</v>
      </c>
      <c r="T20" s="29" t="s">
        <v>115</v>
      </c>
      <c r="U20" s="27">
        <v>9184436009</v>
      </c>
      <c r="V20" s="37" t="s">
        <v>52</v>
      </c>
      <c r="W20" s="40" t="str">
        <f t="shared" si="0"/>
        <v>Arjun Rao</v>
      </c>
      <c r="X20" s="93" t="str">
        <f t="shared" si="1"/>
        <v>Electronics</v>
      </c>
      <c r="Y20" s="94" t="str">
        <f t="shared" si="2"/>
        <v>West</v>
      </c>
    </row>
    <row r="21" spans="1:25" ht="15" thickBot="1" x14ac:dyDescent="0.4">
      <c r="A21" s="90" t="s">
        <v>117</v>
      </c>
      <c r="B21" s="30" t="s">
        <v>23</v>
      </c>
      <c r="C21" s="30" t="s">
        <v>46</v>
      </c>
      <c r="D21" s="31">
        <v>45833</v>
      </c>
      <c r="E21" s="31">
        <v>45841</v>
      </c>
      <c r="F21" s="30" t="s">
        <v>25</v>
      </c>
      <c r="G21" s="30" t="s">
        <v>26</v>
      </c>
      <c r="H21" s="31">
        <v>32933</v>
      </c>
      <c r="I21" s="30" t="s">
        <v>91</v>
      </c>
      <c r="J21" s="30" t="s">
        <v>75</v>
      </c>
      <c r="K21" s="30" t="s">
        <v>39</v>
      </c>
      <c r="L21" s="30" t="s">
        <v>49</v>
      </c>
      <c r="M21" s="95">
        <v>8</v>
      </c>
      <c r="N21" s="30">
        <v>55000</v>
      </c>
      <c r="O21" s="30">
        <v>20</v>
      </c>
      <c r="P21" s="30">
        <v>352000</v>
      </c>
      <c r="Q21" s="30">
        <v>1</v>
      </c>
      <c r="R21" s="90" t="s">
        <v>31</v>
      </c>
      <c r="S21" s="30" t="s">
        <v>96</v>
      </c>
      <c r="T21" s="30" t="s">
        <v>43</v>
      </c>
      <c r="U21" s="30">
        <v>9263774934</v>
      </c>
      <c r="V21" s="36" t="s">
        <v>34</v>
      </c>
      <c r="W21" s="40" t="str">
        <f t="shared" si="0"/>
        <v>Kavya Nair</v>
      </c>
      <c r="X21" s="93" t="str">
        <f t="shared" si="1"/>
        <v>Electronics</v>
      </c>
      <c r="Y21" s="94" t="str">
        <f t="shared" si="2"/>
        <v>West</v>
      </c>
    </row>
    <row r="22" spans="1:25" ht="15" thickBot="1" x14ac:dyDescent="0.4">
      <c r="A22" s="90" t="s">
        <v>119</v>
      </c>
      <c r="B22" s="27" t="s">
        <v>87</v>
      </c>
      <c r="C22" s="27" t="s">
        <v>112</v>
      </c>
      <c r="D22" s="28">
        <v>45773</v>
      </c>
      <c r="E22" s="28">
        <v>45782</v>
      </c>
      <c r="F22" s="27" t="s">
        <v>88</v>
      </c>
      <c r="G22" s="27" t="s">
        <v>58</v>
      </c>
      <c r="H22" s="28">
        <v>37455</v>
      </c>
      <c r="I22" s="27" t="s">
        <v>37</v>
      </c>
      <c r="J22" s="27" t="s">
        <v>38</v>
      </c>
      <c r="K22" s="27" t="s">
        <v>118</v>
      </c>
      <c r="L22" s="27" t="s">
        <v>114</v>
      </c>
      <c r="M22" s="95">
        <v>10</v>
      </c>
      <c r="N22" s="27">
        <v>700</v>
      </c>
      <c r="O22" s="27">
        <v>20</v>
      </c>
      <c r="P22" s="27">
        <v>5600</v>
      </c>
      <c r="Q22" s="27">
        <v>4</v>
      </c>
      <c r="R22" s="90" t="s">
        <v>60</v>
      </c>
      <c r="S22" s="27" t="s">
        <v>50</v>
      </c>
      <c r="T22" s="27" t="s">
        <v>89</v>
      </c>
      <c r="U22" s="27">
        <v>9473159572</v>
      </c>
      <c r="V22" s="37" t="s">
        <v>53</v>
      </c>
      <c r="W22" s="40" t="str">
        <f t="shared" si="0"/>
        <v>Rohit Singh</v>
      </c>
      <c r="X22" s="93" t="str">
        <f t="shared" si="1"/>
        <v>Electronics</v>
      </c>
      <c r="Y22" s="94" t="str">
        <f t="shared" si="2"/>
        <v>North</v>
      </c>
    </row>
    <row r="23" spans="1:25" ht="15" thickBot="1" x14ac:dyDescent="0.4">
      <c r="A23" s="90" t="s">
        <v>120</v>
      </c>
      <c r="B23" s="30" t="s">
        <v>23</v>
      </c>
      <c r="C23" s="30" t="s">
        <v>68</v>
      </c>
      <c r="D23" s="31">
        <v>45660</v>
      </c>
      <c r="E23" s="31">
        <v>45665</v>
      </c>
      <c r="F23" s="30" t="s">
        <v>78</v>
      </c>
      <c r="G23" s="30" t="s">
        <v>26</v>
      </c>
      <c r="H23" s="31">
        <v>38336</v>
      </c>
      <c r="I23" s="30" t="s">
        <v>48</v>
      </c>
      <c r="J23" s="30" t="s">
        <v>28</v>
      </c>
      <c r="K23" s="30" t="s">
        <v>29</v>
      </c>
      <c r="L23" s="30" t="s">
        <v>70</v>
      </c>
      <c r="M23" s="95">
        <v>1</v>
      </c>
      <c r="N23" s="30">
        <v>3500</v>
      </c>
      <c r="O23" s="30">
        <v>5</v>
      </c>
      <c r="P23" s="30">
        <v>3325</v>
      </c>
      <c r="Q23" s="30">
        <v>3</v>
      </c>
      <c r="R23" s="90" t="s">
        <v>65</v>
      </c>
      <c r="S23" s="30" t="s">
        <v>80</v>
      </c>
      <c r="T23" s="30" t="s">
        <v>43</v>
      </c>
      <c r="U23" s="30">
        <v>9660493688</v>
      </c>
      <c r="V23" s="38" t="s">
        <v>53</v>
      </c>
      <c r="W23" s="40" t="str">
        <f t="shared" si="0"/>
        <v>Kavya Nair</v>
      </c>
      <c r="X23" s="93" t="str">
        <f t="shared" si="1"/>
        <v>Home Appliances</v>
      </c>
      <c r="Y23" s="94" t="str">
        <f t="shared" si="2"/>
        <v>South</v>
      </c>
    </row>
    <row r="24" spans="1:25" ht="15" thickBot="1" x14ac:dyDescent="0.4">
      <c r="A24" s="90" t="s">
        <v>122</v>
      </c>
      <c r="B24" s="27" t="s">
        <v>72</v>
      </c>
      <c r="C24" s="27" t="s">
        <v>112</v>
      </c>
      <c r="D24" s="28">
        <v>45766</v>
      </c>
      <c r="E24" s="28">
        <v>45777</v>
      </c>
      <c r="F24" s="27" t="s">
        <v>73</v>
      </c>
      <c r="G24" s="27" t="s">
        <v>26</v>
      </c>
      <c r="H24" s="28">
        <v>30867</v>
      </c>
      <c r="I24" s="27" t="s">
        <v>121</v>
      </c>
      <c r="J24" s="27" t="s">
        <v>38</v>
      </c>
      <c r="K24" s="27" t="s">
        <v>39</v>
      </c>
      <c r="L24" s="27" t="s">
        <v>114</v>
      </c>
      <c r="M24" s="95">
        <v>19</v>
      </c>
      <c r="N24" s="27">
        <v>700</v>
      </c>
      <c r="O24" s="27">
        <v>15</v>
      </c>
      <c r="P24" s="27">
        <v>11305</v>
      </c>
      <c r="Q24" s="27">
        <v>3</v>
      </c>
      <c r="R24" s="90" t="s">
        <v>41</v>
      </c>
      <c r="S24" s="27" t="s">
        <v>96</v>
      </c>
      <c r="T24" s="27" t="s">
        <v>93</v>
      </c>
      <c r="U24" s="27">
        <v>9513325819</v>
      </c>
      <c r="V24" s="37" t="s">
        <v>52</v>
      </c>
      <c r="W24" s="40" t="str">
        <f t="shared" si="0"/>
        <v>Priya Patel</v>
      </c>
      <c r="X24" s="93" t="str">
        <f t="shared" si="1"/>
        <v>Electronics</v>
      </c>
      <c r="Y24" s="94" t="str">
        <f t="shared" si="2"/>
        <v>North</v>
      </c>
    </row>
    <row r="25" spans="1:25" ht="15" thickBot="1" x14ac:dyDescent="0.4">
      <c r="A25" s="90" t="s">
        <v>123</v>
      </c>
      <c r="B25" s="30" t="s">
        <v>55</v>
      </c>
      <c r="C25" s="30" t="s">
        <v>46</v>
      </c>
      <c r="D25" s="31">
        <v>46013</v>
      </c>
      <c r="E25" s="31">
        <v>46023</v>
      </c>
      <c r="F25" s="30" t="s">
        <v>57</v>
      </c>
      <c r="G25" s="30" t="s">
        <v>58</v>
      </c>
      <c r="H25" s="31">
        <v>28546</v>
      </c>
      <c r="I25" s="30" t="s">
        <v>48</v>
      </c>
      <c r="J25" s="30" t="s">
        <v>28</v>
      </c>
      <c r="K25" s="30" t="s">
        <v>39</v>
      </c>
      <c r="L25" s="30" t="s">
        <v>49</v>
      </c>
      <c r="M25" s="95">
        <v>12</v>
      </c>
      <c r="N25" s="30">
        <v>55000</v>
      </c>
      <c r="O25" s="30">
        <v>0</v>
      </c>
      <c r="P25" s="30">
        <v>660000</v>
      </c>
      <c r="Q25" s="30">
        <v>1</v>
      </c>
      <c r="R25" s="90" t="s">
        <v>60</v>
      </c>
      <c r="S25" s="30" t="s">
        <v>42</v>
      </c>
      <c r="T25" s="30" t="s">
        <v>61</v>
      </c>
      <c r="U25" s="30">
        <v>9641063242</v>
      </c>
      <c r="V25" s="38" t="s">
        <v>52</v>
      </c>
      <c r="W25" s="40" t="str">
        <f t="shared" si="0"/>
        <v>Mohit Verma</v>
      </c>
      <c r="X25" s="93" t="str">
        <f t="shared" si="1"/>
        <v>Electronics</v>
      </c>
      <c r="Y25" s="94" t="str">
        <f t="shared" si="2"/>
        <v>South</v>
      </c>
    </row>
    <row r="26" spans="1:25" ht="15" thickBot="1" x14ac:dyDescent="0.4">
      <c r="A26" s="90" t="s">
        <v>129</v>
      </c>
      <c r="B26" s="27" t="s">
        <v>124</v>
      </c>
      <c r="C26" s="27" t="s">
        <v>125</v>
      </c>
      <c r="D26" s="28">
        <v>46121</v>
      </c>
      <c r="E26" s="28">
        <v>46132</v>
      </c>
      <c r="F26" s="27" t="s">
        <v>126</v>
      </c>
      <c r="G26" s="27" t="s">
        <v>58</v>
      </c>
      <c r="H26" s="28">
        <v>33453</v>
      </c>
      <c r="I26" s="27" t="s">
        <v>74</v>
      </c>
      <c r="J26" s="27" t="s">
        <v>75</v>
      </c>
      <c r="K26" s="27" t="s">
        <v>83</v>
      </c>
      <c r="L26" s="27" t="s">
        <v>127</v>
      </c>
      <c r="M26" s="95">
        <v>1</v>
      </c>
      <c r="N26" s="27">
        <v>20</v>
      </c>
      <c r="O26" s="27">
        <v>5</v>
      </c>
      <c r="P26" s="27">
        <v>19</v>
      </c>
      <c r="Q26" s="27">
        <v>5</v>
      </c>
      <c r="R26" s="90" t="s">
        <v>60</v>
      </c>
      <c r="S26" s="27" t="s">
        <v>32</v>
      </c>
      <c r="T26" s="27" t="s">
        <v>128</v>
      </c>
      <c r="U26" s="27">
        <v>9277372518</v>
      </c>
      <c r="V26" s="37" t="s">
        <v>53</v>
      </c>
      <c r="W26" s="40" t="str">
        <f t="shared" si="0"/>
        <v>Vikas Mehta</v>
      </c>
      <c r="X26" s="93" t="str">
        <f t="shared" si="1"/>
        <v>Stationery</v>
      </c>
      <c r="Y26" s="94" t="str">
        <f t="shared" si="2"/>
        <v>West</v>
      </c>
    </row>
    <row r="27" spans="1:25" ht="15" thickBot="1" x14ac:dyDescent="0.4">
      <c r="A27" s="90" t="s">
        <v>130</v>
      </c>
      <c r="B27" s="30" t="s">
        <v>63</v>
      </c>
      <c r="C27" s="30" t="s">
        <v>125</v>
      </c>
      <c r="D27" s="31">
        <v>45832</v>
      </c>
      <c r="E27" s="31">
        <v>45840</v>
      </c>
      <c r="F27" s="30" t="s">
        <v>110</v>
      </c>
      <c r="G27" s="30" t="s">
        <v>58</v>
      </c>
      <c r="H27" s="31">
        <v>28470</v>
      </c>
      <c r="I27" s="30" t="s">
        <v>74</v>
      </c>
      <c r="J27" s="30" t="s">
        <v>75</v>
      </c>
      <c r="K27" s="30" t="s">
        <v>83</v>
      </c>
      <c r="L27" s="30" t="s">
        <v>127</v>
      </c>
      <c r="M27" s="95">
        <v>2</v>
      </c>
      <c r="N27" s="30">
        <v>20</v>
      </c>
      <c r="O27" s="30">
        <v>15</v>
      </c>
      <c r="P27" s="30">
        <v>34</v>
      </c>
      <c r="Q27" s="30">
        <v>1</v>
      </c>
      <c r="R27" s="90" t="s">
        <v>65</v>
      </c>
      <c r="S27" s="30" t="s">
        <v>32</v>
      </c>
      <c r="T27" s="30" t="s">
        <v>66</v>
      </c>
      <c r="U27" s="30">
        <v>9193154372</v>
      </c>
      <c r="V27" s="38" t="s">
        <v>52</v>
      </c>
      <c r="W27" s="40" t="str">
        <f t="shared" si="0"/>
        <v>Arjun Rao</v>
      </c>
      <c r="X27" s="93" t="str">
        <f t="shared" si="1"/>
        <v>Stationery</v>
      </c>
      <c r="Y27" s="94" t="str">
        <f t="shared" si="2"/>
        <v>West</v>
      </c>
    </row>
    <row r="28" spans="1:25" ht="15" thickBot="1" x14ac:dyDescent="0.4">
      <c r="A28" s="90" t="s">
        <v>131</v>
      </c>
      <c r="B28" s="27" t="s">
        <v>55</v>
      </c>
      <c r="C28" s="27" t="s">
        <v>68</v>
      </c>
      <c r="D28" s="28">
        <v>45799</v>
      </c>
      <c r="E28" s="28">
        <v>45802</v>
      </c>
      <c r="F28" s="27" t="s">
        <v>57</v>
      </c>
      <c r="G28" s="27" t="s">
        <v>58</v>
      </c>
      <c r="H28" s="28">
        <v>33642</v>
      </c>
      <c r="I28" s="27" t="s">
        <v>91</v>
      </c>
      <c r="J28" s="27" t="s">
        <v>75</v>
      </c>
      <c r="K28" s="27" t="s">
        <v>29</v>
      </c>
      <c r="L28" s="27" t="s">
        <v>70</v>
      </c>
      <c r="M28" s="95">
        <v>12</v>
      </c>
      <c r="N28" s="27">
        <v>3500</v>
      </c>
      <c r="O28" s="27">
        <v>15</v>
      </c>
      <c r="P28" s="27">
        <v>35700</v>
      </c>
      <c r="Q28" s="27">
        <v>4</v>
      </c>
      <c r="R28" s="90" t="s">
        <v>31</v>
      </c>
      <c r="S28" s="27" t="s">
        <v>42</v>
      </c>
      <c r="T28" s="27" t="s">
        <v>61</v>
      </c>
      <c r="U28" s="27">
        <v>9400073244</v>
      </c>
      <c r="V28" s="37" t="s">
        <v>53</v>
      </c>
      <c r="W28" s="40" t="str">
        <f t="shared" si="0"/>
        <v>Mohit Verma</v>
      </c>
      <c r="X28" s="93" t="str">
        <f t="shared" si="1"/>
        <v>Home Appliances</v>
      </c>
      <c r="Y28" s="94" t="str">
        <f t="shared" si="2"/>
        <v>West</v>
      </c>
    </row>
    <row r="29" spans="1:25" ht="15" thickBot="1" x14ac:dyDescent="0.4">
      <c r="A29" s="90" t="s">
        <v>132</v>
      </c>
      <c r="B29" s="30" t="s">
        <v>23</v>
      </c>
      <c r="C29" s="30" t="s">
        <v>56</v>
      </c>
      <c r="D29" s="31">
        <v>46094</v>
      </c>
      <c r="E29" s="31">
        <v>46101</v>
      </c>
      <c r="F29" s="30" t="s">
        <v>25</v>
      </c>
      <c r="G29" s="30" t="s">
        <v>26</v>
      </c>
      <c r="H29" s="31">
        <v>38143</v>
      </c>
      <c r="I29" s="30" t="s">
        <v>91</v>
      </c>
      <c r="J29" s="30" t="s">
        <v>75</v>
      </c>
      <c r="K29" s="30" t="s">
        <v>39</v>
      </c>
      <c r="L29" s="30" t="s">
        <v>59</v>
      </c>
      <c r="M29" s="95">
        <v>11</v>
      </c>
      <c r="N29" s="30">
        <v>1200</v>
      </c>
      <c r="O29" s="30">
        <v>0</v>
      </c>
      <c r="P29" s="30">
        <v>13200</v>
      </c>
      <c r="Q29" s="30">
        <v>2</v>
      </c>
      <c r="R29" s="90" t="s">
        <v>65</v>
      </c>
      <c r="S29" s="30" t="s">
        <v>96</v>
      </c>
      <c r="T29" s="30" t="s">
        <v>43</v>
      </c>
      <c r="U29" s="30">
        <v>9771556720</v>
      </c>
      <c r="V29" s="36" t="s">
        <v>34</v>
      </c>
      <c r="W29" s="40" t="str">
        <f t="shared" si="0"/>
        <v>Kavya Nair</v>
      </c>
      <c r="X29" s="93" t="str">
        <f t="shared" si="1"/>
        <v>Electronics</v>
      </c>
      <c r="Y29" s="94" t="str">
        <f t="shared" si="2"/>
        <v>West</v>
      </c>
    </row>
    <row r="30" spans="1:25" ht="15" thickBot="1" x14ac:dyDescent="0.4">
      <c r="A30" s="90" t="s">
        <v>133</v>
      </c>
      <c r="B30" s="27" t="s">
        <v>87</v>
      </c>
      <c r="C30" s="27" t="s">
        <v>105</v>
      </c>
      <c r="D30" s="28">
        <v>45908</v>
      </c>
      <c r="E30" s="28">
        <v>45920</v>
      </c>
      <c r="F30" s="27" t="s">
        <v>88</v>
      </c>
      <c r="G30" s="27" t="s">
        <v>58</v>
      </c>
      <c r="H30" s="28">
        <v>37114</v>
      </c>
      <c r="I30" s="27" t="s">
        <v>79</v>
      </c>
      <c r="J30" s="27" t="s">
        <v>75</v>
      </c>
      <c r="K30" s="27" t="s">
        <v>29</v>
      </c>
      <c r="L30" s="27" t="s">
        <v>107</v>
      </c>
      <c r="M30" s="95">
        <v>6</v>
      </c>
      <c r="N30" s="27">
        <v>8500</v>
      </c>
      <c r="O30" s="27">
        <v>65</v>
      </c>
      <c r="P30" s="27">
        <v>51000</v>
      </c>
      <c r="Q30" s="27">
        <v>1</v>
      </c>
      <c r="R30" s="90" t="s">
        <v>60</v>
      </c>
      <c r="S30" s="27" t="s">
        <v>50</v>
      </c>
      <c r="T30" s="27" t="s">
        <v>89</v>
      </c>
      <c r="U30" s="27">
        <v>9127480734</v>
      </c>
      <c r="V30" s="35" t="s">
        <v>34</v>
      </c>
      <c r="W30" s="40" t="str">
        <f t="shared" si="0"/>
        <v>Rohit Singh</v>
      </c>
      <c r="X30" s="93" t="str">
        <f t="shared" si="1"/>
        <v>Home Appliances</v>
      </c>
      <c r="Y30" s="94" t="str">
        <f t="shared" si="2"/>
        <v>West</v>
      </c>
    </row>
    <row r="31" spans="1:25" ht="15" thickBot="1" x14ac:dyDescent="0.4">
      <c r="A31" s="90" t="s">
        <v>137</v>
      </c>
      <c r="B31" s="30" t="s">
        <v>134</v>
      </c>
      <c r="C31" s="30" t="s">
        <v>82</v>
      </c>
      <c r="D31" s="31">
        <v>46033</v>
      </c>
      <c r="E31" s="31">
        <v>46038</v>
      </c>
      <c r="F31" s="30" t="s">
        <v>135</v>
      </c>
      <c r="G31" s="30" t="s">
        <v>26</v>
      </c>
      <c r="H31" s="31">
        <v>29680</v>
      </c>
      <c r="I31" s="30" t="s">
        <v>79</v>
      </c>
      <c r="J31" s="30" t="s">
        <v>75</v>
      </c>
      <c r="K31" s="30" t="s">
        <v>83</v>
      </c>
      <c r="L31" s="30" t="s">
        <v>84</v>
      </c>
      <c r="M31" s="95">
        <v>2</v>
      </c>
      <c r="N31" s="30">
        <v>60</v>
      </c>
      <c r="O31" s="30">
        <v>5</v>
      </c>
      <c r="P31" s="30">
        <v>114</v>
      </c>
      <c r="Q31" s="30">
        <v>3</v>
      </c>
      <c r="R31" s="90" t="s">
        <v>31</v>
      </c>
      <c r="S31" s="30" t="s">
        <v>96</v>
      </c>
      <c r="T31" s="30" t="s">
        <v>136</v>
      </c>
      <c r="U31" s="30">
        <v>9512997042</v>
      </c>
      <c r="V31" s="38" t="s">
        <v>53</v>
      </c>
      <c r="W31" s="40" t="str">
        <f t="shared" si="0"/>
        <v>Sneha Joshi</v>
      </c>
      <c r="X31" s="93" t="str">
        <f t="shared" si="1"/>
        <v>Stationery</v>
      </c>
      <c r="Y31" s="94" t="str">
        <f t="shared" si="2"/>
        <v>West</v>
      </c>
    </row>
    <row r="32" spans="1:25" ht="15" thickBot="1" x14ac:dyDescent="0.4">
      <c r="A32" s="90" t="s">
        <v>140</v>
      </c>
      <c r="B32" s="27" t="s">
        <v>23</v>
      </c>
      <c r="C32" s="27" t="s">
        <v>138</v>
      </c>
      <c r="D32" s="28">
        <v>45824</v>
      </c>
      <c r="E32" s="28">
        <v>45834</v>
      </c>
      <c r="F32" s="27" t="s">
        <v>25</v>
      </c>
      <c r="G32" s="27" t="s">
        <v>26</v>
      </c>
      <c r="H32" s="28">
        <v>35248</v>
      </c>
      <c r="I32" s="27" t="s">
        <v>48</v>
      </c>
      <c r="J32" s="27" t="s">
        <v>28</v>
      </c>
      <c r="K32" s="27" t="s">
        <v>83</v>
      </c>
      <c r="L32" s="27" t="s">
        <v>139</v>
      </c>
      <c r="M32" s="95">
        <v>19</v>
      </c>
      <c r="N32" s="27">
        <v>45</v>
      </c>
      <c r="O32" s="27">
        <v>20</v>
      </c>
      <c r="P32" s="27">
        <v>684</v>
      </c>
      <c r="Q32" s="27">
        <v>4</v>
      </c>
      <c r="R32" s="90" t="s">
        <v>41</v>
      </c>
      <c r="S32" s="27" t="s">
        <v>50</v>
      </c>
      <c r="T32" s="27" t="s">
        <v>43</v>
      </c>
      <c r="U32" s="27">
        <v>9372748661</v>
      </c>
      <c r="V32" s="37" t="s">
        <v>53</v>
      </c>
      <c r="W32" s="40" t="str">
        <f t="shared" si="0"/>
        <v>Kavya Nair</v>
      </c>
      <c r="X32" s="93" t="str">
        <f t="shared" si="1"/>
        <v>Stationery</v>
      </c>
      <c r="Y32" s="94" t="str">
        <f t="shared" si="2"/>
        <v>South</v>
      </c>
    </row>
    <row r="33" spans="1:25" ht="15" thickBot="1" x14ac:dyDescent="0.4">
      <c r="A33" s="90" t="s">
        <v>141</v>
      </c>
      <c r="B33" s="30" t="s">
        <v>72</v>
      </c>
      <c r="C33" s="30" t="s">
        <v>36</v>
      </c>
      <c r="D33" s="31">
        <v>45839</v>
      </c>
      <c r="E33" s="31">
        <v>45851</v>
      </c>
      <c r="F33" s="30" t="s">
        <v>73</v>
      </c>
      <c r="G33" s="30" t="s">
        <v>26</v>
      </c>
      <c r="H33" s="31">
        <v>28079</v>
      </c>
      <c r="I33" s="30" t="s">
        <v>91</v>
      </c>
      <c r="J33" s="30" t="s">
        <v>75</v>
      </c>
      <c r="K33" s="30" t="s">
        <v>39</v>
      </c>
      <c r="L33" s="30" t="s">
        <v>40</v>
      </c>
      <c r="M33" s="95">
        <v>11</v>
      </c>
      <c r="N33" s="30">
        <v>12000</v>
      </c>
      <c r="O33" s="30">
        <v>0</v>
      </c>
      <c r="P33" s="30">
        <v>132000</v>
      </c>
      <c r="Q33" s="30">
        <v>3</v>
      </c>
      <c r="R33" s="90" t="s">
        <v>65</v>
      </c>
      <c r="S33" s="30" t="s">
        <v>32</v>
      </c>
      <c r="T33" s="30" t="s">
        <v>93</v>
      </c>
      <c r="U33" s="30">
        <v>9570437805</v>
      </c>
      <c r="V33" s="38" t="s">
        <v>52</v>
      </c>
      <c r="W33" s="40" t="str">
        <f t="shared" si="0"/>
        <v>Priya Patel</v>
      </c>
      <c r="X33" s="93" t="str">
        <f t="shared" si="1"/>
        <v>Electronics</v>
      </c>
      <c r="Y33" s="94" t="str">
        <f t="shared" si="2"/>
        <v>West</v>
      </c>
    </row>
    <row r="34" spans="1:25" ht="15" thickBot="1" x14ac:dyDescent="0.4">
      <c r="A34" s="90" t="s">
        <v>142</v>
      </c>
      <c r="B34" s="27" t="s">
        <v>134</v>
      </c>
      <c r="C34" s="27" t="s">
        <v>24</v>
      </c>
      <c r="D34" s="28">
        <v>45723</v>
      </c>
      <c r="E34" s="28">
        <v>45731</v>
      </c>
      <c r="F34" s="27" t="s">
        <v>135</v>
      </c>
      <c r="G34" s="27" t="s">
        <v>26</v>
      </c>
      <c r="H34" s="28">
        <v>32444</v>
      </c>
      <c r="I34" s="27" t="s">
        <v>48</v>
      </c>
      <c r="J34" s="27" t="s">
        <v>28</v>
      </c>
      <c r="K34" s="27" t="s">
        <v>29</v>
      </c>
      <c r="L34" s="27" t="s">
        <v>30</v>
      </c>
      <c r="M34" s="95">
        <v>20</v>
      </c>
      <c r="N34" s="27">
        <v>2200</v>
      </c>
      <c r="O34" s="27">
        <v>5</v>
      </c>
      <c r="P34" s="27">
        <v>41800</v>
      </c>
      <c r="Q34" s="27">
        <v>1</v>
      </c>
      <c r="R34" s="90" t="s">
        <v>31</v>
      </c>
      <c r="S34" s="27" t="s">
        <v>42</v>
      </c>
      <c r="T34" s="27" t="s">
        <v>136</v>
      </c>
      <c r="U34" s="27">
        <v>9310669113</v>
      </c>
      <c r="V34" s="37" t="s">
        <v>52</v>
      </c>
      <c r="W34" s="40" t="str">
        <f t="shared" si="0"/>
        <v>Sneha Joshi</v>
      </c>
      <c r="X34" s="93" t="str">
        <f t="shared" si="1"/>
        <v>Home Appliances</v>
      </c>
      <c r="Y34" s="94" t="str">
        <f t="shared" si="2"/>
        <v>South</v>
      </c>
    </row>
    <row r="35" spans="1:25" ht="15" thickBot="1" x14ac:dyDescent="0.4">
      <c r="A35" s="90" t="s">
        <v>144</v>
      </c>
      <c r="B35" s="30" t="s">
        <v>63</v>
      </c>
      <c r="C35" s="30" t="s">
        <v>125</v>
      </c>
      <c r="D35" s="31">
        <v>45832</v>
      </c>
      <c r="E35" s="31">
        <v>45842</v>
      </c>
      <c r="F35" s="30" t="s">
        <v>110</v>
      </c>
      <c r="G35" s="30" t="s">
        <v>58</v>
      </c>
      <c r="H35" s="31">
        <v>38161</v>
      </c>
      <c r="I35" s="30" t="s">
        <v>91</v>
      </c>
      <c r="J35" s="30" t="s">
        <v>75</v>
      </c>
      <c r="K35" s="30" t="s">
        <v>83</v>
      </c>
      <c r="L35" s="30" t="s">
        <v>127</v>
      </c>
      <c r="M35" s="95">
        <v>3</v>
      </c>
      <c r="N35" s="30">
        <v>20</v>
      </c>
      <c r="O35" s="30">
        <v>0</v>
      </c>
      <c r="P35" s="30">
        <v>60</v>
      </c>
      <c r="Q35" s="30">
        <v>2</v>
      </c>
      <c r="R35" s="90" t="s">
        <v>60</v>
      </c>
      <c r="S35" s="30" t="s">
        <v>32</v>
      </c>
      <c r="T35" s="30" t="s">
        <v>143</v>
      </c>
      <c r="U35" s="30">
        <v>9437132894</v>
      </c>
      <c r="V35" s="38" t="s">
        <v>53</v>
      </c>
      <c r="W35" s="40" t="str">
        <f t="shared" si="0"/>
        <v>Arjun Rao</v>
      </c>
      <c r="X35" s="93" t="str">
        <f t="shared" si="1"/>
        <v>Stationery</v>
      </c>
      <c r="Y35" s="94" t="str">
        <f t="shared" si="2"/>
        <v>West</v>
      </c>
    </row>
    <row r="36" spans="1:25" ht="15" thickBot="1" x14ac:dyDescent="0.4">
      <c r="A36" s="90" t="s">
        <v>145</v>
      </c>
      <c r="B36" s="27" t="s">
        <v>87</v>
      </c>
      <c r="C36" s="27" t="s">
        <v>138</v>
      </c>
      <c r="D36" s="28">
        <v>45939</v>
      </c>
      <c r="E36" s="28">
        <v>45949</v>
      </c>
      <c r="F36" s="27" t="s">
        <v>88</v>
      </c>
      <c r="G36" s="27" t="s">
        <v>58</v>
      </c>
      <c r="H36" s="28">
        <v>35177</v>
      </c>
      <c r="I36" s="27" t="s">
        <v>79</v>
      </c>
      <c r="J36" s="27" t="s">
        <v>75</v>
      </c>
      <c r="K36" s="27" t="s">
        <v>83</v>
      </c>
      <c r="L36" s="27" t="s">
        <v>139</v>
      </c>
      <c r="M36" s="95">
        <v>18</v>
      </c>
      <c r="N36" s="27">
        <v>45</v>
      </c>
      <c r="O36" s="27">
        <v>20</v>
      </c>
      <c r="P36" s="27">
        <v>648</v>
      </c>
      <c r="Q36" s="27">
        <v>4</v>
      </c>
      <c r="R36" s="90" t="s">
        <v>41</v>
      </c>
      <c r="S36" s="27" t="s">
        <v>32</v>
      </c>
      <c r="T36" s="27" t="s">
        <v>89</v>
      </c>
      <c r="U36" s="27">
        <v>9762437243</v>
      </c>
      <c r="V36" s="37" t="s">
        <v>53</v>
      </c>
      <c r="W36" s="40" t="str">
        <f t="shared" si="0"/>
        <v>Rohit Singh</v>
      </c>
      <c r="X36" s="93" t="str">
        <f t="shared" si="1"/>
        <v>Stationery</v>
      </c>
      <c r="Y36" s="94" t="str">
        <f t="shared" si="2"/>
        <v>West</v>
      </c>
    </row>
    <row r="37" spans="1:25" ht="15" thickBot="1" x14ac:dyDescent="0.4">
      <c r="A37" s="90" t="s">
        <v>146</v>
      </c>
      <c r="B37" s="30" t="s">
        <v>87</v>
      </c>
      <c r="C37" s="30" t="s">
        <v>56</v>
      </c>
      <c r="D37" s="31">
        <v>45980</v>
      </c>
      <c r="E37" s="31">
        <v>45987</v>
      </c>
      <c r="F37" s="30" t="s">
        <v>88</v>
      </c>
      <c r="G37" s="30" t="s">
        <v>58</v>
      </c>
      <c r="H37" s="31">
        <v>29043</v>
      </c>
      <c r="I37" s="30" t="s">
        <v>48</v>
      </c>
      <c r="J37" s="30" t="s">
        <v>28</v>
      </c>
      <c r="K37" s="30" t="s">
        <v>39</v>
      </c>
      <c r="L37" s="30" t="s">
        <v>59</v>
      </c>
      <c r="M37" s="95">
        <v>4</v>
      </c>
      <c r="N37" s="30">
        <v>1200</v>
      </c>
      <c r="O37" s="30">
        <v>20</v>
      </c>
      <c r="P37" s="30">
        <v>3840</v>
      </c>
      <c r="Q37" s="30">
        <v>3</v>
      </c>
      <c r="R37" s="90" t="s">
        <v>41</v>
      </c>
      <c r="S37" s="30" t="s">
        <v>50</v>
      </c>
      <c r="T37" s="30" t="s">
        <v>89</v>
      </c>
      <c r="U37" s="30">
        <v>9149046970</v>
      </c>
      <c r="V37" s="36" t="s">
        <v>34</v>
      </c>
      <c r="W37" s="40" t="str">
        <f t="shared" si="0"/>
        <v>Rohit Singh</v>
      </c>
      <c r="X37" s="93" t="str">
        <f t="shared" si="1"/>
        <v>Electronics</v>
      </c>
      <c r="Y37" s="94" t="str">
        <f t="shared" si="2"/>
        <v>South</v>
      </c>
    </row>
    <row r="38" spans="1:25" ht="15" thickBot="1" x14ac:dyDescent="0.4">
      <c r="A38" s="90" t="s">
        <v>149</v>
      </c>
      <c r="B38" s="27" t="s">
        <v>55</v>
      </c>
      <c r="C38" s="27" t="s">
        <v>46</v>
      </c>
      <c r="D38" s="28">
        <v>45966</v>
      </c>
      <c r="E38" s="28">
        <v>45975</v>
      </c>
      <c r="F38" s="27" t="s">
        <v>57</v>
      </c>
      <c r="G38" s="27" t="s">
        <v>58</v>
      </c>
      <c r="H38" s="28">
        <v>29491</v>
      </c>
      <c r="I38" s="27" t="s">
        <v>147</v>
      </c>
      <c r="J38" s="27" t="s">
        <v>148</v>
      </c>
      <c r="K38" s="27" t="s">
        <v>39</v>
      </c>
      <c r="L38" s="27" t="s">
        <v>49</v>
      </c>
      <c r="M38" s="95">
        <v>10</v>
      </c>
      <c r="N38" s="27">
        <v>55000</v>
      </c>
      <c r="O38" s="27">
        <v>0</v>
      </c>
      <c r="P38" s="27">
        <v>550000</v>
      </c>
      <c r="Q38" s="27">
        <v>1</v>
      </c>
      <c r="R38" s="90" t="s">
        <v>65</v>
      </c>
      <c r="S38" s="27" t="s">
        <v>42</v>
      </c>
      <c r="T38" s="27" t="s">
        <v>61</v>
      </c>
      <c r="U38" s="27">
        <v>9869182901</v>
      </c>
      <c r="V38" s="37" t="s">
        <v>53</v>
      </c>
      <c r="W38" s="40" t="str">
        <f t="shared" si="0"/>
        <v>Mohit Verma</v>
      </c>
      <c r="X38" s="93" t="str">
        <f t="shared" si="1"/>
        <v>Electronics</v>
      </c>
      <c r="Y38" s="94" t="str">
        <f t="shared" si="2"/>
        <v>East</v>
      </c>
    </row>
    <row r="39" spans="1:25" ht="15" thickBot="1" x14ac:dyDescent="0.4">
      <c r="A39" s="90" t="s">
        <v>150</v>
      </c>
      <c r="B39" s="30" t="s">
        <v>134</v>
      </c>
      <c r="C39" s="30" t="s">
        <v>68</v>
      </c>
      <c r="D39" s="31">
        <v>46089</v>
      </c>
      <c r="E39" s="31">
        <v>46101</v>
      </c>
      <c r="F39" s="30" t="s">
        <v>135</v>
      </c>
      <c r="G39" s="30" t="s">
        <v>26</v>
      </c>
      <c r="H39" s="31">
        <v>29393</v>
      </c>
      <c r="I39" s="30" t="s">
        <v>37</v>
      </c>
      <c r="J39" s="30" t="s">
        <v>38</v>
      </c>
      <c r="K39" s="30" t="s">
        <v>29</v>
      </c>
      <c r="L39" s="30" t="s">
        <v>70</v>
      </c>
      <c r="M39" s="95">
        <v>20</v>
      </c>
      <c r="N39" s="30">
        <v>3500</v>
      </c>
      <c r="O39" s="30">
        <v>10</v>
      </c>
      <c r="P39" s="30">
        <v>63000</v>
      </c>
      <c r="Q39" s="30">
        <v>3</v>
      </c>
      <c r="R39" s="90" t="s">
        <v>60</v>
      </c>
      <c r="S39" s="30" t="s">
        <v>42</v>
      </c>
      <c r="T39" s="30" t="s">
        <v>136</v>
      </c>
      <c r="U39" s="30">
        <v>9283578533</v>
      </c>
      <c r="V39" s="38" t="s">
        <v>53</v>
      </c>
      <c r="W39" s="40" t="str">
        <f t="shared" si="0"/>
        <v>Sneha Joshi</v>
      </c>
      <c r="X39" s="93" t="str">
        <f t="shared" si="1"/>
        <v>Home Appliances</v>
      </c>
      <c r="Y39" s="94" t="str">
        <f t="shared" si="2"/>
        <v>North</v>
      </c>
    </row>
    <row r="40" spans="1:25" ht="15" thickBot="1" x14ac:dyDescent="0.4">
      <c r="A40" s="90" t="s">
        <v>151</v>
      </c>
      <c r="B40" s="27" t="s">
        <v>23</v>
      </c>
      <c r="C40" s="27" t="s">
        <v>125</v>
      </c>
      <c r="D40" s="28">
        <v>45701</v>
      </c>
      <c r="E40" s="28">
        <v>45707</v>
      </c>
      <c r="F40" s="27" t="s">
        <v>25</v>
      </c>
      <c r="G40" s="27" t="s">
        <v>26</v>
      </c>
      <c r="H40" s="28">
        <v>29023</v>
      </c>
      <c r="I40" s="27" t="s">
        <v>79</v>
      </c>
      <c r="J40" s="27" t="s">
        <v>75</v>
      </c>
      <c r="K40" s="27" t="s">
        <v>83</v>
      </c>
      <c r="L40" s="27" t="s">
        <v>127</v>
      </c>
      <c r="M40" s="95">
        <v>5</v>
      </c>
      <c r="N40" s="27">
        <v>1200</v>
      </c>
      <c r="O40" s="27">
        <v>0</v>
      </c>
      <c r="P40" s="27">
        <v>100</v>
      </c>
      <c r="Q40" s="27">
        <v>1</v>
      </c>
      <c r="R40" s="90" t="s">
        <v>31</v>
      </c>
      <c r="S40" s="27" t="s">
        <v>42</v>
      </c>
      <c r="T40" s="27" t="s">
        <v>43</v>
      </c>
      <c r="U40" s="27">
        <v>9963005771</v>
      </c>
      <c r="V40" s="37" t="s">
        <v>53</v>
      </c>
      <c r="W40" s="40" t="str">
        <f t="shared" si="0"/>
        <v>Kavya Nair</v>
      </c>
      <c r="X40" s="93" t="str">
        <f t="shared" si="1"/>
        <v>Stationery</v>
      </c>
      <c r="Y40" s="94" t="str">
        <f t="shared" si="2"/>
        <v>West</v>
      </c>
    </row>
    <row r="41" spans="1:25" ht="15" thickBot="1" x14ac:dyDescent="0.4">
      <c r="A41" s="90" t="s">
        <v>152</v>
      </c>
      <c r="B41" s="30" t="s">
        <v>45</v>
      </c>
      <c r="C41" s="30" t="s">
        <v>105</v>
      </c>
      <c r="D41" s="31">
        <v>45935</v>
      </c>
      <c r="E41" s="31">
        <v>45945</v>
      </c>
      <c r="F41" s="30" t="s">
        <v>101</v>
      </c>
      <c r="G41" s="30" t="s">
        <v>26</v>
      </c>
      <c r="H41" s="31">
        <v>33773</v>
      </c>
      <c r="I41" s="30" t="s">
        <v>74</v>
      </c>
      <c r="J41" s="30" t="s">
        <v>75</v>
      </c>
      <c r="K41" s="30" t="s">
        <v>29</v>
      </c>
      <c r="L41" s="30" t="s">
        <v>107</v>
      </c>
      <c r="M41" s="95">
        <v>20</v>
      </c>
      <c r="N41" s="30">
        <v>8500</v>
      </c>
      <c r="O41" s="30">
        <v>0</v>
      </c>
      <c r="P41" s="30">
        <v>170000</v>
      </c>
      <c r="Q41" s="30">
        <v>1</v>
      </c>
      <c r="R41" s="90" t="s">
        <v>65</v>
      </c>
      <c r="S41" s="30" t="s">
        <v>80</v>
      </c>
      <c r="T41" s="30" t="s">
        <v>51</v>
      </c>
      <c r="U41" s="30">
        <v>9484632635</v>
      </c>
      <c r="V41" s="38" t="s">
        <v>53</v>
      </c>
      <c r="W41" s="40" t="str">
        <f t="shared" si="0"/>
        <v>Pooja Shah</v>
      </c>
      <c r="X41" s="93" t="str">
        <f t="shared" si="1"/>
        <v>Home Appliances</v>
      </c>
      <c r="Y41" s="94" t="str">
        <f t="shared" si="2"/>
        <v>West</v>
      </c>
    </row>
    <row r="42" spans="1:25" ht="15" thickBot="1" x14ac:dyDescent="0.4">
      <c r="A42" s="90" t="s">
        <v>153</v>
      </c>
      <c r="B42" s="27" t="s">
        <v>63</v>
      </c>
      <c r="C42" s="27" t="s">
        <v>82</v>
      </c>
      <c r="D42" s="28">
        <v>46063</v>
      </c>
      <c r="E42" s="28">
        <v>46065</v>
      </c>
      <c r="F42" s="27" t="s">
        <v>110</v>
      </c>
      <c r="G42" s="27" t="s">
        <v>58</v>
      </c>
      <c r="H42" s="28">
        <v>34491</v>
      </c>
      <c r="I42" s="27" t="s">
        <v>48</v>
      </c>
      <c r="J42" s="27" t="s">
        <v>28</v>
      </c>
      <c r="K42" s="27" t="s">
        <v>83</v>
      </c>
      <c r="L42" s="27" t="s">
        <v>84</v>
      </c>
      <c r="M42" s="95">
        <v>8</v>
      </c>
      <c r="N42" s="27">
        <v>60</v>
      </c>
      <c r="O42" s="27">
        <v>15</v>
      </c>
      <c r="P42" s="27">
        <v>408</v>
      </c>
      <c r="Q42" s="27">
        <v>5</v>
      </c>
      <c r="R42" s="90" t="s">
        <v>65</v>
      </c>
      <c r="S42" s="27" t="s">
        <v>42</v>
      </c>
      <c r="T42" s="27" t="s">
        <v>66</v>
      </c>
      <c r="U42" s="27">
        <v>9276319484</v>
      </c>
      <c r="V42" s="37" t="s">
        <v>52</v>
      </c>
      <c r="W42" s="40" t="str">
        <f t="shared" si="0"/>
        <v>Arjun Rao</v>
      </c>
      <c r="X42" s="93" t="str">
        <f t="shared" si="1"/>
        <v>Stationery</v>
      </c>
      <c r="Y42" s="94" t="str">
        <f t="shared" si="2"/>
        <v>South</v>
      </c>
    </row>
    <row r="43" spans="1:25" ht="15" thickBot="1" x14ac:dyDescent="0.4">
      <c r="A43" s="90" t="s">
        <v>154</v>
      </c>
      <c r="B43" s="30" t="s">
        <v>45</v>
      </c>
      <c r="C43" s="30" t="s">
        <v>68</v>
      </c>
      <c r="D43" s="31">
        <v>45812</v>
      </c>
      <c r="E43" s="31">
        <v>45824</v>
      </c>
      <c r="F43" s="30" t="s">
        <v>101</v>
      </c>
      <c r="G43" s="30" t="s">
        <v>26</v>
      </c>
      <c r="H43" s="31">
        <v>32408</v>
      </c>
      <c r="I43" s="30" t="s">
        <v>79</v>
      </c>
      <c r="J43" s="30" t="s">
        <v>75</v>
      </c>
      <c r="K43" s="30" t="s">
        <v>29</v>
      </c>
      <c r="L43" s="30" t="s">
        <v>70</v>
      </c>
      <c r="M43" s="95">
        <v>8</v>
      </c>
      <c r="N43" s="30">
        <v>3500</v>
      </c>
      <c r="O43" s="30">
        <v>5</v>
      </c>
      <c r="P43" s="30">
        <v>26600</v>
      </c>
      <c r="Q43" s="30">
        <v>1</v>
      </c>
      <c r="R43" s="90" t="s">
        <v>60</v>
      </c>
      <c r="S43" s="30" t="s">
        <v>80</v>
      </c>
      <c r="T43" s="30" t="s">
        <v>51</v>
      </c>
      <c r="U43" s="30">
        <v>9619034852</v>
      </c>
      <c r="V43" s="38" t="s">
        <v>52</v>
      </c>
      <c r="W43" s="40" t="str">
        <f t="shared" si="0"/>
        <v>Pooja Shah</v>
      </c>
      <c r="X43" s="93" t="str">
        <f t="shared" si="1"/>
        <v>Home Appliances</v>
      </c>
      <c r="Y43" s="94" t="str">
        <f t="shared" si="2"/>
        <v>West</v>
      </c>
    </row>
    <row r="44" spans="1:25" ht="15" thickBot="1" x14ac:dyDescent="0.4">
      <c r="A44" s="90" t="s">
        <v>155</v>
      </c>
      <c r="B44" s="27" t="s">
        <v>55</v>
      </c>
      <c r="C44" s="27" t="s">
        <v>105</v>
      </c>
      <c r="D44" s="28">
        <v>46061</v>
      </c>
      <c r="E44" s="28">
        <v>46067</v>
      </c>
      <c r="F44" s="27" t="s">
        <v>57</v>
      </c>
      <c r="G44" s="27" t="s">
        <v>58</v>
      </c>
      <c r="H44" s="28">
        <v>37086</v>
      </c>
      <c r="I44" s="27" t="s">
        <v>121</v>
      </c>
      <c r="J44" s="27" t="s">
        <v>38</v>
      </c>
      <c r="K44" s="27" t="s">
        <v>29</v>
      </c>
      <c r="L44" s="27" t="s">
        <v>107</v>
      </c>
      <c r="M44" s="95">
        <v>1</v>
      </c>
      <c r="N44" s="27">
        <v>8500</v>
      </c>
      <c r="O44" s="27">
        <v>0</v>
      </c>
      <c r="P44" s="27">
        <v>8500</v>
      </c>
      <c r="Q44" s="27">
        <v>2</v>
      </c>
      <c r="R44" s="90" t="s">
        <v>60</v>
      </c>
      <c r="S44" s="27" t="s">
        <v>80</v>
      </c>
      <c r="T44" s="27" t="s">
        <v>61</v>
      </c>
      <c r="U44" s="27">
        <v>9636416962</v>
      </c>
      <c r="V44" s="37" t="s">
        <v>52</v>
      </c>
      <c r="W44" s="40" t="str">
        <f t="shared" si="0"/>
        <v>Mohit Verma</v>
      </c>
      <c r="X44" s="93" t="str">
        <f t="shared" si="1"/>
        <v>Home Appliances</v>
      </c>
      <c r="Y44" s="94" t="str">
        <f t="shared" si="2"/>
        <v>North</v>
      </c>
    </row>
    <row r="45" spans="1:25" ht="15" thickBot="1" x14ac:dyDescent="0.4">
      <c r="A45" s="90" t="s">
        <v>159</v>
      </c>
      <c r="B45" s="30" t="s">
        <v>156</v>
      </c>
      <c r="C45" s="30" t="s">
        <v>138</v>
      </c>
      <c r="D45" s="31">
        <v>45746</v>
      </c>
      <c r="E45" s="31">
        <v>45747</v>
      </c>
      <c r="F45" s="30" t="s">
        <v>157</v>
      </c>
      <c r="G45" s="30" t="s">
        <v>58</v>
      </c>
      <c r="H45" s="31">
        <v>33459</v>
      </c>
      <c r="I45" s="30" t="s">
        <v>79</v>
      </c>
      <c r="J45" s="30" t="s">
        <v>75</v>
      </c>
      <c r="K45" s="30" t="s">
        <v>83</v>
      </c>
      <c r="L45" s="30" t="s">
        <v>139</v>
      </c>
      <c r="M45" s="95">
        <v>8</v>
      </c>
      <c r="N45" s="30">
        <v>45</v>
      </c>
      <c r="O45" s="30">
        <v>15</v>
      </c>
      <c r="P45" s="30">
        <v>306</v>
      </c>
      <c r="Q45" s="30">
        <v>2</v>
      </c>
      <c r="R45" s="90" t="s">
        <v>60</v>
      </c>
      <c r="S45" s="30" t="s">
        <v>50</v>
      </c>
      <c r="T45" s="30" t="s">
        <v>158</v>
      </c>
      <c r="U45" s="30">
        <v>9357133880</v>
      </c>
      <c r="V45" s="36" t="s">
        <v>34</v>
      </c>
      <c r="W45" s="40" t="str">
        <f t="shared" si="0"/>
        <v>Amit Sharma</v>
      </c>
      <c r="X45" s="93" t="str">
        <f t="shared" si="1"/>
        <v>Stationery</v>
      </c>
      <c r="Y45" s="94" t="str">
        <f t="shared" si="2"/>
        <v>West</v>
      </c>
    </row>
    <row r="46" spans="1:25" ht="15" thickBot="1" x14ac:dyDescent="0.4">
      <c r="A46" s="90" t="s">
        <v>160</v>
      </c>
      <c r="B46" s="27" t="s">
        <v>134</v>
      </c>
      <c r="C46" s="27" t="s">
        <v>24</v>
      </c>
      <c r="D46" s="28">
        <v>45772</v>
      </c>
      <c r="E46" s="28">
        <v>45775</v>
      </c>
      <c r="F46" s="27" t="s">
        <v>135</v>
      </c>
      <c r="G46" s="27" t="s">
        <v>26</v>
      </c>
      <c r="H46" s="28">
        <v>32437</v>
      </c>
      <c r="I46" s="27" t="s">
        <v>79</v>
      </c>
      <c r="J46" s="27" t="s">
        <v>75</v>
      </c>
      <c r="K46" s="27" t="s">
        <v>29</v>
      </c>
      <c r="L46" s="27" t="s">
        <v>30</v>
      </c>
      <c r="M46" s="95">
        <v>16</v>
      </c>
      <c r="N46" s="27">
        <v>2200</v>
      </c>
      <c r="O46" s="27">
        <v>5</v>
      </c>
      <c r="P46" s="27">
        <v>33440</v>
      </c>
      <c r="Q46" s="27">
        <v>5</v>
      </c>
      <c r="R46" s="90" t="s">
        <v>60</v>
      </c>
      <c r="S46" s="27" t="s">
        <v>50</v>
      </c>
      <c r="T46" s="27" t="s">
        <v>136</v>
      </c>
      <c r="U46" s="27">
        <v>9575210324</v>
      </c>
      <c r="V46" s="37" t="s">
        <v>53</v>
      </c>
      <c r="W46" s="40" t="str">
        <f t="shared" si="0"/>
        <v>Sneha Joshi</v>
      </c>
      <c r="X46" s="93" t="str">
        <f t="shared" si="1"/>
        <v>Home Appliances</v>
      </c>
      <c r="Y46" s="94" t="str">
        <f t="shared" si="2"/>
        <v>West</v>
      </c>
    </row>
    <row r="47" spans="1:25" ht="15" thickBot="1" x14ac:dyDescent="0.4">
      <c r="A47" s="90" t="s">
        <v>161</v>
      </c>
      <c r="B47" s="30" t="s">
        <v>55</v>
      </c>
      <c r="C47" s="30" t="s">
        <v>68</v>
      </c>
      <c r="D47" s="31">
        <v>45943</v>
      </c>
      <c r="E47" s="31">
        <v>45953</v>
      </c>
      <c r="F47" s="30" t="s">
        <v>57</v>
      </c>
      <c r="G47" s="30" t="s">
        <v>58</v>
      </c>
      <c r="H47" s="31">
        <v>37579</v>
      </c>
      <c r="I47" s="30" t="s">
        <v>48</v>
      </c>
      <c r="J47" s="30" t="s">
        <v>28</v>
      </c>
      <c r="K47" s="30" t="s">
        <v>29</v>
      </c>
      <c r="L47" s="30" t="s">
        <v>70</v>
      </c>
      <c r="M47" s="95">
        <v>19</v>
      </c>
      <c r="N47" s="30">
        <v>3500</v>
      </c>
      <c r="O47" s="30">
        <v>20</v>
      </c>
      <c r="P47" s="30">
        <v>53200</v>
      </c>
      <c r="Q47" s="30">
        <v>3</v>
      </c>
      <c r="R47" s="90" t="s">
        <v>31</v>
      </c>
      <c r="S47" s="30" t="s">
        <v>96</v>
      </c>
      <c r="T47" s="30" t="s">
        <v>61</v>
      </c>
      <c r="U47" s="30">
        <v>9276080204</v>
      </c>
      <c r="V47" s="38" t="s">
        <v>53</v>
      </c>
      <c r="W47" s="40" t="str">
        <f t="shared" si="0"/>
        <v>Mohit Verma</v>
      </c>
      <c r="X47" s="93" t="str">
        <f t="shared" si="1"/>
        <v>Home Appliances</v>
      </c>
      <c r="Y47" s="94" t="str">
        <f t="shared" si="2"/>
        <v>South</v>
      </c>
    </row>
    <row r="48" spans="1:25" ht="15" thickBot="1" x14ac:dyDescent="0.4">
      <c r="A48" s="90" t="s">
        <v>163</v>
      </c>
      <c r="B48" s="27" t="s">
        <v>134</v>
      </c>
      <c r="C48" s="27" t="s">
        <v>112</v>
      </c>
      <c r="D48" s="28">
        <v>45941</v>
      </c>
      <c r="E48" s="28">
        <v>45944</v>
      </c>
      <c r="F48" s="27" t="s">
        <v>135</v>
      </c>
      <c r="G48" s="27" t="s">
        <v>26</v>
      </c>
      <c r="H48" s="28">
        <v>36713</v>
      </c>
      <c r="I48" s="27" t="s">
        <v>79</v>
      </c>
      <c r="J48" s="27" t="s">
        <v>75</v>
      </c>
      <c r="K48" s="27" t="s">
        <v>39</v>
      </c>
      <c r="L48" s="27" t="s">
        <v>114</v>
      </c>
      <c r="M48" s="95">
        <v>15</v>
      </c>
      <c r="N48" s="27">
        <v>700</v>
      </c>
      <c r="O48" s="27">
        <v>15</v>
      </c>
      <c r="P48" s="27">
        <v>8925</v>
      </c>
      <c r="Q48" s="27">
        <v>4</v>
      </c>
      <c r="R48" s="90" t="s">
        <v>65</v>
      </c>
      <c r="S48" s="27" t="s">
        <v>80</v>
      </c>
      <c r="T48" s="27" t="s">
        <v>162</v>
      </c>
      <c r="U48" s="27">
        <v>9856624471</v>
      </c>
      <c r="V48" s="35" t="s">
        <v>34</v>
      </c>
      <c r="W48" s="40" t="str">
        <f t="shared" si="0"/>
        <v>Sneha Joshi</v>
      </c>
      <c r="X48" s="93" t="str">
        <f t="shared" si="1"/>
        <v>Electronics</v>
      </c>
      <c r="Y48" s="94" t="str">
        <f t="shared" si="2"/>
        <v>West</v>
      </c>
    </row>
    <row r="49" spans="1:25" ht="15" thickBot="1" x14ac:dyDescent="0.4">
      <c r="A49" s="90" t="s">
        <v>164</v>
      </c>
      <c r="B49" s="30" t="s">
        <v>134</v>
      </c>
      <c r="C49" s="30" t="s">
        <v>112</v>
      </c>
      <c r="D49" s="31">
        <v>45988</v>
      </c>
      <c r="E49" s="31">
        <v>45994</v>
      </c>
      <c r="F49" s="30" t="s">
        <v>135</v>
      </c>
      <c r="G49" s="30" t="s">
        <v>26</v>
      </c>
      <c r="H49" s="31">
        <v>36125</v>
      </c>
      <c r="I49" s="30" t="s">
        <v>121</v>
      </c>
      <c r="J49" s="30" t="s">
        <v>38</v>
      </c>
      <c r="K49" s="30" t="s">
        <v>39</v>
      </c>
      <c r="L49" s="30" t="s">
        <v>114</v>
      </c>
      <c r="M49" s="95">
        <v>19</v>
      </c>
      <c r="N49" s="30">
        <v>700</v>
      </c>
      <c r="O49" s="30">
        <v>20</v>
      </c>
      <c r="P49" s="30">
        <v>10640</v>
      </c>
      <c r="Q49" s="30">
        <v>1</v>
      </c>
      <c r="R49" s="90" t="s">
        <v>31</v>
      </c>
      <c r="S49" s="30" t="s">
        <v>80</v>
      </c>
      <c r="T49" s="30" t="s">
        <v>136</v>
      </c>
      <c r="U49" s="30">
        <v>9238141322</v>
      </c>
      <c r="V49" s="36" t="s">
        <v>34</v>
      </c>
      <c r="W49" s="40" t="str">
        <f t="shared" si="0"/>
        <v>Sneha Joshi</v>
      </c>
      <c r="X49" s="93" t="str">
        <f t="shared" si="1"/>
        <v>Electronics</v>
      </c>
      <c r="Y49" s="94" t="str">
        <f t="shared" si="2"/>
        <v>North</v>
      </c>
    </row>
    <row r="50" spans="1:25" ht="15" thickBot="1" x14ac:dyDescent="0.4">
      <c r="A50" s="90" t="s">
        <v>165</v>
      </c>
      <c r="B50" s="27" t="s">
        <v>55</v>
      </c>
      <c r="C50" s="27" t="s">
        <v>36</v>
      </c>
      <c r="D50" s="23">
        <v>46131</v>
      </c>
      <c r="E50" s="92" t="s">
        <v>52</v>
      </c>
      <c r="F50" s="27" t="s">
        <v>57</v>
      </c>
      <c r="G50" s="27" t="s">
        <v>58</v>
      </c>
      <c r="H50" s="28">
        <v>35219</v>
      </c>
      <c r="I50" s="27" t="s">
        <v>37</v>
      </c>
      <c r="J50" s="27" t="s">
        <v>38</v>
      </c>
      <c r="K50" s="27" t="s">
        <v>39</v>
      </c>
      <c r="L50" s="27" t="s">
        <v>40</v>
      </c>
      <c r="M50" s="95">
        <v>19</v>
      </c>
      <c r="N50" s="27">
        <v>12000</v>
      </c>
      <c r="O50" s="27">
        <v>0</v>
      </c>
      <c r="P50" s="27">
        <v>228000</v>
      </c>
      <c r="Q50" s="27">
        <v>1</v>
      </c>
      <c r="R50" s="90" t="s">
        <v>41</v>
      </c>
      <c r="S50" s="27" t="s">
        <v>50</v>
      </c>
      <c r="T50" s="27" t="s">
        <v>61</v>
      </c>
      <c r="U50" s="27">
        <v>9890380030</v>
      </c>
      <c r="V50" s="35" t="s">
        <v>34</v>
      </c>
      <c r="W50" s="40" t="str">
        <f t="shared" si="0"/>
        <v>Mohit Verma</v>
      </c>
      <c r="X50" s="93" t="str">
        <f t="shared" si="1"/>
        <v>Electronics</v>
      </c>
      <c r="Y50" s="94" t="str">
        <f t="shared" si="2"/>
        <v>North</v>
      </c>
    </row>
    <row r="51" spans="1:25" ht="15" thickBot="1" x14ac:dyDescent="0.4">
      <c r="A51" s="90" t="s">
        <v>167</v>
      </c>
      <c r="B51" s="30" t="s">
        <v>104</v>
      </c>
      <c r="C51" s="30" t="s">
        <v>56</v>
      </c>
      <c r="D51" s="31">
        <v>46131</v>
      </c>
      <c r="E51" s="31">
        <v>46133</v>
      </c>
      <c r="F51" s="30" t="s">
        <v>166</v>
      </c>
      <c r="G51" s="30" t="s">
        <v>26</v>
      </c>
      <c r="H51" s="31">
        <v>31851</v>
      </c>
      <c r="I51" s="30" t="s">
        <v>79</v>
      </c>
      <c r="J51" s="30" t="s">
        <v>75</v>
      </c>
      <c r="K51" s="30" t="s">
        <v>39</v>
      </c>
      <c r="L51" s="30" t="s">
        <v>59</v>
      </c>
      <c r="M51" s="95">
        <v>6</v>
      </c>
      <c r="N51" s="30">
        <v>1200</v>
      </c>
      <c r="O51" s="30">
        <v>5</v>
      </c>
      <c r="P51" s="30">
        <v>6840</v>
      </c>
      <c r="Q51" s="30">
        <v>2</v>
      </c>
      <c r="R51" s="90" t="s">
        <v>31</v>
      </c>
      <c r="S51" s="30" t="s">
        <v>32</v>
      </c>
      <c r="T51" s="30" t="s">
        <v>108</v>
      </c>
      <c r="U51" s="30">
        <v>9495893170</v>
      </c>
      <c r="V51" s="38" t="s">
        <v>52</v>
      </c>
      <c r="W51" s="40" t="str">
        <f t="shared" si="0"/>
        <v>Anita Gupta</v>
      </c>
      <c r="X51" s="93" t="str">
        <f t="shared" si="1"/>
        <v>Electronics</v>
      </c>
      <c r="Y51" s="94" t="str">
        <f t="shared" si="2"/>
        <v>West</v>
      </c>
    </row>
    <row r="52" spans="1:25" ht="15" thickBot="1" x14ac:dyDescent="0.4">
      <c r="A52" s="90" t="s">
        <v>169</v>
      </c>
      <c r="B52" s="27" t="s">
        <v>45</v>
      </c>
      <c r="C52" s="27" t="s">
        <v>24</v>
      </c>
      <c r="D52" s="28">
        <v>45744</v>
      </c>
      <c r="E52" s="28">
        <v>45754</v>
      </c>
      <c r="F52" s="27" t="s">
        <v>168</v>
      </c>
      <c r="G52" s="27" t="s">
        <v>26</v>
      </c>
      <c r="H52" s="28">
        <v>28906</v>
      </c>
      <c r="I52" s="27" t="s">
        <v>48</v>
      </c>
      <c r="J52" s="27" t="s">
        <v>28</v>
      </c>
      <c r="K52" s="27" t="s">
        <v>29</v>
      </c>
      <c r="L52" s="27" t="s">
        <v>30</v>
      </c>
      <c r="M52" s="95">
        <v>7</v>
      </c>
      <c r="N52" s="27">
        <v>2200</v>
      </c>
      <c r="O52" s="27">
        <v>15</v>
      </c>
      <c r="P52" s="27">
        <v>13090</v>
      </c>
      <c r="Q52" s="27">
        <v>1</v>
      </c>
      <c r="R52" s="90" t="s">
        <v>65</v>
      </c>
      <c r="S52" s="27" t="s">
        <v>50</v>
      </c>
      <c r="T52" s="27" t="s">
        <v>51</v>
      </c>
      <c r="U52" s="27">
        <v>9485166307</v>
      </c>
      <c r="V52" s="35" t="s">
        <v>34</v>
      </c>
      <c r="W52" s="40" t="str">
        <f t="shared" si="0"/>
        <v>Pooja Shah</v>
      </c>
      <c r="X52" s="93" t="str">
        <f t="shared" si="1"/>
        <v>Home Appliances</v>
      </c>
      <c r="Y52" s="94" t="str">
        <f t="shared" si="2"/>
        <v>South</v>
      </c>
    </row>
    <row r="53" spans="1:25" ht="15" thickBot="1" x14ac:dyDescent="0.4">
      <c r="A53" s="90" t="s">
        <v>170</v>
      </c>
      <c r="B53" s="30" t="s">
        <v>72</v>
      </c>
      <c r="C53" s="30" t="s">
        <v>82</v>
      </c>
      <c r="D53" s="31">
        <v>45894</v>
      </c>
      <c r="E53" s="31">
        <v>45897</v>
      </c>
      <c r="F53" s="30" t="s">
        <v>73</v>
      </c>
      <c r="G53" s="30" t="s">
        <v>26</v>
      </c>
      <c r="H53" s="31">
        <v>36747</v>
      </c>
      <c r="I53" s="30" t="s">
        <v>121</v>
      </c>
      <c r="J53" s="30" t="s">
        <v>38</v>
      </c>
      <c r="K53" s="30" t="s">
        <v>83</v>
      </c>
      <c r="L53" s="30" t="s">
        <v>84</v>
      </c>
      <c r="M53" s="95">
        <v>8</v>
      </c>
      <c r="N53" s="30">
        <v>60</v>
      </c>
      <c r="O53" s="30">
        <v>10</v>
      </c>
      <c r="P53" s="30">
        <v>432</v>
      </c>
      <c r="Q53" s="30">
        <v>5</v>
      </c>
      <c r="R53" s="90" t="s">
        <v>60</v>
      </c>
      <c r="S53" s="30" t="s">
        <v>50</v>
      </c>
      <c r="T53" s="30" t="s">
        <v>93</v>
      </c>
      <c r="U53" s="30">
        <v>9924709648</v>
      </c>
      <c r="V53" s="38" t="s">
        <v>53</v>
      </c>
      <c r="W53" s="40" t="str">
        <f t="shared" si="0"/>
        <v>Priya Patel</v>
      </c>
      <c r="X53" s="93" t="str">
        <f t="shared" si="1"/>
        <v>Stationery</v>
      </c>
      <c r="Y53" s="94" t="str">
        <f t="shared" si="2"/>
        <v>North</v>
      </c>
    </row>
    <row r="54" spans="1:25" ht="15" thickBot="1" x14ac:dyDescent="0.4">
      <c r="A54" s="90" t="s">
        <v>171</v>
      </c>
      <c r="B54" s="27" t="s">
        <v>124</v>
      </c>
      <c r="C54" s="27" t="s">
        <v>46</v>
      </c>
      <c r="D54" s="28">
        <v>45888</v>
      </c>
      <c r="E54" s="28">
        <v>45892</v>
      </c>
      <c r="F54" s="27" t="s">
        <v>126</v>
      </c>
      <c r="G54" s="27" t="s">
        <v>58</v>
      </c>
      <c r="H54" s="28">
        <v>27776</v>
      </c>
      <c r="I54" s="27" t="s">
        <v>147</v>
      </c>
      <c r="J54" s="27" t="s">
        <v>148</v>
      </c>
      <c r="K54" s="27" t="s">
        <v>39</v>
      </c>
      <c r="L54" s="27" t="s">
        <v>49</v>
      </c>
      <c r="M54" s="95">
        <v>12</v>
      </c>
      <c r="N54" s="27">
        <v>55000</v>
      </c>
      <c r="O54" s="27">
        <v>5</v>
      </c>
      <c r="P54" s="27">
        <v>627000</v>
      </c>
      <c r="Q54" s="27">
        <v>2</v>
      </c>
      <c r="R54" s="90" t="s">
        <v>65</v>
      </c>
      <c r="S54" s="27" t="s">
        <v>42</v>
      </c>
      <c r="T54" s="27" t="s">
        <v>128</v>
      </c>
      <c r="U54" s="27">
        <v>9350554626</v>
      </c>
      <c r="V54" s="37" t="s">
        <v>52</v>
      </c>
      <c r="W54" s="40" t="str">
        <f t="shared" si="0"/>
        <v>Vikas Mehta</v>
      </c>
      <c r="X54" s="93" t="str">
        <f t="shared" si="1"/>
        <v>Electronics</v>
      </c>
      <c r="Y54" s="94" t="str">
        <f t="shared" si="2"/>
        <v>East</v>
      </c>
    </row>
    <row r="55" spans="1:25" ht="15" thickBot="1" x14ac:dyDescent="0.4">
      <c r="A55" s="90" t="s">
        <v>172</v>
      </c>
      <c r="B55" s="30" t="s">
        <v>23</v>
      </c>
      <c r="C55" s="30" t="s">
        <v>112</v>
      </c>
      <c r="D55" s="31">
        <v>45865</v>
      </c>
      <c r="E55" s="31">
        <v>45874</v>
      </c>
      <c r="F55" s="30" t="s">
        <v>25</v>
      </c>
      <c r="G55" s="30" t="s">
        <v>26</v>
      </c>
      <c r="H55" s="31">
        <v>27488</v>
      </c>
      <c r="I55" s="30" t="s">
        <v>121</v>
      </c>
      <c r="J55" s="30" t="s">
        <v>38</v>
      </c>
      <c r="K55" s="30" t="s">
        <v>39</v>
      </c>
      <c r="L55" s="30" t="s">
        <v>114</v>
      </c>
      <c r="M55" s="95">
        <v>3</v>
      </c>
      <c r="N55" s="30">
        <v>700</v>
      </c>
      <c r="O55" s="30">
        <v>0</v>
      </c>
      <c r="P55" s="30">
        <v>2100</v>
      </c>
      <c r="Q55" s="30">
        <v>3</v>
      </c>
      <c r="R55" s="90" t="s">
        <v>60</v>
      </c>
      <c r="S55" s="30" t="s">
        <v>96</v>
      </c>
      <c r="T55" s="30" t="s">
        <v>43</v>
      </c>
      <c r="U55" s="30">
        <v>9743295580</v>
      </c>
      <c r="V55" s="38" t="s">
        <v>53</v>
      </c>
      <c r="W55" s="40" t="str">
        <f t="shared" si="0"/>
        <v>Kavya Nair</v>
      </c>
      <c r="X55" s="93" t="str">
        <f t="shared" si="1"/>
        <v>Electronics</v>
      </c>
      <c r="Y55" s="94" t="str">
        <f t="shared" si="2"/>
        <v>North</v>
      </c>
    </row>
    <row r="56" spans="1:25" ht="15" thickBot="1" x14ac:dyDescent="0.4">
      <c r="A56" s="90" t="s">
        <v>174</v>
      </c>
      <c r="B56" s="27" t="s">
        <v>87</v>
      </c>
      <c r="C56" s="27" t="s">
        <v>82</v>
      </c>
      <c r="D56" s="28">
        <v>45709</v>
      </c>
      <c r="E56" s="28">
        <v>45714</v>
      </c>
      <c r="F56" s="27" t="s">
        <v>173</v>
      </c>
      <c r="G56" s="27" t="s">
        <v>58</v>
      </c>
      <c r="H56" s="28">
        <v>28105</v>
      </c>
      <c r="I56" s="27" t="s">
        <v>91</v>
      </c>
      <c r="J56" s="27" t="s">
        <v>75</v>
      </c>
      <c r="K56" s="27" t="s">
        <v>83</v>
      </c>
      <c r="L56" s="27" t="s">
        <v>84</v>
      </c>
      <c r="M56" s="95">
        <v>19</v>
      </c>
      <c r="N56" s="27">
        <v>60</v>
      </c>
      <c r="O56" s="27">
        <v>15</v>
      </c>
      <c r="P56" s="27">
        <v>969</v>
      </c>
      <c r="Q56" s="27">
        <v>4</v>
      </c>
      <c r="R56" s="90" t="s">
        <v>60</v>
      </c>
      <c r="S56" s="27" t="s">
        <v>42</v>
      </c>
      <c r="T56" s="27" t="s">
        <v>89</v>
      </c>
      <c r="U56" s="27">
        <v>9822926495</v>
      </c>
      <c r="V56" s="37" t="s">
        <v>53</v>
      </c>
      <c r="W56" s="40" t="str">
        <f t="shared" si="0"/>
        <v>Rohit Singh</v>
      </c>
      <c r="X56" s="93" t="str">
        <f t="shared" si="1"/>
        <v>Stationery</v>
      </c>
      <c r="Y56" s="94" t="str">
        <f t="shared" si="2"/>
        <v>West</v>
      </c>
    </row>
    <row r="57" spans="1:25" ht="15" thickBot="1" x14ac:dyDescent="0.4">
      <c r="A57" s="90" t="s">
        <v>175</v>
      </c>
      <c r="B57" s="30" t="s">
        <v>156</v>
      </c>
      <c r="C57" s="30" t="s">
        <v>82</v>
      </c>
      <c r="D57" s="31">
        <v>45879</v>
      </c>
      <c r="E57" s="31">
        <v>45880</v>
      </c>
      <c r="F57" s="30" t="s">
        <v>106</v>
      </c>
      <c r="G57" s="30" t="s">
        <v>58</v>
      </c>
      <c r="H57" s="31">
        <v>29192</v>
      </c>
      <c r="I57" s="30" t="s">
        <v>121</v>
      </c>
      <c r="J57" s="30" t="s">
        <v>38</v>
      </c>
      <c r="K57" s="30" t="s">
        <v>83</v>
      </c>
      <c r="L57" s="30" t="s">
        <v>84</v>
      </c>
      <c r="M57" s="95">
        <v>9</v>
      </c>
      <c r="N57" s="30">
        <v>60</v>
      </c>
      <c r="O57" s="30">
        <v>20</v>
      </c>
      <c r="P57" s="30">
        <v>432</v>
      </c>
      <c r="Q57" s="30">
        <v>1</v>
      </c>
      <c r="R57" s="90" t="s">
        <v>41</v>
      </c>
      <c r="S57" s="30" t="s">
        <v>80</v>
      </c>
      <c r="T57" s="30" t="s">
        <v>158</v>
      </c>
      <c r="U57" s="30">
        <v>9518298190</v>
      </c>
      <c r="V57" s="38" t="s">
        <v>52</v>
      </c>
      <c r="W57" s="40" t="str">
        <f t="shared" si="0"/>
        <v>Amit Sharma</v>
      </c>
      <c r="X57" s="93" t="str">
        <f t="shared" si="1"/>
        <v>Stationery</v>
      </c>
      <c r="Y57" s="94" t="str">
        <f t="shared" si="2"/>
        <v>North</v>
      </c>
    </row>
    <row r="58" spans="1:25" ht="15" thickBot="1" x14ac:dyDescent="0.4">
      <c r="A58" s="90" t="s">
        <v>177</v>
      </c>
      <c r="B58" s="27" t="s">
        <v>156</v>
      </c>
      <c r="C58" s="27" t="s">
        <v>112</v>
      </c>
      <c r="D58" s="28">
        <v>46105</v>
      </c>
      <c r="E58" s="28">
        <v>46111</v>
      </c>
      <c r="F58" s="27" t="s">
        <v>106</v>
      </c>
      <c r="G58" s="27" t="s">
        <v>58</v>
      </c>
      <c r="H58" s="28">
        <v>28851</v>
      </c>
      <c r="I58" s="27" t="s">
        <v>48</v>
      </c>
      <c r="J58" s="27" t="s">
        <v>28</v>
      </c>
      <c r="K58" s="27" t="s">
        <v>39</v>
      </c>
      <c r="L58" s="27" t="s">
        <v>114</v>
      </c>
      <c r="M58" s="95">
        <v>6</v>
      </c>
      <c r="N58" s="27">
        <v>700</v>
      </c>
      <c r="O58" s="27">
        <v>0</v>
      </c>
      <c r="P58" s="27">
        <v>4200</v>
      </c>
      <c r="Q58" s="27">
        <v>4</v>
      </c>
      <c r="R58" s="90" t="s">
        <v>65</v>
      </c>
      <c r="S58" s="27" t="s">
        <v>42</v>
      </c>
      <c r="T58" s="27" t="s">
        <v>176</v>
      </c>
      <c r="U58" s="27">
        <v>9366223547</v>
      </c>
      <c r="V58" s="37" t="s">
        <v>53</v>
      </c>
      <c r="W58" s="40" t="str">
        <f t="shared" si="0"/>
        <v>Amit Sharma</v>
      </c>
      <c r="X58" s="93" t="str">
        <f t="shared" si="1"/>
        <v>Electronics</v>
      </c>
      <c r="Y58" s="94" t="str">
        <f t="shared" si="2"/>
        <v>South</v>
      </c>
    </row>
    <row r="59" spans="1:25" ht="15" thickBot="1" x14ac:dyDescent="0.4">
      <c r="A59" s="90" t="s">
        <v>178</v>
      </c>
      <c r="B59" s="30" t="s">
        <v>87</v>
      </c>
      <c r="C59" s="30" t="s">
        <v>138</v>
      </c>
      <c r="D59" s="31">
        <v>46094</v>
      </c>
      <c r="E59" s="31">
        <v>46100</v>
      </c>
      <c r="F59" s="30" t="s">
        <v>88</v>
      </c>
      <c r="G59" s="30" t="s">
        <v>58</v>
      </c>
      <c r="H59" s="31">
        <v>27499</v>
      </c>
      <c r="I59" s="30" t="s">
        <v>37</v>
      </c>
      <c r="J59" s="30" t="s">
        <v>38</v>
      </c>
      <c r="K59" s="30" t="s">
        <v>83</v>
      </c>
      <c r="L59" s="30" t="s">
        <v>139</v>
      </c>
      <c r="M59" s="95">
        <v>18</v>
      </c>
      <c r="N59" s="30">
        <v>45</v>
      </c>
      <c r="O59" s="30">
        <v>5</v>
      </c>
      <c r="P59" s="30">
        <v>769.5</v>
      </c>
      <c r="Q59" s="30">
        <v>1</v>
      </c>
      <c r="R59" s="90" t="s">
        <v>60</v>
      </c>
      <c r="S59" s="30" t="s">
        <v>50</v>
      </c>
      <c r="T59" s="30" t="s">
        <v>89</v>
      </c>
      <c r="U59" s="30">
        <v>9701988524</v>
      </c>
      <c r="V59" s="38" t="s">
        <v>52</v>
      </c>
      <c r="W59" s="40" t="str">
        <f t="shared" si="0"/>
        <v>Rohit Singh</v>
      </c>
      <c r="X59" s="93" t="str">
        <f t="shared" si="1"/>
        <v>Stationery</v>
      </c>
      <c r="Y59" s="94" t="str">
        <f t="shared" si="2"/>
        <v>North</v>
      </c>
    </row>
    <row r="60" spans="1:25" ht="15" thickBot="1" x14ac:dyDescent="0.4">
      <c r="A60" s="90" t="s">
        <v>180</v>
      </c>
      <c r="B60" s="27" t="s">
        <v>63</v>
      </c>
      <c r="C60" s="27" t="s">
        <v>125</v>
      </c>
      <c r="D60" s="28">
        <v>45823</v>
      </c>
      <c r="E60" s="28">
        <v>45834</v>
      </c>
      <c r="F60" s="27" t="s">
        <v>110</v>
      </c>
      <c r="G60" s="27" t="s">
        <v>58</v>
      </c>
      <c r="H60" s="28">
        <v>32496</v>
      </c>
      <c r="I60" s="27" t="s">
        <v>121</v>
      </c>
      <c r="J60" s="27" t="s">
        <v>38</v>
      </c>
      <c r="K60" s="27" t="s">
        <v>83</v>
      </c>
      <c r="L60" s="27" t="s">
        <v>127</v>
      </c>
      <c r="M60" s="95">
        <v>8</v>
      </c>
      <c r="N60" s="27">
        <v>20</v>
      </c>
      <c r="O60" s="27">
        <v>5</v>
      </c>
      <c r="P60" s="27">
        <v>152</v>
      </c>
      <c r="Q60" s="27">
        <v>1</v>
      </c>
      <c r="R60" s="90" t="s">
        <v>60</v>
      </c>
      <c r="S60" s="27" t="s">
        <v>32</v>
      </c>
      <c r="T60" s="27" t="s">
        <v>66</v>
      </c>
      <c r="U60" s="27">
        <v>9836327649</v>
      </c>
      <c r="V60" s="35" t="s">
        <v>179</v>
      </c>
      <c r="W60" s="40" t="str">
        <f t="shared" si="0"/>
        <v>Arjun Rao</v>
      </c>
      <c r="X60" s="93" t="str">
        <f t="shared" si="1"/>
        <v>Stationery</v>
      </c>
      <c r="Y60" s="94" t="str">
        <f t="shared" si="2"/>
        <v>North</v>
      </c>
    </row>
    <row r="61" spans="1:25" ht="15" thickBot="1" x14ac:dyDescent="0.4">
      <c r="A61" s="90" t="s">
        <v>182</v>
      </c>
      <c r="B61" s="30" t="s">
        <v>124</v>
      </c>
      <c r="C61" s="30" t="s">
        <v>112</v>
      </c>
      <c r="D61" s="31">
        <v>45721</v>
      </c>
      <c r="E61" s="31">
        <v>45722</v>
      </c>
      <c r="F61" s="30" t="s">
        <v>126</v>
      </c>
      <c r="G61" s="30" t="s">
        <v>58</v>
      </c>
      <c r="H61" s="31">
        <v>28921</v>
      </c>
      <c r="I61" s="30" t="s">
        <v>121</v>
      </c>
      <c r="J61" s="30" t="s">
        <v>38</v>
      </c>
      <c r="K61" s="30" t="s">
        <v>39</v>
      </c>
      <c r="L61" s="30" t="s">
        <v>114</v>
      </c>
      <c r="M61" s="95">
        <v>8</v>
      </c>
      <c r="N61" s="30">
        <v>700</v>
      </c>
      <c r="O61" s="30">
        <v>10</v>
      </c>
      <c r="P61" s="30">
        <v>5040</v>
      </c>
      <c r="Q61" s="30">
        <v>1</v>
      </c>
      <c r="R61" s="90" t="s">
        <v>41</v>
      </c>
      <c r="S61" s="30" t="s">
        <v>50</v>
      </c>
      <c r="T61" s="32" t="s">
        <v>181</v>
      </c>
      <c r="U61" s="30">
        <v>9261800516</v>
      </c>
      <c r="V61" s="38" t="s">
        <v>53</v>
      </c>
      <c r="W61" s="40" t="str">
        <f t="shared" si="0"/>
        <v>Vikas Mehta</v>
      </c>
      <c r="X61" s="93" t="str">
        <f t="shared" si="1"/>
        <v>Electronics</v>
      </c>
      <c r="Y61" s="94" t="str">
        <f t="shared" si="2"/>
        <v>North</v>
      </c>
    </row>
    <row r="62" spans="1:25" ht="15" thickBot="1" x14ac:dyDescent="0.4">
      <c r="A62" s="90" t="s">
        <v>183</v>
      </c>
      <c r="B62" s="27" t="s">
        <v>23</v>
      </c>
      <c r="C62" s="27" t="s">
        <v>125</v>
      </c>
      <c r="D62" s="28">
        <v>46121</v>
      </c>
      <c r="E62" s="28">
        <v>46131</v>
      </c>
      <c r="F62" s="27" t="s">
        <v>25</v>
      </c>
      <c r="G62" s="27" t="s">
        <v>26</v>
      </c>
      <c r="H62" s="28">
        <v>37972</v>
      </c>
      <c r="I62" s="27" t="s">
        <v>37</v>
      </c>
      <c r="J62" s="27" t="s">
        <v>38</v>
      </c>
      <c r="K62" s="27" t="s">
        <v>83</v>
      </c>
      <c r="L62" s="27" t="s">
        <v>127</v>
      </c>
      <c r="M62" s="95">
        <v>7</v>
      </c>
      <c r="N62" s="27">
        <v>20</v>
      </c>
      <c r="O62" s="27">
        <v>15</v>
      </c>
      <c r="P62" s="27">
        <v>119</v>
      </c>
      <c r="Q62" s="27">
        <v>5</v>
      </c>
      <c r="R62" s="90" t="s">
        <v>60</v>
      </c>
      <c r="S62" s="27" t="s">
        <v>42</v>
      </c>
      <c r="T62" s="27" t="s">
        <v>43</v>
      </c>
      <c r="U62" s="27">
        <v>9950802015</v>
      </c>
      <c r="V62" s="35" t="s">
        <v>34</v>
      </c>
      <c r="W62" s="40" t="str">
        <f t="shared" si="0"/>
        <v>Kavya Nair</v>
      </c>
      <c r="X62" s="93" t="str">
        <f t="shared" si="1"/>
        <v>Stationery</v>
      </c>
      <c r="Y62" s="94" t="str">
        <f t="shared" si="2"/>
        <v>North</v>
      </c>
    </row>
    <row r="63" spans="1:25" ht="15" thickBot="1" x14ac:dyDescent="0.4">
      <c r="A63" s="90" t="s">
        <v>184</v>
      </c>
      <c r="B63" s="30" t="s">
        <v>72</v>
      </c>
      <c r="C63" s="30" t="s">
        <v>125</v>
      </c>
      <c r="D63" s="31">
        <v>45885</v>
      </c>
      <c r="E63" s="31">
        <v>45894</v>
      </c>
      <c r="F63" s="30" t="s">
        <v>73</v>
      </c>
      <c r="G63" s="30" t="s">
        <v>26</v>
      </c>
      <c r="H63" s="31">
        <v>30777</v>
      </c>
      <c r="I63" s="30" t="s">
        <v>79</v>
      </c>
      <c r="J63" s="30" t="s">
        <v>75</v>
      </c>
      <c r="K63" s="30" t="s">
        <v>83</v>
      </c>
      <c r="L63" s="30" t="s">
        <v>127</v>
      </c>
      <c r="M63" s="95">
        <v>16</v>
      </c>
      <c r="N63" s="30">
        <v>20</v>
      </c>
      <c r="O63" s="30">
        <v>0</v>
      </c>
      <c r="P63" s="30">
        <v>320</v>
      </c>
      <c r="Q63" s="30">
        <v>5</v>
      </c>
      <c r="R63" s="90" t="s">
        <v>41</v>
      </c>
      <c r="S63" s="30" t="s">
        <v>50</v>
      </c>
      <c r="T63" s="30" t="s">
        <v>93</v>
      </c>
      <c r="U63" s="30">
        <v>9595183767</v>
      </c>
      <c r="V63" s="38" t="s">
        <v>52</v>
      </c>
      <c r="W63" s="40" t="str">
        <f t="shared" si="0"/>
        <v>Priya Patel</v>
      </c>
      <c r="X63" s="93" t="str">
        <f t="shared" si="1"/>
        <v>Stationery</v>
      </c>
      <c r="Y63" s="94" t="str">
        <f t="shared" si="2"/>
        <v>West</v>
      </c>
    </row>
    <row r="64" spans="1:25" ht="15" thickBot="1" x14ac:dyDescent="0.4">
      <c r="A64" s="90" t="s">
        <v>185</v>
      </c>
      <c r="B64" s="27" t="s">
        <v>45</v>
      </c>
      <c r="C64" s="27" t="s">
        <v>138</v>
      </c>
      <c r="D64" s="28">
        <v>46155</v>
      </c>
      <c r="E64" s="28">
        <v>46162</v>
      </c>
      <c r="F64" s="27" t="s">
        <v>101</v>
      </c>
      <c r="G64" s="27" t="s">
        <v>26</v>
      </c>
      <c r="H64" s="28">
        <v>35168</v>
      </c>
      <c r="I64" s="27" t="s">
        <v>74</v>
      </c>
      <c r="J64" s="27" t="s">
        <v>75</v>
      </c>
      <c r="K64" s="27" t="s">
        <v>83</v>
      </c>
      <c r="L64" s="27" t="s">
        <v>139</v>
      </c>
      <c r="M64" s="95">
        <v>15</v>
      </c>
      <c r="N64" s="27">
        <v>45</v>
      </c>
      <c r="O64" s="27">
        <v>0</v>
      </c>
      <c r="P64" s="27">
        <v>675</v>
      </c>
      <c r="Q64" s="27">
        <v>4</v>
      </c>
      <c r="R64" s="90" t="s">
        <v>31</v>
      </c>
      <c r="S64" s="27" t="s">
        <v>50</v>
      </c>
      <c r="T64" s="27" t="s">
        <v>51</v>
      </c>
      <c r="U64" s="27">
        <v>9560201307</v>
      </c>
      <c r="V64" s="37" t="s">
        <v>53</v>
      </c>
      <c r="W64" s="40" t="str">
        <f t="shared" si="0"/>
        <v>Pooja Shah</v>
      </c>
      <c r="X64" s="93" t="str">
        <f t="shared" si="1"/>
        <v>Stationery</v>
      </c>
      <c r="Y64" s="94" t="str">
        <f t="shared" si="2"/>
        <v>West</v>
      </c>
    </row>
    <row r="65" spans="1:25" ht="15" thickBot="1" x14ac:dyDescent="0.4">
      <c r="A65" s="90" t="s">
        <v>186</v>
      </c>
      <c r="B65" s="30" t="s">
        <v>134</v>
      </c>
      <c r="C65" s="30" t="s">
        <v>112</v>
      </c>
      <c r="D65" s="31">
        <v>45717</v>
      </c>
      <c r="E65" s="31">
        <v>45721</v>
      </c>
      <c r="F65" s="30" t="s">
        <v>135</v>
      </c>
      <c r="G65" s="30" t="s">
        <v>26</v>
      </c>
      <c r="H65" s="31">
        <v>37872</v>
      </c>
      <c r="I65" s="30" t="s">
        <v>91</v>
      </c>
      <c r="J65" s="30" t="s">
        <v>75</v>
      </c>
      <c r="K65" s="30" t="s">
        <v>39</v>
      </c>
      <c r="L65" s="30" t="s">
        <v>114</v>
      </c>
      <c r="M65" s="95">
        <v>15</v>
      </c>
      <c r="N65" s="30">
        <v>700</v>
      </c>
      <c r="O65" s="30">
        <v>10</v>
      </c>
      <c r="P65" s="30">
        <v>9450</v>
      </c>
      <c r="Q65" s="30">
        <v>3</v>
      </c>
      <c r="R65" s="90" t="s">
        <v>41</v>
      </c>
      <c r="S65" s="30" t="s">
        <v>96</v>
      </c>
      <c r="T65" s="30" t="s">
        <v>136</v>
      </c>
      <c r="U65" s="30">
        <v>9826484650</v>
      </c>
      <c r="V65" s="36" t="s">
        <v>34</v>
      </c>
      <c r="W65" s="40" t="str">
        <f t="shared" si="0"/>
        <v>Sneha Joshi</v>
      </c>
      <c r="X65" s="93" t="str">
        <f t="shared" si="1"/>
        <v>Electronics</v>
      </c>
      <c r="Y65" s="94" t="str">
        <f t="shared" si="2"/>
        <v>West</v>
      </c>
    </row>
    <row r="66" spans="1:25" ht="15" thickBot="1" x14ac:dyDescent="0.4">
      <c r="A66" s="90" t="s">
        <v>187</v>
      </c>
      <c r="B66" s="27" t="s">
        <v>45</v>
      </c>
      <c r="C66" s="27" t="s">
        <v>138</v>
      </c>
      <c r="D66" s="28">
        <v>45697</v>
      </c>
      <c r="E66" s="28">
        <v>45700</v>
      </c>
      <c r="F66" s="27" t="s">
        <v>101</v>
      </c>
      <c r="G66" s="27" t="s">
        <v>26</v>
      </c>
      <c r="H66" s="28">
        <v>33871</v>
      </c>
      <c r="I66" s="27" t="s">
        <v>147</v>
      </c>
      <c r="J66" s="27" t="s">
        <v>148</v>
      </c>
      <c r="K66" s="27" t="s">
        <v>83</v>
      </c>
      <c r="L66" s="27" t="s">
        <v>139</v>
      </c>
      <c r="M66" s="95">
        <v>3</v>
      </c>
      <c r="N66" s="27">
        <v>45</v>
      </c>
      <c r="O66" s="27">
        <v>15</v>
      </c>
      <c r="P66" s="27">
        <v>114.75</v>
      </c>
      <c r="Q66" s="27">
        <v>2</v>
      </c>
      <c r="R66" s="90" t="s">
        <v>65</v>
      </c>
      <c r="S66" s="27" t="s">
        <v>80</v>
      </c>
      <c r="T66" s="27" t="s">
        <v>51</v>
      </c>
      <c r="U66" s="27">
        <v>9219978007</v>
      </c>
      <c r="V66" s="37" t="s">
        <v>52</v>
      </c>
      <c r="W66" s="40" t="str">
        <f t="shared" si="0"/>
        <v>Pooja Shah</v>
      </c>
      <c r="X66" s="93" t="str">
        <f t="shared" si="1"/>
        <v>Stationery</v>
      </c>
      <c r="Y66" s="94" t="str">
        <f t="shared" si="2"/>
        <v>East</v>
      </c>
    </row>
    <row r="67" spans="1:25" ht="15" thickBot="1" x14ac:dyDescent="0.4">
      <c r="A67" s="90" t="s">
        <v>188</v>
      </c>
      <c r="B67" s="30" t="s">
        <v>72</v>
      </c>
      <c r="C67" s="30" t="s">
        <v>24</v>
      </c>
      <c r="D67" s="31">
        <v>46031</v>
      </c>
      <c r="E67" s="31">
        <v>46032</v>
      </c>
      <c r="F67" s="30" t="s">
        <v>73</v>
      </c>
      <c r="G67" s="30" t="s">
        <v>26</v>
      </c>
      <c r="H67" s="31">
        <v>31674</v>
      </c>
      <c r="I67" s="30" t="s">
        <v>147</v>
      </c>
      <c r="J67" s="30" t="s">
        <v>148</v>
      </c>
      <c r="K67" s="30" t="s">
        <v>29</v>
      </c>
      <c r="L67" s="30" t="s">
        <v>30</v>
      </c>
      <c r="M67" s="95">
        <v>7</v>
      </c>
      <c r="N67" s="30">
        <v>2200</v>
      </c>
      <c r="O67" s="30">
        <v>15</v>
      </c>
      <c r="P67" s="30">
        <v>13090</v>
      </c>
      <c r="Q67" s="30">
        <v>5</v>
      </c>
      <c r="R67" s="90" t="s">
        <v>65</v>
      </c>
      <c r="S67" s="30" t="s">
        <v>80</v>
      </c>
      <c r="T67" s="30" t="s">
        <v>93</v>
      </c>
      <c r="U67" s="30">
        <v>9662063276</v>
      </c>
      <c r="V67" s="36" t="s">
        <v>34</v>
      </c>
      <c r="W67" s="40" t="str">
        <f t="shared" ref="W67:W130" si="3">PROPER(TRIM(F67))</f>
        <v>Priya Patel</v>
      </c>
      <c r="X67" s="93" t="str">
        <f t="shared" ref="X67:X130" si="4">PROPER(K67)</f>
        <v>Home Appliances</v>
      </c>
      <c r="Y67" s="94" t="str">
        <f t="shared" ref="Y67:Y130" si="5">PROPER(J67)</f>
        <v>East</v>
      </c>
    </row>
    <row r="68" spans="1:25" ht="15" thickBot="1" x14ac:dyDescent="0.4">
      <c r="A68" s="90" t="s">
        <v>189</v>
      </c>
      <c r="B68" s="27" t="s">
        <v>23</v>
      </c>
      <c r="C68" s="27" t="s">
        <v>138</v>
      </c>
      <c r="D68" s="28">
        <v>45901</v>
      </c>
      <c r="E68" s="28">
        <v>45905</v>
      </c>
      <c r="F68" s="27" t="s">
        <v>25</v>
      </c>
      <c r="G68" s="27" t="s">
        <v>26</v>
      </c>
      <c r="H68" s="28">
        <v>31195</v>
      </c>
      <c r="I68" s="27" t="s">
        <v>37</v>
      </c>
      <c r="J68" s="27" t="s">
        <v>38</v>
      </c>
      <c r="K68" s="27" t="s">
        <v>83</v>
      </c>
      <c r="L68" s="27" t="s">
        <v>139</v>
      </c>
      <c r="M68" s="95">
        <v>19</v>
      </c>
      <c r="N68" s="27">
        <v>45</v>
      </c>
      <c r="O68" s="27">
        <v>10</v>
      </c>
      <c r="P68" s="27">
        <v>769.5</v>
      </c>
      <c r="Q68" s="27">
        <v>5</v>
      </c>
      <c r="R68" s="90" t="s">
        <v>60</v>
      </c>
      <c r="S68" s="27" t="s">
        <v>80</v>
      </c>
      <c r="T68" s="27" t="s">
        <v>43</v>
      </c>
      <c r="U68" s="27">
        <v>9190393639</v>
      </c>
      <c r="V68" s="37" t="s">
        <v>53</v>
      </c>
      <c r="W68" s="40" t="str">
        <f t="shared" si="3"/>
        <v>Kavya Nair</v>
      </c>
      <c r="X68" s="93" t="str">
        <f t="shared" si="4"/>
        <v>Stationery</v>
      </c>
      <c r="Y68" s="94" t="str">
        <f t="shared" si="5"/>
        <v>North</v>
      </c>
    </row>
    <row r="69" spans="1:25" ht="15" thickBot="1" x14ac:dyDescent="0.4">
      <c r="A69" s="90" t="s">
        <v>190</v>
      </c>
      <c r="B69" s="30" t="s">
        <v>134</v>
      </c>
      <c r="C69" s="30" t="s">
        <v>68</v>
      </c>
      <c r="D69" s="31">
        <v>46062</v>
      </c>
      <c r="E69" s="31">
        <v>46067</v>
      </c>
      <c r="F69" s="30" t="s">
        <v>135</v>
      </c>
      <c r="G69" s="30" t="s">
        <v>26</v>
      </c>
      <c r="H69" s="31">
        <v>29094</v>
      </c>
      <c r="I69" s="30" t="s">
        <v>27</v>
      </c>
      <c r="J69" s="30" t="s">
        <v>28</v>
      </c>
      <c r="K69" s="30" t="s">
        <v>29</v>
      </c>
      <c r="L69" s="30" t="s">
        <v>70</v>
      </c>
      <c r="M69" s="95">
        <v>7</v>
      </c>
      <c r="N69" s="30">
        <v>3500</v>
      </c>
      <c r="O69" s="30">
        <v>15</v>
      </c>
      <c r="P69" s="30">
        <v>20825</v>
      </c>
      <c r="Q69" s="30">
        <v>1</v>
      </c>
      <c r="R69" s="90" t="s">
        <v>31</v>
      </c>
      <c r="S69" s="30" t="s">
        <v>96</v>
      </c>
      <c r="T69" s="30" t="s">
        <v>136</v>
      </c>
      <c r="U69" s="30">
        <v>9106328582</v>
      </c>
      <c r="V69" s="38" t="s">
        <v>52</v>
      </c>
      <c r="W69" s="40" t="str">
        <f t="shared" si="3"/>
        <v>Sneha Joshi</v>
      </c>
      <c r="X69" s="93" t="str">
        <f t="shared" si="4"/>
        <v>Home Appliances</v>
      </c>
      <c r="Y69" s="94" t="str">
        <f t="shared" si="5"/>
        <v>South</v>
      </c>
    </row>
    <row r="70" spans="1:25" ht="15" thickBot="1" x14ac:dyDescent="0.4">
      <c r="A70" s="90" t="s">
        <v>191</v>
      </c>
      <c r="B70" s="27" t="s">
        <v>45</v>
      </c>
      <c r="C70" s="27" t="s">
        <v>105</v>
      </c>
      <c r="D70" s="28">
        <v>46005</v>
      </c>
      <c r="E70" s="28">
        <v>46010</v>
      </c>
      <c r="F70" s="27" t="s">
        <v>101</v>
      </c>
      <c r="G70" s="27" t="s">
        <v>26</v>
      </c>
      <c r="H70" s="28">
        <v>28116</v>
      </c>
      <c r="I70" s="27" t="s">
        <v>121</v>
      </c>
      <c r="J70" s="27" t="s">
        <v>38</v>
      </c>
      <c r="K70" s="27" t="s">
        <v>29</v>
      </c>
      <c r="L70" s="27" t="s">
        <v>107</v>
      </c>
      <c r="M70" s="95">
        <v>7</v>
      </c>
      <c r="N70" s="27">
        <v>8500</v>
      </c>
      <c r="O70" s="27">
        <v>20</v>
      </c>
      <c r="P70" s="27">
        <v>47600</v>
      </c>
      <c r="Q70" s="27">
        <v>4</v>
      </c>
      <c r="R70" s="90" t="s">
        <v>41</v>
      </c>
      <c r="S70" s="27" t="s">
        <v>80</v>
      </c>
      <c r="T70" s="27" t="s">
        <v>51</v>
      </c>
      <c r="U70" s="27">
        <v>9264401015</v>
      </c>
      <c r="V70" s="35" t="s">
        <v>34</v>
      </c>
      <c r="W70" s="40" t="str">
        <f t="shared" si="3"/>
        <v>Pooja Shah</v>
      </c>
      <c r="X70" s="93" t="str">
        <f t="shared" si="4"/>
        <v>Home Appliances</v>
      </c>
      <c r="Y70" s="94" t="str">
        <f t="shared" si="5"/>
        <v>North</v>
      </c>
    </row>
    <row r="71" spans="1:25" ht="15" thickBot="1" x14ac:dyDescent="0.4">
      <c r="A71" s="90" t="s">
        <v>192</v>
      </c>
      <c r="B71" s="30" t="s">
        <v>23</v>
      </c>
      <c r="C71" s="30" t="s">
        <v>46</v>
      </c>
      <c r="D71" s="31">
        <v>45754</v>
      </c>
      <c r="E71" s="31">
        <v>45757</v>
      </c>
      <c r="F71" s="30" t="s">
        <v>25</v>
      </c>
      <c r="G71" s="30" t="s">
        <v>26</v>
      </c>
      <c r="H71" s="31">
        <v>36561</v>
      </c>
      <c r="I71" s="30" t="s">
        <v>48</v>
      </c>
      <c r="J71" s="30" t="s">
        <v>28</v>
      </c>
      <c r="K71" s="30" t="s">
        <v>39</v>
      </c>
      <c r="L71" s="30" t="s">
        <v>49</v>
      </c>
      <c r="M71" s="95">
        <v>16</v>
      </c>
      <c r="N71" s="30">
        <v>55000</v>
      </c>
      <c r="O71" s="30">
        <v>10</v>
      </c>
      <c r="P71" s="30">
        <v>792000</v>
      </c>
      <c r="Q71" s="30">
        <v>1</v>
      </c>
      <c r="R71" s="90" t="s">
        <v>60</v>
      </c>
      <c r="S71" s="30" t="s">
        <v>50</v>
      </c>
      <c r="T71" s="30" t="s">
        <v>43</v>
      </c>
      <c r="U71" s="30">
        <v>9959237375</v>
      </c>
      <c r="V71" s="36" t="s">
        <v>34</v>
      </c>
      <c r="W71" s="40" t="str">
        <f t="shared" si="3"/>
        <v>Kavya Nair</v>
      </c>
      <c r="X71" s="93" t="str">
        <f t="shared" si="4"/>
        <v>Electronics</v>
      </c>
      <c r="Y71" s="94" t="str">
        <f t="shared" si="5"/>
        <v>South</v>
      </c>
    </row>
    <row r="72" spans="1:25" ht="15" thickBot="1" x14ac:dyDescent="0.4">
      <c r="A72" s="90" t="s">
        <v>194</v>
      </c>
      <c r="B72" s="27" t="s">
        <v>104</v>
      </c>
      <c r="C72" s="27" t="s">
        <v>36</v>
      </c>
      <c r="D72" s="28">
        <v>46015</v>
      </c>
      <c r="E72" s="28">
        <v>46025</v>
      </c>
      <c r="F72" s="27" t="s">
        <v>166</v>
      </c>
      <c r="G72" s="27" t="s">
        <v>26</v>
      </c>
      <c r="H72" s="28">
        <v>31832</v>
      </c>
      <c r="I72" s="27" t="s">
        <v>74</v>
      </c>
      <c r="J72" s="27" t="s">
        <v>75</v>
      </c>
      <c r="K72" s="27" t="s">
        <v>39</v>
      </c>
      <c r="L72" s="27" t="s">
        <v>40</v>
      </c>
      <c r="M72" s="95">
        <v>2</v>
      </c>
      <c r="N72" s="27">
        <v>12000</v>
      </c>
      <c r="O72" s="27">
        <v>20</v>
      </c>
      <c r="P72" s="27">
        <v>19200</v>
      </c>
      <c r="Q72" s="27">
        <v>1</v>
      </c>
      <c r="R72" s="90" t="s">
        <v>31</v>
      </c>
      <c r="S72" s="27" t="s">
        <v>96</v>
      </c>
      <c r="T72" s="29" t="s">
        <v>193</v>
      </c>
      <c r="U72" s="27">
        <v>9561836580</v>
      </c>
      <c r="V72" s="37" t="s">
        <v>52</v>
      </c>
      <c r="W72" s="40" t="str">
        <f t="shared" si="3"/>
        <v>Anita Gupta</v>
      </c>
      <c r="X72" s="93" t="str">
        <f t="shared" si="4"/>
        <v>Electronics</v>
      </c>
      <c r="Y72" s="94" t="str">
        <f t="shared" si="5"/>
        <v>West</v>
      </c>
    </row>
    <row r="73" spans="1:25" ht="15" thickBot="1" x14ac:dyDescent="0.4">
      <c r="A73" s="90" t="s">
        <v>195</v>
      </c>
      <c r="B73" s="30" t="s">
        <v>87</v>
      </c>
      <c r="C73" s="30" t="s">
        <v>138</v>
      </c>
      <c r="D73" s="31">
        <v>45899</v>
      </c>
      <c r="E73" s="31">
        <v>45905</v>
      </c>
      <c r="F73" s="30" t="s">
        <v>88</v>
      </c>
      <c r="G73" s="30" t="s">
        <v>58</v>
      </c>
      <c r="H73" s="31">
        <v>30887</v>
      </c>
      <c r="I73" s="30" t="s">
        <v>48</v>
      </c>
      <c r="J73" s="30" t="s">
        <v>28</v>
      </c>
      <c r="K73" s="30" t="s">
        <v>83</v>
      </c>
      <c r="L73" s="30" t="s">
        <v>139</v>
      </c>
      <c r="M73" s="95">
        <v>4</v>
      </c>
      <c r="N73" s="30">
        <v>45</v>
      </c>
      <c r="O73" s="30">
        <v>5</v>
      </c>
      <c r="P73" s="30">
        <v>171</v>
      </c>
      <c r="Q73" s="30">
        <v>1</v>
      </c>
      <c r="R73" s="90" t="s">
        <v>60</v>
      </c>
      <c r="S73" s="30" t="s">
        <v>42</v>
      </c>
      <c r="T73" s="30" t="s">
        <v>89</v>
      </c>
      <c r="U73" s="30">
        <v>9512666401</v>
      </c>
      <c r="V73" s="38" t="s">
        <v>52</v>
      </c>
      <c r="W73" s="40" t="str">
        <f t="shared" si="3"/>
        <v>Rohit Singh</v>
      </c>
      <c r="X73" s="93" t="str">
        <f t="shared" si="4"/>
        <v>Stationery</v>
      </c>
      <c r="Y73" s="94" t="str">
        <f t="shared" si="5"/>
        <v>South</v>
      </c>
    </row>
    <row r="74" spans="1:25" ht="15" thickBot="1" x14ac:dyDescent="0.4">
      <c r="A74" s="90" t="s">
        <v>196</v>
      </c>
      <c r="B74" s="27" t="s">
        <v>23</v>
      </c>
      <c r="C74" s="27" t="s">
        <v>56</v>
      </c>
      <c r="D74" s="28">
        <v>46004</v>
      </c>
      <c r="E74" s="28">
        <v>46014</v>
      </c>
      <c r="F74" s="27" t="s">
        <v>25</v>
      </c>
      <c r="G74" s="27" t="s">
        <v>26</v>
      </c>
      <c r="H74" s="28">
        <v>29851</v>
      </c>
      <c r="I74" s="27" t="s">
        <v>121</v>
      </c>
      <c r="J74" s="27" t="s">
        <v>38</v>
      </c>
      <c r="K74" s="27" t="s">
        <v>39</v>
      </c>
      <c r="L74" s="27" t="s">
        <v>59</v>
      </c>
      <c r="M74" s="95">
        <v>1</v>
      </c>
      <c r="N74" s="27">
        <v>1200</v>
      </c>
      <c r="O74" s="27">
        <v>5</v>
      </c>
      <c r="P74" s="27">
        <v>1140</v>
      </c>
      <c r="Q74" s="27">
        <v>3</v>
      </c>
      <c r="R74" s="90" t="s">
        <v>65</v>
      </c>
      <c r="S74" s="27" t="s">
        <v>50</v>
      </c>
      <c r="T74" s="27" t="s">
        <v>43</v>
      </c>
      <c r="U74" s="27">
        <v>9808988530</v>
      </c>
      <c r="V74" s="37" t="s">
        <v>53</v>
      </c>
      <c r="W74" s="40" t="str">
        <f t="shared" si="3"/>
        <v>Kavya Nair</v>
      </c>
      <c r="X74" s="93" t="str">
        <f t="shared" si="4"/>
        <v>Electronics</v>
      </c>
      <c r="Y74" s="94" t="str">
        <f t="shared" si="5"/>
        <v>North</v>
      </c>
    </row>
    <row r="75" spans="1:25" ht="15" thickBot="1" x14ac:dyDescent="0.4">
      <c r="A75" s="90" t="s">
        <v>197</v>
      </c>
      <c r="B75" s="30" t="s">
        <v>45</v>
      </c>
      <c r="C75" s="30" t="s">
        <v>24</v>
      </c>
      <c r="D75" s="31">
        <v>46057</v>
      </c>
      <c r="E75" s="31">
        <v>46069</v>
      </c>
      <c r="F75" s="30" t="s">
        <v>101</v>
      </c>
      <c r="G75" s="30" t="s">
        <v>26</v>
      </c>
      <c r="H75" s="24">
        <v>29392</v>
      </c>
      <c r="I75" s="30"/>
      <c r="J75" s="30" t="s">
        <v>28</v>
      </c>
      <c r="K75" s="30" t="s">
        <v>29</v>
      </c>
      <c r="L75" s="30" t="s">
        <v>30</v>
      </c>
      <c r="M75" s="95">
        <v>1</v>
      </c>
      <c r="N75" s="30">
        <v>2200</v>
      </c>
      <c r="O75" s="30">
        <v>15</v>
      </c>
      <c r="P75" s="30">
        <v>1870</v>
      </c>
      <c r="Q75" s="30">
        <v>4</v>
      </c>
      <c r="R75" s="90" t="s">
        <v>60</v>
      </c>
      <c r="S75" s="30" t="s">
        <v>50</v>
      </c>
      <c r="T75" s="30" t="s">
        <v>51</v>
      </c>
      <c r="U75" s="30">
        <v>9286410494</v>
      </c>
      <c r="V75" s="36" t="s">
        <v>34</v>
      </c>
      <c r="W75" s="40" t="str">
        <f t="shared" si="3"/>
        <v>Pooja Shah</v>
      </c>
      <c r="X75" s="93" t="str">
        <f t="shared" si="4"/>
        <v>Home Appliances</v>
      </c>
      <c r="Y75" s="94" t="str">
        <f t="shared" si="5"/>
        <v>South</v>
      </c>
    </row>
    <row r="76" spans="1:25" ht="15" thickBot="1" x14ac:dyDescent="0.4">
      <c r="A76" s="90" t="s">
        <v>198</v>
      </c>
      <c r="B76" s="27" t="s">
        <v>87</v>
      </c>
      <c r="C76" s="27" t="s">
        <v>56</v>
      </c>
      <c r="D76" s="28">
        <v>46048</v>
      </c>
      <c r="E76" s="28">
        <v>46050</v>
      </c>
      <c r="F76" s="27" t="s">
        <v>88</v>
      </c>
      <c r="G76" s="27" t="s">
        <v>58</v>
      </c>
      <c r="H76" s="28">
        <v>30257</v>
      </c>
      <c r="I76" s="27" t="s">
        <v>79</v>
      </c>
      <c r="J76" s="27" t="s">
        <v>75</v>
      </c>
      <c r="K76" s="27" t="s">
        <v>39</v>
      </c>
      <c r="L76" s="27" t="s">
        <v>59</v>
      </c>
      <c r="M76" s="95">
        <v>3</v>
      </c>
      <c r="N76" s="27">
        <v>1200</v>
      </c>
      <c r="O76" s="27">
        <v>10</v>
      </c>
      <c r="P76" s="27">
        <v>3240</v>
      </c>
      <c r="Q76" s="27">
        <v>5</v>
      </c>
      <c r="R76" s="90" t="s">
        <v>31</v>
      </c>
      <c r="S76" s="27" t="s">
        <v>42</v>
      </c>
      <c r="T76" s="27" t="s">
        <v>89</v>
      </c>
      <c r="U76" s="27">
        <v>9311555196</v>
      </c>
      <c r="V76" s="35" t="s">
        <v>34</v>
      </c>
      <c r="W76" s="40" t="str">
        <f t="shared" si="3"/>
        <v>Rohit Singh</v>
      </c>
      <c r="X76" s="93" t="str">
        <f t="shared" si="4"/>
        <v>Electronics</v>
      </c>
      <c r="Y76" s="94" t="str">
        <f t="shared" si="5"/>
        <v>West</v>
      </c>
    </row>
    <row r="77" spans="1:25" ht="15" thickBot="1" x14ac:dyDescent="0.4">
      <c r="A77" s="90" t="s">
        <v>199</v>
      </c>
      <c r="B77" s="30" t="s">
        <v>23</v>
      </c>
      <c r="C77" s="30" t="s">
        <v>68</v>
      </c>
      <c r="D77" s="31">
        <v>45835</v>
      </c>
      <c r="E77" s="31">
        <v>45845</v>
      </c>
      <c r="F77" s="30" t="s">
        <v>25</v>
      </c>
      <c r="G77" s="30" t="s">
        <v>26</v>
      </c>
      <c r="H77" s="31">
        <v>29230</v>
      </c>
      <c r="I77" s="30" t="s">
        <v>48</v>
      </c>
      <c r="J77" s="30" t="s">
        <v>28</v>
      </c>
      <c r="K77" s="30" t="s">
        <v>29</v>
      </c>
      <c r="L77" s="30" t="s">
        <v>70</v>
      </c>
      <c r="M77" s="95">
        <v>10</v>
      </c>
      <c r="N77" s="30">
        <v>3500</v>
      </c>
      <c r="O77" s="30">
        <v>20</v>
      </c>
      <c r="P77" s="30">
        <v>28000</v>
      </c>
      <c r="Q77" s="30">
        <v>5</v>
      </c>
      <c r="R77" s="90" t="s">
        <v>60</v>
      </c>
      <c r="S77" s="30" t="s">
        <v>32</v>
      </c>
      <c r="T77" s="30" t="s">
        <v>43</v>
      </c>
      <c r="U77" s="30">
        <v>9101810266</v>
      </c>
      <c r="V77" s="36" t="s">
        <v>34</v>
      </c>
      <c r="W77" s="40" t="str">
        <f t="shared" si="3"/>
        <v>Kavya Nair</v>
      </c>
      <c r="X77" s="93" t="str">
        <f t="shared" si="4"/>
        <v>Home Appliances</v>
      </c>
      <c r="Y77" s="94" t="str">
        <f t="shared" si="5"/>
        <v>South</v>
      </c>
    </row>
    <row r="78" spans="1:25" ht="15" thickBot="1" x14ac:dyDescent="0.4">
      <c r="A78" s="90" t="s">
        <v>200</v>
      </c>
      <c r="B78" s="27" t="s">
        <v>63</v>
      </c>
      <c r="C78" s="27" t="s">
        <v>112</v>
      </c>
      <c r="D78" s="28">
        <v>46098</v>
      </c>
      <c r="E78" s="28">
        <v>46100</v>
      </c>
      <c r="F78" s="27" t="s">
        <v>110</v>
      </c>
      <c r="G78" s="27" t="s">
        <v>58</v>
      </c>
      <c r="H78" s="28">
        <v>29703</v>
      </c>
      <c r="I78" s="27" t="s">
        <v>37</v>
      </c>
      <c r="J78" s="27" t="s">
        <v>38</v>
      </c>
      <c r="K78" s="27" t="s">
        <v>39</v>
      </c>
      <c r="L78" s="27" t="s">
        <v>114</v>
      </c>
      <c r="M78" s="95">
        <v>18</v>
      </c>
      <c r="N78" s="27">
        <v>700</v>
      </c>
      <c r="O78" s="27">
        <v>5</v>
      </c>
      <c r="P78" s="27">
        <v>11970</v>
      </c>
      <c r="Q78" s="27">
        <v>3</v>
      </c>
      <c r="R78" s="90" t="s">
        <v>60</v>
      </c>
      <c r="S78" s="27" t="s">
        <v>80</v>
      </c>
      <c r="T78" s="27" t="s">
        <v>66</v>
      </c>
      <c r="U78" s="27">
        <v>9464556593</v>
      </c>
      <c r="V78" s="37" t="s">
        <v>53</v>
      </c>
      <c r="W78" s="40" t="str">
        <f t="shared" si="3"/>
        <v>Arjun Rao</v>
      </c>
      <c r="X78" s="93" t="str">
        <f t="shared" si="4"/>
        <v>Electronics</v>
      </c>
      <c r="Y78" s="94" t="str">
        <f t="shared" si="5"/>
        <v>North</v>
      </c>
    </row>
    <row r="79" spans="1:25" ht="15" thickBot="1" x14ac:dyDescent="0.4">
      <c r="A79" s="90" t="s">
        <v>201</v>
      </c>
      <c r="B79" s="30" t="s">
        <v>124</v>
      </c>
      <c r="C79" s="30" t="s">
        <v>112</v>
      </c>
      <c r="D79" s="31">
        <v>45817</v>
      </c>
      <c r="E79" s="31">
        <v>45826</v>
      </c>
      <c r="F79" s="30" t="s">
        <v>126</v>
      </c>
      <c r="G79" s="30" t="s">
        <v>58</v>
      </c>
      <c r="H79" s="31">
        <v>31118</v>
      </c>
      <c r="I79" s="30" t="s">
        <v>48</v>
      </c>
      <c r="J79" s="30" t="s">
        <v>28</v>
      </c>
      <c r="K79" s="30" t="s">
        <v>39</v>
      </c>
      <c r="L79" s="30" t="s">
        <v>114</v>
      </c>
      <c r="M79" s="95">
        <v>12</v>
      </c>
      <c r="N79" s="30">
        <v>700</v>
      </c>
      <c r="O79" s="30">
        <v>15</v>
      </c>
      <c r="P79" s="30">
        <v>7140</v>
      </c>
      <c r="Q79" s="30">
        <v>2</v>
      </c>
      <c r="R79" s="90" t="s">
        <v>65</v>
      </c>
      <c r="S79" s="30" t="s">
        <v>42</v>
      </c>
      <c r="T79" s="30" t="s">
        <v>128</v>
      </c>
      <c r="U79" s="30">
        <v>9338278358</v>
      </c>
      <c r="V79" s="36" t="s">
        <v>34</v>
      </c>
      <c r="W79" s="40" t="str">
        <f t="shared" si="3"/>
        <v>Vikas Mehta</v>
      </c>
      <c r="X79" s="93" t="str">
        <f t="shared" si="4"/>
        <v>Electronics</v>
      </c>
      <c r="Y79" s="94" t="str">
        <f t="shared" si="5"/>
        <v>South</v>
      </c>
    </row>
    <row r="80" spans="1:25" ht="15" thickBot="1" x14ac:dyDescent="0.4">
      <c r="A80" s="90" t="s">
        <v>202</v>
      </c>
      <c r="B80" s="27" t="s">
        <v>55</v>
      </c>
      <c r="C80" s="27" t="s">
        <v>56</v>
      </c>
      <c r="D80" s="28">
        <v>45976</v>
      </c>
      <c r="E80" s="28">
        <v>45977</v>
      </c>
      <c r="F80" s="27" t="s">
        <v>57</v>
      </c>
      <c r="G80" s="27" t="s">
        <v>58</v>
      </c>
      <c r="H80" s="28">
        <v>36234</v>
      </c>
      <c r="I80" s="27" t="s">
        <v>74</v>
      </c>
      <c r="J80" s="27" t="s">
        <v>75</v>
      </c>
      <c r="K80" s="27" t="s">
        <v>39</v>
      </c>
      <c r="L80" s="27" t="s">
        <v>59</v>
      </c>
      <c r="M80" s="95">
        <v>8</v>
      </c>
      <c r="N80" s="27">
        <v>1200</v>
      </c>
      <c r="O80" s="27">
        <v>0</v>
      </c>
      <c r="P80" s="27">
        <v>9600</v>
      </c>
      <c r="Q80" s="27">
        <v>4</v>
      </c>
      <c r="R80" s="90" t="s">
        <v>60</v>
      </c>
      <c r="S80" s="27" t="s">
        <v>42</v>
      </c>
      <c r="T80" s="27" t="s">
        <v>61</v>
      </c>
      <c r="U80" s="27">
        <v>9621410770</v>
      </c>
      <c r="V80" s="37" t="s">
        <v>52</v>
      </c>
      <c r="W80" s="40" t="str">
        <f t="shared" si="3"/>
        <v>Mohit Verma</v>
      </c>
      <c r="X80" s="93" t="str">
        <f t="shared" si="4"/>
        <v>Electronics</v>
      </c>
      <c r="Y80" s="94" t="str">
        <f t="shared" si="5"/>
        <v>West</v>
      </c>
    </row>
    <row r="81" spans="1:25" ht="15" thickBot="1" x14ac:dyDescent="0.4">
      <c r="A81" s="90" t="s">
        <v>203</v>
      </c>
      <c r="B81" s="30" t="s">
        <v>87</v>
      </c>
      <c r="C81" s="30" t="s">
        <v>82</v>
      </c>
      <c r="D81" s="31">
        <v>45967</v>
      </c>
      <c r="E81" s="31">
        <v>45971</v>
      </c>
      <c r="F81" s="30" t="s">
        <v>88</v>
      </c>
      <c r="G81" s="30" t="s">
        <v>58</v>
      </c>
      <c r="H81" s="31">
        <v>30504</v>
      </c>
      <c r="I81" s="30" t="s">
        <v>79</v>
      </c>
      <c r="J81" s="30" t="s">
        <v>75</v>
      </c>
      <c r="K81" s="30" t="s">
        <v>83</v>
      </c>
      <c r="L81" s="30" t="s">
        <v>84</v>
      </c>
      <c r="M81" s="95">
        <v>2</v>
      </c>
      <c r="N81" s="30">
        <v>60</v>
      </c>
      <c r="O81" s="30">
        <v>0</v>
      </c>
      <c r="P81" s="30">
        <v>120</v>
      </c>
      <c r="Q81" s="30">
        <v>2</v>
      </c>
      <c r="R81" s="90" t="s">
        <v>65</v>
      </c>
      <c r="S81" s="30" t="s">
        <v>42</v>
      </c>
      <c r="T81" s="30" t="s">
        <v>89</v>
      </c>
      <c r="U81" s="30">
        <v>9981333189</v>
      </c>
      <c r="V81" s="36" t="s">
        <v>34</v>
      </c>
      <c r="W81" s="40" t="str">
        <f t="shared" si="3"/>
        <v>Rohit Singh</v>
      </c>
      <c r="X81" s="93" t="str">
        <f t="shared" si="4"/>
        <v>Stationery</v>
      </c>
      <c r="Y81" s="94" t="str">
        <f t="shared" si="5"/>
        <v>West</v>
      </c>
    </row>
    <row r="82" spans="1:25" ht="15" thickBot="1" x14ac:dyDescent="0.4">
      <c r="A82" s="90" t="s">
        <v>204</v>
      </c>
      <c r="B82" s="27" t="s">
        <v>156</v>
      </c>
      <c r="C82" s="27" t="s">
        <v>138</v>
      </c>
      <c r="D82" s="28">
        <v>45658</v>
      </c>
      <c r="E82" s="28">
        <v>45664</v>
      </c>
      <c r="F82" s="27" t="s">
        <v>106</v>
      </c>
      <c r="G82" s="27" t="s">
        <v>58</v>
      </c>
      <c r="H82" s="28">
        <v>32573</v>
      </c>
      <c r="I82" s="27" t="s">
        <v>79</v>
      </c>
      <c r="J82" s="27" t="s">
        <v>75</v>
      </c>
      <c r="K82" s="27" t="s">
        <v>83</v>
      </c>
      <c r="L82" s="27" t="s">
        <v>139</v>
      </c>
      <c r="M82" s="95">
        <v>10</v>
      </c>
      <c r="N82" s="27">
        <v>45</v>
      </c>
      <c r="O82" s="27">
        <v>15</v>
      </c>
      <c r="P82" s="27">
        <v>382.5</v>
      </c>
      <c r="Q82" s="27">
        <v>3</v>
      </c>
      <c r="R82" s="90" t="s">
        <v>41</v>
      </c>
      <c r="S82" s="27" t="s">
        <v>32</v>
      </c>
      <c r="T82" s="27" t="s">
        <v>158</v>
      </c>
      <c r="U82" s="27">
        <v>9723450355</v>
      </c>
      <c r="V82" s="37" t="s">
        <v>53</v>
      </c>
      <c r="W82" s="40" t="str">
        <f t="shared" si="3"/>
        <v>Amit Sharma</v>
      </c>
      <c r="X82" s="93" t="str">
        <f t="shared" si="4"/>
        <v>Stationery</v>
      </c>
      <c r="Y82" s="94" t="str">
        <f t="shared" si="5"/>
        <v>West</v>
      </c>
    </row>
    <row r="83" spans="1:25" ht="15" thickBot="1" x14ac:dyDescent="0.4">
      <c r="A83" s="90" t="s">
        <v>205</v>
      </c>
      <c r="B83" s="30" t="s">
        <v>124</v>
      </c>
      <c r="C83" s="30" t="s">
        <v>68</v>
      </c>
      <c r="D83" s="31">
        <v>46137</v>
      </c>
      <c r="E83" s="31">
        <v>46145</v>
      </c>
      <c r="F83" s="30" t="s">
        <v>126</v>
      </c>
      <c r="G83" s="30" t="s">
        <v>58</v>
      </c>
      <c r="H83" s="31">
        <v>30122</v>
      </c>
      <c r="I83" s="30" t="s">
        <v>147</v>
      </c>
      <c r="J83" s="30" t="s">
        <v>148</v>
      </c>
      <c r="K83" s="30" t="s">
        <v>29</v>
      </c>
      <c r="L83" s="30" t="s">
        <v>70</v>
      </c>
      <c r="M83" s="95">
        <v>12</v>
      </c>
      <c r="N83" s="30">
        <v>3500</v>
      </c>
      <c r="O83" s="30">
        <v>5</v>
      </c>
      <c r="P83" s="30">
        <v>39900</v>
      </c>
      <c r="Q83" s="30">
        <v>3</v>
      </c>
      <c r="R83" s="90" t="s">
        <v>41</v>
      </c>
      <c r="S83" s="30" t="s">
        <v>50</v>
      </c>
      <c r="T83" s="30" t="s">
        <v>128</v>
      </c>
      <c r="U83" s="30">
        <v>9886243907</v>
      </c>
      <c r="V83" s="38" t="s">
        <v>52</v>
      </c>
      <c r="W83" s="40" t="str">
        <f t="shared" si="3"/>
        <v>Vikas Mehta</v>
      </c>
      <c r="X83" s="93" t="str">
        <f t="shared" si="4"/>
        <v>Home Appliances</v>
      </c>
      <c r="Y83" s="94" t="str">
        <f t="shared" si="5"/>
        <v>East</v>
      </c>
    </row>
    <row r="84" spans="1:25" ht="15" thickBot="1" x14ac:dyDescent="0.4">
      <c r="A84" s="90" t="s">
        <v>206</v>
      </c>
      <c r="B84" s="27" t="s">
        <v>87</v>
      </c>
      <c r="C84" s="27" t="s">
        <v>82</v>
      </c>
      <c r="D84" s="28">
        <v>45919</v>
      </c>
      <c r="E84" s="28">
        <v>45927</v>
      </c>
      <c r="F84" s="27" t="s">
        <v>88</v>
      </c>
      <c r="G84" s="27" t="s">
        <v>58</v>
      </c>
      <c r="H84" s="28">
        <v>37065</v>
      </c>
      <c r="I84" s="27" t="s">
        <v>74</v>
      </c>
      <c r="J84" s="27" t="s">
        <v>75</v>
      </c>
      <c r="K84" s="27" t="s">
        <v>83</v>
      </c>
      <c r="L84" s="27" t="s">
        <v>84</v>
      </c>
      <c r="M84" s="95">
        <v>2</v>
      </c>
      <c r="N84" s="27">
        <v>60</v>
      </c>
      <c r="O84" s="27">
        <v>15</v>
      </c>
      <c r="P84" s="27">
        <v>102</v>
      </c>
      <c r="Q84" s="27">
        <v>1</v>
      </c>
      <c r="R84" s="90" t="s">
        <v>65</v>
      </c>
      <c r="S84" s="27" t="s">
        <v>80</v>
      </c>
      <c r="T84" s="27" t="s">
        <v>89</v>
      </c>
      <c r="U84" s="27">
        <v>9473931904</v>
      </c>
      <c r="V84" s="35" t="s">
        <v>34</v>
      </c>
      <c r="W84" s="40" t="str">
        <f t="shared" si="3"/>
        <v>Rohit Singh</v>
      </c>
      <c r="X84" s="93" t="str">
        <f t="shared" si="4"/>
        <v>Stationery</v>
      </c>
      <c r="Y84" s="94" t="str">
        <f t="shared" si="5"/>
        <v>West</v>
      </c>
    </row>
    <row r="85" spans="1:25" ht="15" thickBot="1" x14ac:dyDescent="0.4">
      <c r="A85" s="90" t="s">
        <v>207</v>
      </c>
      <c r="B85" s="30" t="s">
        <v>87</v>
      </c>
      <c r="C85" s="30" t="s">
        <v>56</v>
      </c>
      <c r="D85" s="31">
        <v>45734</v>
      </c>
      <c r="E85" s="31">
        <v>45737</v>
      </c>
      <c r="F85" s="30" t="s">
        <v>88</v>
      </c>
      <c r="G85" s="30" t="s">
        <v>58</v>
      </c>
      <c r="H85" s="31">
        <v>30516</v>
      </c>
      <c r="I85" s="30" t="s">
        <v>27</v>
      </c>
      <c r="J85" s="30" t="s">
        <v>28</v>
      </c>
      <c r="K85" s="30" t="s">
        <v>39</v>
      </c>
      <c r="L85" s="30" t="s">
        <v>59</v>
      </c>
      <c r="M85" s="95">
        <v>18</v>
      </c>
      <c r="N85" s="30">
        <v>1200</v>
      </c>
      <c r="O85" s="30">
        <v>15</v>
      </c>
      <c r="P85" s="30">
        <v>18360</v>
      </c>
      <c r="Q85" s="30">
        <v>3</v>
      </c>
      <c r="R85" s="90" t="s">
        <v>60</v>
      </c>
      <c r="S85" s="30" t="s">
        <v>80</v>
      </c>
      <c r="T85" s="30" t="s">
        <v>89</v>
      </c>
      <c r="U85" s="30">
        <v>9287159610</v>
      </c>
      <c r="V85" s="38" t="s">
        <v>52</v>
      </c>
      <c r="W85" s="40" t="str">
        <f t="shared" si="3"/>
        <v>Rohit Singh</v>
      </c>
      <c r="X85" s="93" t="str">
        <f t="shared" si="4"/>
        <v>Electronics</v>
      </c>
      <c r="Y85" s="94" t="str">
        <f t="shared" si="5"/>
        <v>South</v>
      </c>
    </row>
    <row r="86" spans="1:25" ht="15" thickBot="1" x14ac:dyDescent="0.4">
      <c r="A86" s="90" t="s">
        <v>208</v>
      </c>
      <c r="B86" s="27" t="s">
        <v>23</v>
      </c>
      <c r="C86" s="27" t="s">
        <v>36</v>
      </c>
      <c r="D86" s="28">
        <v>45960</v>
      </c>
      <c r="E86" s="28">
        <v>45961</v>
      </c>
      <c r="F86" s="27" t="s">
        <v>25</v>
      </c>
      <c r="G86" s="27" t="s">
        <v>26</v>
      </c>
      <c r="H86" s="28">
        <v>34052</v>
      </c>
      <c r="I86" s="27" t="s">
        <v>74</v>
      </c>
      <c r="J86" s="27" t="s">
        <v>75</v>
      </c>
      <c r="K86" s="27" t="s">
        <v>39</v>
      </c>
      <c r="L86" s="27" t="s">
        <v>40</v>
      </c>
      <c r="M86" s="95">
        <v>18</v>
      </c>
      <c r="N86" s="27">
        <v>12000</v>
      </c>
      <c r="O86" s="27">
        <v>15</v>
      </c>
      <c r="P86" s="27">
        <v>183600</v>
      </c>
      <c r="Q86" s="27">
        <v>2</v>
      </c>
      <c r="R86" s="90" t="s">
        <v>31</v>
      </c>
      <c r="S86" s="27" t="s">
        <v>42</v>
      </c>
      <c r="T86" s="27" t="s">
        <v>43</v>
      </c>
      <c r="U86" s="27">
        <v>9876513858</v>
      </c>
      <c r="V86" s="35" t="s">
        <v>34</v>
      </c>
      <c r="W86" s="40" t="str">
        <f t="shared" si="3"/>
        <v>Kavya Nair</v>
      </c>
      <c r="X86" s="93" t="str">
        <f t="shared" si="4"/>
        <v>Electronics</v>
      </c>
      <c r="Y86" s="94" t="str">
        <f t="shared" si="5"/>
        <v>West</v>
      </c>
    </row>
    <row r="87" spans="1:25" ht="15" thickBot="1" x14ac:dyDescent="0.4">
      <c r="A87" s="90" t="s">
        <v>209</v>
      </c>
      <c r="B87" s="30" t="s">
        <v>63</v>
      </c>
      <c r="C87" s="30" t="s">
        <v>125</v>
      </c>
      <c r="D87" s="31">
        <v>45961</v>
      </c>
      <c r="E87" s="31">
        <v>45972</v>
      </c>
      <c r="F87" s="30" t="s">
        <v>110</v>
      </c>
      <c r="G87" s="30" t="s">
        <v>58</v>
      </c>
      <c r="H87" s="31">
        <v>34829</v>
      </c>
      <c r="I87" s="30" t="s">
        <v>91</v>
      </c>
      <c r="J87" s="30" t="s">
        <v>75</v>
      </c>
      <c r="K87" s="30" t="s">
        <v>83</v>
      </c>
      <c r="L87" s="30" t="s">
        <v>127</v>
      </c>
      <c r="M87" s="95">
        <v>7</v>
      </c>
      <c r="N87" s="30">
        <v>20</v>
      </c>
      <c r="O87" s="30">
        <v>0</v>
      </c>
      <c r="P87" s="30">
        <v>140</v>
      </c>
      <c r="Q87" s="30">
        <v>2</v>
      </c>
      <c r="R87" s="90" t="s">
        <v>60</v>
      </c>
      <c r="S87" s="30" t="s">
        <v>32</v>
      </c>
      <c r="T87" s="30" t="s">
        <v>66</v>
      </c>
      <c r="U87" s="30">
        <v>9237400853</v>
      </c>
      <c r="V87" s="38" t="s">
        <v>53</v>
      </c>
      <c r="W87" s="40" t="str">
        <f t="shared" si="3"/>
        <v>Arjun Rao</v>
      </c>
      <c r="X87" s="93" t="str">
        <f t="shared" si="4"/>
        <v>Stationery</v>
      </c>
      <c r="Y87" s="94" t="str">
        <f t="shared" si="5"/>
        <v>West</v>
      </c>
    </row>
    <row r="88" spans="1:25" ht="15" thickBot="1" x14ac:dyDescent="0.4">
      <c r="A88" s="90" t="s">
        <v>210</v>
      </c>
      <c r="B88" s="27" t="s">
        <v>134</v>
      </c>
      <c r="C88" s="27" t="s">
        <v>68</v>
      </c>
      <c r="D88" s="28">
        <v>45757</v>
      </c>
      <c r="E88" s="28">
        <v>45765</v>
      </c>
      <c r="F88" s="27" t="s">
        <v>135</v>
      </c>
      <c r="G88" s="27" t="s">
        <v>26</v>
      </c>
      <c r="H88" s="28">
        <v>36937</v>
      </c>
      <c r="I88" s="27" t="s">
        <v>79</v>
      </c>
      <c r="J88" s="27" t="s">
        <v>75</v>
      </c>
      <c r="K88" s="27" t="s">
        <v>29</v>
      </c>
      <c r="L88" s="27" t="s">
        <v>70</v>
      </c>
      <c r="M88" s="95">
        <v>20</v>
      </c>
      <c r="N88" s="27">
        <v>3500</v>
      </c>
      <c r="O88" s="27">
        <v>20</v>
      </c>
      <c r="P88" s="27">
        <v>56000</v>
      </c>
      <c r="Q88" s="27">
        <v>4</v>
      </c>
      <c r="R88" s="90" t="s">
        <v>60</v>
      </c>
      <c r="S88" s="27" t="s">
        <v>80</v>
      </c>
      <c r="T88" s="27" t="s">
        <v>136</v>
      </c>
      <c r="U88" s="27">
        <v>9599597595</v>
      </c>
      <c r="V88" s="37" t="s">
        <v>52</v>
      </c>
      <c r="W88" s="40" t="str">
        <f t="shared" si="3"/>
        <v>Sneha Joshi</v>
      </c>
      <c r="X88" s="93" t="str">
        <f t="shared" si="4"/>
        <v>Home Appliances</v>
      </c>
      <c r="Y88" s="94" t="str">
        <f t="shared" si="5"/>
        <v>West</v>
      </c>
    </row>
    <row r="89" spans="1:25" ht="15" thickBot="1" x14ac:dyDescent="0.4">
      <c r="A89" s="90" t="s">
        <v>211</v>
      </c>
      <c r="B89" s="30" t="s">
        <v>72</v>
      </c>
      <c r="C89" s="30" t="s">
        <v>105</v>
      </c>
      <c r="D89" s="31">
        <v>46097</v>
      </c>
      <c r="E89" s="31">
        <v>46107</v>
      </c>
      <c r="F89" s="30" t="s">
        <v>73</v>
      </c>
      <c r="G89" s="30" t="s">
        <v>26</v>
      </c>
      <c r="H89" s="31">
        <v>36386</v>
      </c>
      <c r="I89" s="30" t="s">
        <v>91</v>
      </c>
      <c r="J89" s="30" t="s">
        <v>75</v>
      </c>
      <c r="K89" s="30" t="s">
        <v>29</v>
      </c>
      <c r="L89" s="30" t="s">
        <v>107</v>
      </c>
      <c r="M89" s="95">
        <v>8</v>
      </c>
      <c r="N89" s="30">
        <v>8500</v>
      </c>
      <c r="O89" s="30">
        <v>20</v>
      </c>
      <c r="P89" s="30">
        <v>54400</v>
      </c>
      <c r="Q89" s="30">
        <v>3</v>
      </c>
      <c r="R89" s="90" t="s">
        <v>60</v>
      </c>
      <c r="S89" s="30" t="s">
        <v>80</v>
      </c>
      <c r="T89" s="30" t="s">
        <v>93</v>
      </c>
      <c r="U89" s="30">
        <v>9230007509</v>
      </c>
      <c r="V89" s="38" t="s">
        <v>52</v>
      </c>
      <c r="W89" s="40" t="str">
        <f t="shared" si="3"/>
        <v>Priya Patel</v>
      </c>
      <c r="X89" s="93" t="str">
        <f t="shared" si="4"/>
        <v>Home Appliances</v>
      </c>
      <c r="Y89" s="94" t="str">
        <f t="shared" si="5"/>
        <v>West</v>
      </c>
    </row>
    <row r="90" spans="1:25" ht="15" thickBot="1" x14ac:dyDescent="0.4">
      <c r="A90" s="90" t="s">
        <v>213</v>
      </c>
      <c r="B90" s="27" t="s">
        <v>156</v>
      </c>
      <c r="C90" s="27" t="s">
        <v>36</v>
      </c>
      <c r="D90" s="28">
        <v>45915</v>
      </c>
      <c r="E90" s="28">
        <v>45924</v>
      </c>
      <c r="F90" s="27" t="s">
        <v>106</v>
      </c>
      <c r="G90" s="27" t="s">
        <v>58</v>
      </c>
      <c r="H90" s="28">
        <v>37335</v>
      </c>
      <c r="I90" s="27" t="s">
        <v>91</v>
      </c>
      <c r="J90" s="27" t="s">
        <v>212</v>
      </c>
      <c r="K90" s="27" t="s">
        <v>39</v>
      </c>
      <c r="L90" s="27" t="s">
        <v>40</v>
      </c>
      <c r="M90" s="95">
        <v>6</v>
      </c>
      <c r="N90" s="27">
        <v>12000</v>
      </c>
      <c r="O90" s="27">
        <v>5</v>
      </c>
      <c r="P90" s="27">
        <v>68400</v>
      </c>
      <c r="Q90" s="27">
        <v>4</v>
      </c>
      <c r="R90" s="90" t="s">
        <v>41</v>
      </c>
      <c r="S90" s="27" t="s">
        <v>32</v>
      </c>
      <c r="T90" s="27" t="s">
        <v>158</v>
      </c>
      <c r="U90" s="27">
        <v>9823428025</v>
      </c>
      <c r="V90" s="35" t="s">
        <v>34</v>
      </c>
      <c r="W90" s="40" t="str">
        <f t="shared" si="3"/>
        <v>Amit Sharma</v>
      </c>
      <c r="X90" s="93" t="str">
        <f t="shared" si="4"/>
        <v>Electronics</v>
      </c>
      <c r="Y90" s="94" t="str">
        <f t="shared" si="5"/>
        <v>North</v>
      </c>
    </row>
    <row r="91" spans="1:25" ht="15" thickBot="1" x14ac:dyDescent="0.4">
      <c r="A91" s="90" t="s">
        <v>214</v>
      </c>
      <c r="B91" s="30" t="s">
        <v>23</v>
      </c>
      <c r="C91" s="30" t="s">
        <v>105</v>
      </c>
      <c r="D91" s="31">
        <v>46092</v>
      </c>
      <c r="E91" s="31">
        <v>46100</v>
      </c>
      <c r="F91" s="30" t="s">
        <v>25</v>
      </c>
      <c r="G91" s="30" t="s">
        <v>26</v>
      </c>
      <c r="H91" s="31">
        <v>33768</v>
      </c>
      <c r="I91" s="30" t="s">
        <v>79</v>
      </c>
      <c r="J91" s="30" t="s">
        <v>75</v>
      </c>
      <c r="K91" s="30" t="s">
        <v>29</v>
      </c>
      <c r="L91" s="30" t="s">
        <v>107</v>
      </c>
      <c r="M91" s="95">
        <v>15</v>
      </c>
      <c r="N91" s="30">
        <v>8500</v>
      </c>
      <c r="O91" s="30">
        <v>0</v>
      </c>
      <c r="P91" s="30">
        <v>127500</v>
      </c>
      <c r="Q91" s="30">
        <v>4</v>
      </c>
      <c r="R91" s="90" t="s">
        <v>41</v>
      </c>
      <c r="S91" s="30" t="s">
        <v>32</v>
      </c>
      <c r="T91" s="30" t="s">
        <v>43</v>
      </c>
      <c r="U91" s="30">
        <v>9505048912</v>
      </c>
      <c r="V91" s="38" t="s">
        <v>53</v>
      </c>
      <c r="W91" s="40" t="str">
        <f t="shared" si="3"/>
        <v>Kavya Nair</v>
      </c>
      <c r="X91" s="93" t="str">
        <f t="shared" si="4"/>
        <v>Home Appliances</v>
      </c>
      <c r="Y91" s="94" t="str">
        <f t="shared" si="5"/>
        <v>West</v>
      </c>
    </row>
    <row r="92" spans="1:25" ht="15" thickBot="1" x14ac:dyDescent="0.4">
      <c r="A92" s="90" t="s">
        <v>215</v>
      </c>
      <c r="B92" s="27" t="s">
        <v>45</v>
      </c>
      <c r="C92" s="27" t="s">
        <v>56</v>
      </c>
      <c r="D92" s="28">
        <v>45889</v>
      </c>
      <c r="E92" s="28">
        <v>45892</v>
      </c>
      <c r="F92" s="27" t="s">
        <v>101</v>
      </c>
      <c r="G92" s="27" t="s">
        <v>26</v>
      </c>
      <c r="H92" s="28">
        <v>35234</v>
      </c>
      <c r="I92" s="27" t="s">
        <v>121</v>
      </c>
      <c r="J92" s="27" t="s">
        <v>38</v>
      </c>
      <c r="K92" s="27" t="s">
        <v>39</v>
      </c>
      <c r="L92" s="27" t="s">
        <v>59</v>
      </c>
      <c r="M92" s="95">
        <v>5</v>
      </c>
      <c r="N92" s="27">
        <v>1200</v>
      </c>
      <c r="O92" s="27">
        <v>15</v>
      </c>
      <c r="P92" s="27">
        <v>5100</v>
      </c>
      <c r="Q92" s="27">
        <v>1</v>
      </c>
      <c r="R92" s="90" t="s">
        <v>41</v>
      </c>
      <c r="S92" s="27" t="s">
        <v>32</v>
      </c>
      <c r="T92" s="27" t="s">
        <v>51</v>
      </c>
      <c r="U92" s="27">
        <v>9508068393</v>
      </c>
      <c r="V92" s="37" t="s">
        <v>53</v>
      </c>
      <c r="W92" s="40" t="str">
        <f t="shared" si="3"/>
        <v>Pooja Shah</v>
      </c>
      <c r="X92" s="93" t="str">
        <f t="shared" si="4"/>
        <v>Electronics</v>
      </c>
      <c r="Y92" s="94" t="str">
        <f t="shared" si="5"/>
        <v>North</v>
      </c>
    </row>
    <row r="93" spans="1:25" ht="15" thickBot="1" x14ac:dyDescent="0.4">
      <c r="A93" s="90" t="s">
        <v>216</v>
      </c>
      <c r="B93" s="30" t="s">
        <v>45</v>
      </c>
      <c r="C93" s="30" t="s">
        <v>125</v>
      </c>
      <c r="D93" s="31">
        <v>45882</v>
      </c>
      <c r="E93" s="31">
        <v>45883</v>
      </c>
      <c r="F93" s="30" t="s">
        <v>101</v>
      </c>
      <c r="G93" s="30" t="s">
        <v>26</v>
      </c>
      <c r="H93" s="31">
        <v>30263</v>
      </c>
      <c r="I93" s="30" t="s">
        <v>27</v>
      </c>
      <c r="J93" s="30" t="s">
        <v>28</v>
      </c>
      <c r="K93" s="30" t="s">
        <v>83</v>
      </c>
      <c r="L93" s="30" t="s">
        <v>127</v>
      </c>
      <c r="M93" s="95">
        <v>4</v>
      </c>
      <c r="N93" s="30">
        <v>20</v>
      </c>
      <c r="O93" s="30">
        <v>0</v>
      </c>
      <c r="P93" s="30">
        <v>80</v>
      </c>
      <c r="Q93" s="30">
        <v>4</v>
      </c>
      <c r="R93" s="90" t="s">
        <v>41</v>
      </c>
      <c r="S93" s="30" t="s">
        <v>42</v>
      </c>
      <c r="T93" s="30" t="s">
        <v>51</v>
      </c>
      <c r="U93" s="30">
        <v>9785807771</v>
      </c>
      <c r="V93" s="36" t="s">
        <v>34</v>
      </c>
      <c r="W93" s="40" t="str">
        <f t="shared" si="3"/>
        <v>Pooja Shah</v>
      </c>
      <c r="X93" s="93" t="str">
        <f t="shared" si="4"/>
        <v>Stationery</v>
      </c>
      <c r="Y93" s="94" t="str">
        <f t="shared" si="5"/>
        <v>South</v>
      </c>
    </row>
    <row r="94" spans="1:25" ht="15" thickBot="1" x14ac:dyDescent="0.4">
      <c r="A94" s="90" t="s">
        <v>217</v>
      </c>
      <c r="B94" s="27" t="s">
        <v>23</v>
      </c>
      <c r="C94" s="27" t="s">
        <v>125</v>
      </c>
      <c r="D94" s="28">
        <v>45732</v>
      </c>
      <c r="E94" s="28">
        <v>45736</v>
      </c>
      <c r="F94" s="27" t="s">
        <v>25</v>
      </c>
      <c r="G94" s="27" t="s">
        <v>26</v>
      </c>
      <c r="H94" s="28">
        <v>30858</v>
      </c>
      <c r="I94" s="27" t="s">
        <v>48</v>
      </c>
      <c r="J94" s="27" t="s">
        <v>28</v>
      </c>
      <c r="K94" s="27" t="s">
        <v>83</v>
      </c>
      <c r="L94" s="27" t="s">
        <v>127</v>
      </c>
      <c r="M94" s="95">
        <v>10</v>
      </c>
      <c r="N94" s="27">
        <v>20</v>
      </c>
      <c r="O94" s="27">
        <v>0</v>
      </c>
      <c r="P94" s="27">
        <v>200</v>
      </c>
      <c r="Q94" s="27">
        <v>3</v>
      </c>
      <c r="R94" s="90" t="s">
        <v>31</v>
      </c>
      <c r="S94" s="27" t="s">
        <v>96</v>
      </c>
      <c r="T94" s="27" t="s">
        <v>43</v>
      </c>
      <c r="U94" s="27">
        <v>9215250979</v>
      </c>
      <c r="V94" s="37" t="s">
        <v>52</v>
      </c>
      <c r="W94" s="40" t="str">
        <f t="shared" si="3"/>
        <v>Kavya Nair</v>
      </c>
      <c r="X94" s="93" t="str">
        <f t="shared" si="4"/>
        <v>Stationery</v>
      </c>
      <c r="Y94" s="94" t="str">
        <f t="shared" si="5"/>
        <v>South</v>
      </c>
    </row>
    <row r="95" spans="1:25" ht="15" thickBot="1" x14ac:dyDescent="0.4">
      <c r="A95" s="90" t="s">
        <v>218</v>
      </c>
      <c r="B95" s="30" t="s">
        <v>104</v>
      </c>
      <c r="C95" s="30" t="s">
        <v>24</v>
      </c>
      <c r="D95" s="31">
        <v>45904</v>
      </c>
      <c r="E95" s="31">
        <v>45910</v>
      </c>
      <c r="F95" s="30" t="s">
        <v>166</v>
      </c>
      <c r="G95" s="30" t="s">
        <v>26</v>
      </c>
      <c r="H95" s="31">
        <v>34506</v>
      </c>
      <c r="I95" s="30" t="s">
        <v>37</v>
      </c>
      <c r="J95" s="30" t="s">
        <v>38</v>
      </c>
      <c r="K95" s="30" t="s">
        <v>29</v>
      </c>
      <c r="L95" s="30" t="s">
        <v>30</v>
      </c>
      <c r="M95" s="95">
        <v>18</v>
      </c>
      <c r="N95" s="30">
        <v>2200</v>
      </c>
      <c r="O95" s="30">
        <v>10</v>
      </c>
      <c r="P95" s="30">
        <v>35640</v>
      </c>
      <c r="Q95" s="30">
        <v>3</v>
      </c>
      <c r="R95" s="90" t="s">
        <v>31</v>
      </c>
      <c r="S95" s="30" t="s">
        <v>32</v>
      </c>
      <c r="T95" s="30" t="s">
        <v>108</v>
      </c>
      <c r="U95" s="30">
        <v>9845884906</v>
      </c>
      <c r="V95" s="38" t="s">
        <v>53</v>
      </c>
      <c r="W95" s="40" t="str">
        <f t="shared" si="3"/>
        <v>Anita Gupta</v>
      </c>
      <c r="X95" s="93" t="str">
        <f t="shared" si="4"/>
        <v>Home Appliances</v>
      </c>
      <c r="Y95" s="94" t="str">
        <f t="shared" si="5"/>
        <v>North</v>
      </c>
    </row>
    <row r="96" spans="1:25" ht="15" thickBot="1" x14ac:dyDescent="0.4">
      <c r="A96" s="90" t="s">
        <v>219</v>
      </c>
      <c r="B96" s="27" t="s">
        <v>156</v>
      </c>
      <c r="C96" s="27" t="s">
        <v>68</v>
      </c>
      <c r="D96" s="28">
        <v>45759</v>
      </c>
      <c r="E96" s="28">
        <v>45762</v>
      </c>
      <c r="F96" s="27" t="s">
        <v>106</v>
      </c>
      <c r="G96" s="27" t="s">
        <v>58</v>
      </c>
      <c r="H96" s="28">
        <v>33163</v>
      </c>
      <c r="I96" s="27" t="s">
        <v>37</v>
      </c>
      <c r="J96" s="27" t="s">
        <v>38</v>
      </c>
      <c r="K96" s="27" t="s">
        <v>29</v>
      </c>
      <c r="L96" s="27" t="s">
        <v>70</v>
      </c>
      <c r="M96" s="95">
        <v>7</v>
      </c>
      <c r="N96" s="27">
        <v>3500</v>
      </c>
      <c r="O96" s="27">
        <v>15</v>
      </c>
      <c r="P96" s="27">
        <v>20825</v>
      </c>
      <c r="Q96" s="27">
        <v>3</v>
      </c>
      <c r="R96" s="90" t="s">
        <v>41</v>
      </c>
      <c r="S96" s="27" t="s">
        <v>42</v>
      </c>
      <c r="T96" s="27" t="s">
        <v>158</v>
      </c>
      <c r="U96" s="27">
        <v>9393097397</v>
      </c>
      <c r="V96" s="35" t="s">
        <v>34</v>
      </c>
      <c r="W96" s="40" t="str">
        <f t="shared" si="3"/>
        <v>Amit Sharma</v>
      </c>
      <c r="X96" s="93" t="str">
        <f t="shared" si="4"/>
        <v>Home Appliances</v>
      </c>
      <c r="Y96" s="94" t="str">
        <f t="shared" si="5"/>
        <v>North</v>
      </c>
    </row>
    <row r="97" spans="1:25" ht="15" thickBot="1" x14ac:dyDescent="0.4">
      <c r="A97" s="90" t="s">
        <v>220</v>
      </c>
      <c r="B97" s="30" t="s">
        <v>72</v>
      </c>
      <c r="C97" s="30" t="s">
        <v>105</v>
      </c>
      <c r="D97" s="31">
        <v>46146</v>
      </c>
      <c r="E97" s="31">
        <v>46149</v>
      </c>
      <c r="F97" s="30" t="s">
        <v>73</v>
      </c>
      <c r="G97" s="30" t="s">
        <v>26</v>
      </c>
      <c r="H97" s="31">
        <v>31805</v>
      </c>
      <c r="I97" s="30" t="s">
        <v>147</v>
      </c>
      <c r="J97" s="30" t="s">
        <v>148</v>
      </c>
      <c r="K97" s="30" t="s">
        <v>29</v>
      </c>
      <c r="L97" s="30" t="s">
        <v>107</v>
      </c>
      <c r="M97" s="95">
        <v>19</v>
      </c>
      <c r="N97" s="30">
        <v>8500</v>
      </c>
      <c r="O97" s="30">
        <v>15</v>
      </c>
      <c r="P97" s="30">
        <v>137275</v>
      </c>
      <c r="Q97" s="30">
        <v>4</v>
      </c>
      <c r="R97" s="90" t="s">
        <v>60</v>
      </c>
      <c r="S97" s="30" t="s">
        <v>96</v>
      </c>
      <c r="T97" s="30" t="s">
        <v>93</v>
      </c>
      <c r="U97" s="30">
        <v>9958032109</v>
      </c>
      <c r="V97" s="38" t="s">
        <v>52</v>
      </c>
      <c r="W97" s="40" t="str">
        <f t="shared" si="3"/>
        <v>Priya Patel</v>
      </c>
      <c r="X97" s="93" t="str">
        <f t="shared" si="4"/>
        <v>Home Appliances</v>
      </c>
      <c r="Y97" s="94" t="str">
        <f t="shared" si="5"/>
        <v>East</v>
      </c>
    </row>
    <row r="98" spans="1:25" ht="15" thickBot="1" x14ac:dyDescent="0.4">
      <c r="A98" s="90" t="s">
        <v>221</v>
      </c>
      <c r="B98" s="27" t="s">
        <v>134</v>
      </c>
      <c r="C98" s="27" t="s">
        <v>36</v>
      </c>
      <c r="D98" s="28">
        <v>46040</v>
      </c>
      <c r="E98" s="28">
        <v>46049</v>
      </c>
      <c r="F98" s="27" t="s">
        <v>135</v>
      </c>
      <c r="G98" s="27" t="s">
        <v>26</v>
      </c>
      <c r="H98" s="28">
        <v>30580</v>
      </c>
      <c r="I98" s="27" t="s">
        <v>91</v>
      </c>
      <c r="J98" s="27" t="s">
        <v>75</v>
      </c>
      <c r="K98" s="27" t="s">
        <v>39</v>
      </c>
      <c r="L98" s="27" t="s">
        <v>40</v>
      </c>
      <c r="M98" s="95">
        <v>13</v>
      </c>
      <c r="N98" s="27">
        <v>12000</v>
      </c>
      <c r="O98" s="27">
        <v>15</v>
      </c>
      <c r="P98" s="27">
        <v>132600</v>
      </c>
      <c r="Q98" s="27">
        <v>4</v>
      </c>
      <c r="R98" s="90" t="s">
        <v>31</v>
      </c>
      <c r="S98" s="27" t="s">
        <v>42</v>
      </c>
      <c r="T98" s="27" t="s">
        <v>136</v>
      </c>
      <c r="U98" s="27">
        <v>9755082957</v>
      </c>
      <c r="V98" s="35" t="s">
        <v>34</v>
      </c>
      <c r="W98" s="40" t="str">
        <f t="shared" si="3"/>
        <v>Sneha Joshi</v>
      </c>
      <c r="X98" s="93" t="str">
        <f t="shared" si="4"/>
        <v>Electronics</v>
      </c>
      <c r="Y98" s="94" t="str">
        <f t="shared" si="5"/>
        <v>West</v>
      </c>
    </row>
    <row r="99" spans="1:25" ht="15" thickBot="1" x14ac:dyDescent="0.4">
      <c r="A99" s="90" t="s">
        <v>222</v>
      </c>
      <c r="B99" s="30" t="s">
        <v>156</v>
      </c>
      <c r="C99" s="30" t="s">
        <v>125</v>
      </c>
      <c r="D99" s="31">
        <v>46095</v>
      </c>
      <c r="E99" s="31">
        <v>46105</v>
      </c>
      <c r="F99" s="30" t="s">
        <v>106</v>
      </c>
      <c r="G99" s="30" t="s">
        <v>58</v>
      </c>
      <c r="H99" s="31">
        <v>32602</v>
      </c>
      <c r="I99" s="30" t="s">
        <v>79</v>
      </c>
      <c r="J99" s="30" t="s">
        <v>75</v>
      </c>
      <c r="K99" s="30" t="s">
        <v>83</v>
      </c>
      <c r="L99" s="30" t="s">
        <v>127</v>
      </c>
      <c r="M99" s="95">
        <v>7</v>
      </c>
      <c r="N99" s="30">
        <v>20</v>
      </c>
      <c r="O99" s="30">
        <v>0</v>
      </c>
      <c r="P99" s="30">
        <v>140</v>
      </c>
      <c r="Q99" s="30">
        <v>1</v>
      </c>
      <c r="R99" s="90" t="s">
        <v>60</v>
      </c>
      <c r="S99" s="30" t="s">
        <v>96</v>
      </c>
      <c r="T99" s="30" t="s">
        <v>158</v>
      </c>
      <c r="U99" s="30">
        <v>9872235856</v>
      </c>
      <c r="V99" s="38" t="s">
        <v>53</v>
      </c>
      <c r="W99" s="40" t="str">
        <f t="shared" si="3"/>
        <v>Amit Sharma</v>
      </c>
      <c r="X99" s="93" t="str">
        <f t="shared" si="4"/>
        <v>Stationery</v>
      </c>
      <c r="Y99" s="94" t="str">
        <f t="shared" si="5"/>
        <v>West</v>
      </c>
    </row>
    <row r="100" spans="1:25" ht="15" thickBot="1" x14ac:dyDescent="0.4">
      <c r="A100" s="90" t="s">
        <v>223</v>
      </c>
      <c r="B100" s="27" t="s">
        <v>104</v>
      </c>
      <c r="C100" s="27" t="s">
        <v>112</v>
      </c>
      <c r="D100" s="28">
        <v>45786</v>
      </c>
      <c r="E100" s="28">
        <v>45788</v>
      </c>
      <c r="F100" s="27" t="s">
        <v>166</v>
      </c>
      <c r="G100" s="27" t="s">
        <v>26</v>
      </c>
      <c r="H100" s="28">
        <v>32045</v>
      </c>
      <c r="I100" s="27" t="s">
        <v>37</v>
      </c>
      <c r="J100" s="27" t="s">
        <v>38</v>
      </c>
      <c r="K100" s="27" t="s">
        <v>39</v>
      </c>
      <c r="L100" s="27" t="s">
        <v>114</v>
      </c>
      <c r="M100" s="95">
        <v>5</v>
      </c>
      <c r="N100" s="27">
        <v>700</v>
      </c>
      <c r="O100" s="27">
        <v>15</v>
      </c>
      <c r="P100" s="27">
        <v>999999</v>
      </c>
      <c r="Q100" s="27">
        <v>4</v>
      </c>
      <c r="R100" s="90" t="s">
        <v>60</v>
      </c>
      <c r="S100" s="27" t="s">
        <v>32</v>
      </c>
      <c r="T100" s="27" t="s">
        <v>108</v>
      </c>
      <c r="U100" s="27">
        <v>9335138816</v>
      </c>
      <c r="V100" s="37" t="s">
        <v>52</v>
      </c>
      <c r="W100" s="40" t="str">
        <f t="shared" si="3"/>
        <v>Anita Gupta</v>
      </c>
      <c r="X100" s="93" t="str">
        <f t="shared" si="4"/>
        <v>Electronics</v>
      </c>
      <c r="Y100" s="94" t="str">
        <f t="shared" si="5"/>
        <v>North</v>
      </c>
    </row>
    <row r="101" spans="1:25" ht="15" thickBot="1" x14ac:dyDescent="0.4">
      <c r="A101" s="90" t="s">
        <v>224</v>
      </c>
      <c r="B101" s="30" t="s">
        <v>63</v>
      </c>
      <c r="C101" s="30" t="s">
        <v>138</v>
      </c>
      <c r="D101" s="31">
        <v>46149</v>
      </c>
      <c r="E101" s="31">
        <v>46152</v>
      </c>
      <c r="F101" s="30" t="s">
        <v>110</v>
      </c>
      <c r="G101" s="30" t="s">
        <v>58</v>
      </c>
      <c r="H101" s="31">
        <v>30170</v>
      </c>
      <c r="I101" s="30" t="s">
        <v>48</v>
      </c>
      <c r="J101" s="30" t="s">
        <v>28</v>
      </c>
      <c r="K101" s="30" t="s">
        <v>83</v>
      </c>
      <c r="L101" s="30" t="s">
        <v>139</v>
      </c>
      <c r="M101" s="95">
        <v>9</v>
      </c>
      <c r="N101" s="30">
        <v>45</v>
      </c>
      <c r="O101" s="30">
        <v>5</v>
      </c>
      <c r="P101" s="30">
        <v>384.75</v>
      </c>
      <c r="Q101" s="30">
        <v>3</v>
      </c>
      <c r="R101" s="90" t="s">
        <v>31</v>
      </c>
      <c r="S101" s="30" t="s">
        <v>32</v>
      </c>
      <c r="T101" s="30" t="s">
        <v>66</v>
      </c>
      <c r="U101" s="30">
        <v>9750365609</v>
      </c>
      <c r="V101" s="36" t="s">
        <v>34</v>
      </c>
      <c r="W101" s="40" t="str">
        <f t="shared" si="3"/>
        <v>Arjun Rao</v>
      </c>
      <c r="X101" s="93" t="str">
        <f t="shared" si="4"/>
        <v>Stationery</v>
      </c>
      <c r="Y101" s="94" t="str">
        <f t="shared" si="5"/>
        <v>South</v>
      </c>
    </row>
    <row r="102" spans="1:25" ht="15" thickBot="1" x14ac:dyDescent="0.4">
      <c r="A102" s="90" t="s">
        <v>225</v>
      </c>
      <c r="B102" s="27" t="s">
        <v>87</v>
      </c>
      <c r="C102" s="27" t="s">
        <v>82</v>
      </c>
      <c r="D102" s="28">
        <v>45768</v>
      </c>
      <c r="E102" s="28">
        <v>45776</v>
      </c>
      <c r="F102" s="27" t="s">
        <v>88</v>
      </c>
      <c r="G102" s="27" t="s">
        <v>58</v>
      </c>
      <c r="H102" s="28">
        <v>31610</v>
      </c>
      <c r="I102" s="27" t="s">
        <v>147</v>
      </c>
      <c r="J102" s="27" t="s">
        <v>148</v>
      </c>
      <c r="K102" s="27" t="s">
        <v>83</v>
      </c>
      <c r="L102" s="27" t="s">
        <v>84</v>
      </c>
      <c r="M102" s="95">
        <v>19</v>
      </c>
      <c r="N102" s="27">
        <v>60</v>
      </c>
      <c r="O102" s="27">
        <v>10</v>
      </c>
      <c r="P102" s="27">
        <v>1026</v>
      </c>
      <c r="Q102" s="27">
        <v>5</v>
      </c>
      <c r="R102" s="90" t="s">
        <v>41</v>
      </c>
      <c r="S102" s="27" t="s">
        <v>80</v>
      </c>
      <c r="T102" s="27" t="s">
        <v>89</v>
      </c>
      <c r="U102" s="27">
        <v>9736812737</v>
      </c>
      <c r="V102" s="35" t="s">
        <v>34</v>
      </c>
      <c r="W102" s="40" t="str">
        <f t="shared" si="3"/>
        <v>Rohit Singh</v>
      </c>
      <c r="X102" s="93" t="str">
        <f t="shared" si="4"/>
        <v>Stationery</v>
      </c>
      <c r="Y102" s="94" t="str">
        <f t="shared" si="5"/>
        <v>East</v>
      </c>
    </row>
    <row r="103" spans="1:25" ht="15" thickBot="1" x14ac:dyDescent="0.4">
      <c r="A103" s="90" t="s">
        <v>226</v>
      </c>
      <c r="B103" s="30" t="s">
        <v>156</v>
      </c>
      <c r="C103" s="30" t="s">
        <v>112</v>
      </c>
      <c r="D103" s="31">
        <v>46002</v>
      </c>
      <c r="E103" s="31">
        <v>46011</v>
      </c>
      <c r="F103" s="30" t="s">
        <v>106</v>
      </c>
      <c r="G103" s="30" t="s">
        <v>58</v>
      </c>
      <c r="H103" s="31">
        <v>31873</v>
      </c>
      <c r="I103" s="30" t="s">
        <v>91</v>
      </c>
      <c r="J103" s="30" t="s">
        <v>75</v>
      </c>
      <c r="K103" s="30" t="s">
        <v>39</v>
      </c>
      <c r="L103" s="30" t="s">
        <v>114</v>
      </c>
      <c r="M103" s="95">
        <v>4</v>
      </c>
      <c r="N103" s="30">
        <v>700</v>
      </c>
      <c r="O103" s="30">
        <v>5</v>
      </c>
      <c r="P103" s="30">
        <v>2660</v>
      </c>
      <c r="Q103" s="30">
        <v>3</v>
      </c>
      <c r="R103" s="90" t="s">
        <v>41</v>
      </c>
      <c r="S103" s="30" t="s">
        <v>50</v>
      </c>
      <c r="T103" s="30" t="s">
        <v>158</v>
      </c>
      <c r="U103" s="30">
        <v>9271420931</v>
      </c>
      <c r="V103" s="36" t="s">
        <v>34</v>
      </c>
      <c r="W103" s="40" t="str">
        <f t="shared" si="3"/>
        <v>Amit Sharma</v>
      </c>
      <c r="X103" s="93" t="str">
        <f t="shared" si="4"/>
        <v>Electronics</v>
      </c>
      <c r="Y103" s="94" t="str">
        <f t="shared" si="5"/>
        <v>West</v>
      </c>
    </row>
    <row r="104" spans="1:25" ht="15" thickBot="1" x14ac:dyDescent="0.4">
      <c r="A104" s="90" t="s">
        <v>227</v>
      </c>
      <c r="B104" s="27" t="s">
        <v>156</v>
      </c>
      <c r="C104" s="27" t="s">
        <v>68</v>
      </c>
      <c r="D104" s="28">
        <v>46149</v>
      </c>
      <c r="E104" s="28">
        <v>46157</v>
      </c>
      <c r="F104" s="27" t="s">
        <v>106</v>
      </c>
      <c r="G104" s="27" t="s">
        <v>58</v>
      </c>
      <c r="H104" s="28">
        <v>38042</v>
      </c>
      <c r="I104" s="27" t="s">
        <v>79</v>
      </c>
      <c r="J104" s="27" t="s">
        <v>75</v>
      </c>
      <c r="K104" s="27" t="s">
        <v>29</v>
      </c>
      <c r="L104" s="27" t="s">
        <v>70</v>
      </c>
      <c r="M104" s="95">
        <v>16</v>
      </c>
      <c r="N104" s="27">
        <v>3500</v>
      </c>
      <c r="O104" s="27">
        <v>0</v>
      </c>
      <c r="P104" s="27">
        <v>56000</v>
      </c>
      <c r="Q104" s="27">
        <v>2</v>
      </c>
      <c r="R104" s="90" t="s">
        <v>60</v>
      </c>
      <c r="S104" s="27" t="s">
        <v>42</v>
      </c>
      <c r="T104" s="27" t="s">
        <v>158</v>
      </c>
      <c r="U104" s="27">
        <v>9781411370</v>
      </c>
      <c r="V104" s="35" t="s">
        <v>34</v>
      </c>
      <c r="W104" s="40" t="str">
        <f t="shared" si="3"/>
        <v>Amit Sharma</v>
      </c>
      <c r="X104" s="93" t="str">
        <f t="shared" si="4"/>
        <v>Home Appliances</v>
      </c>
      <c r="Y104" s="94" t="str">
        <f t="shared" si="5"/>
        <v>West</v>
      </c>
    </row>
    <row r="105" spans="1:25" ht="15" thickBot="1" x14ac:dyDescent="0.4">
      <c r="A105" s="90" t="s">
        <v>228</v>
      </c>
      <c r="B105" s="30" t="s">
        <v>134</v>
      </c>
      <c r="C105" s="30" t="s">
        <v>138</v>
      </c>
      <c r="D105" s="31">
        <v>45670</v>
      </c>
      <c r="E105" s="31">
        <v>45677</v>
      </c>
      <c r="F105" s="30" t="s">
        <v>135</v>
      </c>
      <c r="G105" s="30" t="s">
        <v>26</v>
      </c>
      <c r="H105" s="31">
        <v>37005</v>
      </c>
      <c r="I105" s="30" t="s">
        <v>48</v>
      </c>
      <c r="J105" s="30" t="s">
        <v>28</v>
      </c>
      <c r="K105" s="30" t="s">
        <v>83</v>
      </c>
      <c r="L105" s="30" t="s">
        <v>139</v>
      </c>
      <c r="M105" s="95">
        <v>5</v>
      </c>
      <c r="N105" s="30">
        <v>45</v>
      </c>
      <c r="O105" s="30">
        <v>20</v>
      </c>
      <c r="P105" s="30">
        <v>180</v>
      </c>
      <c r="Q105" s="30">
        <v>3</v>
      </c>
      <c r="R105" s="90" t="s">
        <v>60</v>
      </c>
      <c r="S105" s="30" t="s">
        <v>32</v>
      </c>
      <c r="T105" s="30" t="s">
        <v>136</v>
      </c>
      <c r="U105" s="30">
        <v>9584152818</v>
      </c>
      <c r="V105" s="36" t="s">
        <v>34</v>
      </c>
      <c r="W105" s="40" t="str">
        <f t="shared" si="3"/>
        <v>Sneha Joshi</v>
      </c>
      <c r="X105" s="93" t="str">
        <f t="shared" si="4"/>
        <v>Stationery</v>
      </c>
      <c r="Y105" s="94" t="str">
        <f t="shared" si="5"/>
        <v>South</v>
      </c>
    </row>
    <row r="106" spans="1:25" ht="15" thickBot="1" x14ac:dyDescent="0.4">
      <c r="A106" s="90" t="s">
        <v>229</v>
      </c>
      <c r="B106" s="27" t="s">
        <v>63</v>
      </c>
      <c r="C106" s="27" t="s">
        <v>125</v>
      </c>
      <c r="D106" s="28">
        <v>45733</v>
      </c>
      <c r="E106" s="28">
        <v>45734</v>
      </c>
      <c r="F106" s="27" t="s">
        <v>110</v>
      </c>
      <c r="G106" s="27" t="s">
        <v>58</v>
      </c>
      <c r="H106" s="28">
        <v>35247</v>
      </c>
      <c r="I106" s="27" t="s">
        <v>74</v>
      </c>
      <c r="J106" s="27" t="s">
        <v>75</v>
      </c>
      <c r="K106" s="27" t="s">
        <v>83</v>
      </c>
      <c r="L106" s="27" t="s">
        <v>127</v>
      </c>
      <c r="M106" s="95">
        <v>9</v>
      </c>
      <c r="N106" s="27">
        <v>20</v>
      </c>
      <c r="O106" s="27">
        <v>10</v>
      </c>
      <c r="P106" s="27">
        <v>162</v>
      </c>
      <c r="Q106" s="27">
        <v>4</v>
      </c>
      <c r="R106" s="90" t="s">
        <v>60</v>
      </c>
      <c r="S106" s="27" t="s">
        <v>32</v>
      </c>
      <c r="T106" s="27" t="s">
        <v>66</v>
      </c>
      <c r="U106" s="27">
        <v>9507986836</v>
      </c>
      <c r="V106" s="37" t="s">
        <v>52</v>
      </c>
      <c r="W106" s="40" t="str">
        <f t="shared" si="3"/>
        <v>Arjun Rao</v>
      </c>
      <c r="X106" s="93" t="str">
        <f t="shared" si="4"/>
        <v>Stationery</v>
      </c>
      <c r="Y106" s="94" t="str">
        <f t="shared" si="5"/>
        <v>West</v>
      </c>
    </row>
    <row r="107" spans="1:25" ht="15" thickBot="1" x14ac:dyDescent="0.4">
      <c r="A107" s="90" t="s">
        <v>230</v>
      </c>
      <c r="B107" s="30" t="s">
        <v>45</v>
      </c>
      <c r="C107" s="30" t="s">
        <v>56</v>
      </c>
      <c r="D107" s="31">
        <v>45713</v>
      </c>
      <c r="E107" s="31">
        <v>45717</v>
      </c>
      <c r="F107" s="30" t="s">
        <v>101</v>
      </c>
      <c r="G107" s="30" t="s">
        <v>26</v>
      </c>
      <c r="H107" s="31">
        <v>28892</v>
      </c>
      <c r="I107" s="30" t="s">
        <v>37</v>
      </c>
      <c r="J107" s="30" t="s">
        <v>38</v>
      </c>
      <c r="K107" s="30" t="s">
        <v>39</v>
      </c>
      <c r="L107" s="30" t="s">
        <v>59</v>
      </c>
      <c r="M107" s="95">
        <v>9</v>
      </c>
      <c r="N107" s="30">
        <v>1200</v>
      </c>
      <c r="O107" s="30">
        <v>5</v>
      </c>
      <c r="P107" s="30">
        <v>10260</v>
      </c>
      <c r="Q107" s="30">
        <v>3</v>
      </c>
      <c r="R107" s="90" t="s">
        <v>65</v>
      </c>
      <c r="S107" s="30" t="s">
        <v>32</v>
      </c>
      <c r="T107" s="30" t="s">
        <v>51</v>
      </c>
      <c r="U107" s="30">
        <v>9518249687</v>
      </c>
      <c r="V107" s="38" t="s">
        <v>52</v>
      </c>
      <c r="W107" s="40" t="str">
        <f t="shared" si="3"/>
        <v>Pooja Shah</v>
      </c>
      <c r="X107" s="93" t="str">
        <f t="shared" si="4"/>
        <v>Electronics</v>
      </c>
      <c r="Y107" s="94" t="str">
        <f t="shared" si="5"/>
        <v>North</v>
      </c>
    </row>
    <row r="108" spans="1:25" ht="15" thickBot="1" x14ac:dyDescent="0.4">
      <c r="A108" s="90" t="s">
        <v>231</v>
      </c>
      <c r="B108" s="27" t="s">
        <v>72</v>
      </c>
      <c r="C108" s="27" t="s">
        <v>68</v>
      </c>
      <c r="D108" s="28">
        <v>45714</v>
      </c>
      <c r="E108" s="28">
        <v>45715</v>
      </c>
      <c r="F108" s="27" t="s">
        <v>73</v>
      </c>
      <c r="G108" s="27" t="s">
        <v>26</v>
      </c>
      <c r="H108" s="28">
        <v>31393</v>
      </c>
      <c r="I108" s="27" t="s">
        <v>37</v>
      </c>
      <c r="J108" s="27" t="s">
        <v>38</v>
      </c>
      <c r="K108" s="27" t="s">
        <v>29</v>
      </c>
      <c r="L108" s="27" t="s">
        <v>70</v>
      </c>
      <c r="M108" s="95">
        <v>3</v>
      </c>
      <c r="N108" s="27">
        <v>3500</v>
      </c>
      <c r="O108" s="27">
        <v>10</v>
      </c>
      <c r="P108" s="27">
        <v>9450</v>
      </c>
      <c r="Q108" s="27">
        <v>2</v>
      </c>
      <c r="R108" s="90" t="s">
        <v>60</v>
      </c>
      <c r="S108" s="27" t="s">
        <v>96</v>
      </c>
      <c r="T108" s="27" t="s">
        <v>93</v>
      </c>
      <c r="U108" s="27">
        <v>9179328207</v>
      </c>
      <c r="V108" s="37" t="s">
        <v>53</v>
      </c>
      <c r="W108" s="40" t="str">
        <f t="shared" si="3"/>
        <v>Priya Patel</v>
      </c>
      <c r="X108" s="93" t="str">
        <f t="shared" si="4"/>
        <v>Home Appliances</v>
      </c>
      <c r="Y108" s="94" t="str">
        <f t="shared" si="5"/>
        <v>North</v>
      </c>
    </row>
    <row r="109" spans="1:25" ht="15" thickBot="1" x14ac:dyDescent="0.4">
      <c r="A109" s="90" t="s">
        <v>232</v>
      </c>
      <c r="B109" s="30" t="s">
        <v>124</v>
      </c>
      <c r="C109" s="30" t="s">
        <v>56</v>
      </c>
      <c r="D109" s="31">
        <v>46094</v>
      </c>
      <c r="E109" s="31">
        <v>46099</v>
      </c>
      <c r="F109" s="30" t="s">
        <v>126</v>
      </c>
      <c r="G109" s="30" t="s">
        <v>58</v>
      </c>
      <c r="H109" s="31">
        <v>33631</v>
      </c>
      <c r="I109" s="30" t="s">
        <v>74</v>
      </c>
      <c r="J109" s="30" t="s">
        <v>75</v>
      </c>
      <c r="K109" s="30" t="s">
        <v>39</v>
      </c>
      <c r="L109" s="30" t="s">
        <v>59</v>
      </c>
      <c r="M109" s="95">
        <v>6</v>
      </c>
      <c r="N109" s="30">
        <v>1200</v>
      </c>
      <c r="O109" s="30">
        <v>15</v>
      </c>
      <c r="P109" s="30">
        <v>6120</v>
      </c>
      <c r="Q109" s="30">
        <v>4</v>
      </c>
      <c r="R109" s="90" t="s">
        <v>65</v>
      </c>
      <c r="S109" s="30" t="s">
        <v>32</v>
      </c>
      <c r="T109" s="30" t="s">
        <v>128</v>
      </c>
      <c r="U109" s="30">
        <v>9778490728</v>
      </c>
      <c r="V109" s="38" t="s">
        <v>53</v>
      </c>
      <c r="W109" s="40" t="str">
        <f t="shared" si="3"/>
        <v>Vikas Mehta</v>
      </c>
      <c r="X109" s="93" t="str">
        <f t="shared" si="4"/>
        <v>Electronics</v>
      </c>
      <c r="Y109" s="94" t="str">
        <f t="shared" si="5"/>
        <v>West</v>
      </c>
    </row>
    <row r="110" spans="1:25" ht="15" thickBot="1" x14ac:dyDescent="0.4">
      <c r="A110" s="90" t="s">
        <v>233</v>
      </c>
      <c r="B110" s="27" t="s">
        <v>63</v>
      </c>
      <c r="C110" s="27" t="s">
        <v>56</v>
      </c>
      <c r="D110" s="28">
        <v>45848</v>
      </c>
      <c r="E110" s="28">
        <v>45850</v>
      </c>
      <c r="F110" s="27" t="s">
        <v>110</v>
      </c>
      <c r="G110" s="27" t="s">
        <v>58</v>
      </c>
      <c r="H110" s="28">
        <v>34155</v>
      </c>
      <c r="I110" s="27" t="s">
        <v>121</v>
      </c>
      <c r="J110" s="27" t="s">
        <v>38</v>
      </c>
      <c r="K110" s="27" t="s">
        <v>39</v>
      </c>
      <c r="L110" s="27" t="s">
        <v>59</v>
      </c>
      <c r="M110" s="95">
        <v>17</v>
      </c>
      <c r="N110" s="27">
        <v>1200</v>
      </c>
      <c r="O110" s="27">
        <v>15</v>
      </c>
      <c r="P110" s="27">
        <v>17340</v>
      </c>
      <c r="Q110" s="27">
        <v>1</v>
      </c>
      <c r="R110" s="90" t="s">
        <v>31</v>
      </c>
      <c r="S110" s="27" t="s">
        <v>50</v>
      </c>
      <c r="T110" s="27" t="s">
        <v>66</v>
      </c>
      <c r="U110" s="27">
        <v>9223058722</v>
      </c>
      <c r="V110" s="35" t="s">
        <v>34</v>
      </c>
      <c r="W110" s="40" t="str">
        <f t="shared" si="3"/>
        <v>Arjun Rao</v>
      </c>
      <c r="X110" s="93" t="str">
        <f t="shared" si="4"/>
        <v>Electronics</v>
      </c>
      <c r="Y110" s="94" t="str">
        <f t="shared" si="5"/>
        <v>North</v>
      </c>
    </row>
    <row r="111" spans="1:25" ht="15" thickBot="1" x14ac:dyDescent="0.4">
      <c r="A111" s="90" t="s">
        <v>234</v>
      </c>
      <c r="B111" s="30" t="s">
        <v>124</v>
      </c>
      <c r="C111" s="30" t="s">
        <v>105</v>
      </c>
      <c r="D111" s="31">
        <v>45979</v>
      </c>
      <c r="E111" s="31">
        <v>45987</v>
      </c>
      <c r="F111" s="30" t="s">
        <v>126</v>
      </c>
      <c r="G111" s="30" t="s">
        <v>58</v>
      </c>
      <c r="H111" s="31">
        <v>28381</v>
      </c>
      <c r="I111" s="30" t="s">
        <v>48</v>
      </c>
      <c r="J111" s="30" t="s">
        <v>28</v>
      </c>
      <c r="K111" s="30" t="s">
        <v>29</v>
      </c>
      <c r="L111" s="30" t="s">
        <v>107</v>
      </c>
      <c r="M111" s="95">
        <v>15</v>
      </c>
      <c r="N111" s="30">
        <v>8500</v>
      </c>
      <c r="O111" s="30">
        <v>0</v>
      </c>
      <c r="P111" s="30">
        <v>127500</v>
      </c>
      <c r="Q111" s="30">
        <v>3</v>
      </c>
      <c r="R111" s="90" t="s">
        <v>31</v>
      </c>
      <c r="S111" s="30" t="s">
        <v>80</v>
      </c>
      <c r="T111" s="30" t="s">
        <v>128</v>
      </c>
      <c r="U111" s="30">
        <v>9999889465</v>
      </c>
      <c r="V111" s="38" t="s">
        <v>52</v>
      </c>
      <c r="W111" s="40" t="str">
        <f t="shared" si="3"/>
        <v>Vikas Mehta</v>
      </c>
      <c r="X111" s="93" t="str">
        <f t="shared" si="4"/>
        <v>Home Appliances</v>
      </c>
      <c r="Y111" s="94" t="str">
        <f t="shared" si="5"/>
        <v>South</v>
      </c>
    </row>
    <row r="112" spans="1:25" ht="15" thickBot="1" x14ac:dyDescent="0.4">
      <c r="A112" s="90" t="s">
        <v>235</v>
      </c>
      <c r="B112" s="27" t="s">
        <v>87</v>
      </c>
      <c r="C112" s="27" t="s">
        <v>56</v>
      </c>
      <c r="D112" s="28">
        <v>45760</v>
      </c>
      <c r="E112" s="28">
        <v>45766</v>
      </c>
      <c r="F112" s="27" t="s">
        <v>88</v>
      </c>
      <c r="G112" s="27" t="s">
        <v>58</v>
      </c>
      <c r="H112" s="28">
        <v>31331</v>
      </c>
      <c r="I112" s="27" t="s">
        <v>27</v>
      </c>
      <c r="J112" s="27" t="s">
        <v>28</v>
      </c>
      <c r="K112" s="27" t="s">
        <v>39</v>
      </c>
      <c r="L112" s="27" t="s">
        <v>59</v>
      </c>
      <c r="M112" s="95">
        <v>1</v>
      </c>
      <c r="N112" s="27">
        <v>1200</v>
      </c>
      <c r="O112" s="27">
        <v>20</v>
      </c>
      <c r="P112" s="27">
        <v>960</v>
      </c>
      <c r="Q112" s="27">
        <v>1</v>
      </c>
      <c r="R112" s="90" t="s">
        <v>65</v>
      </c>
      <c r="S112" s="27" t="s">
        <v>80</v>
      </c>
      <c r="T112" s="27" t="s">
        <v>89</v>
      </c>
      <c r="U112" s="27">
        <v>9489687402</v>
      </c>
      <c r="V112" s="37" t="s">
        <v>52</v>
      </c>
      <c r="W112" s="40" t="str">
        <f t="shared" si="3"/>
        <v>Rohit Singh</v>
      </c>
      <c r="X112" s="93" t="str">
        <f t="shared" si="4"/>
        <v>Electronics</v>
      </c>
      <c r="Y112" s="94" t="str">
        <f t="shared" si="5"/>
        <v>South</v>
      </c>
    </row>
    <row r="113" spans="1:25" ht="15" thickBot="1" x14ac:dyDescent="0.4">
      <c r="A113" s="90" t="s">
        <v>236</v>
      </c>
      <c r="B113" s="30" t="s">
        <v>87</v>
      </c>
      <c r="C113" s="30" t="s">
        <v>105</v>
      </c>
      <c r="D113" s="31">
        <v>45756</v>
      </c>
      <c r="E113" s="31">
        <v>45765</v>
      </c>
      <c r="F113" s="30" t="s">
        <v>88</v>
      </c>
      <c r="G113" s="30" t="s">
        <v>58</v>
      </c>
      <c r="H113" s="31">
        <v>37166</v>
      </c>
      <c r="I113" s="30" t="s">
        <v>147</v>
      </c>
      <c r="J113" s="30" t="s">
        <v>148</v>
      </c>
      <c r="K113" s="30" t="s">
        <v>29</v>
      </c>
      <c r="L113" s="30" t="s">
        <v>107</v>
      </c>
      <c r="M113" s="95">
        <v>5</v>
      </c>
      <c r="N113" s="30">
        <v>8500</v>
      </c>
      <c r="O113" s="30">
        <v>10</v>
      </c>
      <c r="P113" s="30">
        <v>38250</v>
      </c>
      <c r="Q113" s="30">
        <v>1</v>
      </c>
      <c r="R113" s="90" t="s">
        <v>60</v>
      </c>
      <c r="S113" s="30" t="s">
        <v>50</v>
      </c>
      <c r="T113" s="30" t="s">
        <v>89</v>
      </c>
      <c r="U113" s="30">
        <v>9236963301</v>
      </c>
      <c r="V113" s="36" t="s">
        <v>34</v>
      </c>
      <c r="W113" s="40" t="str">
        <f t="shared" si="3"/>
        <v>Rohit Singh</v>
      </c>
      <c r="X113" s="93" t="str">
        <f t="shared" si="4"/>
        <v>Home Appliances</v>
      </c>
      <c r="Y113" s="94" t="str">
        <f t="shared" si="5"/>
        <v>East</v>
      </c>
    </row>
    <row r="114" spans="1:25" ht="15" thickBot="1" x14ac:dyDescent="0.4">
      <c r="A114" s="90" t="s">
        <v>237</v>
      </c>
      <c r="B114" s="27" t="s">
        <v>45</v>
      </c>
      <c r="C114" s="27" t="s">
        <v>138</v>
      </c>
      <c r="D114" s="28">
        <v>46115</v>
      </c>
      <c r="E114" s="28">
        <v>46122</v>
      </c>
      <c r="F114" s="27" t="s">
        <v>101</v>
      </c>
      <c r="G114" s="27" t="s">
        <v>26</v>
      </c>
      <c r="H114" s="28">
        <v>31510</v>
      </c>
      <c r="I114" s="27" t="s">
        <v>27</v>
      </c>
      <c r="J114" s="27" t="s">
        <v>28</v>
      </c>
      <c r="K114" s="27" t="s">
        <v>83</v>
      </c>
      <c r="L114" s="27" t="s">
        <v>139</v>
      </c>
      <c r="M114" s="95">
        <v>12</v>
      </c>
      <c r="N114" s="27">
        <v>45</v>
      </c>
      <c r="O114" s="27">
        <v>5</v>
      </c>
      <c r="P114" s="27">
        <v>513</v>
      </c>
      <c r="Q114" s="27">
        <v>2</v>
      </c>
      <c r="R114" s="90" t="s">
        <v>41</v>
      </c>
      <c r="S114" s="27" t="s">
        <v>32</v>
      </c>
      <c r="T114" s="27" t="s">
        <v>51</v>
      </c>
      <c r="U114" s="27">
        <v>9653594592</v>
      </c>
      <c r="V114" s="37" t="s">
        <v>53</v>
      </c>
      <c r="W114" s="40" t="str">
        <f t="shared" si="3"/>
        <v>Pooja Shah</v>
      </c>
      <c r="X114" s="93" t="str">
        <f t="shared" si="4"/>
        <v>Stationery</v>
      </c>
      <c r="Y114" s="94" t="str">
        <f t="shared" si="5"/>
        <v>South</v>
      </c>
    </row>
    <row r="115" spans="1:25" ht="15" thickBot="1" x14ac:dyDescent="0.4">
      <c r="A115" s="90" t="s">
        <v>238</v>
      </c>
      <c r="B115" s="30" t="s">
        <v>124</v>
      </c>
      <c r="C115" s="30" t="s">
        <v>82</v>
      </c>
      <c r="D115" s="31">
        <v>45953</v>
      </c>
      <c r="E115" s="31">
        <v>45958</v>
      </c>
      <c r="F115" s="30" t="s">
        <v>126</v>
      </c>
      <c r="G115" s="30" t="s">
        <v>58</v>
      </c>
      <c r="H115" s="31">
        <v>33075</v>
      </c>
      <c r="I115" s="30" t="s">
        <v>79</v>
      </c>
      <c r="J115" s="30" t="s">
        <v>75</v>
      </c>
      <c r="K115" s="30" t="s">
        <v>83</v>
      </c>
      <c r="L115" s="30" t="s">
        <v>84</v>
      </c>
      <c r="M115" s="95">
        <v>5</v>
      </c>
      <c r="N115" s="30">
        <v>60</v>
      </c>
      <c r="O115" s="30">
        <v>5</v>
      </c>
      <c r="P115" s="30">
        <v>285</v>
      </c>
      <c r="Q115" s="30">
        <v>2</v>
      </c>
      <c r="R115" s="90" t="s">
        <v>31</v>
      </c>
      <c r="S115" s="30" t="s">
        <v>50</v>
      </c>
      <c r="T115" s="30" t="s">
        <v>128</v>
      </c>
      <c r="U115" s="30">
        <v>9781970426</v>
      </c>
      <c r="V115" s="36" t="s">
        <v>34</v>
      </c>
      <c r="W115" s="40" t="str">
        <f t="shared" si="3"/>
        <v>Vikas Mehta</v>
      </c>
      <c r="X115" s="93" t="str">
        <f t="shared" si="4"/>
        <v>Stationery</v>
      </c>
      <c r="Y115" s="94" t="str">
        <f t="shared" si="5"/>
        <v>West</v>
      </c>
    </row>
    <row r="116" spans="1:25" ht="15" thickBot="1" x14ac:dyDescent="0.4">
      <c r="A116" s="90" t="s">
        <v>239</v>
      </c>
      <c r="B116" s="27" t="s">
        <v>45</v>
      </c>
      <c r="C116" s="27" t="s">
        <v>112</v>
      </c>
      <c r="D116" s="28">
        <v>45750</v>
      </c>
      <c r="E116" s="28">
        <v>45761</v>
      </c>
      <c r="F116" s="27" t="s">
        <v>101</v>
      </c>
      <c r="G116" s="27" t="s">
        <v>26</v>
      </c>
      <c r="H116" s="28">
        <v>34435</v>
      </c>
      <c r="I116" s="27" t="s">
        <v>147</v>
      </c>
      <c r="J116" s="27" t="s">
        <v>148</v>
      </c>
      <c r="K116" s="27" t="s">
        <v>39</v>
      </c>
      <c r="L116" s="27" t="s">
        <v>114</v>
      </c>
      <c r="M116" s="95">
        <v>3</v>
      </c>
      <c r="N116" s="27">
        <v>700</v>
      </c>
      <c r="O116" s="27">
        <v>0</v>
      </c>
      <c r="P116" s="27">
        <v>2100</v>
      </c>
      <c r="Q116" s="27">
        <v>4</v>
      </c>
      <c r="R116" s="90" t="s">
        <v>60</v>
      </c>
      <c r="S116" s="27" t="s">
        <v>50</v>
      </c>
      <c r="T116" s="27" t="s">
        <v>51</v>
      </c>
      <c r="U116" s="27">
        <v>9862165194</v>
      </c>
      <c r="V116" s="35" t="s">
        <v>34</v>
      </c>
      <c r="W116" s="40" t="str">
        <f t="shared" si="3"/>
        <v>Pooja Shah</v>
      </c>
      <c r="X116" s="93" t="str">
        <f t="shared" si="4"/>
        <v>Electronics</v>
      </c>
      <c r="Y116" s="94" t="str">
        <f t="shared" si="5"/>
        <v>East</v>
      </c>
    </row>
    <row r="117" spans="1:25" ht="15" thickBot="1" x14ac:dyDescent="0.4">
      <c r="A117" s="90" t="s">
        <v>240</v>
      </c>
      <c r="B117" s="30" t="s">
        <v>104</v>
      </c>
      <c r="C117" s="30" t="s">
        <v>125</v>
      </c>
      <c r="D117" s="31">
        <v>45772</v>
      </c>
      <c r="E117" s="31">
        <v>45776</v>
      </c>
      <c r="F117" s="30" t="s">
        <v>166</v>
      </c>
      <c r="G117" s="30" t="s">
        <v>26</v>
      </c>
      <c r="H117" s="31">
        <v>33728</v>
      </c>
      <c r="I117" s="30" t="s">
        <v>37</v>
      </c>
      <c r="J117" s="30" t="s">
        <v>38</v>
      </c>
      <c r="K117" s="30" t="s">
        <v>83</v>
      </c>
      <c r="L117" s="30" t="s">
        <v>127</v>
      </c>
      <c r="M117" s="95">
        <v>6</v>
      </c>
      <c r="N117" s="30">
        <v>20</v>
      </c>
      <c r="O117" s="30">
        <v>15</v>
      </c>
      <c r="P117" s="30">
        <v>102</v>
      </c>
      <c r="Q117" s="30">
        <v>5</v>
      </c>
      <c r="R117" s="90" t="s">
        <v>60</v>
      </c>
      <c r="S117" s="30" t="s">
        <v>96</v>
      </c>
      <c r="T117" s="30" t="s">
        <v>108</v>
      </c>
      <c r="U117" s="30">
        <v>9661280388</v>
      </c>
      <c r="V117" s="36" t="s">
        <v>34</v>
      </c>
      <c r="W117" s="40" t="str">
        <f t="shared" si="3"/>
        <v>Anita Gupta</v>
      </c>
      <c r="X117" s="93" t="str">
        <f t="shared" si="4"/>
        <v>Stationery</v>
      </c>
      <c r="Y117" s="94" t="str">
        <f t="shared" si="5"/>
        <v>North</v>
      </c>
    </row>
    <row r="118" spans="1:25" ht="15" thickBot="1" x14ac:dyDescent="0.4">
      <c r="A118" s="90" t="s">
        <v>241</v>
      </c>
      <c r="B118" s="27" t="s">
        <v>72</v>
      </c>
      <c r="C118" s="27" t="s">
        <v>112</v>
      </c>
      <c r="D118" s="28">
        <v>45893</v>
      </c>
      <c r="E118" s="28">
        <v>45900</v>
      </c>
      <c r="F118" s="27" t="s">
        <v>73</v>
      </c>
      <c r="G118" s="27" t="s">
        <v>26</v>
      </c>
      <c r="H118" s="28">
        <v>29354</v>
      </c>
      <c r="I118" s="27" t="s">
        <v>48</v>
      </c>
      <c r="J118" s="27" t="s">
        <v>28</v>
      </c>
      <c r="K118" s="27" t="s">
        <v>39</v>
      </c>
      <c r="L118" s="27" t="s">
        <v>114</v>
      </c>
      <c r="M118" s="95">
        <v>2</v>
      </c>
      <c r="N118" s="27">
        <v>700</v>
      </c>
      <c r="O118" s="27">
        <v>15</v>
      </c>
      <c r="P118" s="27">
        <v>1190</v>
      </c>
      <c r="Q118" s="27">
        <v>4</v>
      </c>
      <c r="R118" s="90" t="s">
        <v>31</v>
      </c>
      <c r="S118" s="27" t="s">
        <v>96</v>
      </c>
      <c r="T118" s="27" t="s">
        <v>93</v>
      </c>
      <c r="U118" s="27">
        <v>9896985355</v>
      </c>
      <c r="V118" s="37" t="s">
        <v>52</v>
      </c>
      <c r="W118" s="40" t="str">
        <f t="shared" si="3"/>
        <v>Priya Patel</v>
      </c>
      <c r="X118" s="93" t="str">
        <f t="shared" si="4"/>
        <v>Electronics</v>
      </c>
      <c r="Y118" s="94" t="str">
        <f t="shared" si="5"/>
        <v>South</v>
      </c>
    </row>
    <row r="119" spans="1:25" ht="15" thickBot="1" x14ac:dyDescent="0.4">
      <c r="A119" s="90" t="s">
        <v>242</v>
      </c>
      <c r="B119" s="30" t="s">
        <v>156</v>
      </c>
      <c r="C119" s="30" t="s">
        <v>138</v>
      </c>
      <c r="D119" s="31">
        <v>45808</v>
      </c>
      <c r="E119" s="31">
        <v>45819</v>
      </c>
      <c r="F119" s="30" t="s">
        <v>106</v>
      </c>
      <c r="G119" s="30" t="s">
        <v>58</v>
      </c>
      <c r="H119" s="31">
        <v>34949</v>
      </c>
      <c r="I119" s="30" t="s">
        <v>79</v>
      </c>
      <c r="J119" s="30" t="s">
        <v>75</v>
      </c>
      <c r="K119" s="30" t="s">
        <v>83</v>
      </c>
      <c r="L119" s="30" t="s">
        <v>139</v>
      </c>
      <c r="M119" s="95">
        <v>16</v>
      </c>
      <c r="N119" s="30">
        <v>45</v>
      </c>
      <c r="O119" s="30">
        <v>0</v>
      </c>
      <c r="P119" s="30">
        <v>720</v>
      </c>
      <c r="Q119" s="30">
        <v>1</v>
      </c>
      <c r="R119" s="90" t="s">
        <v>41</v>
      </c>
      <c r="S119" s="30" t="s">
        <v>50</v>
      </c>
      <c r="T119" s="30" t="s">
        <v>158</v>
      </c>
      <c r="U119" s="30">
        <v>9807154421</v>
      </c>
      <c r="V119" s="36" t="s">
        <v>34</v>
      </c>
      <c r="W119" s="40" t="str">
        <f t="shared" si="3"/>
        <v>Amit Sharma</v>
      </c>
      <c r="X119" s="93" t="str">
        <f t="shared" si="4"/>
        <v>Stationery</v>
      </c>
      <c r="Y119" s="94" t="str">
        <f t="shared" si="5"/>
        <v>West</v>
      </c>
    </row>
    <row r="120" spans="1:25" ht="15" thickBot="1" x14ac:dyDescent="0.4">
      <c r="A120" s="90" t="s">
        <v>244</v>
      </c>
      <c r="B120" s="27" t="s">
        <v>55</v>
      </c>
      <c r="C120" s="27" t="s">
        <v>56</v>
      </c>
      <c r="D120" s="28">
        <v>45807</v>
      </c>
      <c r="E120" s="28">
        <v>45810</v>
      </c>
      <c r="F120" s="27" t="s">
        <v>57</v>
      </c>
      <c r="G120" s="27" t="s">
        <v>58</v>
      </c>
      <c r="H120" s="28">
        <v>32210</v>
      </c>
      <c r="I120" s="27" t="s">
        <v>91</v>
      </c>
      <c r="J120" s="27" t="s">
        <v>75</v>
      </c>
      <c r="K120" s="27" t="s">
        <v>39</v>
      </c>
      <c r="L120" s="27" t="s">
        <v>59</v>
      </c>
      <c r="M120" s="95" t="s">
        <v>243</v>
      </c>
      <c r="N120" s="27">
        <v>1200</v>
      </c>
      <c r="O120" s="27">
        <v>15</v>
      </c>
      <c r="P120" s="27">
        <v>7140</v>
      </c>
      <c r="Q120" s="27">
        <v>4</v>
      </c>
      <c r="R120" s="90" t="s">
        <v>65</v>
      </c>
      <c r="S120" s="27" t="s">
        <v>96</v>
      </c>
      <c r="T120" s="27" t="s">
        <v>61</v>
      </c>
      <c r="U120" s="27">
        <v>9919834000</v>
      </c>
      <c r="V120" s="37" t="s">
        <v>52</v>
      </c>
      <c r="W120" s="40" t="str">
        <f t="shared" si="3"/>
        <v>Mohit Verma</v>
      </c>
      <c r="X120" s="93" t="str">
        <f t="shared" si="4"/>
        <v>Electronics</v>
      </c>
      <c r="Y120" s="94" t="str">
        <f t="shared" si="5"/>
        <v>West</v>
      </c>
    </row>
    <row r="121" spans="1:25" ht="15" thickBot="1" x14ac:dyDescent="0.4">
      <c r="A121" s="90" t="s">
        <v>245</v>
      </c>
      <c r="B121" s="30" t="s">
        <v>72</v>
      </c>
      <c r="C121" s="30" t="s">
        <v>36</v>
      </c>
      <c r="D121" s="31">
        <v>45888</v>
      </c>
      <c r="E121" s="31">
        <v>45899</v>
      </c>
      <c r="F121" s="30" t="s">
        <v>73</v>
      </c>
      <c r="G121" s="30" t="s">
        <v>26</v>
      </c>
      <c r="H121" s="31">
        <v>32696</v>
      </c>
      <c r="I121" s="30" t="s">
        <v>121</v>
      </c>
      <c r="J121" s="30" t="s">
        <v>38</v>
      </c>
      <c r="K121" s="30" t="s">
        <v>39</v>
      </c>
      <c r="L121" s="30" t="s">
        <v>40</v>
      </c>
      <c r="M121" s="95">
        <v>14</v>
      </c>
      <c r="N121" s="30">
        <v>12000</v>
      </c>
      <c r="O121" s="30">
        <v>15</v>
      </c>
      <c r="P121" s="30">
        <v>142800</v>
      </c>
      <c r="Q121" s="30">
        <v>2</v>
      </c>
      <c r="R121" s="90" t="s">
        <v>41</v>
      </c>
      <c r="S121" s="30" t="s">
        <v>50</v>
      </c>
      <c r="T121" s="30" t="s">
        <v>93</v>
      </c>
      <c r="U121" s="30">
        <v>9739798818</v>
      </c>
      <c r="V121" s="38" t="s">
        <v>52</v>
      </c>
      <c r="W121" s="40" t="str">
        <f t="shared" si="3"/>
        <v>Priya Patel</v>
      </c>
      <c r="X121" s="93" t="str">
        <f t="shared" si="4"/>
        <v>Electronics</v>
      </c>
      <c r="Y121" s="94" t="str">
        <f t="shared" si="5"/>
        <v>North</v>
      </c>
    </row>
    <row r="122" spans="1:25" ht="15" thickBot="1" x14ac:dyDescent="0.4">
      <c r="A122" s="90" t="s">
        <v>246</v>
      </c>
      <c r="B122" s="27" t="s">
        <v>87</v>
      </c>
      <c r="C122" s="27" t="s">
        <v>105</v>
      </c>
      <c r="D122" s="28">
        <v>46005</v>
      </c>
      <c r="E122" s="28">
        <v>46007</v>
      </c>
      <c r="F122" s="27" t="s">
        <v>88</v>
      </c>
      <c r="G122" s="27" t="s">
        <v>58</v>
      </c>
      <c r="H122" s="28">
        <v>34284</v>
      </c>
      <c r="I122" s="27" t="s">
        <v>79</v>
      </c>
      <c r="J122" s="27" t="s">
        <v>75</v>
      </c>
      <c r="K122" s="27" t="s">
        <v>29</v>
      </c>
      <c r="L122" s="27" t="s">
        <v>107</v>
      </c>
      <c r="M122" s="95">
        <v>8</v>
      </c>
      <c r="N122" s="27">
        <v>8500</v>
      </c>
      <c r="O122" s="27">
        <v>20</v>
      </c>
      <c r="P122" s="27">
        <v>54400</v>
      </c>
      <c r="Q122" s="27">
        <v>3</v>
      </c>
      <c r="R122" s="90" t="s">
        <v>60</v>
      </c>
      <c r="S122" s="27" t="s">
        <v>42</v>
      </c>
      <c r="T122" s="27" t="s">
        <v>89</v>
      </c>
      <c r="U122" s="27">
        <v>9208625306</v>
      </c>
      <c r="V122" s="35" t="s">
        <v>34</v>
      </c>
      <c r="W122" s="40" t="str">
        <f t="shared" si="3"/>
        <v>Rohit Singh</v>
      </c>
      <c r="X122" s="93" t="str">
        <f t="shared" si="4"/>
        <v>Home Appliances</v>
      </c>
      <c r="Y122" s="94" t="str">
        <f t="shared" si="5"/>
        <v>West</v>
      </c>
    </row>
    <row r="123" spans="1:25" ht="15" thickBot="1" x14ac:dyDescent="0.4">
      <c r="A123" s="90" t="s">
        <v>247</v>
      </c>
      <c r="B123" s="30" t="s">
        <v>63</v>
      </c>
      <c r="C123" s="30" t="s">
        <v>138</v>
      </c>
      <c r="D123" s="31">
        <v>46053</v>
      </c>
      <c r="E123" s="31">
        <v>46063</v>
      </c>
      <c r="F123" s="30" t="s">
        <v>110</v>
      </c>
      <c r="G123" s="30" t="s">
        <v>58</v>
      </c>
      <c r="H123" s="31">
        <v>36557</v>
      </c>
      <c r="I123" s="30" t="s">
        <v>48</v>
      </c>
      <c r="J123" s="30" t="s">
        <v>28</v>
      </c>
      <c r="K123" s="30" t="s">
        <v>83</v>
      </c>
      <c r="L123" s="30" t="s">
        <v>139</v>
      </c>
      <c r="M123" s="95">
        <v>3</v>
      </c>
      <c r="N123" s="30">
        <v>45</v>
      </c>
      <c r="O123" s="30">
        <v>0</v>
      </c>
      <c r="P123" s="30">
        <v>135</v>
      </c>
      <c r="Q123" s="30">
        <v>4</v>
      </c>
      <c r="R123" s="90" t="s">
        <v>65</v>
      </c>
      <c r="S123" s="30" t="s">
        <v>50</v>
      </c>
      <c r="T123" s="30" t="s">
        <v>66</v>
      </c>
      <c r="U123" s="30">
        <v>9970178536</v>
      </c>
      <c r="V123" s="38" t="s">
        <v>53</v>
      </c>
      <c r="W123" s="40" t="str">
        <f t="shared" si="3"/>
        <v>Arjun Rao</v>
      </c>
      <c r="X123" s="93" t="str">
        <f t="shared" si="4"/>
        <v>Stationery</v>
      </c>
      <c r="Y123" s="94" t="str">
        <f t="shared" si="5"/>
        <v>South</v>
      </c>
    </row>
    <row r="124" spans="1:25" ht="15" thickBot="1" x14ac:dyDescent="0.4">
      <c r="A124" s="90" t="s">
        <v>248</v>
      </c>
      <c r="B124" s="27" t="s">
        <v>156</v>
      </c>
      <c r="C124" s="27" t="s">
        <v>112</v>
      </c>
      <c r="D124" s="28">
        <v>46025</v>
      </c>
      <c r="E124" s="28">
        <v>46026</v>
      </c>
      <c r="F124" s="27" t="s">
        <v>106</v>
      </c>
      <c r="G124" s="27" t="s">
        <v>58</v>
      </c>
      <c r="H124" s="28">
        <v>31585</v>
      </c>
      <c r="I124" s="27" t="s">
        <v>121</v>
      </c>
      <c r="J124" s="27" t="s">
        <v>38</v>
      </c>
      <c r="K124" s="27" t="s">
        <v>39</v>
      </c>
      <c r="L124" s="27" t="s">
        <v>114</v>
      </c>
      <c r="M124" s="95">
        <v>13</v>
      </c>
      <c r="N124" s="27">
        <v>700</v>
      </c>
      <c r="O124" s="27">
        <v>5</v>
      </c>
      <c r="P124" s="27">
        <v>8645</v>
      </c>
      <c r="Q124" s="27">
        <v>3</v>
      </c>
      <c r="R124" s="90" t="s">
        <v>60</v>
      </c>
      <c r="S124" s="27" t="s">
        <v>80</v>
      </c>
      <c r="T124" s="27" t="s">
        <v>158</v>
      </c>
      <c r="U124" s="27">
        <v>9633745195</v>
      </c>
      <c r="V124" s="37" t="s">
        <v>52</v>
      </c>
      <c r="W124" s="40" t="str">
        <f t="shared" si="3"/>
        <v>Amit Sharma</v>
      </c>
      <c r="X124" s="93" t="str">
        <f t="shared" si="4"/>
        <v>Electronics</v>
      </c>
      <c r="Y124" s="94" t="str">
        <f t="shared" si="5"/>
        <v>North</v>
      </c>
    </row>
    <row r="125" spans="1:25" ht="15" thickBot="1" x14ac:dyDescent="0.4">
      <c r="A125" s="90" t="s">
        <v>249</v>
      </c>
      <c r="B125" s="30" t="s">
        <v>104</v>
      </c>
      <c r="C125" s="30" t="s">
        <v>56</v>
      </c>
      <c r="D125" s="31">
        <v>45950</v>
      </c>
      <c r="E125" s="31">
        <v>45956</v>
      </c>
      <c r="F125" s="30" t="s">
        <v>166</v>
      </c>
      <c r="G125" s="30" t="s">
        <v>26</v>
      </c>
      <c r="H125" s="31">
        <v>31459</v>
      </c>
      <c r="I125" s="30" t="s">
        <v>74</v>
      </c>
      <c r="J125" s="30" t="s">
        <v>75</v>
      </c>
      <c r="K125" s="30" t="s">
        <v>39</v>
      </c>
      <c r="L125" s="30" t="s">
        <v>59</v>
      </c>
      <c r="M125" s="95">
        <v>14</v>
      </c>
      <c r="N125" s="30">
        <v>1200</v>
      </c>
      <c r="O125" s="30">
        <v>20</v>
      </c>
      <c r="P125" s="30">
        <v>13440</v>
      </c>
      <c r="Q125" s="30">
        <v>5</v>
      </c>
      <c r="R125" s="90" t="s">
        <v>41</v>
      </c>
      <c r="S125" s="30" t="s">
        <v>50</v>
      </c>
      <c r="T125" s="30" t="s">
        <v>108</v>
      </c>
      <c r="U125" s="30">
        <v>9922102053</v>
      </c>
      <c r="V125" s="36" t="s">
        <v>34</v>
      </c>
      <c r="W125" s="40" t="str">
        <f t="shared" si="3"/>
        <v>Anita Gupta</v>
      </c>
      <c r="X125" s="93" t="str">
        <f t="shared" si="4"/>
        <v>Electronics</v>
      </c>
      <c r="Y125" s="94" t="str">
        <f t="shared" si="5"/>
        <v>West</v>
      </c>
    </row>
    <row r="126" spans="1:25" ht="15" thickBot="1" x14ac:dyDescent="0.4">
      <c r="A126" s="90" t="s">
        <v>250</v>
      </c>
      <c r="B126" s="27" t="s">
        <v>72</v>
      </c>
      <c r="C126" s="27" t="s">
        <v>138</v>
      </c>
      <c r="D126" s="28">
        <v>45788</v>
      </c>
      <c r="E126" s="28">
        <v>45798</v>
      </c>
      <c r="F126" s="27" t="s">
        <v>73</v>
      </c>
      <c r="G126" s="27" t="s">
        <v>26</v>
      </c>
      <c r="H126" s="28">
        <v>33499</v>
      </c>
      <c r="I126" s="27" t="s">
        <v>37</v>
      </c>
      <c r="J126" s="27" t="s">
        <v>38</v>
      </c>
      <c r="K126" s="27" t="s">
        <v>83</v>
      </c>
      <c r="L126" s="27" t="s">
        <v>139</v>
      </c>
      <c r="M126" s="95">
        <v>2</v>
      </c>
      <c r="N126" s="27">
        <v>45</v>
      </c>
      <c r="O126" s="27">
        <v>5</v>
      </c>
      <c r="P126" s="27">
        <v>85.5</v>
      </c>
      <c r="Q126" s="27">
        <v>3</v>
      </c>
      <c r="R126" s="90" t="s">
        <v>65</v>
      </c>
      <c r="S126" s="27" t="s">
        <v>32</v>
      </c>
      <c r="T126" s="27" t="s">
        <v>93</v>
      </c>
      <c r="U126" s="27">
        <v>9135963930</v>
      </c>
      <c r="V126" s="37" t="s">
        <v>53</v>
      </c>
      <c r="W126" s="40" t="str">
        <f t="shared" si="3"/>
        <v>Priya Patel</v>
      </c>
      <c r="X126" s="93" t="str">
        <f t="shared" si="4"/>
        <v>Stationery</v>
      </c>
      <c r="Y126" s="94" t="str">
        <f t="shared" si="5"/>
        <v>North</v>
      </c>
    </row>
    <row r="127" spans="1:25" ht="15" thickBot="1" x14ac:dyDescent="0.4">
      <c r="A127" s="90" t="s">
        <v>251</v>
      </c>
      <c r="B127" s="30" t="s">
        <v>104</v>
      </c>
      <c r="C127" s="30" t="s">
        <v>56</v>
      </c>
      <c r="D127" s="31">
        <v>46024</v>
      </c>
      <c r="E127" s="31">
        <v>46028</v>
      </c>
      <c r="F127" s="30" t="s">
        <v>166</v>
      </c>
      <c r="G127" s="30" t="s">
        <v>26</v>
      </c>
      <c r="H127" s="31">
        <v>29590</v>
      </c>
      <c r="I127" s="30" t="s">
        <v>48</v>
      </c>
      <c r="J127" s="30" t="s">
        <v>28</v>
      </c>
      <c r="K127" s="30" t="s">
        <v>39</v>
      </c>
      <c r="L127" s="30" t="s">
        <v>59</v>
      </c>
      <c r="M127" s="95">
        <v>2</v>
      </c>
      <c r="N127" s="30">
        <v>1200</v>
      </c>
      <c r="O127" s="30">
        <v>20</v>
      </c>
      <c r="P127" s="30">
        <v>1920</v>
      </c>
      <c r="Q127" s="30">
        <v>3</v>
      </c>
      <c r="R127" s="90" t="s">
        <v>60</v>
      </c>
      <c r="S127" s="30" t="s">
        <v>80</v>
      </c>
      <c r="T127" s="30" t="s">
        <v>108</v>
      </c>
      <c r="U127" s="30">
        <v>9429405275</v>
      </c>
      <c r="V127" s="36" t="s">
        <v>34</v>
      </c>
      <c r="W127" s="40" t="str">
        <f t="shared" si="3"/>
        <v>Anita Gupta</v>
      </c>
      <c r="X127" s="93" t="str">
        <f t="shared" si="4"/>
        <v>Electronics</v>
      </c>
      <c r="Y127" s="94" t="str">
        <f t="shared" si="5"/>
        <v>South</v>
      </c>
    </row>
    <row r="128" spans="1:25" ht="15" thickBot="1" x14ac:dyDescent="0.4">
      <c r="A128" s="90" t="s">
        <v>252</v>
      </c>
      <c r="B128" s="27" t="s">
        <v>87</v>
      </c>
      <c r="C128" s="27" t="s">
        <v>46</v>
      </c>
      <c r="D128" s="28">
        <v>46132</v>
      </c>
      <c r="E128" s="28">
        <v>46138</v>
      </c>
      <c r="F128" s="27" t="s">
        <v>88</v>
      </c>
      <c r="G128" s="27" t="s">
        <v>58</v>
      </c>
      <c r="H128" s="28">
        <v>38272</v>
      </c>
      <c r="I128" s="27" t="s">
        <v>48</v>
      </c>
      <c r="J128" s="27" t="s">
        <v>28</v>
      </c>
      <c r="K128" s="27" t="s">
        <v>39</v>
      </c>
      <c r="L128" s="27" t="s">
        <v>49</v>
      </c>
      <c r="M128" s="95">
        <v>10</v>
      </c>
      <c r="N128" s="27">
        <v>55000</v>
      </c>
      <c r="O128" s="27">
        <v>5</v>
      </c>
      <c r="P128" s="27">
        <v>522500</v>
      </c>
      <c r="Q128" s="27">
        <v>5</v>
      </c>
      <c r="R128" s="90" t="s">
        <v>65</v>
      </c>
      <c r="S128" s="27" t="s">
        <v>50</v>
      </c>
      <c r="T128" s="27" t="s">
        <v>89</v>
      </c>
      <c r="U128" s="27">
        <v>9521757571</v>
      </c>
      <c r="V128" s="37" t="s">
        <v>52</v>
      </c>
      <c r="W128" s="40" t="str">
        <f t="shared" si="3"/>
        <v>Rohit Singh</v>
      </c>
      <c r="X128" s="93" t="str">
        <f t="shared" si="4"/>
        <v>Electronics</v>
      </c>
      <c r="Y128" s="94" t="str">
        <f t="shared" si="5"/>
        <v>South</v>
      </c>
    </row>
    <row r="129" spans="1:25" ht="15" thickBot="1" x14ac:dyDescent="0.4">
      <c r="A129" s="90" t="s">
        <v>253</v>
      </c>
      <c r="B129" s="30" t="s">
        <v>134</v>
      </c>
      <c r="C129" s="30" t="s">
        <v>68</v>
      </c>
      <c r="D129" s="31">
        <v>45873</v>
      </c>
      <c r="E129" s="31">
        <v>45874</v>
      </c>
      <c r="F129" s="30" t="s">
        <v>135</v>
      </c>
      <c r="G129" s="30" t="s">
        <v>26</v>
      </c>
      <c r="H129" s="31">
        <v>30766</v>
      </c>
      <c r="I129" s="30" t="s">
        <v>121</v>
      </c>
      <c r="J129" s="30" t="s">
        <v>38</v>
      </c>
      <c r="K129" s="30" t="s">
        <v>29</v>
      </c>
      <c r="L129" s="30" t="s">
        <v>70</v>
      </c>
      <c r="M129" s="95">
        <v>15</v>
      </c>
      <c r="N129" s="30">
        <v>3500</v>
      </c>
      <c r="O129" s="30">
        <v>10</v>
      </c>
      <c r="P129" s="30">
        <v>47250</v>
      </c>
      <c r="Q129" s="30">
        <v>3</v>
      </c>
      <c r="R129" s="90" t="s">
        <v>41</v>
      </c>
      <c r="S129" s="30" t="s">
        <v>80</v>
      </c>
      <c r="T129" s="30" t="s">
        <v>136</v>
      </c>
      <c r="U129" s="30">
        <v>9467375455</v>
      </c>
      <c r="V129" s="36" t="s">
        <v>34</v>
      </c>
      <c r="W129" s="40" t="str">
        <f t="shared" si="3"/>
        <v>Sneha Joshi</v>
      </c>
      <c r="X129" s="93" t="str">
        <f t="shared" si="4"/>
        <v>Home Appliances</v>
      </c>
      <c r="Y129" s="94" t="str">
        <f t="shared" si="5"/>
        <v>North</v>
      </c>
    </row>
    <row r="130" spans="1:25" ht="15" thickBot="1" x14ac:dyDescent="0.4">
      <c r="A130" s="90" t="s">
        <v>254</v>
      </c>
      <c r="B130" s="27" t="s">
        <v>72</v>
      </c>
      <c r="C130" s="27" t="s">
        <v>24</v>
      </c>
      <c r="D130" s="28">
        <v>45882</v>
      </c>
      <c r="E130" s="28">
        <v>45887</v>
      </c>
      <c r="F130" s="27" t="s">
        <v>73</v>
      </c>
      <c r="G130" s="27" t="s">
        <v>26</v>
      </c>
      <c r="H130" s="28">
        <v>30203</v>
      </c>
      <c r="I130" s="27" t="s">
        <v>48</v>
      </c>
      <c r="J130" s="27" t="s">
        <v>28</v>
      </c>
      <c r="K130" s="27" t="s">
        <v>29</v>
      </c>
      <c r="L130" s="27" t="s">
        <v>30</v>
      </c>
      <c r="M130" s="95">
        <v>10</v>
      </c>
      <c r="N130" s="27">
        <v>2200</v>
      </c>
      <c r="O130" s="27">
        <v>15</v>
      </c>
      <c r="P130" s="27">
        <v>18700</v>
      </c>
      <c r="Q130" s="27">
        <v>4</v>
      </c>
      <c r="R130" s="90" t="s">
        <v>60</v>
      </c>
      <c r="S130" s="27" t="s">
        <v>42</v>
      </c>
      <c r="T130" s="27" t="s">
        <v>93</v>
      </c>
      <c r="U130" s="27">
        <v>9838809695</v>
      </c>
      <c r="V130" s="37" t="s">
        <v>52</v>
      </c>
      <c r="W130" s="40" t="str">
        <f t="shared" si="3"/>
        <v>Priya Patel</v>
      </c>
      <c r="X130" s="93" t="str">
        <f t="shared" si="4"/>
        <v>Home Appliances</v>
      </c>
      <c r="Y130" s="94" t="str">
        <f t="shared" si="5"/>
        <v>South</v>
      </c>
    </row>
    <row r="131" spans="1:25" ht="15" thickBot="1" x14ac:dyDescent="0.4">
      <c r="A131" s="90" t="s">
        <v>255</v>
      </c>
      <c r="B131" s="30" t="s">
        <v>134</v>
      </c>
      <c r="C131" s="30" t="s">
        <v>68</v>
      </c>
      <c r="D131" s="31">
        <v>45824</v>
      </c>
      <c r="E131" s="31">
        <v>45832</v>
      </c>
      <c r="F131" s="30" t="s">
        <v>135</v>
      </c>
      <c r="G131" s="30" t="s">
        <v>26</v>
      </c>
      <c r="H131" s="31">
        <v>34015</v>
      </c>
      <c r="I131" s="30" t="s">
        <v>79</v>
      </c>
      <c r="J131" s="30" t="s">
        <v>75</v>
      </c>
      <c r="K131" s="30" t="s">
        <v>29</v>
      </c>
      <c r="L131" s="30" t="s">
        <v>70</v>
      </c>
      <c r="M131" s="95">
        <v>11</v>
      </c>
      <c r="N131" s="30">
        <v>3500</v>
      </c>
      <c r="O131" s="30">
        <v>5</v>
      </c>
      <c r="P131" s="30">
        <v>36575</v>
      </c>
      <c r="Q131" s="30">
        <v>5</v>
      </c>
      <c r="R131" s="90" t="s">
        <v>31</v>
      </c>
      <c r="S131" s="30" t="s">
        <v>32</v>
      </c>
      <c r="T131" s="30" t="s">
        <v>136</v>
      </c>
      <c r="U131" s="30">
        <v>9296609782</v>
      </c>
      <c r="V131" s="38" t="s">
        <v>53</v>
      </c>
      <c r="W131" s="40" t="str">
        <f t="shared" ref="W131:W194" si="6">PROPER(TRIM(F131))</f>
        <v>Sneha Joshi</v>
      </c>
      <c r="X131" s="93" t="str">
        <f t="shared" ref="X131:X194" si="7">PROPER(K131)</f>
        <v>Home Appliances</v>
      </c>
      <c r="Y131" s="94" t="str">
        <f t="shared" ref="Y131:Y194" si="8">PROPER(J131)</f>
        <v>West</v>
      </c>
    </row>
    <row r="132" spans="1:25" ht="15" thickBot="1" x14ac:dyDescent="0.4">
      <c r="A132" s="90" t="s">
        <v>256</v>
      </c>
      <c r="B132" s="27" t="s">
        <v>104</v>
      </c>
      <c r="C132" s="27" t="s">
        <v>56</v>
      </c>
      <c r="D132" s="28">
        <v>46139</v>
      </c>
      <c r="E132" s="28">
        <v>46142</v>
      </c>
      <c r="F132" s="27" t="s">
        <v>166</v>
      </c>
      <c r="G132" s="27" t="s">
        <v>26</v>
      </c>
      <c r="H132" s="28">
        <v>37719</v>
      </c>
      <c r="I132" s="27" t="s">
        <v>48</v>
      </c>
      <c r="J132" s="27" t="s">
        <v>28</v>
      </c>
      <c r="K132" s="27" t="s">
        <v>39</v>
      </c>
      <c r="L132" s="27" t="s">
        <v>59</v>
      </c>
      <c r="M132" s="95">
        <v>14</v>
      </c>
      <c r="N132" s="27">
        <v>1200</v>
      </c>
      <c r="O132" s="27">
        <v>0</v>
      </c>
      <c r="P132" s="27">
        <v>16800</v>
      </c>
      <c r="Q132" s="27">
        <v>5</v>
      </c>
      <c r="R132" s="90" t="s">
        <v>31</v>
      </c>
      <c r="S132" s="27" t="s">
        <v>42</v>
      </c>
      <c r="T132" s="27" t="s">
        <v>108</v>
      </c>
      <c r="U132" s="27">
        <v>9848259992</v>
      </c>
      <c r="V132" s="37" t="s">
        <v>53</v>
      </c>
      <c r="W132" s="40" t="str">
        <f t="shared" si="6"/>
        <v>Anita Gupta</v>
      </c>
      <c r="X132" s="93" t="str">
        <f t="shared" si="7"/>
        <v>Electronics</v>
      </c>
      <c r="Y132" s="94" t="str">
        <f t="shared" si="8"/>
        <v>South</v>
      </c>
    </row>
    <row r="133" spans="1:25" ht="15" thickBot="1" x14ac:dyDescent="0.4">
      <c r="A133" s="90" t="s">
        <v>257</v>
      </c>
      <c r="B133" s="30" t="s">
        <v>72</v>
      </c>
      <c r="C133" s="30" t="s">
        <v>125</v>
      </c>
      <c r="D133" s="31">
        <v>46070</v>
      </c>
      <c r="E133" s="31">
        <v>46075</v>
      </c>
      <c r="F133" s="30" t="s">
        <v>73</v>
      </c>
      <c r="G133" s="30" t="s">
        <v>26</v>
      </c>
      <c r="H133" s="31">
        <v>32801</v>
      </c>
      <c r="I133" s="30" t="s">
        <v>37</v>
      </c>
      <c r="J133" s="30" t="s">
        <v>38</v>
      </c>
      <c r="K133" s="30" t="s">
        <v>83</v>
      </c>
      <c r="L133" s="30" t="s">
        <v>127</v>
      </c>
      <c r="M133" s="95">
        <v>11</v>
      </c>
      <c r="N133" s="30">
        <v>20</v>
      </c>
      <c r="O133" s="30">
        <v>20</v>
      </c>
      <c r="P133" s="30">
        <v>176</v>
      </c>
      <c r="Q133" s="30">
        <v>4</v>
      </c>
      <c r="R133" s="90" t="s">
        <v>41</v>
      </c>
      <c r="S133" s="30" t="s">
        <v>32</v>
      </c>
      <c r="T133" s="30" t="s">
        <v>93</v>
      </c>
      <c r="U133" s="30">
        <v>9254082295</v>
      </c>
      <c r="V133" s="36" t="s">
        <v>34</v>
      </c>
      <c r="W133" s="40" t="str">
        <f t="shared" si="6"/>
        <v>Priya Patel</v>
      </c>
      <c r="X133" s="93" t="str">
        <f t="shared" si="7"/>
        <v>Stationery</v>
      </c>
      <c r="Y133" s="94" t="str">
        <f t="shared" si="8"/>
        <v>North</v>
      </c>
    </row>
    <row r="134" spans="1:25" ht="15" thickBot="1" x14ac:dyDescent="0.4">
      <c r="A134" s="90" t="s">
        <v>258</v>
      </c>
      <c r="B134" s="27" t="s">
        <v>55</v>
      </c>
      <c r="C134" s="27" t="s">
        <v>36</v>
      </c>
      <c r="D134" s="28">
        <v>46116</v>
      </c>
      <c r="E134" s="28">
        <v>46122</v>
      </c>
      <c r="F134" s="27" t="s">
        <v>57</v>
      </c>
      <c r="G134" s="27" t="s">
        <v>58</v>
      </c>
      <c r="H134" s="28">
        <v>34957</v>
      </c>
      <c r="I134" s="27" t="s">
        <v>79</v>
      </c>
      <c r="J134" s="27" t="s">
        <v>75</v>
      </c>
      <c r="K134" s="27" t="s">
        <v>39</v>
      </c>
      <c r="L134" s="27" t="s">
        <v>40</v>
      </c>
      <c r="M134" s="95">
        <v>6</v>
      </c>
      <c r="N134" s="27">
        <v>12000</v>
      </c>
      <c r="O134" s="27">
        <v>10</v>
      </c>
      <c r="P134" s="27">
        <v>64800</v>
      </c>
      <c r="Q134" s="27">
        <v>5</v>
      </c>
      <c r="R134" s="90" t="s">
        <v>65</v>
      </c>
      <c r="S134" s="27" t="s">
        <v>96</v>
      </c>
      <c r="T134" s="27" t="s">
        <v>61</v>
      </c>
      <c r="U134" s="27">
        <v>9687923860</v>
      </c>
      <c r="V134" s="35" t="s">
        <v>34</v>
      </c>
      <c r="W134" s="40" t="str">
        <f t="shared" si="6"/>
        <v>Mohit Verma</v>
      </c>
      <c r="X134" s="93" t="str">
        <f t="shared" si="7"/>
        <v>Electronics</v>
      </c>
      <c r="Y134" s="94" t="str">
        <f t="shared" si="8"/>
        <v>West</v>
      </c>
    </row>
    <row r="135" spans="1:25" ht="15" thickBot="1" x14ac:dyDescent="0.4">
      <c r="A135" s="90" t="s">
        <v>259</v>
      </c>
      <c r="B135" s="30" t="s">
        <v>55</v>
      </c>
      <c r="C135" s="30" t="s">
        <v>24</v>
      </c>
      <c r="D135" s="31">
        <v>45756</v>
      </c>
      <c r="E135" s="31">
        <v>45765</v>
      </c>
      <c r="F135" s="30" t="s">
        <v>57</v>
      </c>
      <c r="G135" s="30" t="s">
        <v>58</v>
      </c>
      <c r="H135" s="31">
        <v>34431</v>
      </c>
      <c r="I135" s="30" t="s">
        <v>27</v>
      </c>
      <c r="J135" s="30" t="s">
        <v>28</v>
      </c>
      <c r="K135" s="30" t="s">
        <v>29</v>
      </c>
      <c r="L135" s="30" t="s">
        <v>30</v>
      </c>
      <c r="M135" s="95">
        <v>6</v>
      </c>
      <c r="N135" s="30">
        <v>2200</v>
      </c>
      <c r="O135" s="30">
        <v>5</v>
      </c>
      <c r="P135" s="30">
        <v>12540</v>
      </c>
      <c r="Q135" s="30">
        <v>4</v>
      </c>
      <c r="R135" s="90" t="s">
        <v>31</v>
      </c>
      <c r="S135" s="30" t="s">
        <v>42</v>
      </c>
      <c r="T135" s="30" t="s">
        <v>61</v>
      </c>
      <c r="U135" s="30">
        <v>9426459149</v>
      </c>
      <c r="V135" s="36" t="s">
        <v>34</v>
      </c>
      <c r="W135" s="40" t="str">
        <f t="shared" si="6"/>
        <v>Mohit Verma</v>
      </c>
      <c r="X135" s="93" t="str">
        <f t="shared" si="7"/>
        <v>Home Appliances</v>
      </c>
      <c r="Y135" s="94" t="str">
        <f t="shared" si="8"/>
        <v>South</v>
      </c>
    </row>
    <row r="136" spans="1:25" ht="15" thickBot="1" x14ac:dyDescent="0.4">
      <c r="A136" s="90" t="s">
        <v>260</v>
      </c>
      <c r="B136" s="27" t="s">
        <v>45</v>
      </c>
      <c r="C136" s="27" t="s">
        <v>68</v>
      </c>
      <c r="D136" s="28">
        <v>45823</v>
      </c>
      <c r="E136" s="28">
        <v>45835</v>
      </c>
      <c r="F136" s="27" t="s">
        <v>101</v>
      </c>
      <c r="G136" s="27" t="s">
        <v>26</v>
      </c>
      <c r="H136" s="28">
        <v>37896</v>
      </c>
      <c r="I136" s="27" t="s">
        <v>37</v>
      </c>
      <c r="J136" s="27" t="s">
        <v>38</v>
      </c>
      <c r="K136" s="27" t="s">
        <v>29</v>
      </c>
      <c r="L136" s="27" t="s">
        <v>70</v>
      </c>
      <c r="M136" s="95">
        <v>3</v>
      </c>
      <c r="N136" s="27">
        <v>3500</v>
      </c>
      <c r="O136" s="27">
        <v>5</v>
      </c>
      <c r="P136" s="27">
        <v>9975</v>
      </c>
      <c r="Q136" s="27">
        <v>4</v>
      </c>
      <c r="R136" s="90" t="s">
        <v>41</v>
      </c>
      <c r="S136" s="27" t="s">
        <v>42</v>
      </c>
      <c r="T136" s="27" t="s">
        <v>51</v>
      </c>
      <c r="U136" s="27">
        <v>9155925975</v>
      </c>
      <c r="V136" s="37" t="s">
        <v>52</v>
      </c>
      <c r="W136" s="40" t="str">
        <f t="shared" si="6"/>
        <v>Pooja Shah</v>
      </c>
      <c r="X136" s="93" t="str">
        <f t="shared" si="7"/>
        <v>Home Appliances</v>
      </c>
      <c r="Y136" s="94" t="str">
        <f t="shared" si="8"/>
        <v>North</v>
      </c>
    </row>
    <row r="137" spans="1:25" ht="15" thickBot="1" x14ac:dyDescent="0.4">
      <c r="A137" s="90" t="s">
        <v>261</v>
      </c>
      <c r="B137" s="30" t="s">
        <v>55</v>
      </c>
      <c r="C137" s="30" t="s">
        <v>105</v>
      </c>
      <c r="D137" s="31">
        <v>45816</v>
      </c>
      <c r="E137" s="31">
        <v>45818</v>
      </c>
      <c r="F137" s="30" t="s">
        <v>57</v>
      </c>
      <c r="G137" s="30" t="s">
        <v>58</v>
      </c>
      <c r="H137" s="31">
        <v>35625</v>
      </c>
      <c r="I137" s="30" t="s">
        <v>27</v>
      </c>
      <c r="J137" s="30" t="s">
        <v>28</v>
      </c>
      <c r="K137" s="30" t="s">
        <v>29</v>
      </c>
      <c r="L137" s="30" t="s">
        <v>107</v>
      </c>
      <c r="M137" s="95">
        <v>5</v>
      </c>
      <c r="N137" s="30">
        <v>8500</v>
      </c>
      <c r="O137" s="30">
        <v>20</v>
      </c>
      <c r="P137" s="30">
        <v>34000</v>
      </c>
      <c r="Q137" s="30">
        <v>5</v>
      </c>
      <c r="R137" s="90" t="s">
        <v>31</v>
      </c>
      <c r="S137" s="30" t="s">
        <v>50</v>
      </c>
      <c r="T137" s="30" t="s">
        <v>61</v>
      </c>
      <c r="U137" s="30">
        <v>9945247701</v>
      </c>
      <c r="V137" s="38" t="s">
        <v>52</v>
      </c>
      <c r="W137" s="40" t="str">
        <f t="shared" si="6"/>
        <v>Mohit Verma</v>
      </c>
      <c r="X137" s="93" t="str">
        <f t="shared" si="7"/>
        <v>Home Appliances</v>
      </c>
      <c r="Y137" s="94" t="str">
        <f t="shared" si="8"/>
        <v>South</v>
      </c>
    </row>
    <row r="138" spans="1:25" ht="15" thickBot="1" x14ac:dyDescent="0.4">
      <c r="A138" s="90" t="s">
        <v>262</v>
      </c>
      <c r="B138" s="27" t="s">
        <v>23</v>
      </c>
      <c r="C138" s="27" t="s">
        <v>68</v>
      </c>
      <c r="D138" s="28">
        <v>45863</v>
      </c>
      <c r="E138" s="28">
        <v>45870</v>
      </c>
      <c r="F138" s="27" t="s">
        <v>25</v>
      </c>
      <c r="G138" s="27" t="s">
        <v>26</v>
      </c>
      <c r="H138" s="28">
        <v>29076</v>
      </c>
      <c r="I138" s="27" t="s">
        <v>48</v>
      </c>
      <c r="J138" s="27" t="s">
        <v>28</v>
      </c>
      <c r="K138" s="27" t="s">
        <v>29</v>
      </c>
      <c r="L138" s="27" t="s">
        <v>70</v>
      </c>
      <c r="M138" s="95">
        <v>14</v>
      </c>
      <c r="N138" s="27">
        <v>3500</v>
      </c>
      <c r="O138" s="27">
        <v>10</v>
      </c>
      <c r="P138" s="27">
        <v>44100</v>
      </c>
      <c r="Q138" s="27">
        <v>4</v>
      </c>
      <c r="R138" s="90" t="s">
        <v>65</v>
      </c>
      <c r="S138" s="27" t="s">
        <v>32</v>
      </c>
      <c r="T138" s="27" t="s">
        <v>43</v>
      </c>
      <c r="U138" s="27">
        <v>9597378398</v>
      </c>
      <c r="V138" s="37" t="s">
        <v>53</v>
      </c>
      <c r="W138" s="40" t="str">
        <f t="shared" si="6"/>
        <v>Kavya Nair</v>
      </c>
      <c r="X138" s="93" t="str">
        <f t="shared" si="7"/>
        <v>Home Appliances</v>
      </c>
      <c r="Y138" s="94" t="str">
        <f t="shared" si="8"/>
        <v>South</v>
      </c>
    </row>
    <row r="139" spans="1:25" ht="15" thickBot="1" x14ac:dyDescent="0.4">
      <c r="A139" s="90" t="s">
        <v>263</v>
      </c>
      <c r="B139" s="30" t="s">
        <v>156</v>
      </c>
      <c r="C139" s="30" t="s">
        <v>138</v>
      </c>
      <c r="D139" s="31">
        <v>45673</v>
      </c>
      <c r="E139" s="31">
        <v>45678</v>
      </c>
      <c r="F139" s="30" t="s">
        <v>106</v>
      </c>
      <c r="G139" s="30" t="s">
        <v>58</v>
      </c>
      <c r="H139" s="31">
        <v>37549</v>
      </c>
      <c r="I139" s="30" t="s">
        <v>91</v>
      </c>
      <c r="J139" s="30" t="s">
        <v>75</v>
      </c>
      <c r="K139" s="30" t="s">
        <v>83</v>
      </c>
      <c r="L139" s="30" t="s">
        <v>139</v>
      </c>
      <c r="M139" s="95">
        <v>8</v>
      </c>
      <c r="N139" s="30">
        <v>45</v>
      </c>
      <c r="O139" s="30">
        <v>0</v>
      </c>
      <c r="P139" s="30">
        <v>360</v>
      </c>
      <c r="Q139" s="30">
        <v>1</v>
      </c>
      <c r="R139" s="90" t="s">
        <v>60</v>
      </c>
      <c r="S139" s="30" t="s">
        <v>96</v>
      </c>
      <c r="T139" s="30" t="s">
        <v>158</v>
      </c>
      <c r="U139" s="30">
        <v>9343963736</v>
      </c>
      <c r="V139" s="38" t="s">
        <v>53</v>
      </c>
      <c r="W139" s="40" t="str">
        <f t="shared" si="6"/>
        <v>Amit Sharma</v>
      </c>
      <c r="X139" s="93" t="str">
        <f t="shared" si="7"/>
        <v>Stationery</v>
      </c>
      <c r="Y139" s="94" t="str">
        <f t="shared" si="8"/>
        <v>West</v>
      </c>
    </row>
    <row r="140" spans="1:25" ht="15" thickBot="1" x14ac:dyDescent="0.4">
      <c r="A140" s="90" t="s">
        <v>264</v>
      </c>
      <c r="B140" s="27" t="s">
        <v>124</v>
      </c>
      <c r="C140" s="27" t="s">
        <v>138</v>
      </c>
      <c r="D140" s="28">
        <v>45692</v>
      </c>
      <c r="E140" s="28">
        <v>45693</v>
      </c>
      <c r="F140" s="27" t="s">
        <v>126</v>
      </c>
      <c r="G140" s="27" t="s">
        <v>58</v>
      </c>
      <c r="H140" s="28">
        <v>31252</v>
      </c>
      <c r="I140" s="27" t="s">
        <v>37</v>
      </c>
      <c r="J140" s="27" t="s">
        <v>38</v>
      </c>
      <c r="K140" s="27" t="s">
        <v>83</v>
      </c>
      <c r="L140" s="27" t="s">
        <v>139</v>
      </c>
      <c r="M140" s="95">
        <v>11</v>
      </c>
      <c r="N140" s="27">
        <v>45</v>
      </c>
      <c r="O140" s="27">
        <v>5</v>
      </c>
      <c r="P140" s="27">
        <v>470.25</v>
      </c>
      <c r="Q140" s="27">
        <v>3</v>
      </c>
      <c r="R140" s="90" t="s">
        <v>60</v>
      </c>
      <c r="S140" s="27" t="s">
        <v>42</v>
      </c>
      <c r="T140" s="27" t="s">
        <v>128</v>
      </c>
      <c r="U140" s="27">
        <v>9548742147</v>
      </c>
      <c r="V140" s="35" t="s">
        <v>34</v>
      </c>
      <c r="W140" s="40" t="str">
        <f t="shared" si="6"/>
        <v>Vikas Mehta</v>
      </c>
      <c r="X140" s="93" t="str">
        <f t="shared" si="7"/>
        <v>Stationery</v>
      </c>
      <c r="Y140" s="94" t="str">
        <f t="shared" si="8"/>
        <v>North</v>
      </c>
    </row>
    <row r="141" spans="1:25" ht="15" thickBot="1" x14ac:dyDescent="0.4">
      <c r="A141" s="90" t="s">
        <v>265</v>
      </c>
      <c r="B141" s="30" t="s">
        <v>63</v>
      </c>
      <c r="C141" s="30" t="s">
        <v>46</v>
      </c>
      <c r="D141" s="31">
        <v>45679</v>
      </c>
      <c r="E141" s="31">
        <v>45687</v>
      </c>
      <c r="F141" s="30" t="s">
        <v>110</v>
      </c>
      <c r="G141" s="30" t="s">
        <v>58</v>
      </c>
      <c r="H141" s="31">
        <v>32378</v>
      </c>
      <c r="I141" s="30" t="s">
        <v>91</v>
      </c>
      <c r="J141" s="30" t="s">
        <v>75</v>
      </c>
      <c r="K141" s="30" t="s">
        <v>39</v>
      </c>
      <c r="L141" s="30" t="s">
        <v>49</v>
      </c>
      <c r="M141" s="95">
        <v>19</v>
      </c>
      <c r="N141" s="30">
        <v>55000</v>
      </c>
      <c r="O141" s="30">
        <v>0</v>
      </c>
      <c r="P141" s="30">
        <v>1045000</v>
      </c>
      <c r="Q141" s="30">
        <v>2</v>
      </c>
      <c r="R141" s="90" t="s">
        <v>60</v>
      </c>
      <c r="S141" s="30" t="s">
        <v>32</v>
      </c>
      <c r="T141" s="30" t="s">
        <v>66</v>
      </c>
      <c r="U141" s="30">
        <v>9912945471</v>
      </c>
      <c r="V141" s="38" t="s">
        <v>53</v>
      </c>
      <c r="W141" s="40" t="str">
        <f t="shared" si="6"/>
        <v>Arjun Rao</v>
      </c>
      <c r="X141" s="93" t="str">
        <f t="shared" si="7"/>
        <v>Electronics</v>
      </c>
      <c r="Y141" s="94" t="str">
        <f t="shared" si="8"/>
        <v>West</v>
      </c>
    </row>
    <row r="142" spans="1:25" ht="15" thickBot="1" x14ac:dyDescent="0.4">
      <c r="A142" s="90" t="s">
        <v>266</v>
      </c>
      <c r="B142" s="27" t="s">
        <v>45</v>
      </c>
      <c r="C142" s="27" t="s">
        <v>68</v>
      </c>
      <c r="D142" s="28">
        <v>45758</v>
      </c>
      <c r="E142" s="28">
        <v>45765</v>
      </c>
      <c r="F142" s="27" t="s">
        <v>101</v>
      </c>
      <c r="G142" s="27" t="s">
        <v>26</v>
      </c>
      <c r="H142" s="28">
        <v>28864</v>
      </c>
      <c r="I142" s="27" t="s">
        <v>79</v>
      </c>
      <c r="J142" s="27" t="s">
        <v>75</v>
      </c>
      <c r="K142" s="27" t="s">
        <v>29</v>
      </c>
      <c r="L142" s="27" t="s">
        <v>70</v>
      </c>
      <c r="M142" s="95">
        <v>20</v>
      </c>
      <c r="N142" s="27">
        <v>3500</v>
      </c>
      <c r="O142" s="27">
        <v>20</v>
      </c>
      <c r="P142" s="27">
        <v>56000</v>
      </c>
      <c r="Q142" s="27">
        <v>4</v>
      </c>
      <c r="R142" s="90" t="s">
        <v>41</v>
      </c>
      <c r="S142" s="27" t="s">
        <v>42</v>
      </c>
      <c r="T142" s="27" t="s">
        <v>51</v>
      </c>
      <c r="U142" s="27">
        <v>9912630684</v>
      </c>
      <c r="V142" s="35" t="s">
        <v>34</v>
      </c>
      <c r="W142" s="40" t="str">
        <f t="shared" si="6"/>
        <v>Pooja Shah</v>
      </c>
      <c r="X142" s="93" t="str">
        <f t="shared" si="7"/>
        <v>Home Appliances</v>
      </c>
      <c r="Y142" s="94" t="str">
        <f t="shared" si="8"/>
        <v>West</v>
      </c>
    </row>
    <row r="143" spans="1:25" ht="15" thickBot="1" x14ac:dyDescent="0.4">
      <c r="A143" s="90" t="s">
        <v>267</v>
      </c>
      <c r="B143" s="30" t="s">
        <v>63</v>
      </c>
      <c r="C143" s="30" t="s">
        <v>24</v>
      </c>
      <c r="D143" s="31">
        <v>45842</v>
      </c>
      <c r="E143" s="31">
        <v>45852</v>
      </c>
      <c r="F143" s="30" t="s">
        <v>110</v>
      </c>
      <c r="G143" s="30" t="s">
        <v>58</v>
      </c>
      <c r="H143" s="31">
        <v>31649</v>
      </c>
      <c r="I143" s="30" t="s">
        <v>79</v>
      </c>
      <c r="J143" s="30" t="s">
        <v>75</v>
      </c>
      <c r="K143" s="30" t="s">
        <v>29</v>
      </c>
      <c r="L143" s="30" t="s">
        <v>30</v>
      </c>
      <c r="M143" s="95">
        <v>17</v>
      </c>
      <c r="N143" s="30">
        <v>2200</v>
      </c>
      <c r="O143" s="30">
        <v>0</v>
      </c>
      <c r="P143" s="30">
        <v>37400</v>
      </c>
      <c r="Q143" s="30">
        <v>5</v>
      </c>
      <c r="R143" s="90" t="s">
        <v>41</v>
      </c>
      <c r="S143" s="30" t="s">
        <v>32</v>
      </c>
      <c r="T143" s="30" t="s">
        <v>66</v>
      </c>
      <c r="U143" s="30">
        <v>9114017237</v>
      </c>
      <c r="V143" s="38" t="s">
        <v>52</v>
      </c>
      <c r="W143" s="40" t="str">
        <f t="shared" si="6"/>
        <v>Arjun Rao</v>
      </c>
      <c r="X143" s="93" t="str">
        <f t="shared" si="7"/>
        <v>Home Appliances</v>
      </c>
      <c r="Y143" s="94" t="str">
        <f t="shared" si="8"/>
        <v>West</v>
      </c>
    </row>
    <row r="144" spans="1:25" ht="15" thickBot="1" x14ac:dyDescent="0.4">
      <c r="A144" s="90" t="s">
        <v>268</v>
      </c>
      <c r="B144" s="27" t="s">
        <v>63</v>
      </c>
      <c r="C144" s="27" t="s">
        <v>56</v>
      </c>
      <c r="D144" s="28">
        <v>45679</v>
      </c>
      <c r="E144" s="28">
        <v>45686</v>
      </c>
      <c r="F144" s="27" t="s">
        <v>110</v>
      </c>
      <c r="G144" s="27" t="s">
        <v>58</v>
      </c>
      <c r="H144" s="28">
        <v>28216</v>
      </c>
      <c r="I144" s="27" t="s">
        <v>79</v>
      </c>
      <c r="J144" s="27" t="s">
        <v>75</v>
      </c>
      <c r="K144" s="27" t="s">
        <v>39</v>
      </c>
      <c r="L144" s="27" t="s">
        <v>59</v>
      </c>
      <c r="M144" s="95">
        <v>10</v>
      </c>
      <c r="N144" s="27">
        <v>1200</v>
      </c>
      <c r="O144" s="27">
        <v>5</v>
      </c>
      <c r="P144" s="27">
        <v>11400</v>
      </c>
      <c r="Q144" s="27">
        <v>2</v>
      </c>
      <c r="R144" s="90" t="s">
        <v>31</v>
      </c>
      <c r="S144" s="27" t="s">
        <v>42</v>
      </c>
      <c r="T144" s="27" t="s">
        <v>66</v>
      </c>
      <c r="U144" s="27">
        <v>9872471236</v>
      </c>
      <c r="V144" s="37" t="s">
        <v>53</v>
      </c>
      <c r="W144" s="40" t="str">
        <f t="shared" si="6"/>
        <v>Arjun Rao</v>
      </c>
      <c r="X144" s="93" t="str">
        <f t="shared" si="7"/>
        <v>Electronics</v>
      </c>
      <c r="Y144" s="94" t="str">
        <f t="shared" si="8"/>
        <v>West</v>
      </c>
    </row>
    <row r="145" spans="1:25" ht="15" thickBot="1" x14ac:dyDescent="0.4">
      <c r="A145" s="90" t="s">
        <v>269</v>
      </c>
      <c r="B145" s="30" t="s">
        <v>124</v>
      </c>
      <c r="C145" s="30" t="s">
        <v>82</v>
      </c>
      <c r="D145" s="31">
        <v>46008</v>
      </c>
      <c r="E145" s="31">
        <v>46009</v>
      </c>
      <c r="F145" s="30" t="s">
        <v>126</v>
      </c>
      <c r="G145" s="30" t="s">
        <v>58</v>
      </c>
      <c r="H145" s="31">
        <v>30532</v>
      </c>
      <c r="I145" s="30" t="s">
        <v>27</v>
      </c>
      <c r="J145" s="30" t="s">
        <v>28</v>
      </c>
      <c r="K145" s="30" t="s">
        <v>83</v>
      </c>
      <c r="L145" s="30" t="s">
        <v>84</v>
      </c>
      <c r="M145" s="95">
        <v>3</v>
      </c>
      <c r="N145" s="30">
        <v>60</v>
      </c>
      <c r="O145" s="30">
        <v>0</v>
      </c>
      <c r="P145" s="30">
        <v>180</v>
      </c>
      <c r="Q145" s="30">
        <v>4</v>
      </c>
      <c r="R145" s="90" t="s">
        <v>41</v>
      </c>
      <c r="S145" s="30" t="s">
        <v>96</v>
      </c>
      <c r="T145" s="30" t="s">
        <v>128</v>
      </c>
      <c r="U145" s="30">
        <v>9461383824</v>
      </c>
      <c r="V145" s="36" t="s">
        <v>34</v>
      </c>
      <c r="W145" s="40" t="str">
        <f t="shared" si="6"/>
        <v>Vikas Mehta</v>
      </c>
      <c r="X145" s="93" t="str">
        <f t="shared" si="7"/>
        <v>Stationery</v>
      </c>
      <c r="Y145" s="94" t="str">
        <f t="shared" si="8"/>
        <v>South</v>
      </c>
    </row>
    <row r="146" spans="1:25" ht="15" thickBot="1" x14ac:dyDescent="0.4">
      <c r="A146" s="90" t="s">
        <v>270</v>
      </c>
      <c r="B146" s="27" t="s">
        <v>45</v>
      </c>
      <c r="C146" s="27" t="s">
        <v>24</v>
      </c>
      <c r="D146" s="28">
        <v>45940</v>
      </c>
      <c r="E146" s="28">
        <v>45951</v>
      </c>
      <c r="F146" s="27" t="s">
        <v>101</v>
      </c>
      <c r="G146" s="27" t="s">
        <v>26</v>
      </c>
      <c r="H146" s="28">
        <v>28587</v>
      </c>
      <c r="I146" s="27" t="s">
        <v>74</v>
      </c>
      <c r="J146" s="27" t="s">
        <v>75</v>
      </c>
      <c r="K146" s="27" t="s">
        <v>29</v>
      </c>
      <c r="L146" s="27" t="s">
        <v>30</v>
      </c>
      <c r="M146" s="95">
        <v>18</v>
      </c>
      <c r="N146" s="27">
        <v>2200</v>
      </c>
      <c r="O146" s="27">
        <v>10</v>
      </c>
      <c r="P146" s="27">
        <v>35640</v>
      </c>
      <c r="Q146" s="27">
        <v>1</v>
      </c>
      <c r="R146" s="90" t="s">
        <v>60</v>
      </c>
      <c r="S146" s="27" t="s">
        <v>96</v>
      </c>
      <c r="T146" s="27" t="s">
        <v>51</v>
      </c>
      <c r="U146" s="27">
        <v>9243407457</v>
      </c>
      <c r="V146" s="37" t="s">
        <v>53</v>
      </c>
      <c r="W146" s="40" t="str">
        <f t="shared" si="6"/>
        <v>Pooja Shah</v>
      </c>
      <c r="X146" s="93" t="str">
        <f t="shared" si="7"/>
        <v>Home Appliances</v>
      </c>
      <c r="Y146" s="94" t="str">
        <f t="shared" si="8"/>
        <v>West</v>
      </c>
    </row>
    <row r="147" spans="1:25" ht="15" thickBot="1" x14ac:dyDescent="0.4">
      <c r="A147" s="90" t="s">
        <v>271</v>
      </c>
      <c r="B147" s="30" t="s">
        <v>55</v>
      </c>
      <c r="C147" s="30" t="s">
        <v>82</v>
      </c>
      <c r="D147" s="31">
        <v>46088</v>
      </c>
      <c r="E147" s="31">
        <v>46091</v>
      </c>
      <c r="F147" s="30" t="s">
        <v>57</v>
      </c>
      <c r="G147" s="30" t="s">
        <v>58</v>
      </c>
      <c r="H147" s="31">
        <v>30379</v>
      </c>
      <c r="I147" s="30" t="s">
        <v>37</v>
      </c>
      <c r="J147" s="30" t="s">
        <v>38</v>
      </c>
      <c r="K147" s="30" t="s">
        <v>83</v>
      </c>
      <c r="L147" s="30" t="s">
        <v>84</v>
      </c>
      <c r="M147" s="95">
        <v>18</v>
      </c>
      <c r="N147" s="30">
        <v>60</v>
      </c>
      <c r="O147" s="30">
        <v>5</v>
      </c>
      <c r="P147" s="30">
        <v>1026</v>
      </c>
      <c r="Q147" s="30">
        <v>3</v>
      </c>
      <c r="R147" s="90" t="s">
        <v>60</v>
      </c>
      <c r="S147" s="30" t="s">
        <v>42</v>
      </c>
      <c r="T147" s="30" t="s">
        <v>61</v>
      </c>
      <c r="U147" s="30">
        <v>9418672379</v>
      </c>
      <c r="V147" s="38" t="s">
        <v>52</v>
      </c>
      <c r="W147" s="40" t="str">
        <f t="shared" si="6"/>
        <v>Mohit Verma</v>
      </c>
      <c r="X147" s="93" t="str">
        <f t="shared" si="7"/>
        <v>Stationery</v>
      </c>
      <c r="Y147" s="94" t="str">
        <f t="shared" si="8"/>
        <v>North</v>
      </c>
    </row>
    <row r="148" spans="1:25" ht="15" thickBot="1" x14ac:dyDescent="0.4">
      <c r="A148" s="90" t="s">
        <v>272</v>
      </c>
      <c r="B148" s="27" t="s">
        <v>87</v>
      </c>
      <c r="C148" s="27" t="s">
        <v>46</v>
      </c>
      <c r="D148" s="28">
        <v>45885</v>
      </c>
      <c r="E148" s="28">
        <v>45892</v>
      </c>
      <c r="F148" s="27" t="s">
        <v>88</v>
      </c>
      <c r="G148" s="27" t="s">
        <v>58</v>
      </c>
      <c r="H148" s="28">
        <v>32077</v>
      </c>
      <c r="I148" s="27" t="s">
        <v>79</v>
      </c>
      <c r="J148" s="27" t="s">
        <v>75</v>
      </c>
      <c r="K148" s="27" t="s">
        <v>39</v>
      </c>
      <c r="L148" s="27" t="s">
        <v>49</v>
      </c>
      <c r="M148" s="95">
        <v>11</v>
      </c>
      <c r="N148" s="27">
        <v>55000</v>
      </c>
      <c r="O148" s="27">
        <v>15</v>
      </c>
      <c r="P148" s="27">
        <v>514250</v>
      </c>
      <c r="Q148" s="27">
        <v>4</v>
      </c>
      <c r="R148" s="90" t="s">
        <v>65</v>
      </c>
      <c r="S148" s="27" t="s">
        <v>80</v>
      </c>
      <c r="T148" s="27" t="s">
        <v>89</v>
      </c>
      <c r="U148" s="27">
        <v>9222733065</v>
      </c>
      <c r="V148" s="37" t="s">
        <v>53</v>
      </c>
      <c r="W148" s="40" t="str">
        <f t="shared" si="6"/>
        <v>Rohit Singh</v>
      </c>
      <c r="X148" s="93" t="str">
        <f t="shared" si="7"/>
        <v>Electronics</v>
      </c>
      <c r="Y148" s="94" t="str">
        <f t="shared" si="8"/>
        <v>West</v>
      </c>
    </row>
    <row r="149" spans="1:25" ht="15" thickBot="1" x14ac:dyDescent="0.4">
      <c r="A149" s="90" t="s">
        <v>273</v>
      </c>
      <c r="B149" s="30" t="s">
        <v>134</v>
      </c>
      <c r="C149" s="30" t="s">
        <v>105</v>
      </c>
      <c r="D149" s="31">
        <v>46014</v>
      </c>
      <c r="E149" s="31">
        <v>46025</v>
      </c>
      <c r="F149" s="30" t="s">
        <v>135</v>
      </c>
      <c r="G149" s="30" t="s">
        <v>26</v>
      </c>
      <c r="H149" s="31">
        <v>37730</v>
      </c>
      <c r="I149" s="30" t="s">
        <v>147</v>
      </c>
      <c r="J149" s="30" t="s">
        <v>148</v>
      </c>
      <c r="K149" s="30" t="s">
        <v>29</v>
      </c>
      <c r="L149" s="30" t="s">
        <v>107</v>
      </c>
      <c r="M149" s="95">
        <v>5</v>
      </c>
      <c r="N149" s="30">
        <v>8500</v>
      </c>
      <c r="O149" s="30">
        <v>5</v>
      </c>
      <c r="P149" s="30">
        <v>40375</v>
      </c>
      <c r="Q149" s="30">
        <v>4</v>
      </c>
      <c r="R149" s="90" t="s">
        <v>31</v>
      </c>
      <c r="S149" s="30" t="s">
        <v>96</v>
      </c>
      <c r="T149" s="30" t="s">
        <v>136</v>
      </c>
      <c r="U149" s="30">
        <v>9684246902</v>
      </c>
      <c r="V149" s="36" t="s">
        <v>34</v>
      </c>
      <c r="W149" s="40" t="str">
        <f t="shared" si="6"/>
        <v>Sneha Joshi</v>
      </c>
      <c r="X149" s="93" t="str">
        <f t="shared" si="7"/>
        <v>Home Appliances</v>
      </c>
      <c r="Y149" s="94" t="str">
        <f t="shared" si="8"/>
        <v>East</v>
      </c>
    </row>
    <row r="150" spans="1:25" ht="15" thickBot="1" x14ac:dyDescent="0.4">
      <c r="A150" s="90" t="s">
        <v>274</v>
      </c>
      <c r="B150" s="27" t="s">
        <v>72</v>
      </c>
      <c r="C150" s="27" t="s">
        <v>112</v>
      </c>
      <c r="D150" s="28">
        <v>45908</v>
      </c>
      <c r="E150" s="28">
        <v>45919</v>
      </c>
      <c r="F150" s="27" t="s">
        <v>73</v>
      </c>
      <c r="G150" s="27" t="s">
        <v>26</v>
      </c>
      <c r="H150" s="28">
        <v>37301</v>
      </c>
      <c r="I150" s="27" t="s">
        <v>121</v>
      </c>
      <c r="J150" s="27" t="s">
        <v>38</v>
      </c>
      <c r="K150" s="27" t="s">
        <v>39</v>
      </c>
      <c r="L150" s="27" t="s">
        <v>114</v>
      </c>
      <c r="M150" s="95">
        <v>16</v>
      </c>
      <c r="N150" s="27">
        <v>700</v>
      </c>
      <c r="O150" s="27">
        <v>15</v>
      </c>
      <c r="P150" s="27">
        <v>9520</v>
      </c>
      <c r="Q150" s="27">
        <v>4</v>
      </c>
      <c r="R150" s="90" t="s">
        <v>60</v>
      </c>
      <c r="S150" s="27" t="s">
        <v>50</v>
      </c>
      <c r="T150" s="27" t="s">
        <v>93</v>
      </c>
      <c r="U150" s="27">
        <v>9989580228</v>
      </c>
      <c r="V150" s="35" t="s">
        <v>34</v>
      </c>
      <c r="W150" s="40" t="str">
        <f t="shared" si="6"/>
        <v>Priya Patel</v>
      </c>
      <c r="X150" s="93" t="str">
        <f t="shared" si="7"/>
        <v>Electronics</v>
      </c>
      <c r="Y150" s="94" t="str">
        <f t="shared" si="8"/>
        <v>North</v>
      </c>
    </row>
    <row r="151" spans="1:25" ht="15" thickBot="1" x14ac:dyDescent="0.4">
      <c r="A151" s="90" t="s">
        <v>275</v>
      </c>
      <c r="B151" s="30" t="s">
        <v>87</v>
      </c>
      <c r="C151" s="30" t="s">
        <v>112</v>
      </c>
      <c r="D151" s="31">
        <v>45845</v>
      </c>
      <c r="E151" s="31">
        <v>45851</v>
      </c>
      <c r="F151" s="30" t="s">
        <v>88</v>
      </c>
      <c r="G151" s="30" t="s">
        <v>58</v>
      </c>
      <c r="H151" s="31">
        <v>27580</v>
      </c>
      <c r="I151" s="30" t="s">
        <v>79</v>
      </c>
      <c r="J151" s="30" t="s">
        <v>75</v>
      </c>
      <c r="K151" s="30" t="s">
        <v>39</v>
      </c>
      <c r="L151" s="30" t="s">
        <v>114</v>
      </c>
      <c r="M151" s="95">
        <v>6</v>
      </c>
      <c r="N151" s="30">
        <v>700</v>
      </c>
      <c r="O151" s="30">
        <v>10</v>
      </c>
      <c r="P151" s="30">
        <v>3780</v>
      </c>
      <c r="Q151" s="30">
        <v>4</v>
      </c>
      <c r="R151" s="90" t="s">
        <v>31</v>
      </c>
      <c r="S151" s="30" t="s">
        <v>42</v>
      </c>
      <c r="T151" s="30" t="s">
        <v>89</v>
      </c>
      <c r="U151" s="30">
        <v>9110269572</v>
      </c>
      <c r="V151" s="38" t="s">
        <v>53</v>
      </c>
      <c r="W151" s="40" t="str">
        <f t="shared" si="6"/>
        <v>Rohit Singh</v>
      </c>
      <c r="X151" s="93" t="str">
        <f t="shared" si="7"/>
        <v>Electronics</v>
      </c>
      <c r="Y151" s="94" t="str">
        <f t="shared" si="8"/>
        <v>West</v>
      </c>
    </row>
    <row r="152" spans="1:25" ht="15" thickBot="1" x14ac:dyDescent="0.4">
      <c r="A152" s="90" t="s">
        <v>276</v>
      </c>
      <c r="B152" s="27" t="s">
        <v>45</v>
      </c>
      <c r="C152" s="27" t="s">
        <v>68</v>
      </c>
      <c r="D152" s="28">
        <v>46145</v>
      </c>
      <c r="E152" s="28">
        <v>46157</v>
      </c>
      <c r="F152" s="27" t="s">
        <v>101</v>
      </c>
      <c r="G152" s="27" t="s">
        <v>26</v>
      </c>
      <c r="H152" s="28">
        <v>33668</v>
      </c>
      <c r="I152" s="27" t="s">
        <v>37</v>
      </c>
      <c r="J152" s="27" t="s">
        <v>38</v>
      </c>
      <c r="K152" s="27" t="s">
        <v>29</v>
      </c>
      <c r="L152" s="27" t="s">
        <v>70</v>
      </c>
      <c r="M152" s="95">
        <v>20</v>
      </c>
      <c r="N152" s="27">
        <v>3500</v>
      </c>
      <c r="O152" s="27">
        <v>10</v>
      </c>
      <c r="P152" s="27">
        <v>63000</v>
      </c>
      <c r="Q152" s="27">
        <v>4</v>
      </c>
      <c r="R152" s="90" t="s">
        <v>65</v>
      </c>
      <c r="S152" s="27" t="s">
        <v>42</v>
      </c>
      <c r="T152" s="27" t="s">
        <v>51</v>
      </c>
      <c r="U152" s="27">
        <v>9745972422</v>
      </c>
      <c r="V152" s="37" t="s">
        <v>52</v>
      </c>
      <c r="W152" s="40" t="str">
        <f t="shared" si="6"/>
        <v>Pooja Shah</v>
      </c>
      <c r="X152" s="93" t="str">
        <f t="shared" si="7"/>
        <v>Home Appliances</v>
      </c>
      <c r="Y152" s="94" t="str">
        <f t="shared" si="8"/>
        <v>North</v>
      </c>
    </row>
    <row r="153" spans="1:25" ht="15" thickBot="1" x14ac:dyDescent="0.4">
      <c r="A153" s="90" t="s">
        <v>277</v>
      </c>
      <c r="B153" s="30" t="s">
        <v>23</v>
      </c>
      <c r="C153" s="30" t="s">
        <v>125</v>
      </c>
      <c r="D153" s="31">
        <v>45990</v>
      </c>
      <c r="E153" s="31">
        <v>45998</v>
      </c>
      <c r="F153" s="30" t="s">
        <v>25</v>
      </c>
      <c r="G153" s="30" t="s">
        <v>26</v>
      </c>
      <c r="H153" s="31">
        <v>35949</v>
      </c>
      <c r="I153" s="30" t="s">
        <v>48</v>
      </c>
      <c r="J153" s="30" t="s">
        <v>28</v>
      </c>
      <c r="K153" s="30" t="s">
        <v>83</v>
      </c>
      <c r="L153" s="30" t="s">
        <v>127</v>
      </c>
      <c r="M153" s="95">
        <v>2</v>
      </c>
      <c r="N153" s="30">
        <v>20</v>
      </c>
      <c r="O153" s="30">
        <v>10</v>
      </c>
      <c r="P153" s="30">
        <v>36</v>
      </c>
      <c r="Q153" s="30">
        <v>1</v>
      </c>
      <c r="R153" s="90" t="s">
        <v>41</v>
      </c>
      <c r="S153" s="30" t="s">
        <v>80</v>
      </c>
      <c r="T153" s="30" t="s">
        <v>43</v>
      </c>
      <c r="U153" s="30">
        <v>9123712257</v>
      </c>
      <c r="V153" s="38" t="s">
        <v>52</v>
      </c>
      <c r="W153" s="40" t="str">
        <f t="shared" si="6"/>
        <v>Kavya Nair</v>
      </c>
      <c r="X153" s="93" t="str">
        <f t="shared" si="7"/>
        <v>Stationery</v>
      </c>
      <c r="Y153" s="94" t="str">
        <f t="shared" si="8"/>
        <v>South</v>
      </c>
    </row>
    <row r="154" spans="1:25" ht="15" thickBot="1" x14ac:dyDescent="0.4">
      <c r="A154" s="90" t="s">
        <v>278</v>
      </c>
      <c r="B154" s="27" t="s">
        <v>72</v>
      </c>
      <c r="C154" s="27" t="s">
        <v>24</v>
      </c>
      <c r="D154" s="28">
        <v>45852</v>
      </c>
      <c r="E154" s="28">
        <v>45857</v>
      </c>
      <c r="F154" s="27" t="s">
        <v>73</v>
      </c>
      <c r="G154" s="27" t="s">
        <v>26</v>
      </c>
      <c r="H154" s="28">
        <v>35336</v>
      </c>
      <c r="I154" s="27" t="s">
        <v>79</v>
      </c>
      <c r="J154" s="27" t="s">
        <v>75</v>
      </c>
      <c r="K154" s="27" t="s">
        <v>29</v>
      </c>
      <c r="L154" s="27" t="s">
        <v>30</v>
      </c>
      <c r="M154" s="95">
        <v>16</v>
      </c>
      <c r="N154" s="27">
        <v>2200</v>
      </c>
      <c r="O154" s="27">
        <v>20</v>
      </c>
      <c r="P154" s="27">
        <v>28160</v>
      </c>
      <c r="Q154" s="27">
        <v>2</v>
      </c>
      <c r="R154" s="90" t="s">
        <v>65</v>
      </c>
      <c r="S154" s="27" t="s">
        <v>96</v>
      </c>
      <c r="T154" s="27" t="s">
        <v>93</v>
      </c>
      <c r="U154" s="27">
        <v>9665525431</v>
      </c>
      <c r="V154" s="37" t="s">
        <v>52</v>
      </c>
      <c r="W154" s="40" t="str">
        <f t="shared" si="6"/>
        <v>Priya Patel</v>
      </c>
      <c r="X154" s="93" t="str">
        <f t="shared" si="7"/>
        <v>Home Appliances</v>
      </c>
      <c r="Y154" s="94" t="str">
        <f t="shared" si="8"/>
        <v>West</v>
      </c>
    </row>
    <row r="155" spans="1:25" ht="15" thickBot="1" x14ac:dyDescent="0.4">
      <c r="A155" s="90" t="s">
        <v>279</v>
      </c>
      <c r="B155" s="30" t="s">
        <v>124</v>
      </c>
      <c r="C155" s="30" t="s">
        <v>36</v>
      </c>
      <c r="D155" s="31">
        <v>45729</v>
      </c>
      <c r="E155" s="31">
        <v>45739</v>
      </c>
      <c r="F155" s="30" t="s">
        <v>126</v>
      </c>
      <c r="G155" s="30" t="s">
        <v>58</v>
      </c>
      <c r="H155" s="31">
        <v>35048</v>
      </c>
      <c r="I155" s="30" t="s">
        <v>79</v>
      </c>
      <c r="J155" s="30" t="s">
        <v>75</v>
      </c>
      <c r="K155" s="30" t="s">
        <v>39</v>
      </c>
      <c r="L155" s="30" t="s">
        <v>40</v>
      </c>
      <c r="M155" s="95">
        <v>15</v>
      </c>
      <c r="N155" s="30">
        <v>12000</v>
      </c>
      <c r="O155" s="30">
        <v>0</v>
      </c>
      <c r="P155" s="30">
        <v>180000</v>
      </c>
      <c r="Q155" s="30">
        <v>1</v>
      </c>
      <c r="R155" s="90" t="s">
        <v>60</v>
      </c>
      <c r="S155" s="30" t="s">
        <v>50</v>
      </c>
      <c r="T155" s="30" t="s">
        <v>128</v>
      </c>
      <c r="U155" s="30">
        <v>9682415134</v>
      </c>
      <c r="V155" s="38" t="s">
        <v>52</v>
      </c>
      <c r="W155" s="40" t="str">
        <f t="shared" si="6"/>
        <v>Vikas Mehta</v>
      </c>
      <c r="X155" s="93" t="str">
        <f t="shared" si="7"/>
        <v>Electronics</v>
      </c>
      <c r="Y155" s="94" t="str">
        <f t="shared" si="8"/>
        <v>West</v>
      </c>
    </row>
    <row r="156" spans="1:25" ht="15" thickBot="1" x14ac:dyDescent="0.4">
      <c r="A156" s="90" t="s">
        <v>280</v>
      </c>
      <c r="B156" s="27" t="s">
        <v>23</v>
      </c>
      <c r="C156" s="27" t="s">
        <v>82</v>
      </c>
      <c r="D156" s="28">
        <v>45860</v>
      </c>
      <c r="E156" s="28">
        <v>45861</v>
      </c>
      <c r="F156" s="27" t="s">
        <v>25</v>
      </c>
      <c r="G156" s="27" t="s">
        <v>26</v>
      </c>
      <c r="H156" s="28">
        <v>27965</v>
      </c>
      <c r="I156" s="27" t="s">
        <v>37</v>
      </c>
      <c r="J156" s="27" t="s">
        <v>38</v>
      </c>
      <c r="K156" s="27" t="s">
        <v>83</v>
      </c>
      <c r="L156" s="27" t="s">
        <v>84</v>
      </c>
      <c r="M156" s="95">
        <v>14</v>
      </c>
      <c r="N156" s="27">
        <v>60</v>
      </c>
      <c r="O156" s="27">
        <v>15</v>
      </c>
      <c r="P156" s="27">
        <v>714</v>
      </c>
      <c r="Q156" s="27">
        <v>4</v>
      </c>
      <c r="R156" s="90" t="s">
        <v>65</v>
      </c>
      <c r="S156" s="27" t="s">
        <v>42</v>
      </c>
      <c r="T156" s="27" t="s">
        <v>43</v>
      </c>
      <c r="U156" s="27">
        <v>9808223872</v>
      </c>
      <c r="V156" s="35" t="s">
        <v>34</v>
      </c>
      <c r="W156" s="40" t="str">
        <f t="shared" si="6"/>
        <v>Kavya Nair</v>
      </c>
      <c r="X156" s="93" t="str">
        <f t="shared" si="7"/>
        <v>Stationery</v>
      </c>
      <c r="Y156" s="94" t="str">
        <f t="shared" si="8"/>
        <v>North</v>
      </c>
    </row>
    <row r="157" spans="1:25" ht="15" thickBot="1" x14ac:dyDescent="0.4">
      <c r="A157" s="90" t="s">
        <v>281</v>
      </c>
      <c r="B157" s="30" t="s">
        <v>45</v>
      </c>
      <c r="C157" s="30" t="s">
        <v>56</v>
      </c>
      <c r="D157" s="31">
        <v>45859</v>
      </c>
      <c r="E157" s="31">
        <v>45862</v>
      </c>
      <c r="F157" s="30" t="s">
        <v>101</v>
      </c>
      <c r="G157" s="30" t="s">
        <v>26</v>
      </c>
      <c r="H157" s="31">
        <v>30855</v>
      </c>
      <c r="I157" s="30" t="s">
        <v>27</v>
      </c>
      <c r="J157" s="30" t="s">
        <v>28</v>
      </c>
      <c r="K157" s="30" t="s">
        <v>39</v>
      </c>
      <c r="L157" s="30" t="s">
        <v>59</v>
      </c>
      <c r="M157" s="95">
        <v>9</v>
      </c>
      <c r="N157" s="30">
        <v>1200</v>
      </c>
      <c r="O157" s="30">
        <v>5</v>
      </c>
      <c r="P157" s="30">
        <v>10260</v>
      </c>
      <c r="Q157" s="30">
        <v>5</v>
      </c>
      <c r="R157" s="90" t="s">
        <v>41</v>
      </c>
      <c r="S157" s="30" t="s">
        <v>50</v>
      </c>
      <c r="T157" s="30" t="s">
        <v>51</v>
      </c>
      <c r="U157" s="30">
        <v>9193549730</v>
      </c>
      <c r="V157" s="38" t="s">
        <v>52</v>
      </c>
      <c r="W157" s="40" t="str">
        <f t="shared" si="6"/>
        <v>Pooja Shah</v>
      </c>
      <c r="X157" s="93" t="str">
        <f t="shared" si="7"/>
        <v>Electronics</v>
      </c>
      <c r="Y157" s="94" t="str">
        <f t="shared" si="8"/>
        <v>South</v>
      </c>
    </row>
    <row r="158" spans="1:25" ht="15" thickBot="1" x14ac:dyDescent="0.4">
      <c r="A158" s="90" t="s">
        <v>282</v>
      </c>
      <c r="B158" s="27" t="s">
        <v>124</v>
      </c>
      <c r="C158" s="27" t="s">
        <v>56</v>
      </c>
      <c r="D158" s="28">
        <v>45857</v>
      </c>
      <c r="E158" s="28">
        <v>45867</v>
      </c>
      <c r="F158" s="27" t="s">
        <v>126</v>
      </c>
      <c r="G158" s="27" t="s">
        <v>58</v>
      </c>
      <c r="H158" s="28">
        <v>36013</v>
      </c>
      <c r="I158" s="27" t="s">
        <v>147</v>
      </c>
      <c r="J158" s="27" t="s">
        <v>148</v>
      </c>
      <c r="K158" s="27" t="s">
        <v>39</v>
      </c>
      <c r="L158" s="27" t="s">
        <v>59</v>
      </c>
      <c r="M158" s="95">
        <v>3</v>
      </c>
      <c r="N158" s="27">
        <v>1200</v>
      </c>
      <c r="O158" s="27">
        <v>10</v>
      </c>
      <c r="P158" s="27">
        <v>3240</v>
      </c>
      <c r="Q158" s="27">
        <v>2</v>
      </c>
      <c r="R158" s="90" t="s">
        <v>60</v>
      </c>
      <c r="S158" s="27" t="s">
        <v>96</v>
      </c>
      <c r="T158" s="27" t="s">
        <v>128</v>
      </c>
      <c r="U158" s="27">
        <v>9520617130</v>
      </c>
      <c r="V158" s="37" t="s">
        <v>53</v>
      </c>
      <c r="W158" s="40" t="str">
        <f t="shared" si="6"/>
        <v>Vikas Mehta</v>
      </c>
      <c r="X158" s="93" t="str">
        <f t="shared" si="7"/>
        <v>Electronics</v>
      </c>
      <c r="Y158" s="94" t="str">
        <f t="shared" si="8"/>
        <v>East</v>
      </c>
    </row>
    <row r="159" spans="1:25" ht="15" thickBot="1" x14ac:dyDescent="0.4">
      <c r="A159" s="90" t="s">
        <v>283</v>
      </c>
      <c r="B159" s="30" t="s">
        <v>156</v>
      </c>
      <c r="C159" s="30" t="s">
        <v>82</v>
      </c>
      <c r="D159" s="31">
        <v>45757</v>
      </c>
      <c r="E159" s="31">
        <v>45759</v>
      </c>
      <c r="F159" s="30" t="s">
        <v>106</v>
      </c>
      <c r="G159" s="30" t="s">
        <v>58</v>
      </c>
      <c r="H159" s="31">
        <v>37060</v>
      </c>
      <c r="I159" s="30" t="s">
        <v>27</v>
      </c>
      <c r="J159" s="30" t="s">
        <v>28</v>
      </c>
      <c r="K159" s="30" t="s">
        <v>83</v>
      </c>
      <c r="L159" s="30" t="s">
        <v>84</v>
      </c>
      <c r="M159" s="95">
        <v>2</v>
      </c>
      <c r="N159" s="30">
        <v>60</v>
      </c>
      <c r="O159" s="30">
        <v>10</v>
      </c>
      <c r="P159" s="30">
        <v>108</v>
      </c>
      <c r="Q159" s="30">
        <v>2</v>
      </c>
      <c r="R159" s="90" t="s">
        <v>65</v>
      </c>
      <c r="S159" s="30" t="s">
        <v>50</v>
      </c>
      <c r="T159" s="30" t="s">
        <v>158</v>
      </c>
      <c r="U159" s="30">
        <v>9264578122</v>
      </c>
      <c r="V159" s="36" t="s">
        <v>34</v>
      </c>
      <c r="W159" s="40" t="str">
        <f t="shared" si="6"/>
        <v>Amit Sharma</v>
      </c>
      <c r="X159" s="93" t="str">
        <f t="shared" si="7"/>
        <v>Stationery</v>
      </c>
      <c r="Y159" s="94" t="str">
        <f t="shared" si="8"/>
        <v>South</v>
      </c>
    </row>
    <row r="160" spans="1:25" ht="15" thickBot="1" x14ac:dyDescent="0.4">
      <c r="A160" s="90" t="s">
        <v>284</v>
      </c>
      <c r="B160" s="27" t="s">
        <v>55</v>
      </c>
      <c r="C160" s="27" t="s">
        <v>68</v>
      </c>
      <c r="D160" s="28">
        <v>46155</v>
      </c>
      <c r="E160" s="28">
        <v>46165</v>
      </c>
      <c r="F160" s="27" t="s">
        <v>57</v>
      </c>
      <c r="G160" s="27" t="s">
        <v>58</v>
      </c>
      <c r="H160" s="28">
        <v>36414</v>
      </c>
      <c r="I160" s="27" t="s">
        <v>37</v>
      </c>
      <c r="J160" s="27" t="s">
        <v>38</v>
      </c>
      <c r="K160" s="27" t="s">
        <v>29</v>
      </c>
      <c r="L160" s="27" t="s">
        <v>70</v>
      </c>
      <c r="M160" s="95">
        <v>9</v>
      </c>
      <c r="N160" s="27">
        <v>3500</v>
      </c>
      <c r="O160" s="27">
        <v>20</v>
      </c>
      <c r="P160" s="27">
        <v>25200</v>
      </c>
      <c r="Q160" s="27">
        <v>1</v>
      </c>
      <c r="R160" s="90" t="s">
        <v>41</v>
      </c>
      <c r="S160" s="27" t="s">
        <v>32</v>
      </c>
      <c r="T160" s="27" t="s">
        <v>61</v>
      </c>
      <c r="U160" s="27">
        <v>9275071213</v>
      </c>
      <c r="V160" s="35" t="s">
        <v>34</v>
      </c>
      <c r="W160" s="40" t="str">
        <f t="shared" si="6"/>
        <v>Mohit Verma</v>
      </c>
      <c r="X160" s="93" t="str">
        <f t="shared" si="7"/>
        <v>Home Appliances</v>
      </c>
      <c r="Y160" s="94" t="str">
        <f t="shared" si="8"/>
        <v>North</v>
      </c>
    </row>
    <row r="161" spans="1:25" ht="15" thickBot="1" x14ac:dyDescent="0.4">
      <c r="A161" s="90" t="s">
        <v>285</v>
      </c>
      <c r="B161" s="30" t="s">
        <v>124</v>
      </c>
      <c r="C161" s="30" t="s">
        <v>46</v>
      </c>
      <c r="D161" s="31">
        <v>46094</v>
      </c>
      <c r="E161" s="31">
        <v>46097</v>
      </c>
      <c r="F161" s="30" t="s">
        <v>126</v>
      </c>
      <c r="G161" s="30" t="s">
        <v>58</v>
      </c>
      <c r="H161" s="31">
        <v>35040</v>
      </c>
      <c r="I161" s="30" t="s">
        <v>121</v>
      </c>
      <c r="J161" s="30" t="s">
        <v>38</v>
      </c>
      <c r="K161" s="30" t="s">
        <v>39</v>
      </c>
      <c r="L161" s="30" t="s">
        <v>49</v>
      </c>
      <c r="M161" s="95">
        <v>4</v>
      </c>
      <c r="N161" s="30">
        <v>55000</v>
      </c>
      <c r="O161" s="30">
        <v>5</v>
      </c>
      <c r="P161" s="30">
        <v>209000</v>
      </c>
      <c r="Q161" s="30">
        <v>2</v>
      </c>
      <c r="R161" s="90" t="s">
        <v>31</v>
      </c>
      <c r="S161" s="30" t="s">
        <v>96</v>
      </c>
      <c r="T161" s="30" t="s">
        <v>128</v>
      </c>
      <c r="U161" s="30">
        <v>9715222543</v>
      </c>
      <c r="V161" s="38" t="s">
        <v>52</v>
      </c>
      <c r="W161" s="40" t="str">
        <f t="shared" si="6"/>
        <v>Vikas Mehta</v>
      </c>
      <c r="X161" s="93" t="str">
        <f t="shared" si="7"/>
        <v>Electronics</v>
      </c>
      <c r="Y161" s="94" t="str">
        <f t="shared" si="8"/>
        <v>North</v>
      </c>
    </row>
    <row r="162" spans="1:25" ht="15" thickBot="1" x14ac:dyDescent="0.4">
      <c r="A162" s="90" t="s">
        <v>286</v>
      </c>
      <c r="B162" s="27" t="s">
        <v>156</v>
      </c>
      <c r="C162" s="27" t="s">
        <v>112</v>
      </c>
      <c r="D162" s="28">
        <v>45835</v>
      </c>
      <c r="E162" s="28">
        <v>45839</v>
      </c>
      <c r="F162" s="27" t="s">
        <v>106</v>
      </c>
      <c r="G162" s="27" t="s">
        <v>58</v>
      </c>
      <c r="H162" s="28">
        <v>36363</v>
      </c>
      <c r="I162" s="27" t="s">
        <v>37</v>
      </c>
      <c r="J162" s="27" t="s">
        <v>38</v>
      </c>
      <c r="K162" s="27" t="s">
        <v>39</v>
      </c>
      <c r="L162" s="27" t="s">
        <v>114</v>
      </c>
      <c r="M162" s="95">
        <v>11</v>
      </c>
      <c r="N162" s="27">
        <v>700</v>
      </c>
      <c r="O162" s="27">
        <v>20</v>
      </c>
      <c r="P162" s="27">
        <v>6160</v>
      </c>
      <c r="Q162" s="27">
        <v>4</v>
      </c>
      <c r="R162" s="90" t="s">
        <v>31</v>
      </c>
      <c r="S162" s="27" t="s">
        <v>96</v>
      </c>
      <c r="T162" s="27" t="s">
        <v>158</v>
      </c>
      <c r="U162" s="27">
        <v>9942010833</v>
      </c>
      <c r="V162" s="37" t="s">
        <v>53</v>
      </c>
      <c r="W162" s="40" t="str">
        <f t="shared" si="6"/>
        <v>Amit Sharma</v>
      </c>
      <c r="X162" s="93" t="str">
        <f t="shared" si="7"/>
        <v>Electronics</v>
      </c>
      <c r="Y162" s="94" t="str">
        <f t="shared" si="8"/>
        <v>North</v>
      </c>
    </row>
    <row r="163" spans="1:25" ht="15" thickBot="1" x14ac:dyDescent="0.4">
      <c r="A163" s="90" t="s">
        <v>287</v>
      </c>
      <c r="B163" s="30" t="s">
        <v>104</v>
      </c>
      <c r="C163" s="30" t="s">
        <v>56</v>
      </c>
      <c r="D163" s="31">
        <v>45980</v>
      </c>
      <c r="E163" s="31">
        <v>45990</v>
      </c>
      <c r="F163" s="30" t="s">
        <v>166</v>
      </c>
      <c r="G163" s="30" t="s">
        <v>26</v>
      </c>
      <c r="H163" s="31">
        <v>36844</v>
      </c>
      <c r="I163" s="30" t="s">
        <v>147</v>
      </c>
      <c r="J163" s="30" t="s">
        <v>148</v>
      </c>
      <c r="K163" s="30" t="s">
        <v>39</v>
      </c>
      <c r="L163" s="30" t="s">
        <v>59</v>
      </c>
      <c r="M163" s="95">
        <v>16</v>
      </c>
      <c r="N163" s="30">
        <v>1200</v>
      </c>
      <c r="O163" s="30">
        <v>5</v>
      </c>
      <c r="P163" s="30">
        <v>18240</v>
      </c>
      <c r="Q163" s="30">
        <v>1</v>
      </c>
      <c r="R163" s="90" t="s">
        <v>60</v>
      </c>
      <c r="S163" s="30" t="s">
        <v>32</v>
      </c>
      <c r="T163" s="30" t="s">
        <v>108</v>
      </c>
      <c r="U163" s="30">
        <v>9347718932</v>
      </c>
      <c r="V163" s="38" t="s">
        <v>52</v>
      </c>
      <c r="W163" s="40" t="str">
        <f t="shared" si="6"/>
        <v>Anita Gupta</v>
      </c>
      <c r="X163" s="93" t="str">
        <f t="shared" si="7"/>
        <v>Electronics</v>
      </c>
      <c r="Y163" s="94" t="str">
        <f t="shared" si="8"/>
        <v>East</v>
      </c>
    </row>
    <row r="164" spans="1:25" ht="15" thickBot="1" x14ac:dyDescent="0.4">
      <c r="A164" s="90" t="s">
        <v>288</v>
      </c>
      <c r="B164" s="27" t="s">
        <v>104</v>
      </c>
      <c r="C164" s="27" t="s">
        <v>56</v>
      </c>
      <c r="D164" s="28">
        <v>45915</v>
      </c>
      <c r="E164" s="28">
        <v>45917</v>
      </c>
      <c r="F164" s="27" t="s">
        <v>166</v>
      </c>
      <c r="G164" s="27" t="s">
        <v>26</v>
      </c>
      <c r="H164" s="28">
        <v>37461</v>
      </c>
      <c r="I164" s="27" t="s">
        <v>79</v>
      </c>
      <c r="J164" s="27" t="s">
        <v>75</v>
      </c>
      <c r="K164" s="27" t="s">
        <v>39</v>
      </c>
      <c r="L164" s="27" t="s">
        <v>59</v>
      </c>
      <c r="M164" s="95">
        <v>1</v>
      </c>
      <c r="N164" s="27">
        <v>1200</v>
      </c>
      <c r="O164" s="27">
        <v>5</v>
      </c>
      <c r="P164" s="27">
        <v>1140</v>
      </c>
      <c r="Q164" s="27">
        <v>4</v>
      </c>
      <c r="R164" s="90" t="s">
        <v>60</v>
      </c>
      <c r="S164" s="27" t="s">
        <v>32</v>
      </c>
      <c r="T164" s="27" t="s">
        <v>108</v>
      </c>
      <c r="U164" s="27">
        <v>9274808844</v>
      </c>
      <c r="V164" s="35" t="s">
        <v>34</v>
      </c>
      <c r="W164" s="40" t="str">
        <f t="shared" si="6"/>
        <v>Anita Gupta</v>
      </c>
      <c r="X164" s="93" t="str">
        <f t="shared" si="7"/>
        <v>Electronics</v>
      </c>
      <c r="Y164" s="94" t="str">
        <f t="shared" si="8"/>
        <v>West</v>
      </c>
    </row>
    <row r="165" spans="1:25" ht="15" thickBot="1" x14ac:dyDescent="0.4">
      <c r="A165" s="90" t="s">
        <v>289</v>
      </c>
      <c r="B165" s="30" t="s">
        <v>156</v>
      </c>
      <c r="C165" s="30" t="s">
        <v>82</v>
      </c>
      <c r="D165" s="31">
        <v>45965</v>
      </c>
      <c r="E165" s="31">
        <v>45974</v>
      </c>
      <c r="F165" s="30" t="s">
        <v>106</v>
      </c>
      <c r="G165" s="30" t="s">
        <v>58</v>
      </c>
      <c r="H165" s="31">
        <v>37312</v>
      </c>
      <c r="I165" s="30" t="s">
        <v>121</v>
      </c>
      <c r="J165" s="30" t="s">
        <v>38</v>
      </c>
      <c r="K165" s="30" t="s">
        <v>83</v>
      </c>
      <c r="L165" s="30" t="s">
        <v>84</v>
      </c>
      <c r="M165" s="95">
        <v>7</v>
      </c>
      <c r="N165" s="30">
        <v>60</v>
      </c>
      <c r="O165" s="30">
        <v>0</v>
      </c>
      <c r="P165" s="30">
        <v>420</v>
      </c>
      <c r="Q165" s="30">
        <v>2</v>
      </c>
      <c r="R165" s="90" t="s">
        <v>65</v>
      </c>
      <c r="S165" s="30" t="s">
        <v>96</v>
      </c>
      <c r="T165" s="30" t="s">
        <v>158</v>
      </c>
      <c r="U165" s="30">
        <v>9798996063</v>
      </c>
      <c r="V165" s="36" t="s">
        <v>34</v>
      </c>
      <c r="W165" s="40" t="str">
        <f t="shared" si="6"/>
        <v>Amit Sharma</v>
      </c>
      <c r="X165" s="93" t="str">
        <f t="shared" si="7"/>
        <v>Stationery</v>
      </c>
      <c r="Y165" s="94" t="str">
        <f t="shared" si="8"/>
        <v>North</v>
      </c>
    </row>
    <row r="166" spans="1:25" ht="15" thickBot="1" x14ac:dyDescent="0.4">
      <c r="A166" s="90" t="s">
        <v>290</v>
      </c>
      <c r="B166" s="27" t="s">
        <v>104</v>
      </c>
      <c r="C166" s="27" t="s">
        <v>24</v>
      </c>
      <c r="D166" s="28">
        <v>45660</v>
      </c>
      <c r="E166" s="28">
        <v>45664</v>
      </c>
      <c r="F166" s="27" t="s">
        <v>166</v>
      </c>
      <c r="G166" s="27" t="s">
        <v>26</v>
      </c>
      <c r="H166" s="28">
        <v>29418</v>
      </c>
      <c r="I166" s="27" t="s">
        <v>79</v>
      </c>
      <c r="J166" s="27" t="s">
        <v>75</v>
      </c>
      <c r="K166" s="27" t="s">
        <v>29</v>
      </c>
      <c r="L166" s="27" t="s">
        <v>30</v>
      </c>
      <c r="M166" s="95">
        <v>14</v>
      </c>
      <c r="N166" s="27">
        <v>2200</v>
      </c>
      <c r="O166" s="27">
        <v>0</v>
      </c>
      <c r="P166" s="27">
        <v>30800</v>
      </c>
      <c r="Q166" s="27">
        <v>2</v>
      </c>
      <c r="R166" s="90" t="s">
        <v>65</v>
      </c>
      <c r="S166" s="27" t="s">
        <v>32</v>
      </c>
      <c r="T166" s="27" t="s">
        <v>108</v>
      </c>
      <c r="U166" s="27">
        <v>9145200936</v>
      </c>
      <c r="V166" s="37" t="s">
        <v>53</v>
      </c>
      <c r="W166" s="40" t="str">
        <f t="shared" si="6"/>
        <v>Anita Gupta</v>
      </c>
      <c r="X166" s="93" t="str">
        <f t="shared" si="7"/>
        <v>Home Appliances</v>
      </c>
      <c r="Y166" s="94" t="str">
        <f t="shared" si="8"/>
        <v>West</v>
      </c>
    </row>
    <row r="167" spans="1:25" ht="15" thickBot="1" x14ac:dyDescent="0.4">
      <c r="A167" s="90" t="s">
        <v>291</v>
      </c>
      <c r="B167" s="30" t="s">
        <v>104</v>
      </c>
      <c r="C167" s="30" t="s">
        <v>68</v>
      </c>
      <c r="D167" s="31">
        <v>45827</v>
      </c>
      <c r="E167" s="31">
        <v>45835</v>
      </c>
      <c r="F167" s="30" t="s">
        <v>166</v>
      </c>
      <c r="G167" s="30" t="s">
        <v>26</v>
      </c>
      <c r="H167" s="31">
        <v>35210</v>
      </c>
      <c r="I167" s="30" t="s">
        <v>91</v>
      </c>
      <c r="J167" s="30" t="s">
        <v>75</v>
      </c>
      <c r="K167" s="30" t="s">
        <v>29</v>
      </c>
      <c r="L167" s="30" t="s">
        <v>70</v>
      </c>
      <c r="M167" s="95">
        <v>15</v>
      </c>
      <c r="N167" s="30">
        <v>3500</v>
      </c>
      <c r="O167" s="30">
        <v>15</v>
      </c>
      <c r="P167" s="30">
        <v>44625</v>
      </c>
      <c r="Q167" s="30">
        <v>2</v>
      </c>
      <c r="R167" s="90" t="s">
        <v>65</v>
      </c>
      <c r="S167" s="30" t="s">
        <v>50</v>
      </c>
      <c r="T167" s="30" t="s">
        <v>108</v>
      </c>
      <c r="U167" s="30">
        <v>9697654418</v>
      </c>
      <c r="V167" s="38" t="s">
        <v>52</v>
      </c>
      <c r="W167" s="40" t="str">
        <f t="shared" si="6"/>
        <v>Anita Gupta</v>
      </c>
      <c r="X167" s="93" t="str">
        <f t="shared" si="7"/>
        <v>Home Appliances</v>
      </c>
      <c r="Y167" s="94" t="str">
        <f t="shared" si="8"/>
        <v>West</v>
      </c>
    </row>
    <row r="168" spans="1:25" ht="15" thickBot="1" x14ac:dyDescent="0.4">
      <c r="A168" s="90" t="s">
        <v>292</v>
      </c>
      <c r="B168" s="27" t="s">
        <v>87</v>
      </c>
      <c r="C168" s="27" t="s">
        <v>68</v>
      </c>
      <c r="D168" s="28">
        <v>45742</v>
      </c>
      <c r="E168" s="28">
        <v>45753</v>
      </c>
      <c r="F168" s="27" t="s">
        <v>88</v>
      </c>
      <c r="G168" s="27" t="s">
        <v>58</v>
      </c>
      <c r="H168" s="28">
        <v>31543</v>
      </c>
      <c r="I168" s="27" t="s">
        <v>147</v>
      </c>
      <c r="J168" s="27" t="s">
        <v>148</v>
      </c>
      <c r="K168" s="27" t="s">
        <v>29</v>
      </c>
      <c r="L168" s="27" t="s">
        <v>70</v>
      </c>
      <c r="M168" s="95">
        <v>19</v>
      </c>
      <c r="N168" s="27">
        <v>3500</v>
      </c>
      <c r="O168" s="27">
        <v>5</v>
      </c>
      <c r="P168" s="27">
        <v>63175</v>
      </c>
      <c r="Q168" s="27">
        <v>2</v>
      </c>
      <c r="R168" s="90" t="s">
        <v>31</v>
      </c>
      <c r="S168" s="27" t="s">
        <v>80</v>
      </c>
      <c r="T168" s="27" t="s">
        <v>89</v>
      </c>
      <c r="U168" s="27">
        <v>9457923119</v>
      </c>
      <c r="V168" s="37" t="s">
        <v>53</v>
      </c>
      <c r="W168" s="40" t="str">
        <f t="shared" si="6"/>
        <v>Rohit Singh</v>
      </c>
      <c r="X168" s="93" t="str">
        <f t="shared" si="7"/>
        <v>Home Appliances</v>
      </c>
      <c r="Y168" s="94" t="str">
        <f t="shared" si="8"/>
        <v>East</v>
      </c>
    </row>
    <row r="169" spans="1:25" ht="15" thickBot="1" x14ac:dyDescent="0.4">
      <c r="A169" s="90" t="s">
        <v>293</v>
      </c>
      <c r="B169" s="30" t="s">
        <v>156</v>
      </c>
      <c r="C169" s="30" t="s">
        <v>46</v>
      </c>
      <c r="D169" s="31">
        <v>45844</v>
      </c>
      <c r="E169" s="31">
        <v>45848</v>
      </c>
      <c r="F169" s="30" t="s">
        <v>106</v>
      </c>
      <c r="G169" s="30" t="s">
        <v>58</v>
      </c>
      <c r="H169" s="31">
        <v>32653</v>
      </c>
      <c r="I169" s="30" t="s">
        <v>48</v>
      </c>
      <c r="J169" s="30" t="s">
        <v>28</v>
      </c>
      <c r="K169" s="30" t="s">
        <v>39</v>
      </c>
      <c r="L169" s="30" t="s">
        <v>49</v>
      </c>
      <c r="M169" s="95">
        <v>12</v>
      </c>
      <c r="N169" s="30">
        <v>55000</v>
      </c>
      <c r="O169" s="30">
        <v>5</v>
      </c>
      <c r="P169" s="30">
        <v>627000</v>
      </c>
      <c r="Q169" s="30">
        <v>4</v>
      </c>
      <c r="R169" s="90" t="s">
        <v>60</v>
      </c>
      <c r="S169" s="30" t="s">
        <v>50</v>
      </c>
      <c r="T169" s="30" t="s">
        <v>158</v>
      </c>
      <c r="U169" s="30">
        <v>9236111271</v>
      </c>
      <c r="V169" s="38" t="s">
        <v>53</v>
      </c>
      <c r="W169" s="40" t="str">
        <f t="shared" si="6"/>
        <v>Amit Sharma</v>
      </c>
      <c r="X169" s="93" t="str">
        <f t="shared" si="7"/>
        <v>Electronics</v>
      </c>
      <c r="Y169" s="94" t="str">
        <f t="shared" si="8"/>
        <v>South</v>
      </c>
    </row>
    <row r="170" spans="1:25" ht="15" thickBot="1" x14ac:dyDescent="0.4">
      <c r="A170" s="90" t="s">
        <v>294</v>
      </c>
      <c r="B170" s="27" t="s">
        <v>45</v>
      </c>
      <c r="C170" s="27" t="s">
        <v>56</v>
      </c>
      <c r="D170" s="28">
        <v>46040</v>
      </c>
      <c r="E170" s="28">
        <v>46048</v>
      </c>
      <c r="F170" s="27" t="s">
        <v>101</v>
      </c>
      <c r="G170" s="27" t="s">
        <v>26</v>
      </c>
      <c r="H170" s="28">
        <v>32745</v>
      </c>
      <c r="I170" s="27" t="s">
        <v>74</v>
      </c>
      <c r="J170" s="27" t="s">
        <v>75</v>
      </c>
      <c r="K170" s="27" t="s">
        <v>39</v>
      </c>
      <c r="L170" s="27" t="s">
        <v>59</v>
      </c>
      <c r="M170" s="95">
        <v>6</v>
      </c>
      <c r="N170" s="27">
        <v>1200</v>
      </c>
      <c r="O170" s="27">
        <v>10</v>
      </c>
      <c r="P170" s="27">
        <v>6480</v>
      </c>
      <c r="Q170" s="27">
        <v>5</v>
      </c>
      <c r="R170" s="90" t="s">
        <v>41</v>
      </c>
      <c r="S170" s="27" t="s">
        <v>80</v>
      </c>
      <c r="T170" s="27" t="s">
        <v>51</v>
      </c>
      <c r="U170" s="27">
        <v>9402569141</v>
      </c>
      <c r="V170" s="37" t="s">
        <v>53</v>
      </c>
      <c r="W170" s="40" t="str">
        <f t="shared" si="6"/>
        <v>Pooja Shah</v>
      </c>
      <c r="X170" s="93" t="str">
        <f t="shared" si="7"/>
        <v>Electronics</v>
      </c>
      <c r="Y170" s="94" t="str">
        <f t="shared" si="8"/>
        <v>West</v>
      </c>
    </row>
    <row r="171" spans="1:25" ht="15" thickBot="1" x14ac:dyDescent="0.4">
      <c r="A171" s="90" t="s">
        <v>295</v>
      </c>
      <c r="B171" s="30" t="s">
        <v>134</v>
      </c>
      <c r="C171" s="30" t="s">
        <v>105</v>
      </c>
      <c r="D171" s="31">
        <v>45919</v>
      </c>
      <c r="E171" s="31">
        <v>45920</v>
      </c>
      <c r="F171" s="30" t="s">
        <v>135</v>
      </c>
      <c r="G171" s="30" t="s">
        <v>26</v>
      </c>
      <c r="H171" s="31">
        <v>35570</v>
      </c>
      <c r="I171" s="30" t="s">
        <v>27</v>
      </c>
      <c r="J171" s="30" t="s">
        <v>28</v>
      </c>
      <c r="K171" s="30" t="s">
        <v>29</v>
      </c>
      <c r="L171" s="30" t="s">
        <v>107</v>
      </c>
      <c r="M171" s="95">
        <v>1</v>
      </c>
      <c r="N171" s="30">
        <v>8500</v>
      </c>
      <c r="O171" s="30">
        <v>0</v>
      </c>
      <c r="P171" s="30">
        <v>8500</v>
      </c>
      <c r="Q171" s="30">
        <v>1</v>
      </c>
      <c r="R171" s="90" t="s">
        <v>65</v>
      </c>
      <c r="S171" s="30" t="s">
        <v>96</v>
      </c>
      <c r="T171" s="30" t="s">
        <v>136</v>
      </c>
      <c r="U171" s="30">
        <v>9138184056</v>
      </c>
      <c r="V171" s="38" t="s">
        <v>53</v>
      </c>
      <c r="W171" s="40" t="str">
        <f t="shared" si="6"/>
        <v>Sneha Joshi</v>
      </c>
      <c r="X171" s="93" t="str">
        <f t="shared" si="7"/>
        <v>Home Appliances</v>
      </c>
      <c r="Y171" s="94" t="str">
        <f t="shared" si="8"/>
        <v>South</v>
      </c>
    </row>
    <row r="172" spans="1:25" ht="15" thickBot="1" x14ac:dyDescent="0.4">
      <c r="A172" s="90" t="s">
        <v>296</v>
      </c>
      <c r="B172" s="27" t="s">
        <v>87</v>
      </c>
      <c r="C172" s="27" t="s">
        <v>46</v>
      </c>
      <c r="D172" s="28">
        <v>46113</v>
      </c>
      <c r="E172" s="28">
        <v>46119</v>
      </c>
      <c r="F172" s="27" t="s">
        <v>88</v>
      </c>
      <c r="G172" s="27" t="s">
        <v>58</v>
      </c>
      <c r="H172" s="28">
        <v>31900</v>
      </c>
      <c r="I172" s="27" t="s">
        <v>91</v>
      </c>
      <c r="J172" s="27" t="s">
        <v>75</v>
      </c>
      <c r="K172" s="27" t="s">
        <v>39</v>
      </c>
      <c r="L172" s="27" t="s">
        <v>49</v>
      </c>
      <c r="M172" s="95">
        <v>20</v>
      </c>
      <c r="N172" s="27">
        <v>55000</v>
      </c>
      <c r="O172" s="27">
        <v>10</v>
      </c>
      <c r="P172" s="27">
        <v>990000</v>
      </c>
      <c r="Q172" s="27">
        <v>5</v>
      </c>
      <c r="R172" s="90" t="s">
        <v>41</v>
      </c>
      <c r="S172" s="27" t="s">
        <v>96</v>
      </c>
      <c r="T172" s="27" t="s">
        <v>89</v>
      </c>
      <c r="U172" s="27">
        <v>9609598700</v>
      </c>
      <c r="V172" s="35" t="s">
        <v>34</v>
      </c>
      <c r="W172" s="40" t="str">
        <f t="shared" si="6"/>
        <v>Rohit Singh</v>
      </c>
      <c r="X172" s="93" t="str">
        <f t="shared" si="7"/>
        <v>Electronics</v>
      </c>
      <c r="Y172" s="94" t="str">
        <f t="shared" si="8"/>
        <v>West</v>
      </c>
    </row>
    <row r="173" spans="1:25" ht="15" thickBot="1" x14ac:dyDescent="0.4">
      <c r="A173" s="90" t="s">
        <v>297</v>
      </c>
      <c r="B173" s="30" t="s">
        <v>124</v>
      </c>
      <c r="C173" s="30" t="s">
        <v>56</v>
      </c>
      <c r="D173" s="31">
        <v>45958</v>
      </c>
      <c r="E173" s="31">
        <v>45959</v>
      </c>
      <c r="F173" s="30" t="s">
        <v>126</v>
      </c>
      <c r="G173" s="30" t="s">
        <v>58</v>
      </c>
      <c r="H173" s="31">
        <v>37592</v>
      </c>
      <c r="I173" s="30" t="s">
        <v>91</v>
      </c>
      <c r="J173" s="30" t="s">
        <v>75</v>
      </c>
      <c r="K173" s="30" t="s">
        <v>39</v>
      </c>
      <c r="L173" s="30" t="s">
        <v>59</v>
      </c>
      <c r="M173" s="95">
        <v>8</v>
      </c>
      <c r="N173" s="30">
        <v>1200</v>
      </c>
      <c r="O173" s="30">
        <v>15</v>
      </c>
      <c r="P173" s="30">
        <v>8160</v>
      </c>
      <c r="Q173" s="30">
        <v>2</v>
      </c>
      <c r="R173" s="90" t="s">
        <v>65</v>
      </c>
      <c r="S173" s="30" t="s">
        <v>80</v>
      </c>
      <c r="T173" s="30" t="s">
        <v>128</v>
      </c>
      <c r="U173" s="30">
        <v>9385894399</v>
      </c>
      <c r="V173" s="38" t="s">
        <v>53</v>
      </c>
      <c r="W173" s="40" t="str">
        <f t="shared" si="6"/>
        <v>Vikas Mehta</v>
      </c>
      <c r="X173" s="93" t="str">
        <f t="shared" si="7"/>
        <v>Electronics</v>
      </c>
      <c r="Y173" s="94" t="str">
        <f t="shared" si="8"/>
        <v>West</v>
      </c>
    </row>
    <row r="174" spans="1:25" ht="15" thickBot="1" x14ac:dyDescent="0.4">
      <c r="A174" s="90" t="s">
        <v>299</v>
      </c>
      <c r="B174" s="27" t="s">
        <v>23</v>
      </c>
      <c r="C174" s="27" t="s">
        <v>68</v>
      </c>
      <c r="D174" s="28">
        <v>45694</v>
      </c>
      <c r="E174" s="28">
        <v>45705</v>
      </c>
      <c r="F174" s="27" t="s">
        <v>25</v>
      </c>
      <c r="G174" s="27" t="s">
        <v>26</v>
      </c>
      <c r="H174" s="28">
        <v>31557</v>
      </c>
      <c r="I174" s="27" t="s">
        <v>121</v>
      </c>
      <c r="J174" s="27" t="s">
        <v>38</v>
      </c>
      <c r="K174" s="27" t="s">
        <v>29</v>
      </c>
      <c r="L174" s="27" t="s">
        <v>70</v>
      </c>
      <c r="M174" s="95">
        <v>19</v>
      </c>
      <c r="N174" s="27">
        <v>3500</v>
      </c>
      <c r="O174" s="27">
        <v>5</v>
      </c>
      <c r="P174" s="27">
        <v>63175</v>
      </c>
      <c r="Q174" s="27">
        <v>4</v>
      </c>
      <c r="R174" s="90" t="s">
        <v>65</v>
      </c>
      <c r="S174" s="27" t="s">
        <v>42</v>
      </c>
      <c r="T174" s="27" t="s">
        <v>43</v>
      </c>
      <c r="U174" s="27">
        <v>9329448011</v>
      </c>
      <c r="V174" s="37" t="s">
        <v>52</v>
      </c>
      <c r="W174" s="40" t="str">
        <f t="shared" si="6"/>
        <v>Kavya Nair</v>
      </c>
      <c r="X174" s="93" t="str">
        <f t="shared" si="7"/>
        <v>Home Appliances</v>
      </c>
      <c r="Y174" s="94" t="str">
        <f t="shared" si="8"/>
        <v>North</v>
      </c>
    </row>
    <row r="175" spans="1:25" ht="15" thickBot="1" x14ac:dyDescent="0.4">
      <c r="A175" s="90" t="s">
        <v>300</v>
      </c>
      <c r="B175" s="30" t="s">
        <v>124</v>
      </c>
      <c r="C175" s="30" t="s">
        <v>138</v>
      </c>
      <c r="D175" s="31">
        <v>45774</v>
      </c>
      <c r="E175" s="31">
        <v>45776</v>
      </c>
      <c r="F175" s="30" t="s">
        <v>126</v>
      </c>
      <c r="G175" s="30" t="s">
        <v>58</v>
      </c>
      <c r="H175" s="31">
        <v>31465</v>
      </c>
      <c r="I175" s="30" t="s">
        <v>121</v>
      </c>
      <c r="J175" s="30" t="s">
        <v>38</v>
      </c>
      <c r="K175" s="30" t="s">
        <v>83</v>
      </c>
      <c r="L175" s="30" t="s">
        <v>139</v>
      </c>
      <c r="M175" s="95">
        <v>6</v>
      </c>
      <c r="N175" s="30">
        <v>45</v>
      </c>
      <c r="O175" s="30">
        <v>20</v>
      </c>
      <c r="P175" s="30">
        <v>216</v>
      </c>
      <c r="Q175" s="30">
        <v>1</v>
      </c>
      <c r="R175" s="90" t="s">
        <v>60</v>
      </c>
      <c r="S175" s="30" t="s">
        <v>42</v>
      </c>
      <c r="T175" s="30" t="s">
        <v>298</v>
      </c>
      <c r="U175" s="30">
        <v>9889544104</v>
      </c>
      <c r="V175" s="38" t="s">
        <v>52</v>
      </c>
      <c r="W175" s="40" t="str">
        <f t="shared" si="6"/>
        <v>Vikas Mehta</v>
      </c>
      <c r="X175" s="93" t="str">
        <f t="shared" si="7"/>
        <v>Stationery</v>
      </c>
      <c r="Y175" s="94" t="str">
        <f t="shared" si="8"/>
        <v>North</v>
      </c>
    </row>
    <row r="176" spans="1:25" ht="15" thickBot="1" x14ac:dyDescent="0.4">
      <c r="A176" s="90" t="s">
        <v>301</v>
      </c>
      <c r="B176" s="27" t="s">
        <v>134</v>
      </c>
      <c r="C176" s="27" t="s">
        <v>138</v>
      </c>
      <c r="D176" s="28">
        <v>45730</v>
      </c>
      <c r="E176" s="28">
        <v>45741</v>
      </c>
      <c r="F176" s="27" t="s">
        <v>135</v>
      </c>
      <c r="G176" s="27" t="s">
        <v>26</v>
      </c>
      <c r="H176" s="28">
        <v>32240</v>
      </c>
      <c r="I176" s="27" t="s">
        <v>79</v>
      </c>
      <c r="J176" s="27" t="s">
        <v>75</v>
      </c>
      <c r="K176" s="27" t="s">
        <v>83</v>
      </c>
      <c r="L176" s="27" t="s">
        <v>139</v>
      </c>
      <c r="M176" s="95">
        <v>17</v>
      </c>
      <c r="N176" s="27">
        <v>45</v>
      </c>
      <c r="O176" s="27">
        <v>15</v>
      </c>
      <c r="P176" s="27">
        <v>650.25</v>
      </c>
      <c r="Q176" s="27">
        <v>5</v>
      </c>
      <c r="R176" s="90" t="s">
        <v>31</v>
      </c>
      <c r="S176" s="27" t="s">
        <v>80</v>
      </c>
      <c r="T176" s="27" t="s">
        <v>136</v>
      </c>
      <c r="U176" s="27">
        <v>9101861045</v>
      </c>
      <c r="V176" s="37" t="s">
        <v>52</v>
      </c>
      <c r="W176" s="40" t="str">
        <f t="shared" si="6"/>
        <v>Sneha Joshi</v>
      </c>
      <c r="X176" s="93" t="str">
        <f t="shared" si="7"/>
        <v>Stationery</v>
      </c>
      <c r="Y176" s="94" t="str">
        <f t="shared" si="8"/>
        <v>West</v>
      </c>
    </row>
    <row r="177" spans="1:25" ht="15" thickBot="1" x14ac:dyDescent="0.4">
      <c r="A177" s="90" t="s">
        <v>302</v>
      </c>
      <c r="B177" s="30" t="s">
        <v>23</v>
      </c>
      <c r="C177" s="30" t="s">
        <v>125</v>
      </c>
      <c r="D177" s="31">
        <v>45842</v>
      </c>
      <c r="E177" s="31">
        <v>45854</v>
      </c>
      <c r="F177" s="30" t="s">
        <v>25</v>
      </c>
      <c r="G177" s="30" t="s">
        <v>26</v>
      </c>
      <c r="H177" s="31">
        <v>34147</v>
      </c>
      <c r="I177" s="30" t="s">
        <v>79</v>
      </c>
      <c r="J177" s="30" t="s">
        <v>75</v>
      </c>
      <c r="K177" s="30" t="s">
        <v>83</v>
      </c>
      <c r="L177" s="30" t="s">
        <v>127</v>
      </c>
      <c r="M177" s="95">
        <v>19</v>
      </c>
      <c r="N177" s="30">
        <v>20</v>
      </c>
      <c r="O177" s="30">
        <v>5</v>
      </c>
      <c r="P177" s="30">
        <v>361</v>
      </c>
      <c r="Q177" s="30">
        <v>4</v>
      </c>
      <c r="R177" s="90" t="s">
        <v>31</v>
      </c>
      <c r="S177" s="30" t="s">
        <v>32</v>
      </c>
      <c r="T177" s="30" t="s">
        <v>43</v>
      </c>
      <c r="U177" s="30">
        <v>9364712105</v>
      </c>
      <c r="V177" s="38" t="s">
        <v>52</v>
      </c>
      <c r="W177" s="40" t="str">
        <f t="shared" si="6"/>
        <v>Kavya Nair</v>
      </c>
      <c r="X177" s="93" t="str">
        <f t="shared" si="7"/>
        <v>Stationery</v>
      </c>
      <c r="Y177" s="94" t="str">
        <f t="shared" si="8"/>
        <v>West</v>
      </c>
    </row>
    <row r="178" spans="1:25" ht="15" thickBot="1" x14ac:dyDescent="0.4">
      <c r="A178" s="90" t="s">
        <v>303</v>
      </c>
      <c r="B178" s="27" t="s">
        <v>134</v>
      </c>
      <c r="C178" s="27" t="s">
        <v>125</v>
      </c>
      <c r="D178" s="28">
        <v>45993</v>
      </c>
      <c r="E178" s="28">
        <v>45994</v>
      </c>
      <c r="F178" s="27" t="s">
        <v>135</v>
      </c>
      <c r="G178" s="27" t="s">
        <v>26</v>
      </c>
      <c r="H178" s="28">
        <v>38156</v>
      </c>
      <c r="I178" s="27" t="s">
        <v>91</v>
      </c>
      <c r="J178" s="27" t="s">
        <v>75</v>
      </c>
      <c r="K178" s="27" t="s">
        <v>83</v>
      </c>
      <c r="L178" s="27" t="s">
        <v>127</v>
      </c>
      <c r="M178" s="95">
        <v>11</v>
      </c>
      <c r="N178" s="27">
        <v>20</v>
      </c>
      <c r="O178" s="27">
        <v>0</v>
      </c>
      <c r="P178" s="27">
        <v>220</v>
      </c>
      <c r="Q178" s="27">
        <v>3</v>
      </c>
      <c r="R178" s="90" t="s">
        <v>41</v>
      </c>
      <c r="S178" s="27" t="s">
        <v>42</v>
      </c>
      <c r="T178" s="27" t="s">
        <v>136</v>
      </c>
      <c r="U178" s="27">
        <v>9950206376</v>
      </c>
      <c r="V178" s="35" t="s">
        <v>34</v>
      </c>
      <c r="W178" s="40" t="str">
        <f t="shared" si="6"/>
        <v>Sneha Joshi</v>
      </c>
      <c r="X178" s="93" t="str">
        <f t="shared" si="7"/>
        <v>Stationery</v>
      </c>
      <c r="Y178" s="94" t="str">
        <f t="shared" si="8"/>
        <v>West</v>
      </c>
    </row>
    <row r="179" spans="1:25" ht="15" thickBot="1" x14ac:dyDescent="0.4">
      <c r="A179" s="90" t="s">
        <v>304</v>
      </c>
      <c r="B179" s="30" t="s">
        <v>104</v>
      </c>
      <c r="C179" s="30" t="s">
        <v>82</v>
      </c>
      <c r="D179" s="31">
        <v>46067</v>
      </c>
      <c r="E179" s="31">
        <v>46074</v>
      </c>
      <c r="F179" s="30" t="s">
        <v>166</v>
      </c>
      <c r="G179" s="30" t="s">
        <v>26</v>
      </c>
      <c r="H179" s="31">
        <v>34221</v>
      </c>
      <c r="I179" s="30" t="s">
        <v>37</v>
      </c>
      <c r="J179" s="30" t="s">
        <v>38</v>
      </c>
      <c r="K179" s="30" t="s">
        <v>83</v>
      </c>
      <c r="L179" s="30" t="s">
        <v>84</v>
      </c>
      <c r="M179" s="95">
        <v>12</v>
      </c>
      <c r="N179" s="30">
        <v>60</v>
      </c>
      <c r="O179" s="30">
        <v>0</v>
      </c>
      <c r="P179" s="30">
        <v>720</v>
      </c>
      <c r="Q179" s="30">
        <v>2</v>
      </c>
      <c r="R179" s="90" t="s">
        <v>41</v>
      </c>
      <c r="S179" s="30" t="s">
        <v>42</v>
      </c>
      <c r="T179" s="30" t="s">
        <v>108</v>
      </c>
      <c r="U179" s="30">
        <v>9235822094</v>
      </c>
      <c r="V179" s="36" t="s">
        <v>34</v>
      </c>
      <c r="W179" s="40" t="str">
        <f t="shared" si="6"/>
        <v>Anita Gupta</v>
      </c>
      <c r="X179" s="93" t="str">
        <f t="shared" si="7"/>
        <v>Stationery</v>
      </c>
      <c r="Y179" s="94" t="str">
        <f t="shared" si="8"/>
        <v>North</v>
      </c>
    </row>
    <row r="180" spans="1:25" ht="15" thickBot="1" x14ac:dyDescent="0.4">
      <c r="A180" s="90" t="s">
        <v>305</v>
      </c>
      <c r="B180" s="27" t="s">
        <v>124</v>
      </c>
      <c r="C180" s="27" t="s">
        <v>138</v>
      </c>
      <c r="D180" s="28">
        <v>45970</v>
      </c>
      <c r="E180" s="28">
        <v>45974</v>
      </c>
      <c r="F180" s="27" t="s">
        <v>73</v>
      </c>
      <c r="G180" s="27" t="s">
        <v>58</v>
      </c>
      <c r="H180" s="28">
        <v>37147</v>
      </c>
      <c r="I180" s="27" t="s">
        <v>147</v>
      </c>
      <c r="J180" s="27" t="s">
        <v>148</v>
      </c>
      <c r="K180" s="27" t="s">
        <v>83</v>
      </c>
      <c r="L180" s="27" t="s">
        <v>139</v>
      </c>
      <c r="M180" s="95">
        <v>14</v>
      </c>
      <c r="N180" s="27">
        <v>45</v>
      </c>
      <c r="O180" s="27">
        <v>15</v>
      </c>
      <c r="P180" s="27">
        <v>535.5</v>
      </c>
      <c r="Q180" s="27">
        <v>5</v>
      </c>
      <c r="R180" s="90" t="s">
        <v>65</v>
      </c>
      <c r="S180" s="27" t="s">
        <v>80</v>
      </c>
      <c r="T180" s="27" t="s">
        <v>128</v>
      </c>
      <c r="U180" s="27">
        <v>9311021344</v>
      </c>
      <c r="V180" s="37" t="s">
        <v>52</v>
      </c>
      <c r="W180" s="40" t="str">
        <f t="shared" si="6"/>
        <v>Priya Patel</v>
      </c>
      <c r="X180" s="93" t="str">
        <f t="shared" si="7"/>
        <v>Stationery</v>
      </c>
      <c r="Y180" s="94" t="str">
        <f t="shared" si="8"/>
        <v>East</v>
      </c>
    </row>
    <row r="181" spans="1:25" ht="15" thickBot="1" x14ac:dyDescent="0.4">
      <c r="A181" s="90" t="s">
        <v>306</v>
      </c>
      <c r="B181" s="30" t="s">
        <v>23</v>
      </c>
      <c r="C181" s="30" t="s">
        <v>112</v>
      </c>
      <c r="D181" s="31">
        <v>45695</v>
      </c>
      <c r="E181" s="31">
        <v>45707</v>
      </c>
      <c r="F181" s="30" t="s">
        <v>25</v>
      </c>
      <c r="G181" s="30" t="s">
        <v>26</v>
      </c>
      <c r="H181" s="31">
        <v>29905</v>
      </c>
      <c r="I181" s="30" t="s">
        <v>27</v>
      </c>
      <c r="J181" s="30" t="s">
        <v>28</v>
      </c>
      <c r="K181" s="30" t="s">
        <v>39</v>
      </c>
      <c r="L181" s="30" t="s">
        <v>114</v>
      </c>
      <c r="M181" s="95">
        <v>15</v>
      </c>
      <c r="N181" s="30">
        <v>700</v>
      </c>
      <c r="O181" s="30">
        <v>10</v>
      </c>
      <c r="P181" s="30">
        <v>9450</v>
      </c>
      <c r="Q181" s="30">
        <v>3</v>
      </c>
      <c r="R181" s="90" t="s">
        <v>41</v>
      </c>
      <c r="S181" s="30" t="s">
        <v>42</v>
      </c>
      <c r="T181" s="30" t="s">
        <v>43</v>
      </c>
      <c r="U181" s="30">
        <v>9891358505</v>
      </c>
      <c r="V181" s="38" t="s">
        <v>52</v>
      </c>
      <c r="W181" s="40" t="str">
        <f t="shared" si="6"/>
        <v>Kavya Nair</v>
      </c>
      <c r="X181" s="93" t="str">
        <f t="shared" si="7"/>
        <v>Electronics</v>
      </c>
      <c r="Y181" s="94" t="str">
        <f t="shared" si="8"/>
        <v>South</v>
      </c>
    </row>
    <row r="182" spans="1:25" ht="15" thickBot="1" x14ac:dyDescent="0.4">
      <c r="A182" s="90" t="s">
        <v>307</v>
      </c>
      <c r="B182" s="27" t="s">
        <v>72</v>
      </c>
      <c r="C182" s="27" t="s">
        <v>105</v>
      </c>
      <c r="D182" s="28">
        <v>45803</v>
      </c>
      <c r="E182" s="28">
        <v>45807</v>
      </c>
      <c r="F182" s="27" t="s">
        <v>73</v>
      </c>
      <c r="G182" s="27" t="s">
        <v>26</v>
      </c>
      <c r="H182" s="28">
        <v>29476</v>
      </c>
      <c r="I182" s="27" t="s">
        <v>91</v>
      </c>
      <c r="J182" s="27" t="s">
        <v>75</v>
      </c>
      <c r="K182" s="27" t="s">
        <v>29</v>
      </c>
      <c r="L182" s="27" t="s">
        <v>107</v>
      </c>
      <c r="M182" s="95">
        <v>19</v>
      </c>
      <c r="N182" s="27">
        <v>8500</v>
      </c>
      <c r="O182" s="27">
        <v>15</v>
      </c>
      <c r="P182" s="27">
        <v>137275</v>
      </c>
      <c r="Q182" s="27">
        <v>2</v>
      </c>
      <c r="R182" s="90" t="s">
        <v>31</v>
      </c>
      <c r="S182" s="27" t="s">
        <v>32</v>
      </c>
      <c r="T182" s="27" t="s">
        <v>93</v>
      </c>
      <c r="U182" s="27">
        <v>9910085332</v>
      </c>
      <c r="V182" s="37" t="s">
        <v>53</v>
      </c>
      <c r="W182" s="40" t="str">
        <f t="shared" si="6"/>
        <v>Priya Patel</v>
      </c>
      <c r="X182" s="93" t="str">
        <f t="shared" si="7"/>
        <v>Home Appliances</v>
      </c>
      <c r="Y182" s="94" t="str">
        <f t="shared" si="8"/>
        <v>West</v>
      </c>
    </row>
    <row r="183" spans="1:25" ht="15" thickBot="1" x14ac:dyDescent="0.4">
      <c r="A183" s="90" t="s">
        <v>308</v>
      </c>
      <c r="B183" s="30" t="s">
        <v>134</v>
      </c>
      <c r="C183" s="30" t="s">
        <v>82</v>
      </c>
      <c r="D183" s="31">
        <v>45934</v>
      </c>
      <c r="E183" s="31">
        <v>45936</v>
      </c>
      <c r="F183" s="30" t="s">
        <v>135</v>
      </c>
      <c r="G183" s="30" t="s">
        <v>26</v>
      </c>
      <c r="H183" s="31">
        <v>32240</v>
      </c>
      <c r="I183" s="30" t="s">
        <v>121</v>
      </c>
      <c r="J183" s="30" t="s">
        <v>38</v>
      </c>
      <c r="K183" s="30" t="s">
        <v>83</v>
      </c>
      <c r="L183" s="30" t="s">
        <v>84</v>
      </c>
      <c r="M183" s="95">
        <v>19</v>
      </c>
      <c r="N183" s="30">
        <v>60</v>
      </c>
      <c r="O183" s="30">
        <v>20</v>
      </c>
      <c r="P183" s="30">
        <v>912</v>
      </c>
      <c r="Q183" s="30">
        <v>4</v>
      </c>
      <c r="R183" s="90" t="s">
        <v>60</v>
      </c>
      <c r="S183" s="30" t="s">
        <v>42</v>
      </c>
      <c r="T183" s="30" t="s">
        <v>136</v>
      </c>
      <c r="U183" s="30">
        <v>9756908023</v>
      </c>
      <c r="V183" s="38" t="s">
        <v>52</v>
      </c>
      <c r="W183" s="40" t="str">
        <f t="shared" si="6"/>
        <v>Sneha Joshi</v>
      </c>
      <c r="X183" s="93" t="str">
        <f t="shared" si="7"/>
        <v>Stationery</v>
      </c>
      <c r="Y183" s="94" t="str">
        <f t="shared" si="8"/>
        <v>North</v>
      </c>
    </row>
    <row r="184" spans="1:25" ht="15" thickBot="1" x14ac:dyDescent="0.4">
      <c r="A184" s="90" t="s">
        <v>309</v>
      </c>
      <c r="B184" s="27" t="s">
        <v>72</v>
      </c>
      <c r="C184" s="27" t="s">
        <v>138</v>
      </c>
      <c r="D184" s="28">
        <v>45792</v>
      </c>
      <c r="E184" s="28">
        <v>45803</v>
      </c>
      <c r="F184" s="27" t="s">
        <v>73</v>
      </c>
      <c r="G184" s="27" t="s">
        <v>26</v>
      </c>
      <c r="H184" s="28">
        <v>32192</v>
      </c>
      <c r="I184" s="27" t="s">
        <v>48</v>
      </c>
      <c r="J184" s="27" t="s">
        <v>28</v>
      </c>
      <c r="K184" s="27" t="s">
        <v>83</v>
      </c>
      <c r="L184" s="27" t="s">
        <v>139</v>
      </c>
      <c r="M184" s="95">
        <v>10</v>
      </c>
      <c r="N184" s="27">
        <v>45</v>
      </c>
      <c r="O184" s="27">
        <v>15</v>
      </c>
      <c r="P184" s="27">
        <v>382.5</v>
      </c>
      <c r="Q184" s="27">
        <v>4</v>
      </c>
      <c r="R184" s="90" t="s">
        <v>31</v>
      </c>
      <c r="S184" s="27" t="s">
        <v>96</v>
      </c>
      <c r="T184" s="27" t="s">
        <v>93</v>
      </c>
      <c r="U184" s="27">
        <v>9645913247</v>
      </c>
      <c r="V184" s="35" t="s">
        <v>34</v>
      </c>
      <c r="W184" s="40" t="str">
        <f t="shared" si="6"/>
        <v>Priya Patel</v>
      </c>
      <c r="X184" s="93" t="str">
        <f t="shared" si="7"/>
        <v>Stationery</v>
      </c>
      <c r="Y184" s="94" t="str">
        <f t="shared" si="8"/>
        <v>South</v>
      </c>
    </row>
    <row r="185" spans="1:25" ht="15" thickBot="1" x14ac:dyDescent="0.4">
      <c r="A185" s="90" t="s">
        <v>310</v>
      </c>
      <c r="B185" s="30" t="s">
        <v>55</v>
      </c>
      <c r="C185" s="30" t="s">
        <v>24</v>
      </c>
      <c r="D185" s="31">
        <v>45822</v>
      </c>
      <c r="E185" s="31">
        <v>45831</v>
      </c>
      <c r="F185" s="30" t="s">
        <v>57</v>
      </c>
      <c r="G185" s="30" t="s">
        <v>58</v>
      </c>
      <c r="H185" s="31">
        <v>29923</v>
      </c>
      <c r="I185" s="30" t="s">
        <v>37</v>
      </c>
      <c r="J185" s="30" t="s">
        <v>38</v>
      </c>
      <c r="K185" s="30" t="s">
        <v>29</v>
      </c>
      <c r="L185" s="30" t="s">
        <v>30</v>
      </c>
      <c r="M185" s="95">
        <v>7</v>
      </c>
      <c r="N185" s="30">
        <v>2200</v>
      </c>
      <c r="O185" s="30">
        <v>20</v>
      </c>
      <c r="P185" s="30">
        <v>12320</v>
      </c>
      <c r="Q185" s="30">
        <v>5</v>
      </c>
      <c r="R185" s="90" t="s">
        <v>65</v>
      </c>
      <c r="S185" s="30" t="s">
        <v>42</v>
      </c>
      <c r="T185" s="30" t="s">
        <v>61</v>
      </c>
      <c r="U185" s="30">
        <v>9806914795</v>
      </c>
      <c r="V185" s="38" t="s">
        <v>52</v>
      </c>
      <c r="W185" s="40" t="str">
        <f t="shared" si="6"/>
        <v>Mohit Verma</v>
      </c>
      <c r="X185" s="93" t="str">
        <f t="shared" si="7"/>
        <v>Home Appliances</v>
      </c>
      <c r="Y185" s="94" t="str">
        <f t="shared" si="8"/>
        <v>North</v>
      </c>
    </row>
    <row r="186" spans="1:25" ht="15" thickBot="1" x14ac:dyDescent="0.4">
      <c r="A186" s="90" t="s">
        <v>311</v>
      </c>
      <c r="B186" s="27" t="s">
        <v>72</v>
      </c>
      <c r="C186" s="27" t="s">
        <v>105</v>
      </c>
      <c r="D186" s="28">
        <v>45769</v>
      </c>
      <c r="E186" s="28">
        <v>45781</v>
      </c>
      <c r="F186" s="27" t="s">
        <v>73</v>
      </c>
      <c r="G186" s="27" t="s">
        <v>26</v>
      </c>
      <c r="H186" s="28">
        <v>30723</v>
      </c>
      <c r="I186" s="27" t="s">
        <v>147</v>
      </c>
      <c r="J186" s="27" t="s">
        <v>148</v>
      </c>
      <c r="K186" s="27" t="s">
        <v>29</v>
      </c>
      <c r="L186" s="27" t="s">
        <v>107</v>
      </c>
      <c r="M186" s="95">
        <v>20</v>
      </c>
      <c r="N186" s="27">
        <v>8500</v>
      </c>
      <c r="O186" s="27">
        <v>20</v>
      </c>
      <c r="P186" s="27">
        <v>136000</v>
      </c>
      <c r="Q186" s="27">
        <v>4</v>
      </c>
      <c r="R186" s="90" t="s">
        <v>41</v>
      </c>
      <c r="S186" s="27" t="s">
        <v>32</v>
      </c>
      <c r="T186" s="27" t="s">
        <v>93</v>
      </c>
      <c r="U186" s="27">
        <v>9276222829</v>
      </c>
      <c r="V186" s="35" t="s">
        <v>34</v>
      </c>
      <c r="W186" s="40" t="str">
        <f t="shared" si="6"/>
        <v>Priya Patel</v>
      </c>
      <c r="X186" s="93" t="str">
        <f t="shared" si="7"/>
        <v>Home Appliances</v>
      </c>
      <c r="Y186" s="94" t="str">
        <f t="shared" si="8"/>
        <v>East</v>
      </c>
    </row>
    <row r="187" spans="1:25" ht="15" thickBot="1" x14ac:dyDescent="0.4">
      <c r="A187" s="90" t="s">
        <v>312</v>
      </c>
      <c r="B187" s="30" t="s">
        <v>134</v>
      </c>
      <c r="C187" s="30" t="s">
        <v>24</v>
      </c>
      <c r="D187" s="31">
        <v>45679</v>
      </c>
      <c r="E187" s="31">
        <v>45681</v>
      </c>
      <c r="F187" s="30" t="s">
        <v>135</v>
      </c>
      <c r="G187" s="30" t="s">
        <v>26</v>
      </c>
      <c r="H187" s="31">
        <v>33579</v>
      </c>
      <c r="I187" s="30" t="s">
        <v>27</v>
      </c>
      <c r="J187" s="30" t="s">
        <v>28</v>
      </c>
      <c r="K187" s="30" t="s">
        <v>29</v>
      </c>
      <c r="L187" s="30" t="s">
        <v>30</v>
      </c>
      <c r="M187" s="95">
        <v>10</v>
      </c>
      <c r="N187" s="30">
        <v>2200</v>
      </c>
      <c r="O187" s="30">
        <v>5</v>
      </c>
      <c r="P187" s="30">
        <v>20900</v>
      </c>
      <c r="Q187" s="30">
        <v>2</v>
      </c>
      <c r="R187" s="90" t="s">
        <v>41</v>
      </c>
      <c r="S187" s="30" t="s">
        <v>42</v>
      </c>
      <c r="T187" s="30" t="s">
        <v>136</v>
      </c>
      <c r="U187" s="30">
        <v>9533835528</v>
      </c>
      <c r="V187" s="36" t="s">
        <v>34</v>
      </c>
      <c r="W187" s="40" t="str">
        <f t="shared" si="6"/>
        <v>Sneha Joshi</v>
      </c>
      <c r="X187" s="93" t="str">
        <f t="shared" si="7"/>
        <v>Home Appliances</v>
      </c>
      <c r="Y187" s="94" t="str">
        <f t="shared" si="8"/>
        <v>South</v>
      </c>
    </row>
    <row r="188" spans="1:25" ht="15" thickBot="1" x14ac:dyDescent="0.4">
      <c r="A188" s="90" t="s">
        <v>313</v>
      </c>
      <c r="B188" s="27" t="s">
        <v>87</v>
      </c>
      <c r="C188" s="27" t="s">
        <v>82</v>
      </c>
      <c r="D188" s="28">
        <v>46007</v>
      </c>
      <c r="E188" s="28">
        <v>46017</v>
      </c>
      <c r="F188" s="27" t="s">
        <v>88</v>
      </c>
      <c r="G188" s="27" t="s">
        <v>58</v>
      </c>
      <c r="H188" s="28">
        <v>27811</v>
      </c>
      <c r="I188" s="27" t="s">
        <v>79</v>
      </c>
      <c r="J188" s="27" t="s">
        <v>75</v>
      </c>
      <c r="K188" s="27" t="s">
        <v>83</v>
      </c>
      <c r="L188" s="27" t="s">
        <v>84</v>
      </c>
      <c r="M188" s="95">
        <v>15</v>
      </c>
      <c r="N188" s="27">
        <v>60</v>
      </c>
      <c r="O188" s="27">
        <v>20</v>
      </c>
      <c r="P188" s="27">
        <v>720</v>
      </c>
      <c r="Q188" s="27">
        <v>1</v>
      </c>
      <c r="R188" s="90" t="s">
        <v>60</v>
      </c>
      <c r="S188" s="27" t="s">
        <v>32</v>
      </c>
      <c r="T188" s="27" t="s">
        <v>89</v>
      </c>
      <c r="U188" s="27">
        <v>9654885820</v>
      </c>
      <c r="V188" s="35" t="s">
        <v>34</v>
      </c>
      <c r="W188" s="40" t="str">
        <f t="shared" si="6"/>
        <v>Rohit Singh</v>
      </c>
      <c r="X188" s="93" t="str">
        <f t="shared" si="7"/>
        <v>Stationery</v>
      </c>
      <c r="Y188" s="94" t="str">
        <f t="shared" si="8"/>
        <v>West</v>
      </c>
    </row>
    <row r="189" spans="1:25" ht="15" thickBot="1" x14ac:dyDescent="0.4">
      <c r="A189" s="90" t="s">
        <v>314</v>
      </c>
      <c r="B189" s="30" t="s">
        <v>124</v>
      </c>
      <c r="C189" s="30" t="s">
        <v>68</v>
      </c>
      <c r="D189" s="31">
        <v>45832</v>
      </c>
      <c r="E189" s="31">
        <v>45836</v>
      </c>
      <c r="F189" s="30" t="s">
        <v>126</v>
      </c>
      <c r="G189" s="30" t="s">
        <v>58</v>
      </c>
      <c r="H189" s="31">
        <v>27634</v>
      </c>
      <c r="I189" s="30" t="s">
        <v>27</v>
      </c>
      <c r="J189" s="30" t="s">
        <v>28</v>
      </c>
      <c r="K189" s="30" t="s">
        <v>29</v>
      </c>
      <c r="L189" s="30" t="s">
        <v>70</v>
      </c>
      <c r="M189" s="95">
        <v>18</v>
      </c>
      <c r="N189" s="30">
        <v>3500</v>
      </c>
      <c r="O189" s="30">
        <v>5</v>
      </c>
      <c r="P189" s="30">
        <v>59850</v>
      </c>
      <c r="Q189" s="30">
        <v>1</v>
      </c>
      <c r="R189" s="90" t="s">
        <v>60</v>
      </c>
      <c r="S189" s="30" t="s">
        <v>42</v>
      </c>
      <c r="T189" s="30" t="s">
        <v>128</v>
      </c>
      <c r="U189" s="30">
        <v>9456029544</v>
      </c>
      <c r="V189" s="38" t="s">
        <v>53</v>
      </c>
      <c r="W189" s="40" t="str">
        <f t="shared" si="6"/>
        <v>Vikas Mehta</v>
      </c>
      <c r="X189" s="93" t="str">
        <f t="shared" si="7"/>
        <v>Home Appliances</v>
      </c>
      <c r="Y189" s="94" t="str">
        <f t="shared" si="8"/>
        <v>South</v>
      </c>
    </row>
    <row r="190" spans="1:25" ht="15" thickBot="1" x14ac:dyDescent="0.4">
      <c r="A190" s="90" t="s">
        <v>315</v>
      </c>
      <c r="B190" s="27" t="s">
        <v>156</v>
      </c>
      <c r="C190" s="27" t="s">
        <v>36</v>
      </c>
      <c r="D190" s="28">
        <v>46154</v>
      </c>
      <c r="E190" s="28">
        <v>46164</v>
      </c>
      <c r="F190" s="27" t="s">
        <v>106</v>
      </c>
      <c r="G190" s="27" t="s">
        <v>58</v>
      </c>
      <c r="H190" s="28">
        <v>32116</v>
      </c>
      <c r="I190" s="27" t="s">
        <v>79</v>
      </c>
      <c r="J190" s="27" t="s">
        <v>75</v>
      </c>
      <c r="K190" s="27" t="s">
        <v>39</v>
      </c>
      <c r="L190" s="27" t="s">
        <v>40</v>
      </c>
      <c r="M190" s="95">
        <v>6</v>
      </c>
      <c r="N190" s="27">
        <v>12000</v>
      </c>
      <c r="O190" s="27">
        <v>5</v>
      </c>
      <c r="P190" s="27">
        <v>68400</v>
      </c>
      <c r="Q190" s="27">
        <v>1</v>
      </c>
      <c r="R190" s="90" t="s">
        <v>41</v>
      </c>
      <c r="S190" s="27" t="s">
        <v>42</v>
      </c>
      <c r="T190" s="27" t="s">
        <v>158</v>
      </c>
      <c r="U190" s="27">
        <v>9914571493</v>
      </c>
      <c r="V190" s="37" t="s">
        <v>53</v>
      </c>
      <c r="W190" s="40" t="str">
        <f t="shared" si="6"/>
        <v>Amit Sharma</v>
      </c>
      <c r="X190" s="93" t="str">
        <f t="shared" si="7"/>
        <v>Electronics</v>
      </c>
      <c r="Y190" s="94" t="str">
        <f t="shared" si="8"/>
        <v>West</v>
      </c>
    </row>
    <row r="191" spans="1:25" ht="15" thickBot="1" x14ac:dyDescent="0.4">
      <c r="A191" s="90" t="s">
        <v>316</v>
      </c>
      <c r="B191" s="30" t="s">
        <v>156</v>
      </c>
      <c r="C191" s="30" t="s">
        <v>125</v>
      </c>
      <c r="D191" s="31">
        <v>46067</v>
      </c>
      <c r="E191" s="31">
        <v>46069</v>
      </c>
      <c r="F191" s="30" t="s">
        <v>106</v>
      </c>
      <c r="G191" s="30" t="s">
        <v>58</v>
      </c>
      <c r="H191" s="31">
        <v>38225</v>
      </c>
      <c r="I191" s="30" t="s">
        <v>48</v>
      </c>
      <c r="J191" s="30" t="s">
        <v>28</v>
      </c>
      <c r="K191" s="30" t="s">
        <v>83</v>
      </c>
      <c r="L191" s="30" t="s">
        <v>127</v>
      </c>
      <c r="M191" s="95">
        <v>19</v>
      </c>
      <c r="N191" s="30">
        <v>20</v>
      </c>
      <c r="O191" s="30">
        <v>10</v>
      </c>
      <c r="P191" s="30">
        <v>342</v>
      </c>
      <c r="Q191" s="30">
        <v>2</v>
      </c>
      <c r="R191" s="90" t="s">
        <v>41</v>
      </c>
      <c r="S191" s="30" t="s">
        <v>32</v>
      </c>
      <c r="T191" s="30" t="s">
        <v>158</v>
      </c>
      <c r="U191" s="30">
        <v>9270726986</v>
      </c>
      <c r="V191" s="38" t="s">
        <v>52</v>
      </c>
      <c r="W191" s="40" t="str">
        <f t="shared" si="6"/>
        <v>Amit Sharma</v>
      </c>
      <c r="X191" s="93" t="str">
        <f t="shared" si="7"/>
        <v>Stationery</v>
      </c>
      <c r="Y191" s="94" t="str">
        <f t="shared" si="8"/>
        <v>South</v>
      </c>
    </row>
    <row r="192" spans="1:25" ht="15" thickBot="1" x14ac:dyDescent="0.4">
      <c r="A192" s="90" t="s">
        <v>317</v>
      </c>
      <c r="B192" s="27" t="s">
        <v>124</v>
      </c>
      <c r="C192" s="27" t="s">
        <v>24</v>
      </c>
      <c r="D192" s="28">
        <v>46155</v>
      </c>
      <c r="E192" s="28">
        <v>46162</v>
      </c>
      <c r="F192" s="27" t="s">
        <v>126</v>
      </c>
      <c r="G192" s="27" t="s">
        <v>58</v>
      </c>
      <c r="H192" s="28">
        <v>34350</v>
      </c>
      <c r="I192" s="27" t="s">
        <v>79</v>
      </c>
      <c r="J192" s="27" t="s">
        <v>75</v>
      </c>
      <c r="K192" s="27" t="s">
        <v>29</v>
      </c>
      <c r="L192" s="27" t="s">
        <v>30</v>
      </c>
      <c r="M192" s="95">
        <v>7</v>
      </c>
      <c r="N192" s="27">
        <v>2200</v>
      </c>
      <c r="O192" s="27">
        <v>0</v>
      </c>
      <c r="P192" s="27">
        <v>15400</v>
      </c>
      <c r="Q192" s="27">
        <v>1</v>
      </c>
      <c r="R192" s="90" t="s">
        <v>60</v>
      </c>
      <c r="S192" s="27" t="s">
        <v>80</v>
      </c>
      <c r="T192" s="27" t="s">
        <v>128</v>
      </c>
      <c r="U192" s="27">
        <v>9570080664</v>
      </c>
      <c r="V192" s="37" t="s">
        <v>53</v>
      </c>
      <c r="W192" s="40" t="str">
        <f t="shared" si="6"/>
        <v>Vikas Mehta</v>
      </c>
      <c r="X192" s="93" t="str">
        <f t="shared" si="7"/>
        <v>Home Appliances</v>
      </c>
      <c r="Y192" s="94" t="str">
        <f t="shared" si="8"/>
        <v>West</v>
      </c>
    </row>
    <row r="193" spans="1:25" ht="15" thickBot="1" x14ac:dyDescent="0.4">
      <c r="A193" s="90" t="s">
        <v>318</v>
      </c>
      <c r="B193" s="30" t="s">
        <v>156</v>
      </c>
      <c r="C193" s="30" t="s">
        <v>36</v>
      </c>
      <c r="D193" s="31">
        <v>45977</v>
      </c>
      <c r="E193" s="31">
        <v>45981</v>
      </c>
      <c r="F193" s="30" t="s">
        <v>106</v>
      </c>
      <c r="G193" s="30" t="s">
        <v>58</v>
      </c>
      <c r="H193" s="31">
        <v>37922</v>
      </c>
      <c r="I193" s="30" t="s">
        <v>121</v>
      </c>
      <c r="J193" s="30" t="s">
        <v>38</v>
      </c>
      <c r="K193" s="30" t="s">
        <v>39</v>
      </c>
      <c r="L193" s="30" t="s">
        <v>40</v>
      </c>
      <c r="M193" s="95">
        <v>3</v>
      </c>
      <c r="N193" s="30">
        <v>12000</v>
      </c>
      <c r="O193" s="30">
        <v>5</v>
      </c>
      <c r="P193" s="30">
        <v>34200</v>
      </c>
      <c r="Q193" s="30">
        <v>3</v>
      </c>
      <c r="R193" s="90" t="s">
        <v>60</v>
      </c>
      <c r="S193" s="30" t="s">
        <v>50</v>
      </c>
      <c r="T193" s="30" t="s">
        <v>158</v>
      </c>
      <c r="U193" s="30">
        <v>9109009524</v>
      </c>
      <c r="V193" s="38" t="s">
        <v>53</v>
      </c>
      <c r="W193" s="40" t="str">
        <f t="shared" si="6"/>
        <v>Amit Sharma</v>
      </c>
      <c r="X193" s="93" t="str">
        <f t="shared" si="7"/>
        <v>Electronics</v>
      </c>
      <c r="Y193" s="94" t="str">
        <f t="shared" si="8"/>
        <v>North</v>
      </c>
    </row>
    <row r="194" spans="1:25" ht="15" thickBot="1" x14ac:dyDescent="0.4">
      <c r="A194" s="90" t="s">
        <v>319</v>
      </c>
      <c r="B194" s="27" t="s">
        <v>104</v>
      </c>
      <c r="C194" s="27" t="s">
        <v>24</v>
      </c>
      <c r="D194" s="28">
        <v>45953</v>
      </c>
      <c r="E194" s="28">
        <v>45965</v>
      </c>
      <c r="F194" s="27" t="s">
        <v>166</v>
      </c>
      <c r="G194" s="27" t="s">
        <v>26</v>
      </c>
      <c r="H194" s="28">
        <v>36662</v>
      </c>
      <c r="I194" s="27" t="s">
        <v>121</v>
      </c>
      <c r="J194" s="27" t="s">
        <v>38</v>
      </c>
      <c r="K194" s="27" t="s">
        <v>29</v>
      </c>
      <c r="L194" s="27" t="s">
        <v>30</v>
      </c>
      <c r="M194" s="95">
        <v>16</v>
      </c>
      <c r="N194" s="27">
        <v>2200</v>
      </c>
      <c r="O194" s="27">
        <v>0</v>
      </c>
      <c r="P194" s="27">
        <v>35200</v>
      </c>
      <c r="Q194" s="27">
        <v>5</v>
      </c>
      <c r="R194" s="90" t="s">
        <v>60</v>
      </c>
      <c r="S194" s="27" t="s">
        <v>32</v>
      </c>
      <c r="T194" s="27" t="s">
        <v>108</v>
      </c>
      <c r="U194" s="27">
        <v>9701276770</v>
      </c>
      <c r="V194" s="37" t="s">
        <v>52</v>
      </c>
      <c r="W194" s="40" t="str">
        <f t="shared" si="6"/>
        <v>Anita Gupta</v>
      </c>
      <c r="X194" s="93" t="str">
        <f t="shared" si="7"/>
        <v>Home Appliances</v>
      </c>
      <c r="Y194" s="94" t="str">
        <f t="shared" si="8"/>
        <v>North</v>
      </c>
    </row>
    <row r="195" spans="1:25" ht="15" thickBot="1" x14ac:dyDescent="0.4">
      <c r="A195" s="90" t="s">
        <v>320</v>
      </c>
      <c r="B195" s="30" t="s">
        <v>134</v>
      </c>
      <c r="C195" s="30" t="s">
        <v>24</v>
      </c>
      <c r="D195" s="31">
        <v>45704</v>
      </c>
      <c r="E195" s="31">
        <v>45706</v>
      </c>
      <c r="F195" s="30" t="s">
        <v>135</v>
      </c>
      <c r="G195" s="30" t="s">
        <v>26</v>
      </c>
      <c r="H195" s="31">
        <v>32693</v>
      </c>
      <c r="I195" s="30" t="s">
        <v>37</v>
      </c>
      <c r="J195" s="30" t="s">
        <v>38</v>
      </c>
      <c r="K195" s="30" t="s">
        <v>29</v>
      </c>
      <c r="L195" s="30" t="s">
        <v>30</v>
      </c>
      <c r="M195" s="95">
        <v>8</v>
      </c>
      <c r="N195" s="30">
        <v>2200</v>
      </c>
      <c r="O195" s="30">
        <v>5</v>
      </c>
      <c r="P195" s="30">
        <v>16720</v>
      </c>
      <c r="Q195" s="30">
        <v>2</v>
      </c>
      <c r="R195" s="90" t="s">
        <v>65</v>
      </c>
      <c r="S195" s="30" t="s">
        <v>96</v>
      </c>
      <c r="T195" s="30" t="s">
        <v>136</v>
      </c>
      <c r="U195" s="30">
        <v>9298278507</v>
      </c>
      <c r="V195" s="36" t="s">
        <v>34</v>
      </c>
      <c r="W195" s="40" t="str">
        <f t="shared" ref="W195:W258" si="9">PROPER(TRIM(F195))</f>
        <v>Sneha Joshi</v>
      </c>
      <c r="X195" s="93" t="str">
        <f t="shared" ref="X195:X258" si="10">PROPER(K195)</f>
        <v>Home Appliances</v>
      </c>
      <c r="Y195" s="94" t="str">
        <f t="shared" ref="Y195:Y258" si="11">PROPER(J195)</f>
        <v>North</v>
      </c>
    </row>
    <row r="196" spans="1:25" ht="15" thickBot="1" x14ac:dyDescent="0.4">
      <c r="A196" s="90" t="s">
        <v>321</v>
      </c>
      <c r="B196" s="27" t="s">
        <v>134</v>
      </c>
      <c r="C196" s="27" t="s">
        <v>24</v>
      </c>
      <c r="D196" s="28">
        <v>46002</v>
      </c>
      <c r="E196" s="28">
        <v>46005</v>
      </c>
      <c r="F196" s="27" t="s">
        <v>135</v>
      </c>
      <c r="G196" s="27" t="s">
        <v>26</v>
      </c>
      <c r="H196" s="28">
        <v>35863</v>
      </c>
      <c r="I196" s="27" t="s">
        <v>91</v>
      </c>
      <c r="J196" s="27" t="s">
        <v>75</v>
      </c>
      <c r="K196" s="27" t="s">
        <v>29</v>
      </c>
      <c r="L196" s="27" t="s">
        <v>30</v>
      </c>
      <c r="M196" s="95">
        <v>10</v>
      </c>
      <c r="N196" s="27">
        <v>2200</v>
      </c>
      <c r="O196" s="27">
        <v>10</v>
      </c>
      <c r="P196" s="27">
        <v>19800</v>
      </c>
      <c r="Q196" s="27">
        <v>5</v>
      </c>
      <c r="R196" s="90" t="s">
        <v>41</v>
      </c>
      <c r="S196" s="27" t="s">
        <v>80</v>
      </c>
      <c r="T196" s="27" t="s">
        <v>136</v>
      </c>
      <c r="U196" s="27">
        <v>9895908093</v>
      </c>
      <c r="V196" s="37" t="s">
        <v>52</v>
      </c>
      <c r="W196" s="40" t="str">
        <f t="shared" si="9"/>
        <v>Sneha Joshi</v>
      </c>
      <c r="X196" s="93" t="str">
        <f t="shared" si="10"/>
        <v>Home Appliances</v>
      </c>
      <c r="Y196" s="94" t="str">
        <f t="shared" si="11"/>
        <v>West</v>
      </c>
    </row>
    <row r="197" spans="1:25" ht="15" thickBot="1" x14ac:dyDescent="0.4">
      <c r="A197" s="90" t="s">
        <v>322</v>
      </c>
      <c r="B197" s="30" t="s">
        <v>63</v>
      </c>
      <c r="C197" s="30" t="s">
        <v>125</v>
      </c>
      <c r="D197" s="31">
        <v>45775</v>
      </c>
      <c r="E197" s="31">
        <v>45786</v>
      </c>
      <c r="F197" s="30" t="s">
        <v>110</v>
      </c>
      <c r="G197" s="30" t="s">
        <v>58</v>
      </c>
      <c r="H197" s="31">
        <v>32284</v>
      </c>
      <c r="I197" s="30" t="s">
        <v>37</v>
      </c>
      <c r="J197" s="30" t="s">
        <v>38</v>
      </c>
      <c r="K197" s="30" t="s">
        <v>83</v>
      </c>
      <c r="L197" s="30" t="s">
        <v>127</v>
      </c>
      <c r="M197" s="95">
        <v>7</v>
      </c>
      <c r="N197" s="30">
        <v>20</v>
      </c>
      <c r="O197" s="30">
        <v>10</v>
      </c>
      <c r="P197" s="30">
        <v>126</v>
      </c>
      <c r="Q197" s="30">
        <v>4</v>
      </c>
      <c r="R197" s="90" t="s">
        <v>60</v>
      </c>
      <c r="S197" s="30" t="s">
        <v>50</v>
      </c>
      <c r="T197" s="30" t="s">
        <v>66</v>
      </c>
      <c r="U197" s="30">
        <v>9734108795</v>
      </c>
      <c r="V197" s="36" t="s">
        <v>34</v>
      </c>
      <c r="W197" s="40" t="str">
        <f t="shared" si="9"/>
        <v>Arjun Rao</v>
      </c>
      <c r="X197" s="93" t="str">
        <f t="shared" si="10"/>
        <v>Stationery</v>
      </c>
      <c r="Y197" s="94" t="str">
        <f t="shared" si="11"/>
        <v>North</v>
      </c>
    </row>
    <row r="198" spans="1:25" ht="15" thickBot="1" x14ac:dyDescent="0.4">
      <c r="A198" s="90" t="s">
        <v>323</v>
      </c>
      <c r="B198" s="27" t="s">
        <v>124</v>
      </c>
      <c r="C198" s="27" t="s">
        <v>105</v>
      </c>
      <c r="D198" s="28">
        <v>46033</v>
      </c>
      <c r="E198" s="28">
        <v>46036</v>
      </c>
      <c r="F198" s="27" t="s">
        <v>126</v>
      </c>
      <c r="G198" s="27" t="s">
        <v>58</v>
      </c>
      <c r="H198" s="28">
        <v>34533</v>
      </c>
      <c r="I198" s="27" t="s">
        <v>27</v>
      </c>
      <c r="J198" s="27" t="s">
        <v>28</v>
      </c>
      <c r="K198" s="27" t="s">
        <v>29</v>
      </c>
      <c r="L198" s="27" t="s">
        <v>107</v>
      </c>
      <c r="M198" s="95">
        <v>19</v>
      </c>
      <c r="N198" s="27">
        <v>8500</v>
      </c>
      <c r="O198" s="27">
        <v>20</v>
      </c>
      <c r="P198" s="27">
        <v>129200</v>
      </c>
      <c r="Q198" s="27">
        <v>3</v>
      </c>
      <c r="R198" s="90" t="s">
        <v>41</v>
      </c>
      <c r="S198" s="27" t="s">
        <v>50</v>
      </c>
      <c r="T198" s="27" t="s">
        <v>128</v>
      </c>
      <c r="U198" s="27">
        <v>9799597413</v>
      </c>
      <c r="V198" s="37" t="s">
        <v>52</v>
      </c>
      <c r="W198" s="40" t="str">
        <f t="shared" si="9"/>
        <v>Vikas Mehta</v>
      </c>
      <c r="X198" s="93" t="str">
        <f t="shared" si="10"/>
        <v>Home Appliances</v>
      </c>
      <c r="Y198" s="94" t="str">
        <f t="shared" si="11"/>
        <v>South</v>
      </c>
    </row>
    <row r="199" spans="1:25" ht="15" thickBot="1" x14ac:dyDescent="0.4">
      <c r="A199" s="90" t="s">
        <v>325</v>
      </c>
      <c r="B199" s="30" t="s">
        <v>72</v>
      </c>
      <c r="C199" s="30" t="s">
        <v>82</v>
      </c>
      <c r="D199" s="31">
        <v>45717</v>
      </c>
      <c r="E199" s="31">
        <v>45722</v>
      </c>
      <c r="F199" s="30" t="s">
        <v>73</v>
      </c>
      <c r="G199" s="30" t="s">
        <v>26</v>
      </c>
      <c r="H199" s="31">
        <v>28444</v>
      </c>
      <c r="I199" s="30" t="s">
        <v>79</v>
      </c>
      <c r="J199" s="30" t="s">
        <v>75</v>
      </c>
      <c r="K199" s="30" t="s">
        <v>83</v>
      </c>
      <c r="L199" s="30" t="s">
        <v>84</v>
      </c>
      <c r="M199" s="95">
        <v>16</v>
      </c>
      <c r="N199" s="30">
        <v>60</v>
      </c>
      <c r="O199" s="30">
        <v>0</v>
      </c>
      <c r="P199" s="30">
        <v>960</v>
      </c>
      <c r="Q199" s="30">
        <v>2</v>
      </c>
      <c r="R199" s="90" t="s">
        <v>41</v>
      </c>
      <c r="S199" s="30" t="s">
        <v>80</v>
      </c>
      <c r="T199" s="30" t="s">
        <v>93</v>
      </c>
      <c r="U199" s="30">
        <v>9688987266</v>
      </c>
      <c r="V199" s="36" t="s">
        <v>34</v>
      </c>
      <c r="W199" s="40" t="str">
        <f t="shared" si="9"/>
        <v>Priya Patel</v>
      </c>
      <c r="X199" s="93" t="str">
        <f t="shared" si="10"/>
        <v>Stationery</v>
      </c>
      <c r="Y199" s="94" t="str">
        <f t="shared" si="11"/>
        <v>West</v>
      </c>
    </row>
    <row r="200" spans="1:25" ht="15" thickBot="1" x14ac:dyDescent="0.4">
      <c r="A200" s="90" t="s">
        <v>326</v>
      </c>
      <c r="B200" s="27" t="s">
        <v>124</v>
      </c>
      <c r="C200" s="27" t="s">
        <v>68</v>
      </c>
      <c r="D200" s="28">
        <v>46127</v>
      </c>
      <c r="E200" s="28">
        <v>46139</v>
      </c>
      <c r="F200" s="27" t="s">
        <v>126</v>
      </c>
      <c r="G200" s="27" t="s">
        <v>58</v>
      </c>
      <c r="H200" s="28">
        <v>30216</v>
      </c>
      <c r="I200" s="27" t="s">
        <v>48</v>
      </c>
      <c r="J200" s="27" t="s">
        <v>28</v>
      </c>
      <c r="K200" s="27" t="s">
        <v>324</v>
      </c>
      <c r="L200" s="27" t="s">
        <v>70</v>
      </c>
      <c r="M200" s="95">
        <v>18</v>
      </c>
      <c r="N200" s="27">
        <v>3500</v>
      </c>
      <c r="O200" s="27">
        <v>5</v>
      </c>
      <c r="P200" s="27">
        <v>59850</v>
      </c>
      <c r="Q200" s="27">
        <v>1</v>
      </c>
      <c r="R200" s="90" t="s">
        <v>65</v>
      </c>
      <c r="S200" s="27" t="s">
        <v>80</v>
      </c>
      <c r="T200" s="27" t="s">
        <v>128</v>
      </c>
      <c r="U200" s="27">
        <v>9867169037</v>
      </c>
      <c r="V200" s="37" t="s">
        <v>52</v>
      </c>
      <c r="W200" s="40" t="str">
        <f t="shared" si="9"/>
        <v>Vikas Mehta</v>
      </c>
      <c r="X200" s="93" t="str">
        <f t="shared" si="10"/>
        <v>Stationary</v>
      </c>
      <c r="Y200" s="94" t="str">
        <f t="shared" si="11"/>
        <v>South</v>
      </c>
    </row>
    <row r="201" spans="1:25" ht="15" thickBot="1" x14ac:dyDescent="0.4">
      <c r="A201" s="90" t="s">
        <v>327</v>
      </c>
      <c r="B201" s="30" t="s">
        <v>72</v>
      </c>
      <c r="C201" s="30" t="s">
        <v>46</v>
      </c>
      <c r="D201" s="31">
        <v>45708</v>
      </c>
      <c r="E201" s="31">
        <v>45717</v>
      </c>
      <c r="F201" s="30" t="s">
        <v>73</v>
      </c>
      <c r="G201" s="30" t="s">
        <v>26</v>
      </c>
      <c r="H201" s="31">
        <v>34591</v>
      </c>
      <c r="I201" s="30" t="s">
        <v>121</v>
      </c>
      <c r="J201" s="30" t="s">
        <v>38</v>
      </c>
      <c r="K201" s="30" t="s">
        <v>39</v>
      </c>
      <c r="L201" s="30" t="s">
        <v>49</v>
      </c>
      <c r="M201" s="95">
        <v>16</v>
      </c>
      <c r="N201" s="30">
        <v>55000</v>
      </c>
      <c r="O201" s="30">
        <v>0</v>
      </c>
      <c r="P201" s="30">
        <v>880000</v>
      </c>
      <c r="Q201" s="30">
        <v>1</v>
      </c>
      <c r="R201" s="90" t="s">
        <v>60</v>
      </c>
      <c r="S201" s="30" t="s">
        <v>50</v>
      </c>
      <c r="T201" s="30" t="s">
        <v>93</v>
      </c>
      <c r="U201" s="30">
        <v>9485547425</v>
      </c>
      <c r="V201" s="38" t="s">
        <v>53</v>
      </c>
      <c r="W201" s="40" t="str">
        <f t="shared" si="9"/>
        <v>Priya Patel</v>
      </c>
      <c r="X201" s="93" t="str">
        <f t="shared" si="10"/>
        <v>Electronics</v>
      </c>
      <c r="Y201" s="94" t="str">
        <f t="shared" si="11"/>
        <v>North</v>
      </c>
    </row>
    <row r="202" spans="1:25" ht="15" thickBot="1" x14ac:dyDescent="0.4">
      <c r="A202" s="90" t="s">
        <v>328</v>
      </c>
      <c r="B202" s="27" t="s">
        <v>124</v>
      </c>
      <c r="C202" s="27" t="s">
        <v>56</v>
      </c>
      <c r="D202" s="28">
        <v>45694</v>
      </c>
      <c r="E202" s="28">
        <v>45697</v>
      </c>
      <c r="F202" s="27" t="s">
        <v>126</v>
      </c>
      <c r="G202" s="27" t="s">
        <v>58</v>
      </c>
      <c r="H202" s="28">
        <v>35035</v>
      </c>
      <c r="I202" s="27" t="s">
        <v>91</v>
      </c>
      <c r="J202" s="27" t="s">
        <v>75</v>
      </c>
      <c r="K202" s="27" t="s">
        <v>39</v>
      </c>
      <c r="L202" s="27" t="s">
        <v>59</v>
      </c>
      <c r="M202" s="95">
        <v>18</v>
      </c>
      <c r="N202" s="27">
        <v>1200</v>
      </c>
      <c r="O202" s="27">
        <v>15</v>
      </c>
      <c r="P202" s="27">
        <v>18360</v>
      </c>
      <c r="Q202" s="27">
        <v>2</v>
      </c>
      <c r="R202" s="90" t="s">
        <v>41</v>
      </c>
      <c r="S202" s="27" t="s">
        <v>32</v>
      </c>
      <c r="T202" s="27" t="s">
        <v>128</v>
      </c>
      <c r="U202" s="27">
        <v>9889733076</v>
      </c>
      <c r="V202" s="37" t="s">
        <v>53</v>
      </c>
      <c r="W202" s="40" t="str">
        <f t="shared" si="9"/>
        <v>Vikas Mehta</v>
      </c>
      <c r="X202" s="93" t="str">
        <f t="shared" si="10"/>
        <v>Electronics</v>
      </c>
      <c r="Y202" s="94" t="str">
        <f t="shared" si="11"/>
        <v>West</v>
      </c>
    </row>
    <row r="203" spans="1:25" ht="15" thickBot="1" x14ac:dyDescent="0.4">
      <c r="A203" s="90" t="s">
        <v>329</v>
      </c>
      <c r="B203" s="30" t="s">
        <v>55</v>
      </c>
      <c r="C203" s="30" t="s">
        <v>138</v>
      </c>
      <c r="D203" s="31">
        <v>45801</v>
      </c>
      <c r="E203" s="31">
        <v>45804</v>
      </c>
      <c r="F203" s="30" t="s">
        <v>57</v>
      </c>
      <c r="G203" s="30" t="s">
        <v>58</v>
      </c>
      <c r="H203" s="31">
        <v>31238</v>
      </c>
      <c r="I203" s="30" t="s">
        <v>27</v>
      </c>
      <c r="J203" s="30" t="s">
        <v>28</v>
      </c>
      <c r="K203" s="30" t="s">
        <v>83</v>
      </c>
      <c r="L203" s="30" t="s">
        <v>139</v>
      </c>
      <c r="M203" s="95">
        <v>2</v>
      </c>
      <c r="N203" s="30">
        <v>45</v>
      </c>
      <c r="O203" s="30">
        <v>15</v>
      </c>
      <c r="P203" s="30">
        <v>76.5</v>
      </c>
      <c r="Q203" s="30">
        <v>5</v>
      </c>
      <c r="R203" s="90" t="s">
        <v>31</v>
      </c>
      <c r="S203" s="30" t="s">
        <v>50</v>
      </c>
      <c r="T203" s="30" t="s">
        <v>61</v>
      </c>
      <c r="U203" s="30">
        <v>9145434449</v>
      </c>
      <c r="V203" s="38" t="s">
        <v>53</v>
      </c>
      <c r="W203" s="40" t="str">
        <f t="shared" si="9"/>
        <v>Mohit Verma</v>
      </c>
      <c r="X203" s="93" t="str">
        <f t="shared" si="10"/>
        <v>Stationery</v>
      </c>
      <c r="Y203" s="94" t="str">
        <f t="shared" si="11"/>
        <v>South</v>
      </c>
    </row>
    <row r="204" spans="1:25" ht="15" thickBot="1" x14ac:dyDescent="0.4">
      <c r="A204" s="90" t="s">
        <v>330</v>
      </c>
      <c r="B204" s="27" t="s">
        <v>45</v>
      </c>
      <c r="C204" s="27" t="s">
        <v>105</v>
      </c>
      <c r="D204" s="28">
        <v>46028</v>
      </c>
      <c r="E204" s="28">
        <v>46034</v>
      </c>
      <c r="F204" s="27" t="s">
        <v>101</v>
      </c>
      <c r="G204" s="27" t="s">
        <v>26</v>
      </c>
      <c r="H204" s="28">
        <v>36975</v>
      </c>
      <c r="I204" s="27" t="s">
        <v>48</v>
      </c>
      <c r="J204" s="27" t="s">
        <v>28</v>
      </c>
      <c r="K204" s="27" t="s">
        <v>29</v>
      </c>
      <c r="L204" s="27" t="s">
        <v>107</v>
      </c>
      <c r="M204" s="95">
        <v>20</v>
      </c>
      <c r="N204" s="27">
        <v>8500</v>
      </c>
      <c r="O204" s="27">
        <v>0</v>
      </c>
      <c r="P204" s="27">
        <v>170000</v>
      </c>
      <c r="Q204" s="27">
        <v>4</v>
      </c>
      <c r="R204" s="90" t="s">
        <v>41</v>
      </c>
      <c r="S204" s="27" t="s">
        <v>50</v>
      </c>
      <c r="T204" s="27" t="s">
        <v>51</v>
      </c>
      <c r="U204" s="27">
        <v>9598942148</v>
      </c>
      <c r="V204" s="37" t="s">
        <v>53</v>
      </c>
      <c r="W204" s="40" t="str">
        <f t="shared" si="9"/>
        <v>Pooja Shah</v>
      </c>
      <c r="X204" s="93" t="str">
        <f t="shared" si="10"/>
        <v>Home Appliances</v>
      </c>
      <c r="Y204" s="94" t="str">
        <f t="shared" si="11"/>
        <v>South</v>
      </c>
    </row>
    <row r="205" spans="1:25" ht="15" thickBot="1" x14ac:dyDescent="0.4">
      <c r="A205" s="90" t="s">
        <v>331</v>
      </c>
      <c r="B205" s="30" t="s">
        <v>87</v>
      </c>
      <c r="C205" s="30" t="s">
        <v>68</v>
      </c>
      <c r="D205" s="31">
        <v>46089</v>
      </c>
      <c r="E205" s="31">
        <v>46090</v>
      </c>
      <c r="F205" s="30" t="s">
        <v>88</v>
      </c>
      <c r="G205" s="30" t="s">
        <v>58</v>
      </c>
      <c r="H205" s="31">
        <v>29703</v>
      </c>
      <c r="I205" s="30" t="s">
        <v>121</v>
      </c>
      <c r="J205" s="30" t="s">
        <v>38</v>
      </c>
      <c r="K205" s="30" t="s">
        <v>29</v>
      </c>
      <c r="L205" s="30" t="s">
        <v>70</v>
      </c>
      <c r="M205" s="95">
        <v>6</v>
      </c>
      <c r="N205" s="30">
        <v>3500</v>
      </c>
      <c r="O205" s="30">
        <v>5</v>
      </c>
      <c r="P205" s="30">
        <v>19950</v>
      </c>
      <c r="Q205" s="30">
        <v>1</v>
      </c>
      <c r="R205" s="90" t="s">
        <v>31</v>
      </c>
      <c r="S205" s="30" t="s">
        <v>96</v>
      </c>
      <c r="T205" s="30" t="s">
        <v>89</v>
      </c>
      <c r="U205" s="30">
        <v>9599252705</v>
      </c>
      <c r="V205" s="36" t="s">
        <v>34</v>
      </c>
      <c r="W205" s="40" t="str">
        <f t="shared" si="9"/>
        <v>Rohit Singh</v>
      </c>
      <c r="X205" s="93" t="str">
        <f t="shared" si="10"/>
        <v>Home Appliances</v>
      </c>
      <c r="Y205" s="94" t="str">
        <f t="shared" si="11"/>
        <v>North</v>
      </c>
    </row>
    <row r="206" spans="1:25" ht="15" thickBot="1" x14ac:dyDescent="0.4">
      <c r="A206" s="90" t="s">
        <v>332</v>
      </c>
      <c r="B206" s="27" t="s">
        <v>104</v>
      </c>
      <c r="C206" s="27" t="s">
        <v>138</v>
      </c>
      <c r="D206" s="28">
        <v>45935</v>
      </c>
      <c r="E206" s="28">
        <v>45939</v>
      </c>
      <c r="F206" s="27" t="s">
        <v>166</v>
      </c>
      <c r="G206" s="27" t="s">
        <v>26</v>
      </c>
      <c r="H206" s="28">
        <v>37635</v>
      </c>
      <c r="I206" s="27" t="s">
        <v>79</v>
      </c>
      <c r="J206" s="27" t="s">
        <v>75</v>
      </c>
      <c r="K206" s="27" t="s">
        <v>83</v>
      </c>
      <c r="L206" s="27" t="s">
        <v>139</v>
      </c>
      <c r="M206" s="95">
        <v>8</v>
      </c>
      <c r="N206" s="27">
        <v>45</v>
      </c>
      <c r="O206" s="27">
        <v>5</v>
      </c>
      <c r="P206" s="27">
        <v>342</v>
      </c>
      <c r="Q206" s="27">
        <v>2</v>
      </c>
      <c r="R206" s="90" t="s">
        <v>31</v>
      </c>
      <c r="S206" s="27" t="s">
        <v>42</v>
      </c>
      <c r="T206" s="27" t="s">
        <v>108</v>
      </c>
      <c r="U206" s="27">
        <v>9626843681</v>
      </c>
      <c r="V206" s="37" t="s">
        <v>52</v>
      </c>
      <c r="W206" s="40" t="str">
        <f t="shared" si="9"/>
        <v>Anita Gupta</v>
      </c>
      <c r="X206" s="93" t="str">
        <f t="shared" si="10"/>
        <v>Stationery</v>
      </c>
      <c r="Y206" s="94" t="str">
        <f t="shared" si="11"/>
        <v>West</v>
      </c>
    </row>
    <row r="207" spans="1:25" ht="15" thickBot="1" x14ac:dyDescent="0.4">
      <c r="A207" s="90" t="s">
        <v>333</v>
      </c>
      <c r="B207" s="30" t="s">
        <v>156</v>
      </c>
      <c r="C207" s="30" t="s">
        <v>24</v>
      </c>
      <c r="D207" s="31">
        <v>45722</v>
      </c>
      <c r="E207" s="31">
        <v>45728</v>
      </c>
      <c r="F207" s="30" t="s">
        <v>106</v>
      </c>
      <c r="G207" s="30" t="s">
        <v>58</v>
      </c>
      <c r="H207" s="31">
        <v>29496</v>
      </c>
      <c r="I207" s="30" t="s">
        <v>74</v>
      </c>
      <c r="J207" s="30" t="s">
        <v>75</v>
      </c>
      <c r="K207" s="30" t="s">
        <v>29</v>
      </c>
      <c r="L207" s="30" t="s">
        <v>30</v>
      </c>
      <c r="M207" s="95">
        <v>18</v>
      </c>
      <c r="N207" s="30">
        <v>2200</v>
      </c>
      <c r="O207" s="30">
        <v>15</v>
      </c>
      <c r="P207" s="30">
        <v>33660</v>
      </c>
      <c r="Q207" s="30">
        <v>4</v>
      </c>
      <c r="R207" s="90" t="s">
        <v>60</v>
      </c>
      <c r="S207" s="30" t="s">
        <v>50</v>
      </c>
      <c r="T207" s="30" t="s">
        <v>158</v>
      </c>
      <c r="U207" s="30">
        <v>9934933215</v>
      </c>
      <c r="V207" s="38" t="s">
        <v>52</v>
      </c>
      <c r="W207" s="40" t="str">
        <f t="shared" si="9"/>
        <v>Amit Sharma</v>
      </c>
      <c r="X207" s="93" t="str">
        <f t="shared" si="10"/>
        <v>Home Appliances</v>
      </c>
      <c r="Y207" s="94" t="str">
        <f t="shared" si="11"/>
        <v>West</v>
      </c>
    </row>
    <row r="208" spans="1:25" ht="15" thickBot="1" x14ac:dyDescent="0.4">
      <c r="A208" s="90" t="s">
        <v>334</v>
      </c>
      <c r="B208" s="27" t="s">
        <v>124</v>
      </c>
      <c r="C208" s="27" t="s">
        <v>112</v>
      </c>
      <c r="D208" s="28">
        <v>46118</v>
      </c>
      <c r="E208" s="28">
        <v>46127</v>
      </c>
      <c r="F208" s="27" t="s">
        <v>126</v>
      </c>
      <c r="G208" s="27" t="s">
        <v>58</v>
      </c>
      <c r="H208" s="28">
        <v>33170</v>
      </c>
      <c r="I208" s="27" t="s">
        <v>27</v>
      </c>
      <c r="J208" s="27" t="s">
        <v>28</v>
      </c>
      <c r="K208" s="27" t="s">
        <v>39</v>
      </c>
      <c r="L208" s="27" t="s">
        <v>114</v>
      </c>
      <c r="M208" s="95">
        <v>18</v>
      </c>
      <c r="N208" s="27">
        <v>700</v>
      </c>
      <c r="O208" s="27">
        <v>15</v>
      </c>
      <c r="P208" s="27">
        <v>10710</v>
      </c>
      <c r="Q208" s="27">
        <v>3</v>
      </c>
      <c r="R208" s="90" t="s">
        <v>60</v>
      </c>
      <c r="S208" s="27" t="s">
        <v>96</v>
      </c>
      <c r="T208" s="27" t="s">
        <v>128</v>
      </c>
      <c r="U208" s="27">
        <v>9508025585</v>
      </c>
      <c r="V208" s="37" t="s">
        <v>53</v>
      </c>
      <c r="W208" s="40" t="str">
        <f t="shared" si="9"/>
        <v>Vikas Mehta</v>
      </c>
      <c r="X208" s="93" t="str">
        <f t="shared" si="10"/>
        <v>Electronics</v>
      </c>
      <c r="Y208" s="94" t="str">
        <f t="shared" si="11"/>
        <v>South</v>
      </c>
    </row>
    <row r="209" spans="1:25" ht="15" thickBot="1" x14ac:dyDescent="0.4">
      <c r="A209" s="90" t="s">
        <v>335</v>
      </c>
      <c r="B209" s="30" t="s">
        <v>156</v>
      </c>
      <c r="C209" s="30" t="s">
        <v>46</v>
      </c>
      <c r="D209" s="31">
        <v>46039</v>
      </c>
      <c r="E209" s="31">
        <v>46042</v>
      </c>
      <c r="F209" s="30" t="s">
        <v>106</v>
      </c>
      <c r="G209" s="30" t="s">
        <v>58</v>
      </c>
      <c r="H209" s="31">
        <v>28392</v>
      </c>
      <c r="I209" s="30" t="s">
        <v>79</v>
      </c>
      <c r="J209" s="30" t="s">
        <v>75</v>
      </c>
      <c r="K209" s="30" t="s">
        <v>39</v>
      </c>
      <c r="L209" s="30" t="s">
        <v>49</v>
      </c>
      <c r="M209" s="95">
        <v>12</v>
      </c>
      <c r="N209" s="30">
        <v>55000</v>
      </c>
      <c r="O209" s="30">
        <v>0</v>
      </c>
      <c r="P209" s="30">
        <v>660000</v>
      </c>
      <c r="Q209" s="30">
        <v>2</v>
      </c>
      <c r="R209" s="90" t="s">
        <v>65</v>
      </c>
      <c r="S209" s="30" t="s">
        <v>42</v>
      </c>
      <c r="T209" s="30" t="s">
        <v>158</v>
      </c>
      <c r="U209" s="30">
        <v>9364681052</v>
      </c>
      <c r="V209" s="38" t="s">
        <v>53</v>
      </c>
      <c r="W209" s="40" t="str">
        <f t="shared" si="9"/>
        <v>Amit Sharma</v>
      </c>
      <c r="X209" s="93" t="str">
        <f t="shared" si="10"/>
        <v>Electronics</v>
      </c>
      <c r="Y209" s="94" t="str">
        <f t="shared" si="11"/>
        <v>West</v>
      </c>
    </row>
    <row r="210" spans="1:25" ht="15" thickBot="1" x14ac:dyDescent="0.4">
      <c r="A210" s="90" t="s">
        <v>336</v>
      </c>
      <c r="B210" s="27" t="s">
        <v>23</v>
      </c>
      <c r="C210" s="27" t="s">
        <v>36</v>
      </c>
      <c r="D210" s="28">
        <v>45976</v>
      </c>
      <c r="E210" s="28">
        <v>45985</v>
      </c>
      <c r="F210" s="27" t="s">
        <v>25</v>
      </c>
      <c r="G210" s="27" t="s">
        <v>26</v>
      </c>
      <c r="H210" s="28">
        <v>35340</v>
      </c>
      <c r="I210" s="27" t="s">
        <v>74</v>
      </c>
      <c r="J210" s="27" t="s">
        <v>75</v>
      </c>
      <c r="K210" s="27" t="s">
        <v>39</v>
      </c>
      <c r="L210" s="27" t="s">
        <v>40</v>
      </c>
      <c r="M210" s="95">
        <v>7</v>
      </c>
      <c r="N210" s="27">
        <v>12000</v>
      </c>
      <c r="O210" s="27">
        <v>5</v>
      </c>
      <c r="P210" s="27">
        <v>79800</v>
      </c>
      <c r="Q210" s="27">
        <v>3</v>
      </c>
      <c r="R210" s="90" t="s">
        <v>60</v>
      </c>
      <c r="S210" s="27" t="s">
        <v>96</v>
      </c>
      <c r="T210" s="27" t="s">
        <v>43</v>
      </c>
      <c r="U210" s="27">
        <v>9117102884</v>
      </c>
      <c r="V210" s="37" t="s">
        <v>52</v>
      </c>
      <c r="W210" s="40" t="str">
        <f t="shared" si="9"/>
        <v>Kavya Nair</v>
      </c>
      <c r="X210" s="93" t="str">
        <f t="shared" si="10"/>
        <v>Electronics</v>
      </c>
      <c r="Y210" s="94" t="str">
        <f t="shared" si="11"/>
        <v>West</v>
      </c>
    </row>
    <row r="211" spans="1:25" ht="15" thickBot="1" x14ac:dyDescent="0.4">
      <c r="A211" s="90" t="s">
        <v>337</v>
      </c>
      <c r="B211" s="30" t="s">
        <v>134</v>
      </c>
      <c r="C211" s="30" t="s">
        <v>36</v>
      </c>
      <c r="D211" s="31">
        <v>45921</v>
      </c>
      <c r="E211" s="31">
        <v>45923</v>
      </c>
      <c r="F211" s="30" t="s">
        <v>135</v>
      </c>
      <c r="G211" s="30" t="s">
        <v>26</v>
      </c>
      <c r="H211" s="31">
        <v>27897</v>
      </c>
      <c r="I211" s="30" t="s">
        <v>74</v>
      </c>
      <c r="J211" s="30" t="s">
        <v>75</v>
      </c>
      <c r="K211" s="30" t="s">
        <v>39</v>
      </c>
      <c r="L211" s="30" t="s">
        <v>40</v>
      </c>
      <c r="M211" s="95">
        <v>8</v>
      </c>
      <c r="N211" s="30">
        <v>12000</v>
      </c>
      <c r="O211" s="30">
        <v>15</v>
      </c>
      <c r="P211" s="30">
        <v>81600</v>
      </c>
      <c r="Q211" s="30">
        <v>4</v>
      </c>
      <c r="R211" s="90" t="s">
        <v>60</v>
      </c>
      <c r="S211" s="30" t="s">
        <v>42</v>
      </c>
      <c r="T211" s="30" t="s">
        <v>136</v>
      </c>
      <c r="U211" s="30">
        <v>9819453185</v>
      </c>
      <c r="V211" s="36" t="s">
        <v>34</v>
      </c>
      <c r="W211" s="40" t="str">
        <f t="shared" si="9"/>
        <v>Sneha Joshi</v>
      </c>
      <c r="X211" s="93" t="str">
        <f t="shared" si="10"/>
        <v>Electronics</v>
      </c>
      <c r="Y211" s="94" t="str">
        <f t="shared" si="11"/>
        <v>West</v>
      </c>
    </row>
    <row r="212" spans="1:25" ht="15" thickBot="1" x14ac:dyDescent="0.4">
      <c r="A212" s="90" t="s">
        <v>338</v>
      </c>
      <c r="B212" s="27" t="s">
        <v>156</v>
      </c>
      <c r="C212" s="27" t="s">
        <v>68</v>
      </c>
      <c r="D212" s="28">
        <v>46009</v>
      </c>
      <c r="E212" s="28">
        <v>46018</v>
      </c>
      <c r="F212" s="27" t="s">
        <v>106</v>
      </c>
      <c r="G212" s="27" t="s">
        <v>58</v>
      </c>
      <c r="H212" s="28">
        <v>32120</v>
      </c>
      <c r="I212" s="27" t="s">
        <v>74</v>
      </c>
      <c r="J212" s="27" t="s">
        <v>75</v>
      </c>
      <c r="K212" s="27" t="s">
        <v>29</v>
      </c>
      <c r="L212" s="27" t="s">
        <v>70</v>
      </c>
      <c r="M212" s="95">
        <v>19</v>
      </c>
      <c r="N212" s="27">
        <v>3500</v>
      </c>
      <c r="O212" s="27">
        <v>5</v>
      </c>
      <c r="P212" s="27">
        <v>63175</v>
      </c>
      <c r="Q212" s="27">
        <v>3</v>
      </c>
      <c r="R212" s="90" t="s">
        <v>60</v>
      </c>
      <c r="S212" s="27" t="s">
        <v>50</v>
      </c>
      <c r="T212" s="27" t="s">
        <v>158</v>
      </c>
      <c r="U212" s="27">
        <v>9511806701</v>
      </c>
      <c r="V212" s="37" t="s">
        <v>52</v>
      </c>
      <c r="W212" s="40" t="str">
        <f t="shared" si="9"/>
        <v>Amit Sharma</v>
      </c>
      <c r="X212" s="93" t="str">
        <f t="shared" si="10"/>
        <v>Home Appliances</v>
      </c>
      <c r="Y212" s="94" t="str">
        <f t="shared" si="11"/>
        <v>West</v>
      </c>
    </row>
    <row r="213" spans="1:25" ht="15" thickBot="1" x14ac:dyDescent="0.4">
      <c r="A213" s="90" t="s">
        <v>339</v>
      </c>
      <c r="B213" s="30" t="s">
        <v>134</v>
      </c>
      <c r="C213" s="30" t="s">
        <v>138</v>
      </c>
      <c r="D213" s="31">
        <v>45694</v>
      </c>
      <c r="E213" s="31">
        <v>45704</v>
      </c>
      <c r="F213" s="30" t="s">
        <v>135</v>
      </c>
      <c r="G213" s="30" t="s">
        <v>26</v>
      </c>
      <c r="H213" s="31">
        <v>33070</v>
      </c>
      <c r="I213" s="30" t="s">
        <v>91</v>
      </c>
      <c r="J213" s="30" t="s">
        <v>75</v>
      </c>
      <c r="K213" s="30" t="s">
        <v>83</v>
      </c>
      <c r="L213" s="30" t="s">
        <v>139</v>
      </c>
      <c r="M213" s="95">
        <v>7</v>
      </c>
      <c r="N213" s="30">
        <v>45</v>
      </c>
      <c r="O213" s="30">
        <v>5</v>
      </c>
      <c r="P213" s="30">
        <v>299.25</v>
      </c>
      <c r="Q213" s="30">
        <v>3</v>
      </c>
      <c r="R213" s="90" t="s">
        <v>60</v>
      </c>
      <c r="S213" s="30" t="s">
        <v>32</v>
      </c>
      <c r="T213" s="30" t="s">
        <v>136</v>
      </c>
      <c r="U213" s="30">
        <v>9875249891</v>
      </c>
      <c r="V213" s="38" t="s">
        <v>53</v>
      </c>
      <c r="W213" s="40" t="str">
        <f t="shared" si="9"/>
        <v>Sneha Joshi</v>
      </c>
      <c r="X213" s="93" t="str">
        <f t="shared" si="10"/>
        <v>Stationery</v>
      </c>
      <c r="Y213" s="94" t="str">
        <f t="shared" si="11"/>
        <v>West</v>
      </c>
    </row>
    <row r="214" spans="1:25" ht="15" thickBot="1" x14ac:dyDescent="0.4">
      <c r="A214" s="90" t="s">
        <v>340</v>
      </c>
      <c r="B214" s="27" t="s">
        <v>23</v>
      </c>
      <c r="C214" s="27" t="s">
        <v>82</v>
      </c>
      <c r="D214" s="28">
        <v>45810</v>
      </c>
      <c r="E214" s="28">
        <v>45816</v>
      </c>
      <c r="F214" s="27" t="s">
        <v>25</v>
      </c>
      <c r="G214" s="27" t="s">
        <v>26</v>
      </c>
      <c r="H214" s="28">
        <v>33459</v>
      </c>
      <c r="I214" s="27" t="s">
        <v>27</v>
      </c>
      <c r="J214" s="27" t="s">
        <v>28</v>
      </c>
      <c r="K214" s="27" t="s">
        <v>83</v>
      </c>
      <c r="L214" s="27" t="s">
        <v>84</v>
      </c>
      <c r="M214" s="95">
        <v>3</v>
      </c>
      <c r="N214" s="27">
        <v>60</v>
      </c>
      <c r="O214" s="27">
        <v>15</v>
      </c>
      <c r="P214" s="27">
        <v>153</v>
      </c>
      <c r="Q214" s="27">
        <v>3</v>
      </c>
      <c r="R214" s="90" t="s">
        <v>41</v>
      </c>
      <c r="S214" s="27" t="s">
        <v>42</v>
      </c>
      <c r="T214" s="27" t="s">
        <v>43</v>
      </c>
      <c r="U214" s="27">
        <v>9438232503</v>
      </c>
      <c r="V214" s="37" t="s">
        <v>53</v>
      </c>
      <c r="W214" s="40" t="str">
        <f t="shared" si="9"/>
        <v>Kavya Nair</v>
      </c>
      <c r="X214" s="93" t="str">
        <f t="shared" si="10"/>
        <v>Stationery</v>
      </c>
      <c r="Y214" s="94" t="str">
        <f t="shared" si="11"/>
        <v>South</v>
      </c>
    </row>
    <row r="215" spans="1:25" ht="15" thickBot="1" x14ac:dyDescent="0.4">
      <c r="A215" s="90" t="s">
        <v>341</v>
      </c>
      <c r="B215" s="30" t="s">
        <v>45</v>
      </c>
      <c r="C215" s="30" t="s">
        <v>138</v>
      </c>
      <c r="D215" s="31">
        <v>46134</v>
      </c>
      <c r="E215" s="31">
        <v>46146</v>
      </c>
      <c r="F215" s="30" t="s">
        <v>101</v>
      </c>
      <c r="G215" s="30" t="s">
        <v>26</v>
      </c>
      <c r="H215" s="31">
        <v>28485</v>
      </c>
      <c r="I215" s="30" t="s">
        <v>79</v>
      </c>
      <c r="J215" s="30" t="s">
        <v>75</v>
      </c>
      <c r="K215" s="30" t="s">
        <v>83</v>
      </c>
      <c r="L215" s="30" t="s">
        <v>139</v>
      </c>
      <c r="M215" s="95">
        <v>19</v>
      </c>
      <c r="N215" s="30">
        <v>45</v>
      </c>
      <c r="O215" s="30">
        <v>0</v>
      </c>
      <c r="P215" s="30">
        <v>855</v>
      </c>
      <c r="Q215" s="30">
        <v>2</v>
      </c>
      <c r="R215" s="90" t="s">
        <v>31</v>
      </c>
      <c r="S215" s="30" t="s">
        <v>50</v>
      </c>
      <c r="T215" s="30" t="s">
        <v>51</v>
      </c>
      <c r="U215" s="30">
        <v>9449953754</v>
      </c>
      <c r="V215" s="36" t="s">
        <v>34</v>
      </c>
      <c r="W215" s="40" t="str">
        <f t="shared" si="9"/>
        <v>Pooja Shah</v>
      </c>
      <c r="X215" s="93" t="str">
        <f t="shared" si="10"/>
        <v>Stationery</v>
      </c>
      <c r="Y215" s="94" t="str">
        <f t="shared" si="11"/>
        <v>West</v>
      </c>
    </row>
    <row r="216" spans="1:25" ht="15" thickBot="1" x14ac:dyDescent="0.4">
      <c r="A216" s="90" t="s">
        <v>342</v>
      </c>
      <c r="B216" s="27" t="s">
        <v>72</v>
      </c>
      <c r="C216" s="27" t="s">
        <v>36</v>
      </c>
      <c r="D216" s="28">
        <v>46087</v>
      </c>
      <c r="E216" s="28">
        <v>46097</v>
      </c>
      <c r="F216" s="27" t="s">
        <v>73</v>
      </c>
      <c r="G216" s="27" t="s">
        <v>26</v>
      </c>
      <c r="H216" s="28">
        <v>34854</v>
      </c>
      <c r="I216" s="27" t="s">
        <v>48</v>
      </c>
      <c r="J216" s="27" t="s">
        <v>28</v>
      </c>
      <c r="K216" s="27" t="s">
        <v>39</v>
      </c>
      <c r="L216" s="27" t="s">
        <v>40</v>
      </c>
      <c r="M216" s="95">
        <v>10</v>
      </c>
      <c r="N216" s="27">
        <v>12000</v>
      </c>
      <c r="O216" s="27">
        <v>5</v>
      </c>
      <c r="P216" s="27">
        <v>114000</v>
      </c>
      <c r="Q216" s="27">
        <v>1</v>
      </c>
      <c r="R216" s="90" t="s">
        <v>60</v>
      </c>
      <c r="S216" s="27" t="s">
        <v>80</v>
      </c>
      <c r="T216" s="27" t="s">
        <v>93</v>
      </c>
      <c r="U216" s="27">
        <v>9833801891</v>
      </c>
      <c r="V216" s="37" t="s">
        <v>53</v>
      </c>
      <c r="W216" s="40" t="str">
        <f t="shared" si="9"/>
        <v>Priya Patel</v>
      </c>
      <c r="X216" s="93" t="str">
        <f t="shared" si="10"/>
        <v>Electronics</v>
      </c>
      <c r="Y216" s="94" t="str">
        <f t="shared" si="11"/>
        <v>South</v>
      </c>
    </row>
    <row r="217" spans="1:25" ht="15" thickBot="1" x14ac:dyDescent="0.4">
      <c r="A217" s="90" t="s">
        <v>343</v>
      </c>
      <c r="B217" s="30" t="s">
        <v>23</v>
      </c>
      <c r="C217" s="30" t="s">
        <v>56</v>
      </c>
      <c r="D217" s="31">
        <v>45716</v>
      </c>
      <c r="E217" s="31">
        <v>45728</v>
      </c>
      <c r="F217" s="30" t="s">
        <v>25</v>
      </c>
      <c r="G217" s="30" t="s">
        <v>26</v>
      </c>
      <c r="H217" s="31">
        <v>30636</v>
      </c>
      <c r="I217" s="30" t="s">
        <v>147</v>
      </c>
      <c r="J217" s="30" t="s">
        <v>148</v>
      </c>
      <c r="K217" s="30" t="s">
        <v>39</v>
      </c>
      <c r="L217" s="30" t="s">
        <v>59</v>
      </c>
      <c r="M217" s="95">
        <v>4</v>
      </c>
      <c r="N217" s="30">
        <v>1200</v>
      </c>
      <c r="O217" s="30">
        <v>0</v>
      </c>
      <c r="P217" s="30">
        <v>4800</v>
      </c>
      <c r="Q217" s="30">
        <v>4</v>
      </c>
      <c r="R217" s="90" t="s">
        <v>31</v>
      </c>
      <c r="S217" s="30" t="s">
        <v>50</v>
      </c>
      <c r="T217" s="30" t="s">
        <v>43</v>
      </c>
      <c r="U217" s="30">
        <v>9183949273</v>
      </c>
      <c r="V217" s="36" t="s">
        <v>34</v>
      </c>
      <c r="W217" s="40" t="str">
        <f t="shared" si="9"/>
        <v>Kavya Nair</v>
      </c>
      <c r="X217" s="93" t="str">
        <f t="shared" si="10"/>
        <v>Electronics</v>
      </c>
      <c r="Y217" s="94" t="str">
        <f t="shared" si="11"/>
        <v>East</v>
      </c>
    </row>
    <row r="218" spans="1:25" ht="15" thickBot="1" x14ac:dyDescent="0.4">
      <c r="A218" s="90" t="s">
        <v>344</v>
      </c>
      <c r="B218" s="27" t="s">
        <v>124</v>
      </c>
      <c r="C218" s="27" t="s">
        <v>105</v>
      </c>
      <c r="D218" s="28">
        <v>45961</v>
      </c>
      <c r="E218" s="28">
        <v>45968</v>
      </c>
      <c r="F218" s="27" t="s">
        <v>126</v>
      </c>
      <c r="G218" s="27" t="s">
        <v>58</v>
      </c>
      <c r="H218" s="28">
        <v>31330</v>
      </c>
      <c r="I218" s="27" t="s">
        <v>48</v>
      </c>
      <c r="J218" s="27" t="s">
        <v>28</v>
      </c>
      <c r="K218" s="27" t="s">
        <v>29</v>
      </c>
      <c r="L218" s="27" t="s">
        <v>107</v>
      </c>
      <c r="M218" s="95">
        <v>2</v>
      </c>
      <c r="N218" s="27">
        <v>8500</v>
      </c>
      <c r="O218" s="27">
        <v>20</v>
      </c>
      <c r="P218" s="27">
        <v>13600</v>
      </c>
      <c r="Q218" s="27">
        <v>3</v>
      </c>
      <c r="R218" s="90" t="s">
        <v>60</v>
      </c>
      <c r="S218" s="27" t="s">
        <v>96</v>
      </c>
      <c r="T218" s="27" t="s">
        <v>128</v>
      </c>
      <c r="U218" s="27">
        <v>9168257367</v>
      </c>
      <c r="V218" s="35" t="s">
        <v>34</v>
      </c>
      <c r="W218" s="40" t="str">
        <f t="shared" si="9"/>
        <v>Vikas Mehta</v>
      </c>
      <c r="X218" s="93" t="str">
        <f t="shared" si="10"/>
        <v>Home Appliances</v>
      </c>
      <c r="Y218" s="94" t="str">
        <f t="shared" si="11"/>
        <v>South</v>
      </c>
    </row>
    <row r="219" spans="1:25" ht="15" thickBot="1" x14ac:dyDescent="0.4">
      <c r="A219" s="90" t="s">
        <v>345</v>
      </c>
      <c r="B219" s="30" t="s">
        <v>63</v>
      </c>
      <c r="C219" s="30" t="s">
        <v>112</v>
      </c>
      <c r="D219" s="31">
        <v>46052</v>
      </c>
      <c r="E219" s="31">
        <v>46061</v>
      </c>
      <c r="F219" s="30" t="s">
        <v>110</v>
      </c>
      <c r="G219" s="30" t="s">
        <v>58</v>
      </c>
      <c r="H219" s="31">
        <v>37263</v>
      </c>
      <c r="I219" s="30" t="s">
        <v>147</v>
      </c>
      <c r="J219" s="30" t="s">
        <v>148</v>
      </c>
      <c r="K219" s="30" t="s">
        <v>39</v>
      </c>
      <c r="L219" s="30" t="s">
        <v>114</v>
      </c>
      <c r="M219" s="95">
        <v>7</v>
      </c>
      <c r="N219" s="30">
        <v>700</v>
      </c>
      <c r="O219" s="30">
        <v>20</v>
      </c>
      <c r="P219" s="30">
        <v>3920</v>
      </c>
      <c r="Q219" s="30">
        <v>2</v>
      </c>
      <c r="R219" s="90" t="s">
        <v>60</v>
      </c>
      <c r="S219" s="30" t="s">
        <v>96</v>
      </c>
      <c r="T219" s="30" t="s">
        <v>66</v>
      </c>
      <c r="U219" s="30">
        <v>9580903210</v>
      </c>
      <c r="V219" s="38" t="s">
        <v>52</v>
      </c>
      <c r="W219" s="40" t="str">
        <f t="shared" si="9"/>
        <v>Arjun Rao</v>
      </c>
      <c r="X219" s="93" t="str">
        <f t="shared" si="10"/>
        <v>Electronics</v>
      </c>
      <c r="Y219" s="94" t="str">
        <f t="shared" si="11"/>
        <v>East</v>
      </c>
    </row>
    <row r="220" spans="1:25" ht="15" thickBot="1" x14ac:dyDescent="0.4">
      <c r="A220" s="90" t="s">
        <v>346</v>
      </c>
      <c r="B220" s="27" t="s">
        <v>45</v>
      </c>
      <c r="C220" s="27" t="s">
        <v>125</v>
      </c>
      <c r="D220" s="28">
        <v>46141</v>
      </c>
      <c r="E220" s="28">
        <v>46145</v>
      </c>
      <c r="F220" s="27" t="s">
        <v>101</v>
      </c>
      <c r="G220" s="27" t="s">
        <v>26</v>
      </c>
      <c r="H220" s="28">
        <v>36359</v>
      </c>
      <c r="I220" s="27" t="s">
        <v>79</v>
      </c>
      <c r="J220" s="27" t="s">
        <v>75</v>
      </c>
      <c r="K220" s="27" t="s">
        <v>83</v>
      </c>
      <c r="L220" s="27" t="s">
        <v>127</v>
      </c>
      <c r="M220" s="95">
        <v>9</v>
      </c>
      <c r="N220" s="27">
        <v>20</v>
      </c>
      <c r="O220" s="27">
        <v>15</v>
      </c>
      <c r="P220" s="27">
        <v>153</v>
      </c>
      <c r="Q220" s="27">
        <v>3</v>
      </c>
      <c r="R220" s="90" t="s">
        <v>41</v>
      </c>
      <c r="S220" s="27" t="s">
        <v>80</v>
      </c>
      <c r="T220" s="27" t="s">
        <v>51</v>
      </c>
      <c r="U220" s="27">
        <v>9602152945</v>
      </c>
      <c r="V220" s="35" t="s">
        <v>34</v>
      </c>
      <c r="W220" s="40" t="str">
        <f t="shared" si="9"/>
        <v>Pooja Shah</v>
      </c>
      <c r="X220" s="93" t="str">
        <f t="shared" si="10"/>
        <v>Stationery</v>
      </c>
      <c r="Y220" s="94" t="str">
        <f t="shared" si="11"/>
        <v>West</v>
      </c>
    </row>
    <row r="221" spans="1:25" ht="15" thickBot="1" x14ac:dyDescent="0.4">
      <c r="A221" s="90" t="s">
        <v>347</v>
      </c>
      <c r="B221" s="30" t="s">
        <v>72</v>
      </c>
      <c r="C221" s="30" t="s">
        <v>105</v>
      </c>
      <c r="D221" s="31">
        <v>45795</v>
      </c>
      <c r="E221" s="31">
        <v>45797</v>
      </c>
      <c r="F221" s="30" t="s">
        <v>73</v>
      </c>
      <c r="G221" s="30" t="s">
        <v>26</v>
      </c>
      <c r="H221" s="31">
        <v>33118</v>
      </c>
      <c r="I221" s="30" t="s">
        <v>147</v>
      </c>
      <c r="J221" s="30" t="s">
        <v>148</v>
      </c>
      <c r="K221" s="30" t="s">
        <v>29</v>
      </c>
      <c r="L221" s="30" t="s">
        <v>107</v>
      </c>
      <c r="M221" s="95">
        <v>16</v>
      </c>
      <c r="N221" s="30">
        <v>8500</v>
      </c>
      <c r="O221" s="30">
        <v>0</v>
      </c>
      <c r="P221" s="30">
        <v>136000</v>
      </c>
      <c r="Q221" s="30">
        <v>4</v>
      </c>
      <c r="R221" s="90" t="s">
        <v>41</v>
      </c>
      <c r="S221" s="30" t="s">
        <v>32</v>
      </c>
      <c r="T221" s="30" t="s">
        <v>93</v>
      </c>
      <c r="U221" s="30">
        <v>9646917552</v>
      </c>
      <c r="V221" s="36" t="s">
        <v>34</v>
      </c>
      <c r="W221" s="40" t="str">
        <f t="shared" si="9"/>
        <v>Priya Patel</v>
      </c>
      <c r="X221" s="93" t="str">
        <f t="shared" si="10"/>
        <v>Home Appliances</v>
      </c>
      <c r="Y221" s="94" t="str">
        <f t="shared" si="11"/>
        <v>East</v>
      </c>
    </row>
    <row r="222" spans="1:25" ht="15" thickBot="1" x14ac:dyDescent="0.4">
      <c r="A222" s="90" t="s">
        <v>348</v>
      </c>
      <c r="B222" s="27" t="s">
        <v>134</v>
      </c>
      <c r="C222" s="27" t="s">
        <v>68</v>
      </c>
      <c r="D222" s="28">
        <v>46107</v>
      </c>
      <c r="E222" s="28">
        <v>46109</v>
      </c>
      <c r="F222" s="27" t="s">
        <v>135</v>
      </c>
      <c r="G222" s="27" t="s">
        <v>26</v>
      </c>
      <c r="H222" s="28">
        <v>33818</v>
      </c>
      <c r="I222" s="27" t="s">
        <v>37</v>
      </c>
      <c r="J222" s="27" t="s">
        <v>38</v>
      </c>
      <c r="K222" s="27" t="s">
        <v>29</v>
      </c>
      <c r="L222" s="27" t="s">
        <v>70</v>
      </c>
      <c r="M222" s="95">
        <v>10</v>
      </c>
      <c r="N222" s="27">
        <v>3500</v>
      </c>
      <c r="O222" s="27">
        <v>5</v>
      </c>
      <c r="P222" s="27">
        <v>33250</v>
      </c>
      <c r="Q222" s="27">
        <v>3</v>
      </c>
      <c r="R222" s="90" t="s">
        <v>41</v>
      </c>
      <c r="S222" s="27" t="s">
        <v>80</v>
      </c>
      <c r="T222" s="27" t="s">
        <v>136</v>
      </c>
      <c r="U222" s="27">
        <v>9127548552</v>
      </c>
      <c r="V222" s="35" t="s">
        <v>34</v>
      </c>
      <c r="W222" s="40" t="str">
        <f t="shared" si="9"/>
        <v>Sneha Joshi</v>
      </c>
      <c r="X222" s="93" t="str">
        <f t="shared" si="10"/>
        <v>Home Appliances</v>
      </c>
      <c r="Y222" s="94" t="str">
        <f t="shared" si="11"/>
        <v>North</v>
      </c>
    </row>
    <row r="223" spans="1:25" ht="15" thickBot="1" x14ac:dyDescent="0.4">
      <c r="A223" s="90" t="s">
        <v>349</v>
      </c>
      <c r="B223" s="30" t="s">
        <v>45</v>
      </c>
      <c r="C223" s="30" t="s">
        <v>36</v>
      </c>
      <c r="D223" s="31">
        <v>46041</v>
      </c>
      <c r="E223" s="31">
        <v>46049</v>
      </c>
      <c r="F223" s="30" t="s">
        <v>101</v>
      </c>
      <c r="G223" s="30" t="s">
        <v>26</v>
      </c>
      <c r="H223" s="31">
        <v>29260</v>
      </c>
      <c r="I223" s="30" t="s">
        <v>147</v>
      </c>
      <c r="J223" s="30" t="s">
        <v>148</v>
      </c>
      <c r="K223" s="30" t="s">
        <v>39</v>
      </c>
      <c r="L223" s="30" t="s">
        <v>40</v>
      </c>
      <c r="M223" s="95">
        <v>1</v>
      </c>
      <c r="N223" s="30">
        <v>12000</v>
      </c>
      <c r="O223" s="30">
        <v>0</v>
      </c>
      <c r="P223" s="30">
        <v>12000</v>
      </c>
      <c r="Q223" s="30">
        <v>5</v>
      </c>
      <c r="R223" s="90" t="s">
        <v>65</v>
      </c>
      <c r="S223" s="30" t="s">
        <v>80</v>
      </c>
      <c r="T223" s="30" t="s">
        <v>51</v>
      </c>
      <c r="U223" s="30">
        <v>9712805603</v>
      </c>
      <c r="V223" s="38" t="s">
        <v>52</v>
      </c>
      <c r="W223" s="40" t="str">
        <f t="shared" si="9"/>
        <v>Pooja Shah</v>
      </c>
      <c r="X223" s="93" t="str">
        <f t="shared" si="10"/>
        <v>Electronics</v>
      </c>
      <c r="Y223" s="94" t="str">
        <f t="shared" si="11"/>
        <v>East</v>
      </c>
    </row>
    <row r="224" spans="1:25" ht="15" thickBot="1" x14ac:dyDescent="0.4">
      <c r="A224" s="90" t="s">
        <v>350</v>
      </c>
      <c r="B224" s="27" t="s">
        <v>156</v>
      </c>
      <c r="C224" s="27" t="s">
        <v>138</v>
      </c>
      <c r="D224" s="28">
        <v>46144</v>
      </c>
      <c r="E224" s="28">
        <v>46152</v>
      </c>
      <c r="F224" s="27" t="s">
        <v>106</v>
      </c>
      <c r="G224" s="27" t="s">
        <v>58</v>
      </c>
      <c r="H224" s="28">
        <v>32557</v>
      </c>
      <c r="I224" s="27" t="s">
        <v>147</v>
      </c>
      <c r="J224" s="27" t="s">
        <v>148</v>
      </c>
      <c r="K224" s="27" t="s">
        <v>83</v>
      </c>
      <c r="L224" s="27" t="s">
        <v>139</v>
      </c>
      <c r="M224" s="95">
        <v>19</v>
      </c>
      <c r="N224" s="27">
        <v>45</v>
      </c>
      <c r="O224" s="27">
        <v>15</v>
      </c>
      <c r="P224" s="27">
        <v>726.75</v>
      </c>
      <c r="Q224" s="27">
        <v>2</v>
      </c>
      <c r="R224" s="90" t="s">
        <v>65</v>
      </c>
      <c r="S224" s="27" t="s">
        <v>96</v>
      </c>
      <c r="T224" s="27" t="s">
        <v>158</v>
      </c>
      <c r="U224" s="27">
        <v>9798313682</v>
      </c>
      <c r="V224" s="37" t="s">
        <v>52</v>
      </c>
      <c r="W224" s="40" t="str">
        <f t="shared" si="9"/>
        <v>Amit Sharma</v>
      </c>
      <c r="X224" s="93" t="str">
        <f t="shared" si="10"/>
        <v>Stationery</v>
      </c>
      <c r="Y224" s="94" t="str">
        <f t="shared" si="11"/>
        <v>East</v>
      </c>
    </row>
    <row r="225" spans="1:25" ht="15" thickBot="1" x14ac:dyDescent="0.4">
      <c r="A225" s="90" t="s">
        <v>351</v>
      </c>
      <c r="B225" s="30" t="s">
        <v>23</v>
      </c>
      <c r="C225" s="30" t="s">
        <v>46</v>
      </c>
      <c r="D225" s="31">
        <v>45961</v>
      </c>
      <c r="E225" s="31">
        <v>45963</v>
      </c>
      <c r="F225" s="30" t="s">
        <v>25</v>
      </c>
      <c r="G225" s="30" t="s">
        <v>26</v>
      </c>
      <c r="H225" s="31">
        <v>34222</v>
      </c>
      <c r="I225" s="30" t="s">
        <v>37</v>
      </c>
      <c r="J225" s="30" t="s">
        <v>38</v>
      </c>
      <c r="K225" s="30" t="s">
        <v>39</v>
      </c>
      <c r="L225" s="30" t="s">
        <v>49</v>
      </c>
      <c r="M225" s="95">
        <v>13</v>
      </c>
      <c r="N225" s="30">
        <v>55000</v>
      </c>
      <c r="O225" s="30">
        <v>5</v>
      </c>
      <c r="P225" s="30">
        <v>679250</v>
      </c>
      <c r="Q225" s="30">
        <v>4</v>
      </c>
      <c r="R225" s="90" t="s">
        <v>60</v>
      </c>
      <c r="S225" s="30" t="s">
        <v>42</v>
      </c>
      <c r="T225" s="30" t="s">
        <v>43</v>
      </c>
      <c r="U225" s="30">
        <v>9642822397</v>
      </c>
      <c r="V225" s="38" t="s">
        <v>53</v>
      </c>
      <c r="W225" s="40" t="str">
        <f t="shared" si="9"/>
        <v>Kavya Nair</v>
      </c>
      <c r="X225" s="93" t="str">
        <f t="shared" si="10"/>
        <v>Electronics</v>
      </c>
      <c r="Y225" s="94" t="str">
        <f t="shared" si="11"/>
        <v>North</v>
      </c>
    </row>
    <row r="226" spans="1:25" ht="15" thickBot="1" x14ac:dyDescent="0.4">
      <c r="A226" s="90" t="s">
        <v>352</v>
      </c>
      <c r="B226" s="27" t="s">
        <v>63</v>
      </c>
      <c r="C226" s="27" t="s">
        <v>138</v>
      </c>
      <c r="D226" s="28">
        <v>45858</v>
      </c>
      <c r="E226" s="28">
        <v>45864</v>
      </c>
      <c r="F226" s="27" t="s">
        <v>110</v>
      </c>
      <c r="G226" s="27" t="s">
        <v>58</v>
      </c>
      <c r="H226" s="28">
        <v>29907</v>
      </c>
      <c r="I226" s="27" t="s">
        <v>74</v>
      </c>
      <c r="J226" s="27" t="s">
        <v>75</v>
      </c>
      <c r="K226" s="27" t="s">
        <v>83</v>
      </c>
      <c r="L226" s="27" t="s">
        <v>139</v>
      </c>
      <c r="M226" s="95">
        <v>2</v>
      </c>
      <c r="N226" s="27">
        <v>45</v>
      </c>
      <c r="O226" s="27">
        <v>15</v>
      </c>
      <c r="P226" s="27">
        <v>76.5</v>
      </c>
      <c r="Q226" s="27">
        <v>1</v>
      </c>
      <c r="R226" s="90" t="s">
        <v>41</v>
      </c>
      <c r="S226" s="27" t="s">
        <v>80</v>
      </c>
      <c r="T226" s="27" t="s">
        <v>66</v>
      </c>
      <c r="U226" s="27">
        <v>9490067655</v>
      </c>
      <c r="V226" s="35" t="s">
        <v>34</v>
      </c>
      <c r="W226" s="40" t="str">
        <f t="shared" si="9"/>
        <v>Arjun Rao</v>
      </c>
      <c r="X226" s="93" t="str">
        <f t="shared" si="10"/>
        <v>Stationery</v>
      </c>
      <c r="Y226" s="94" t="str">
        <f t="shared" si="11"/>
        <v>West</v>
      </c>
    </row>
    <row r="227" spans="1:25" ht="15" thickBot="1" x14ac:dyDescent="0.4">
      <c r="A227" s="90" t="s">
        <v>353</v>
      </c>
      <c r="B227" s="30" t="s">
        <v>72</v>
      </c>
      <c r="C227" s="30" t="s">
        <v>125</v>
      </c>
      <c r="D227" s="31">
        <v>45707</v>
      </c>
      <c r="E227" s="31">
        <v>45712</v>
      </c>
      <c r="F227" s="30" t="s">
        <v>73</v>
      </c>
      <c r="G227" s="30" t="s">
        <v>26</v>
      </c>
      <c r="H227" s="31">
        <v>37857</v>
      </c>
      <c r="I227" s="30" t="s">
        <v>27</v>
      </c>
      <c r="J227" s="30" t="s">
        <v>28</v>
      </c>
      <c r="K227" s="30" t="s">
        <v>83</v>
      </c>
      <c r="L227" s="30" t="s">
        <v>127</v>
      </c>
      <c r="M227" s="95">
        <v>8</v>
      </c>
      <c r="N227" s="30">
        <v>20</v>
      </c>
      <c r="O227" s="30">
        <v>15</v>
      </c>
      <c r="P227" s="30">
        <v>136</v>
      </c>
      <c r="Q227" s="30">
        <v>1</v>
      </c>
      <c r="R227" s="90" t="s">
        <v>60</v>
      </c>
      <c r="S227" s="30" t="s">
        <v>32</v>
      </c>
      <c r="T227" s="30" t="s">
        <v>93</v>
      </c>
      <c r="U227" s="30">
        <v>9389792144</v>
      </c>
      <c r="V227" s="38" t="s">
        <v>52</v>
      </c>
      <c r="W227" s="40" t="str">
        <f t="shared" si="9"/>
        <v>Priya Patel</v>
      </c>
      <c r="X227" s="93" t="str">
        <f t="shared" si="10"/>
        <v>Stationery</v>
      </c>
      <c r="Y227" s="94" t="str">
        <f t="shared" si="11"/>
        <v>South</v>
      </c>
    </row>
    <row r="228" spans="1:25" ht="15" thickBot="1" x14ac:dyDescent="0.4">
      <c r="A228" s="90" t="s">
        <v>354</v>
      </c>
      <c r="B228" s="27" t="s">
        <v>104</v>
      </c>
      <c r="C228" s="27" t="s">
        <v>36</v>
      </c>
      <c r="D228" s="28">
        <v>45767</v>
      </c>
      <c r="E228" s="28">
        <v>45778</v>
      </c>
      <c r="F228" s="27" t="s">
        <v>166</v>
      </c>
      <c r="G228" s="27" t="s">
        <v>26</v>
      </c>
      <c r="H228" s="28">
        <v>31247</v>
      </c>
      <c r="I228" s="27" t="s">
        <v>27</v>
      </c>
      <c r="J228" s="27" t="s">
        <v>28</v>
      </c>
      <c r="K228" s="27" t="s">
        <v>39</v>
      </c>
      <c r="L228" s="27" t="s">
        <v>40</v>
      </c>
      <c r="M228" s="95">
        <v>9</v>
      </c>
      <c r="N228" s="27">
        <v>12000</v>
      </c>
      <c r="O228" s="27">
        <v>5</v>
      </c>
      <c r="P228" s="27">
        <v>102600</v>
      </c>
      <c r="Q228" s="27">
        <v>2</v>
      </c>
      <c r="R228" s="90" t="s">
        <v>60</v>
      </c>
      <c r="S228" s="27" t="s">
        <v>32</v>
      </c>
      <c r="T228" s="27" t="s">
        <v>108</v>
      </c>
      <c r="U228" s="27">
        <v>9736113863</v>
      </c>
      <c r="V228" s="37" t="s">
        <v>53</v>
      </c>
      <c r="W228" s="40" t="str">
        <f t="shared" si="9"/>
        <v>Anita Gupta</v>
      </c>
      <c r="X228" s="93" t="str">
        <f t="shared" si="10"/>
        <v>Electronics</v>
      </c>
      <c r="Y228" s="94" t="str">
        <f t="shared" si="11"/>
        <v>South</v>
      </c>
    </row>
    <row r="229" spans="1:25" ht="15" thickBot="1" x14ac:dyDescent="0.4">
      <c r="A229" s="90" t="s">
        <v>355</v>
      </c>
      <c r="B229" s="30" t="s">
        <v>55</v>
      </c>
      <c r="C229" s="30" t="s">
        <v>68</v>
      </c>
      <c r="D229" s="31">
        <v>45813</v>
      </c>
      <c r="E229" s="31">
        <v>45821</v>
      </c>
      <c r="F229" s="30" t="s">
        <v>57</v>
      </c>
      <c r="G229" s="30" t="s">
        <v>58</v>
      </c>
      <c r="H229" s="31">
        <v>34464</v>
      </c>
      <c r="I229" s="30" t="s">
        <v>147</v>
      </c>
      <c r="J229" s="30" t="s">
        <v>148</v>
      </c>
      <c r="K229" s="30" t="s">
        <v>29</v>
      </c>
      <c r="L229" s="30" t="s">
        <v>70</v>
      </c>
      <c r="M229" s="95">
        <v>3</v>
      </c>
      <c r="N229" s="30">
        <v>3500</v>
      </c>
      <c r="O229" s="30">
        <v>15</v>
      </c>
      <c r="P229" s="30">
        <v>8925</v>
      </c>
      <c r="Q229" s="30">
        <v>1</v>
      </c>
      <c r="R229" s="90" t="s">
        <v>31</v>
      </c>
      <c r="S229" s="30" t="s">
        <v>42</v>
      </c>
      <c r="T229" s="30" t="s">
        <v>61</v>
      </c>
      <c r="U229" s="30">
        <v>9324634732</v>
      </c>
      <c r="V229" s="38" t="s">
        <v>53</v>
      </c>
      <c r="W229" s="40" t="str">
        <f t="shared" si="9"/>
        <v>Mohit Verma</v>
      </c>
      <c r="X229" s="93" t="str">
        <f t="shared" si="10"/>
        <v>Home Appliances</v>
      </c>
      <c r="Y229" s="94" t="str">
        <f t="shared" si="11"/>
        <v>East</v>
      </c>
    </row>
    <row r="230" spans="1:25" ht="15" thickBot="1" x14ac:dyDescent="0.4">
      <c r="A230" s="90" t="s">
        <v>356</v>
      </c>
      <c r="B230" s="27" t="s">
        <v>72</v>
      </c>
      <c r="C230" s="27" t="s">
        <v>112</v>
      </c>
      <c r="D230" s="28">
        <v>45797</v>
      </c>
      <c r="E230" s="28">
        <v>45800</v>
      </c>
      <c r="F230" s="27" t="s">
        <v>73</v>
      </c>
      <c r="G230" s="27" t="s">
        <v>26</v>
      </c>
      <c r="H230" s="28">
        <v>34051</v>
      </c>
      <c r="I230" s="27" t="s">
        <v>27</v>
      </c>
      <c r="J230" s="27" t="s">
        <v>28</v>
      </c>
      <c r="K230" s="27" t="s">
        <v>39</v>
      </c>
      <c r="L230" s="27" t="s">
        <v>114</v>
      </c>
      <c r="M230" s="95">
        <v>18</v>
      </c>
      <c r="N230" s="27">
        <v>700</v>
      </c>
      <c r="O230" s="27">
        <v>20</v>
      </c>
      <c r="P230" s="27">
        <v>10080</v>
      </c>
      <c r="Q230" s="27">
        <v>1</v>
      </c>
      <c r="R230" s="90" t="s">
        <v>60</v>
      </c>
      <c r="S230" s="27" t="s">
        <v>96</v>
      </c>
      <c r="T230" s="27" t="s">
        <v>93</v>
      </c>
      <c r="U230" s="27">
        <v>9529968110</v>
      </c>
      <c r="V230" s="35" t="s">
        <v>34</v>
      </c>
      <c r="W230" s="40" t="str">
        <f t="shared" si="9"/>
        <v>Priya Patel</v>
      </c>
      <c r="X230" s="93" t="str">
        <f t="shared" si="10"/>
        <v>Electronics</v>
      </c>
      <c r="Y230" s="94" t="str">
        <f t="shared" si="11"/>
        <v>South</v>
      </c>
    </row>
    <row r="231" spans="1:25" ht="15" thickBot="1" x14ac:dyDescent="0.4">
      <c r="A231" s="90" t="s">
        <v>357</v>
      </c>
      <c r="B231" s="30" t="s">
        <v>55</v>
      </c>
      <c r="C231" s="30" t="s">
        <v>68</v>
      </c>
      <c r="D231" s="31">
        <v>46046</v>
      </c>
      <c r="E231" s="31">
        <v>46053</v>
      </c>
      <c r="F231" s="30" t="s">
        <v>57</v>
      </c>
      <c r="G231" s="30" t="s">
        <v>58</v>
      </c>
      <c r="H231" s="31">
        <v>29019</v>
      </c>
      <c r="I231" s="30" t="s">
        <v>79</v>
      </c>
      <c r="J231" s="30" t="s">
        <v>75</v>
      </c>
      <c r="K231" s="30" t="s">
        <v>29</v>
      </c>
      <c r="L231" s="30" t="s">
        <v>70</v>
      </c>
      <c r="M231" s="95">
        <v>14</v>
      </c>
      <c r="N231" s="30">
        <v>3500</v>
      </c>
      <c r="O231" s="30">
        <v>5</v>
      </c>
      <c r="P231" s="30">
        <v>46550</v>
      </c>
      <c r="Q231" s="30">
        <v>1</v>
      </c>
      <c r="R231" s="90" t="s">
        <v>31</v>
      </c>
      <c r="S231" s="30" t="s">
        <v>50</v>
      </c>
      <c r="T231" s="30" t="s">
        <v>61</v>
      </c>
      <c r="U231" s="30">
        <v>9102417647</v>
      </c>
      <c r="V231" s="36" t="s">
        <v>34</v>
      </c>
      <c r="W231" s="40" t="str">
        <f t="shared" si="9"/>
        <v>Mohit Verma</v>
      </c>
      <c r="X231" s="93" t="str">
        <f t="shared" si="10"/>
        <v>Home Appliances</v>
      </c>
      <c r="Y231" s="94" t="str">
        <f t="shared" si="11"/>
        <v>West</v>
      </c>
    </row>
    <row r="232" spans="1:25" ht="15" thickBot="1" x14ac:dyDescent="0.4">
      <c r="A232" s="90" t="s">
        <v>358</v>
      </c>
      <c r="B232" s="27" t="s">
        <v>72</v>
      </c>
      <c r="C232" s="27" t="s">
        <v>112</v>
      </c>
      <c r="D232" s="28">
        <v>45810</v>
      </c>
      <c r="E232" s="28">
        <v>45812</v>
      </c>
      <c r="F232" s="27" t="s">
        <v>73</v>
      </c>
      <c r="G232" s="27" t="s">
        <v>26</v>
      </c>
      <c r="H232" s="28">
        <v>33262</v>
      </c>
      <c r="I232" s="27" t="s">
        <v>147</v>
      </c>
      <c r="J232" s="27" t="s">
        <v>148</v>
      </c>
      <c r="K232" s="27" t="s">
        <v>39</v>
      </c>
      <c r="L232" s="27" t="s">
        <v>114</v>
      </c>
      <c r="M232" s="95">
        <v>6</v>
      </c>
      <c r="N232" s="27">
        <v>700</v>
      </c>
      <c r="O232" s="27">
        <v>5</v>
      </c>
      <c r="P232" s="27">
        <v>3990</v>
      </c>
      <c r="Q232" s="27">
        <v>5</v>
      </c>
      <c r="R232" s="90" t="s">
        <v>31</v>
      </c>
      <c r="S232" s="27" t="s">
        <v>32</v>
      </c>
      <c r="T232" s="27" t="s">
        <v>93</v>
      </c>
      <c r="U232" s="27">
        <v>9630302865</v>
      </c>
      <c r="V232" s="35" t="s">
        <v>34</v>
      </c>
      <c r="W232" s="40" t="str">
        <f t="shared" si="9"/>
        <v>Priya Patel</v>
      </c>
      <c r="X232" s="93" t="str">
        <f t="shared" si="10"/>
        <v>Electronics</v>
      </c>
      <c r="Y232" s="94" t="str">
        <f t="shared" si="11"/>
        <v>East</v>
      </c>
    </row>
    <row r="233" spans="1:25" ht="15" thickBot="1" x14ac:dyDescent="0.4">
      <c r="A233" s="90" t="s">
        <v>359</v>
      </c>
      <c r="B233" s="30" t="s">
        <v>72</v>
      </c>
      <c r="C233" s="30" t="s">
        <v>68</v>
      </c>
      <c r="D233" s="31">
        <v>45819</v>
      </c>
      <c r="E233" s="31">
        <v>45827</v>
      </c>
      <c r="F233" s="30" t="s">
        <v>73</v>
      </c>
      <c r="G233" s="30" t="s">
        <v>26</v>
      </c>
      <c r="H233" s="31">
        <v>38039</v>
      </c>
      <c r="I233" s="30" t="s">
        <v>74</v>
      </c>
      <c r="J233" s="30" t="s">
        <v>75</v>
      </c>
      <c r="K233" s="30" t="s">
        <v>29</v>
      </c>
      <c r="L233" s="30" t="s">
        <v>70</v>
      </c>
      <c r="M233" s="95">
        <v>17</v>
      </c>
      <c r="N233" s="30">
        <v>3500</v>
      </c>
      <c r="O233" s="30">
        <v>15</v>
      </c>
      <c r="P233" s="30">
        <v>50575</v>
      </c>
      <c r="Q233" s="30">
        <v>3</v>
      </c>
      <c r="R233" s="90" t="s">
        <v>41</v>
      </c>
      <c r="S233" s="30" t="s">
        <v>42</v>
      </c>
      <c r="T233" s="30" t="s">
        <v>93</v>
      </c>
      <c r="U233" s="30">
        <v>9465353780</v>
      </c>
      <c r="V233" s="38" t="s">
        <v>52</v>
      </c>
      <c r="W233" s="40" t="str">
        <f t="shared" si="9"/>
        <v>Priya Patel</v>
      </c>
      <c r="X233" s="93" t="str">
        <f t="shared" si="10"/>
        <v>Home Appliances</v>
      </c>
      <c r="Y233" s="94" t="str">
        <f t="shared" si="11"/>
        <v>West</v>
      </c>
    </row>
    <row r="234" spans="1:25" ht="15" thickBot="1" x14ac:dyDescent="0.4">
      <c r="A234" s="90" t="s">
        <v>360</v>
      </c>
      <c r="B234" s="27" t="s">
        <v>134</v>
      </c>
      <c r="C234" s="27" t="s">
        <v>125</v>
      </c>
      <c r="D234" s="28">
        <v>46038</v>
      </c>
      <c r="E234" s="28">
        <v>46046</v>
      </c>
      <c r="F234" s="27" t="s">
        <v>135</v>
      </c>
      <c r="G234" s="27" t="s">
        <v>26</v>
      </c>
      <c r="H234" s="28">
        <v>28240</v>
      </c>
      <c r="I234" s="27" t="s">
        <v>147</v>
      </c>
      <c r="J234" s="27" t="s">
        <v>148</v>
      </c>
      <c r="K234" s="27" t="s">
        <v>83</v>
      </c>
      <c r="L234" s="27" t="s">
        <v>127</v>
      </c>
      <c r="M234" s="95">
        <v>7</v>
      </c>
      <c r="N234" s="27">
        <v>20</v>
      </c>
      <c r="O234" s="27">
        <v>5</v>
      </c>
      <c r="P234" s="27">
        <v>133</v>
      </c>
      <c r="Q234" s="27">
        <v>2</v>
      </c>
      <c r="R234" s="90" t="s">
        <v>65</v>
      </c>
      <c r="S234" s="27" t="s">
        <v>96</v>
      </c>
      <c r="T234" s="27" t="s">
        <v>136</v>
      </c>
      <c r="U234" s="27">
        <v>9837426414</v>
      </c>
      <c r="V234" s="35" t="s">
        <v>34</v>
      </c>
      <c r="W234" s="40" t="str">
        <f t="shared" si="9"/>
        <v>Sneha Joshi</v>
      </c>
      <c r="X234" s="93" t="str">
        <f t="shared" si="10"/>
        <v>Stationery</v>
      </c>
      <c r="Y234" s="94" t="str">
        <f t="shared" si="11"/>
        <v>East</v>
      </c>
    </row>
    <row r="235" spans="1:25" ht="15" thickBot="1" x14ac:dyDescent="0.4">
      <c r="A235" s="90" t="s">
        <v>361</v>
      </c>
      <c r="B235" s="30" t="s">
        <v>23</v>
      </c>
      <c r="C235" s="30" t="s">
        <v>24</v>
      </c>
      <c r="D235" s="31">
        <v>46073</v>
      </c>
      <c r="E235" s="31">
        <v>46085</v>
      </c>
      <c r="F235" s="30" t="s">
        <v>25</v>
      </c>
      <c r="G235" s="30" t="s">
        <v>26</v>
      </c>
      <c r="H235" s="31">
        <v>34537</v>
      </c>
      <c r="I235" s="30" t="s">
        <v>48</v>
      </c>
      <c r="J235" s="30" t="s">
        <v>28</v>
      </c>
      <c r="K235" s="30" t="s">
        <v>29</v>
      </c>
      <c r="L235" s="30" t="s">
        <v>30</v>
      </c>
      <c r="M235" s="95">
        <v>15</v>
      </c>
      <c r="N235" s="30">
        <v>2200</v>
      </c>
      <c r="O235" s="30">
        <v>20</v>
      </c>
      <c r="P235" s="30">
        <v>26400</v>
      </c>
      <c r="Q235" s="30">
        <v>2</v>
      </c>
      <c r="R235" s="90" t="s">
        <v>31</v>
      </c>
      <c r="S235" s="30" t="s">
        <v>50</v>
      </c>
      <c r="T235" s="30" t="s">
        <v>43</v>
      </c>
      <c r="U235" s="30">
        <v>9249918272</v>
      </c>
      <c r="V235" s="36" t="s">
        <v>34</v>
      </c>
      <c r="W235" s="40" t="str">
        <f t="shared" si="9"/>
        <v>Kavya Nair</v>
      </c>
      <c r="X235" s="93" t="str">
        <f t="shared" si="10"/>
        <v>Home Appliances</v>
      </c>
      <c r="Y235" s="94" t="str">
        <f t="shared" si="11"/>
        <v>South</v>
      </c>
    </row>
    <row r="236" spans="1:25" ht="15" thickBot="1" x14ac:dyDescent="0.4">
      <c r="A236" s="90" t="s">
        <v>362</v>
      </c>
      <c r="B236" s="27" t="s">
        <v>55</v>
      </c>
      <c r="C236" s="27" t="s">
        <v>125</v>
      </c>
      <c r="D236" s="28">
        <v>46070</v>
      </c>
      <c r="E236" s="28">
        <v>46078</v>
      </c>
      <c r="F236" s="27" t="s">
        <v>57</v>
      </c>
      <c r="G236" s="27" t="s">
        <v>58</v>
      </c>
      <c r="H236" s="28">
        <v>29170</v>
      </c>
      <c r="I236" s="27" t="s">
        <v>74</v>
      </c>
      <c r="J236" s="27" t="s">
        <v>75</v>
      </c>
      <c r="K236" s="27" t="s">
        <v>83</v>
      </c>
      <c r="L236" s="27" t="s">
        <v>127</v>
      </c>
      <c r="M236" s="95">
        <v>5</v>
      </c>
      <c r="N236" s="27">
        <v>20</v>
      </c>
      <c r="O236" s="27">
        <v>0</v>
      </c>
      <c r="P236" s="27">
        <v>100</v>
      </c>
      <c r="Q236" s="27">
        <v>3</v>
      </c>
      <c r="R236" s="90" t="s">
        <v>31</v>
      </c>
      <c r="S236" s="27" t="s">
        <v>96</v>
      </c>
      <c r="T236" s="27" t="s">
        <v>61</v>
      </c>
      <c r="U236" s="27">
        <v>9265580582</v>
      </c>
      <c r="V236" s="35" t="s">
        <v>34</v>
      </c>
      <c r="W236" s="40" t="str">
        <f t="shared" si="9"/>
        <v>Mohit Verma</v>
      </c>
      <c r="X236" s="93" t="str">
        <f t="shared" si="10"/>
        <v>Stationery</v>
      </c>
      <c r="Y236" s="94" t="str">
        <f t="shared" si="11"/>
        <v>West</v>
      </c>
    </row>
    <row r="237" spans="1:25" ht="15" thickBot="1" x14ac:dyDescent="0.4">
      <c r="A237" s="90" t="s">
        <v>363</v>
      </c>
      <c r="B237" s="30" t="s">
        <v>87</v>
      </c>
      <c r="C237" s="30" t="s">
        <v>36</v>
      </c>
      <c r="D237" s="31">
        <v>45847</v>
      </c>
      <c r="E237" s="31">
        <v>45852</v>
      </c>
      <c r="F237" s="30" t="s">
        <v>88</v>
      </c>
      <c r="G237" s="30" t="s">
        <v>58</v>
      </c>
      <c r="H237" s="31">
        <v>34846</v>
      </c>
      <c r="I237" s="30" t="s">
        <v>37</v>
      </c>
      <c r="J237" s="30" t="s">
        <v>38</v>
      </c>
      <c r="K237" s="30" t="s">
        <v>39</v>
      </c>
      <c r="L237" s="30" t="s">
        <v>40</v>
      </c>
      <c r="M237" s="95">
        <v>8</v>
      </c>
      <c r="N237" s="30">
        <v>12000</v>
      </c>
      <c r="O237" s="30">
        <v>20</v>
      </c>
      <c r="P237" s="30">
        <v>76800</v>
      </c>
      <c r="Q237" s="30">
        <v>3</v>
      </c>
      <c r="R237" s="90" t="s">
        <v>60</v>
      </c>
      <c r="S237" s="30" t="s">
        <v>50</v>
      </c>
      <c r="T237" s="30" t="s">
        <v>89</v>
      </c>
      <c r="U237" s="30">
        <v>9751049833</v>
      </c>
      <c r="V237" s="38" t="s">
        <v>52</v>
      </c>
      <c r="W237" s="40" t="str">
        <f t="shared" si="9"/>
        <v>Rohit Singh</v>
      </c>
      <c r="X237" s="93" t="str">
        <f t="shared" si="10"/>
        <v>Electronics</v>
      </c>
      <c r="Y237" s="94" t="str">
        <f t="shared" si="11"/>
        <v>North</v>
      </c>
    </row>
    <row r="238" spans="1:25" ht="15" thickBot="1" x14ac:dyDescent="0.4">
      <c r="A238" s="90" t="s">
        <v>364</v>
      </c>
      <c r="B238" s="27" t="s">
        <v>87</v>
      </c>
      <c r="C238" s="27" t="s">
        <v>68</v>
      </c>
      <c r="D238" s="28">
        <v>45696</v>
      </c>
      <c r="E238" s="28">
        <v>45704</v>
      </c>
      <c r="F238" s="27" t="s">
        <v>88</v>
      </c>
      <c r="G238" s="27" t="s">
        <v>58</v>
      </c>
      <c r="H238" s="28">
        <v>35964</v>
      </c>
      <c r="I238" s="27" t="s">
        <v>74</v>
      </c>
      <c r="J238" s="27" t="s">
        <v>75</v>
      </c>
      <c r="K238" s="27" t="s">
        <v>29</v>
      </c>
      <c r="L238" s="27" t="s">
        <v>70</v>
      </c>
      <c r="M238" s="95">
        <v>4</v>
      </c>
      <c r="N238" s="27">
        <v>3500</v>
      </c>
      <c r="O238" s="27">
        <v>20</v>
      </c>
      <c r="P238" s="27">
        <v>11200</v>
      </c>
      <c r="Q238" s="27">
        <v>1</v>
      </c>
      <c r="R238" s="90" t="s">
        <v>60</v>
      </c>
      <c r="S238" s="27" t="s">
        <v>80</v>
      </c>
      <c r="T238" s="27" t="s">
        <v>89</v>
      </c>
      <c r="U238" s="27">
        <v>9741671507</v>
      </c>
      <c r="V238" s="35" t="s">
        <v>34</v>
      </c>
      <c r="W238" s="40" t="str">
        <f t="shared" si="9"/>
        <v>Rohit Singh</v>
      </c>
      <c r="X238" s="93" t="str">
        <f t="shared" si="10"/>
        <v>Home Appliances</v>
      </c>
      <c r="Y238" s="94" t="str">
        <f t="shared" si="11"/>
        <v>West</v>
      </c>
    </row>
    <row r="239" spans="1:25" ht="15" thickBot="1" x14ac:dyDescent="0.4">
      <c r="A239" s="90" t="s">
        <v>365</v>
      </c>
      <c r="B239" s="30" t="s">
        <v>124</v>
      </c>
      <c r="C239" s="30" t="s">
        <v>138</v>
      </c>
      <c r="D239" s="31">
        <v>45713</v>
      </c>
      <c r="E239" s="31">
        <v>45720</v>
      </c>
      <c r="F239" s="30" t="s">
        <v>126</v>
      </c>
      <c r="G239" s="30" t="s">
        <v>58</v>
      </c>
      <c r="H239" s="31">
        <v>30337</v>
      </c>
      <c r="I239" s="30" t="s">
        <v>27</v>
      </c>
      <c r="J239" s="30" t="s">
        <v>28</v>
      </c>
      <c r="K239" s="30" t="s">
        <v>83</v>
      </c>
      <c r="L239" s="30" t="s">
        <v>139</v>
      </c>
      <c r="M239" s="95">
        <v>19</v>
      </c>
      <c r="N239" s="30">
        <v>45</v>
      </c>
      <c r="O239" s="30">
        <v>10</v>
      </c>
      <c r="P239" s="30">
        <v>769.5</v>
      </c>
      <c r="Q239" s="30">
        <v>1</v>
      </c>
      <c r="R239" s="90" t="s">
        <v>31</v>
      </c>
      <c r="S239" s="30" t="s">
        <v>80</v>
      </c>
      <c r="T239" s="30" t="s">
        <v>128</v>
      </c>
      <c r="U239" s="30">
        <v>9367541035</v>
      </c>
      <c r="V239" s="36" t="s">
        <v>34</v>
      </c>
      <c r="W239" s="40" t="str">
        <f t="shared" si="9"/>
        <v>Vikas Mehta</v>
      </c>
      <c r="X239" s="93" t="str">
        <f t="shared" si="10"/>
        <v>Stationery</v>
      </c>
      <c r="Y239" s="94" t="str">
        <f t="shared" si="11"/>
        <v>South</v>
      </c>
    </row>
    <row r="240" spans="1:25" ht="15" thickBot="1" x14ac:dyDescent="0.4">
      <c r="A240" s="90" t="s">
        <v>366</v>
      </c>
      <c r="B240" s="27" t="s">
        <v>45</v>
      </c>
      <c r="C240" s="27" t="s">
        <v>138</v>
      </c>
      <c r="D240" s="28">
        <v>46049</v>
      </c>
      <c r="E240" s="28">
        <v>46059</v>
      </c>
      <c r="F240" s="27" t="s">
        <v>101</v>
      </c>
      <c r="G240" s="27" t="s">
        <v>26</v>
      </c>
      <c r="H240" s="28">
        <v>28552</v>
      </c>
      <c r="I240" s="27" t="s">
        <v>79</v>
      </c>
      <c r="J240" s="27" t="s">
        <v>75</v>
      </c>
      <c r="K240" s="27" t="s">
        <v>83</v>
      </c>
      <c r="L240" s="27" t="s">
        <v>139</v>
      </c>
      <c r="M240" s="95">
        <v>10</v>
      </c>
      <c r="N240" s="27">
        <v>45</v>
      </c>
      <c r="O240" s="27">
        <v>0</v>
      </c>
      <c r="P240" s="27">
        <v>450</v>
      </c>
      <c r="Q240" s="27">
        <v>4</v>
      </c>
      <c r="R240" s="90" t="s">
        <v>65</v>
      </c>
      <c r="S240" s="27" t="s">
        <v>50</v>
      </c>
      <c r="T240" s="27" t="s">
        <v>51</v>
      </c>
      <c r="U240" s="27">
        <v>9323696971</v>
      </c>
      <c r="V240" s="35" t="s">
        <v>34</v>
      </c>
      <c r="W240" s="40" t="str">
        <f t="shared" si="9"/>
        <v>Pooja Shah</v>
      </c>
      <c r="X240" s="93" t="str">
        <f t="shared" si="10"/>
        <v>Stationery</v>
      </c>
      <c r="Y240" s="94" t="str">
        <f t="shared" si="11"/>
        <v>West</v>
      </c>
    </row>
    <row r="241" spans="1:25" ht="15" thickBot="1" x14ac:dyDescent="0.4">
      <c r="A241" s="90" t="s">
        <v>367</v>
      </c>
      <c r="B241" s="30" t="s">
        <v>45</v>
      </c>
      <c r="C241" s="30" t="s">
        <v>138</v>
      </c>
      <c r="D241" s="31">
        <v>46030</v>
      </c>
      <c r="E241" s="31">
        <v>46039</v>
      </c>
      <c r="F241" s="30" t="s">
        <v>101</v>
      </c>
      <c r="G241" s="30" t="s">
        <v>26</v>
      </c>
      <c r="H241" s="31">
        <v>35605</v>
      </c>
      <c r="I241" s="30" t="s">
        <v>27</v>
      </c>
      <c r="J241" s="30" t="s">
        <v>28</v>
      </c>
      <c r="K241" s="30" t="s">
        <v>83</v>
      </c>
      <c r="L241" s="30" t="s">
        <v>139</v>
      </c>
      <c r="M241" s="95">
        <v>16</v>
      </c>
      <c r="N241" s="30">
        <v>45</v>
      </c>
      <c r="O241" s="30">
        <v>15</v>
      </c>
      <c r="P241" s="30">
        <v>612</v>
      </c>
      <c r="Q241" s="30">
        <v>3</v>
      </c>
      <c r="R241" s="90" t="s">
        <v>31</v>
      </c>
      <c r="S241" s="30" t="s">
        <v>80</v>
      </c>
      <c r="T241" s="30" t="s">
        <v>51</v>
      </c>
      <c r="U241" s="30">
        <v>9786384529</v>
      </c>
      <c r="V241" s="38" t="s">
        <v>53</v>
      </c>
      <c r="W241" s="40" t="str">
        <f t="shared" si="9"/>
        <v>Pooja Shah</v>
      </c>
      <c r="X241" s="93" t="str">
        <f t="shared" si="10"/>
        <v>Stationery</v>
      </c>
      <c r="Y241" s="94" t="str">
        <f t="shared" si="11"/>
        <v>South</v>
      </c>
    </row>
    <row r="242" spans="1:25" ht="15" thickBot="1" x14ac:dyDescent="0.4">
      <c r="A242" s="90" t="s">
        <v>368</v>
      </c>
      <c r="B242" s="27" t="s">
        <v>104</v>
      </c>
      <c r="C242" s="27" t="s">
        <v>105</v>
      </c>
      <c r="D242" s="28">
        <v>45741</v>
      </c>
      <c r="E242" s="28">
        <v>45743</v>
      </c>
      <c r="F242" s="27" t="s">
        <v>166</v>
      </c>
      <c r="G242" s="27" t="s">
        <v>26</v>
      </c>
      <c r="H242" s="28">
        <v>27997</v>
      </c>
      <c r="I242" s="27" t="s">
        <v>79</v>
      </c>
      <c r="J242" s="27" t="s">
        <v>75</v>
      </c>
      <c r="K242" s="27" t="s">
        <v>29</v>
      </c>
      <c r="L242" s="27" t="s">
        <v>107</v>
      </c>
      <c r="M242" s="95">
        <v>16</v>
      </c>
      <c r="N242" s="27">
        <v>8500</v>
      </c>
      <c r="O242" s="27">
        <v>15</v>
      </c>
      <c r="P242" s="27">
        <v>115600</v>
      </c>
      <c r="Q242" s="27">
        <v>4</v>
      </c>
      <c r="R242" s="90" t="s">
        <v>41</v>
      </c>
      <c r="S242" s="27" t="s">
        <v>32</v>
      </c>
      <c r="T242" s="27" t="s">
        <v>108</v>
      </c>
      <c r="U242" s="27">
        <v>9444900541</v>
      </c>
      <c r="V242" s="37" t="s">
        <v>53</v>
      </c>
      <c r="W242" s="40" t="str">
        <f t="shared" si="9"/>
        <v>Anita Gupta</v>
      </c>
      <c r="X242" s="93" t="str">
        <f t="shared" si="10"/>
        <v>Home Appliances</v>
      </c>
      <c r="Y242" s="94" t="str">
        <f t="shared" si="11"/>
        <v>West</v>
      </c>
    </row>
    <row r="243" spans="1:25" ht="15" thickBot="1" x14ac:dyDescent="0.4">
      <c r="A243" s="90" t="s">
        <v>369</v>
      </c>
      <c r="B243" s="30" t="s">
        <v>104</v>
      </c>
      <c r="C243" s="30" t="s">
        <v>125</v>
      </c>
      <c r="D243" s="31">
        <v>45901</v>
      </c>
      <c r="E243" s="31">
        <v>45912</v>
      </c>
      <c r="F243" s="30" t="s">
        <v>166</v>
      </c>
      <c r="G243" s="30" t="s">
        <v>26</v>
      </c>
      <c r="H243" s="31">
        <v>35159</v>
      </c>
      <c r="I243" s="30" t="s">
        <v>147</v>
      </c>
      <c r="J243" s="30" t="s">
        <v>148</v>
      </c>
      <c r="K243" s="30" t="s">
        <v>83</v>
      </c>
      <c r="L243" s="30" t="s">
        <v>127</v>
      </c>
      <c r="M243" s="95">
        <v>15</v>
      </c>
      <c r="N243" s="30">
        <v>20</v>
      </c>
      <c r="O243" s="30">
        <v>20</v>
      </c>
      <c r="P243" s="30">
        <v>240</v>
      </c>
      <c r="Q243" s="30">
        <v>3</v>
      </c>
      <c r="R243" s="90" t="s">
        <v>41</v>
      </c>
      <c r="S243" s="30" t="s">
        <v>42</v>
      </c>
      <c r="T243" s="30" t="s">
        <v>108</v>
      </c>
      <c r="U243" s="30">
        <v>9108024911</v>
      </c>
      <c r="V243" s="38" t="s">
        <v>53</v>
      </c>
      <c r="W243" s="40" t="str">
        <f t="shared" si="9"/>
        <v>Anita Gupta</v>
      </c>
      <c r="X243" s="93" t="str">
        <f t="shared" si="10"/>
        <v>Stationery</v>
      </c>
      <c r="Y243" s="94" t="str">
        <f t="shared" si="11"/>
        <v>East</v>
      </c>
    </row>
    <row r="244" spans="1:25" ht="15" thickBot="1" x14ac:dyDescent="0.4">
      <c r="A244" s="90" t="s">
        <v>370</v>
      </c>
      <c r="B244" s="27" t="s">
        <v>63</v>
      </c>
      <c r="C244" s="27" t="s">
        <v>82</v>
      </c>
      <c r="D244" s="28">
        <v>46031</v>
      </c>
      <c r="E244" s="28">
        <v>46035</v>
      </c>
      <c r="F244" s="27" t="s">
        <v>110</v>
      </c>
      <c r="G244" s="27" t="s">
        <v>58</v>
      </c>
      <c r="H244" s="28">
        <v>37173</v>
      </c>
      <c r="I244" s="27" t="s">
        <v>48</v>
      </c>
      <c r="J244" s="27" t="s">
        <v>28</v>
      </c>
      <c r="K244" s="27" t="s">
        <v>83</v>
      </c>
      <c r="L244" s="27" t="s">
        <v>84</v>
      </c>
      <c r="M244" s="95">
        <v>14</v>
      </c>
      <c r="N244" s="27">
        <v>60</v>
      </c>
      <c r="O244" s="27">
        <v>5</v>
      </c>
      <c r="P244" s="27">
        <v>798</v>
      </c>
      <c r="Q244" s="27">
        <v>4</v>
      </c>
      <c r="R244" s="90" t="s">
        <v>31</v>
      </c>
      <c r="S244" s="27" t="s">
        <v>42</v>
      </c>
      <c r="T244" s="27" t="s">
        <v>66</v>
      </c>
      <c r="U244" s="27">
        <v>9897181325</v>
      </c>
      <c r="V244" s="35" t="s">
        <v>34</v>
      </c>
      <c r="W244" s="40" t="str">
        <f t="shared" si="9"/>
        <v>Arjun Rao</v>
      </c>
      <c r="X244" s="93" t="str">
        <f t="shared" si="10"/>
        <v>Stationery</v>
      </c>
      <c r="Y244" s="94" t="str">
        <f t="shared" si="11"/>
        <v>South</v>
      </c>
    </row>
    <row r="245" spans="1:25" ht="15" thickBot="1" x14ac:dyDescent="0.4">
      <c r="A245" s="90" t="s">
        <v>371</v>
      </c>
      <c r="B245" s="30" t="s">
        <v>45</v>
      </c>
      <c r="C245" s="30" t="s">
        <v>56</v>
      </c>
      <c r="D245" s="31">
        <v>46158</v>
      </c>
      <c r="E245" s="31">
        <v>46161</v>
      </c>
      <c r="F245" s="30" t="s">
        <v>101</v>
      </c>
      <c r="G245" s="30" t="s">
        <v>26</v>
      </c>
      <c r="H245" s="31">
        <v>34800</v>
      </c>
      <c r="I245" s="30" t="s">
        <v>74</v>
      </c>
      <c r="J245" s="30" t="s">
        <v>75</v>
      </c>
      <c r="K245" s="30" t="s">
        <v>39</v>
      </c>
      <c r="L245" s="30" t="s">
        <v>59</v>
      </c>
      <c r="M245" s="95">
        <v>19</v>
      </c>
      <c r="N245" s="30">
        <v>1200</v>
      </c>
      <c r="O245" s="30">
        <v>20</v>
      </c>
      <c r="P245" s="30">
        <v>18240</v>
      </c>
      <c r="Q245" s="30">
        <v>2</v>
      </c>
      <c r="R245" s="90" t="s">
        <v>31</v>
      </c>
      <c r="S245" s="30" t="s">
        <v>80</v>
      </c>
      <c r="T245" s="30" t="s">
        <v>51</v>
      </c>
      <c r="U245" s="30">
        <v>9554719621</v>
      </c>
      <c r="V245" s="38" t="s">
        <v>53</v>
      </c>
      <c r="W245" s="40" t="str">
        <f t="shared" si="9"/>
        <v>Pooja Shah</v>
      </c>
      <c r="X245" s="93" t="str">
        <f t="shared" si="10"/>
        <v>Electronics</v>
      </c>
      <c r="Y245" s="94" t="str">
        <f t="shared" si="11"/>
        <v>West</v>
      </c>
    </row>
    <row r="246" spans="1:25" ht="15" thickBot="1" x14ac:dyDescent="0.4">
      <c r="A246" s="90" t="s">
        <v>372</v>
      </c>
      <c r="B246" s="27" t="s">
        <v>23</v>
      </c>
      <c r="C246" s="27" t="s">
        <v>138</v>
      </c>
      <c r="D246" s="28">
        <v>45943</v>
      </c>
      <c r="E246" s="28">
        <v>45944</v>
      </c>
      <c r="F246" s="27" t="s">
        <v>25</v>
      </c>
      <c r="G246" s="27" t="s">
        <v>26</v>
      </c>
      <c r="H246" s="28">
        <v>36650</v>
      </c>
      <c r="I246" s="27" t="s">
        <v>48</v>
      </c>
      <c r="J246" s="27" t="s">
        <v>28</v>
      </c>
      <c r="K246" s="27" t="s">
        <v>83</v>
      </c>
      <c r="L246" s="27" t="s">
        <v>139</v>
      </c>
      <c r="M246" s="95">
        <v>5</v>
      </c>
      <c r="N246" s="27">
        <v>45</v>
      </c>
      <c r="O246" s="27">
        <v>15</v>
      </c>
      <c r="P246" s="27">
        <v>191.25</v>
      </c>
      <c r="Q246" s="27">
        <v>2</v>
      </c>
      <c r="R246" s="90" t="s">
        <v>31</v>
      </c>
      <c r="S246" s="27" t="s">
        <v>50</v>
      </c>
      <c r="T246" s="27" t="s">
        <v>43</v>
      </c>
      <c r="U246" s="27">
        <v>9815899217</v>
      </c>
      <c r="V246" s="37" t="s">
        <v>53</v>
      </c>
      <c r="W246" s="40" t="str">
        <f t="shared" si="9"/>
        <v>Kavya Nair</v>
      </c>
      <c r="X246" s="93" t="str">
        <f t="shared" si="10"/>
        <v>Stationery</v>
      </c>
      <c r="Y246" s="94" t="str">
        <f t="shared" si="11"/>
        <v>South</v>
      </c>
    </row>
    <row r="247" spans="1:25" ht="15" thickBot="1" x14ac:dyDescent="0.4">
      <c r="A247" s="90" t="s">
        <v>373</v>
      </c>
      <c r="B247" s="30" t="s">
        <v>156</v>
      </c>
      <c r="C247" s="30" t="s">
        <v>112</v>
      </c>
      <c r="D247" s="31">
        <v>45802</v>
      </c>
      <c r="E247" s="31">
        <v>45809</v>
      </c>
      <c r="F247" s="30" t="s">
        <v>106</v>
      </c>
      <c r="G247" s="30" t="s">
        <v>58</v>
      </c>
      <c r="H247" s="31">
        <v>37316</v>
      </c>
      <c r="I247" s="30" t="s">
        <v>27</v>
      </c>
      <c r="J247" s="30" t="s">
        <v>28</v>
      </c>
      <c r="K247" s="30" t="s">
        <v>39</v>
      </c>
      <c r="L247" s="30" t="s">
        <v>114</v>
      </c>
      <c r="M247" s="95">
        <v>19</v>
      </c>
      <c r="N247" s="30">
        <v>700</v>
      </c>
      <c r="O247" s="30">
        <v>5</v>
      </c>
      <c r="P247" s="30">
        <v>12635</v>
      </c>
      <c r="Q247" s="30">
        <v>5</v>
      </c>
      <c r="R247" s="90" t="s">
        <v>65</v>
      </c>
      <c r="S247" s="30" t="s">
        <v>96</v>
      </c>
      <c r="T247" s="30" t="s">
        <v>158</v>
      </c>
      <c r="U247" s="30">
        <v>9308497039</v>
      </c>
      <c r="V247" s="36" t="s">
        <v>34</v>
      </c>
      <c r="W247" s="40" t="str">
        <f t="shared" si="9"/>
        <v>Amit Sharma</v>
      </c>
      <c r="X247" s="93" t="str">
        <f t="shared" si="10"/>
        <v>Electronics</v>
      </c>
      <c r="Y247" s="94" t="str">
        <f t="shared" si="11"/>
        <v>South</v>
      </c>
    </row>
    <row r="248" spans="1:25" ht="15" thickBot="1" x14ac:dyDescent="0.4">
      <c r="A248" s="90" t="s">
        <v>374</v>
      </c>
      <c r="B248" s="27" t="s">
        <v>87</v>
      </c>
      <c r="C248" s="27" t="s">
        <v>82</v>
      </c>
      <c r="D248" s="28">
        <v>46025</v>
      </c>
      <c r="E248" s="28">
        <v>46026</v>
      </c>
      <c r="F248" s="27" t="s">
        <v>88</v>
      </c>
      <c r="G248" s="27" t="s">
        <v>58</v>
      </c>
      <c r="H248" s="28">
        <v>27541</v>
      </c>
      <c r="I248" s="27" t="s">
        <v>147</v>
      </c>
      <c r="J248" s="27" t="s">
        <v>148</v>
      </c>
      <c r="K248" s="27" t="s">
        <v>83</v>
      </c>
      <c r="L248" s="27" t="s">
        <v>84</v>
      </c>
      <c r="M248" s="95">
        <v>7</v>
      </c>
      <c r="N248" s="27">
        <v>60</v>
      </c>
      <c r="O248" s="27">
        <v>0</v>
      </c>
      <c r="P248" s="27">
        <v>420</v>
      </c>
      <c r="Q248" s="27">
        <v>4</v>
      </c>
      <c r="R248" s="90" t="s">
        <v>31</v>
      </c>
      <c r="S248" s="27" t="s">
        <v>80</v>
      </c>
      <c r="T248" s="27" t="s">
        <v>89</v>
      </c>
      <c r="U248" s="27">
        <v>9882054354</v>
      </c>
      <c r="V248" s="37" t="s">
        <v>52</v>
      </c>
      <c r="W248" s="40" t="str">
        <f t="shared" si="9"/>
        <v>Rohit Singh</v>
      </c>
      <c r="X248" s="93" t="str">
        <f t="shared" si="10"/>
        <v>Stationery</v>
      </c>
      <c r="Y248" s="94" t="str">
        <f t="shared" si="11"/>
        <v>East</v>
      </c>
    </row>
    <row r="249" spans="1:25" ht="15" thickBot="1" x14ac:dyDescent="0.4">
      <c r="A249" s="90" t="s">
        <v>376</v>
      </c>
      <c r="B249" s="30" t="s">
        <v>55</v>
      </c>
      <c r="C249" s="30" t="s">
        <v>24</v>
      </c>
      <c r="D249" s="31">
        <v>46013</v>
      </c>
      <c r="E249" s="31">
        <v>46024</v>
      </c>
      <c r="F249" s="30" t="s">
        <v>57</v>
      </c>
      <c r="G249" s="30" t="s">
        <v>58</v>
      </c>
      <c r="H249" s="31">
        <v>32479</v>
      </c>
      <c r="I249" s="30" t="s">
        <v>74</v>
      </c>
      <c r="J249" s="30" t="s">
        <v>75</v>
      </c>
      <c r="K249" s="30" t="s">
        <v>29</v>
      </c>
      <c r="L249" s="30" t="s">
        <v>30</v>
      </c>
      <c r="M249" s="95">
        <v>13</v>
      </c>
      <c r="N249" s="30">
        <v>2200</v>
      </c>
      <c r="O249" s="30">
        <v>10</v>
      </c>
      <c r="P249" s="30">
        <v>25740</v>
      </c>
      <c r="Q249" s="30">
        <v>1</v>
      </c>
      <c r="R249" s="90" t="s">
        <v>60</v>
      </c>
      <c r="S249" s="30" t="s">
        <v>96</v>
      </c>
      <c r="T249" s="30" t="s">
        <v>61</v>
      </c>
      <c r="U249" s="30">
        <v>9193016830</v>
      </c>
      <c r="V249" s="36" t="s">
        <v>34</v>
      </c>
      <c r="W249" s="40" t="str">
        <f t="shared" si="9"/>
        <v>Mohit Verma</v>
      </c>
      <c r="X249" s="93" t="str">
        <f t="shared" si="10"/>
        <v>Home Appliances</v>
      </c>
      <c r="Y249" s="94" t="str">
        <f t="shared" si="11"/>
        <v>West</v>
      </c>
    </row>
    <row r="250" spans="1:25" ht="15" thickBot="1" x14ac:dyDescent="0.4">
      <c r="A250" s="90" t="s">
        <v>377</v>
      </c>
      <c r="B250" s="27" t="s">
        <v>55</v>
      </c>
      <c r="C250" s="27" t="s">
        <v>24</v>
      </c>
      <c r="D250" s="28">
        <v>46019</v>
      </c>
      <c r="E250" s="28">
        <v>46027</v>
      </c>
      <c r="F250" s="27" t="s">
        <v>57</v>
      </c>
      <c r="G250" s="27" t="s">
        <v>58</v>
      </c>
      <c r="H250" s="28">
        <v>31022</v>
      </c>
      <c r="I250" s="27" t="s">
        <v>48</v>
      </c>
      <c r="J250" s="27" t="s">
        <v>28</v>
      </c>
      <c r="K250" s="27" t="s">
        <v>29</v>
      </c>
      <c r="L250" s="27" t="s">
        <v>30</v>
      </c>
      <c r="M250" s="95">
        <v>9</v>
      </c>
      <c r="N250" s="27">
        <v>2200</v>
      </c>
      <c r="O250" s="27">
        <v>10</v>
      </c>
      <c r="P250" s="27">
        <v>17820</v>
      </c>
      <c r="Q250" s="27">
        <v>2</v>
      </c>
      <c r="R250" s="90" t="s">
        <v>375</v>
      </c>
      <c r="S250" s="27" t="s">
        <v>50</v>
      </c>
      <c r="T250" s="27" t="s">
        <v>61</v>
      </c>
      <c r="U250" s="27">
        <v>9921470418</v>
      </c>
      <c r="V250" s="37" t="s">
        <v>53</v>
      </c>
      <c r="W250" s="40" t="str">
        <f t="shared" si="9"/>
        <v>Mohit Verma</v>
      </c>
      <c r="X250" s="93" t="str">
        <f t="shared" si="10"/>
        <v>Home Appliances</v>
      </c>
      <c r="Y250" s="94" t="str">
        <f t="shared" si="11"/>
        <v>South</v>
      </c>
    </row>
    <row r="251" spans="1:25" ht="15" thickBot="1" x14ac:dyDescent="0.4">
      <c r="A251" s="90" t="s">
        <v>378</v>
      </c>
      <c r="B251" s="30" t="s">
        <v>156</v>
      </c>
      <c r="C251" s="30" t="s">
        <v>105</v>
      </c>
      <c r="D251" s="31">
        <v>45792</v>
      </c>
      <c r="E251" s="31">
        <v>45794</v>
      </c>
      <c r="F251" s="30" t="s">
        <v>106</v>
      </c>
      <c r="G251" s="30" t="s">
        <v>58</v>
      </c>
      <c r="H251" s="31">
        <v>32994</v>
      </c>
      <c r="I251" s="30" t="s">
        <v>48</v>
      </c>
      <c r="J251" s="30" t="s">
        <v>28</v>
      </c>
      <c r="K251" s="30" t="s">
        <v>29</v>
      </c>
      <c r="L251" s="30" t="s">
        <v>107</v>
      </c>
      <c r="M251" s="95">
        <v>6</v>
      </c>
      <c r="N251" s="30">
        <v>8500</v>
      </c>
      <c r="O251" s="30">
        <v>15</v>
      </c>
      <c r="P251" s="30">
        <v>43350</v>
      </c>
      <c r="Q251" s="30">
        <v>2</v>
      </c>
      <c r="R251" s="90" t="s">
        <v>31</v>
      </c>
      <c r="S251" s="30" t="s">
        <v>96</v>
      </c>
      <c r="T251" s="30" t="s">
        <v>158</v>
      </c>
      <c r="U251" s="30">
        <v>9686979026</v>
      </c>
      <c r="V251" s="38" t="s">
        <v>53</v>
      </c>
      <c r="W251" s="40" t="str">
        <f t="shared" si="9"/>
        <v>Amit Sharma</v>
      </c>
      <c r="X251" s="93" t="str">
        <f t="shared" si="10"/>
        <v>Home Appliances</v>
      </c>
      <c r="Y251" s="94" t="str">
        <f t="shared" si="11"/>
        <v>South</v>
      </c>
    </row>
    <row r="252" spans="1:25" ht="15" thickBot="1" x14ac:dyDescent="0.4">
      <c r="A252" s="90" t="s">
        <v>379</v>
      </c>
      <c r="B252" s="27" t="s">
        <v>124</v>
      </c>
      <c r="C252" s="27" t="s">
        <v>24</v>
      </c>
      <c r="D252" s="28">
        <v>46070</v>
      </c>
      <c r="E252" s="28">
        <v>46078</v>
      </c>
      <c r="F252" s="27" t="s">
        <v>126</v>
      </c>
      <c r="G252" s="27" t="s">
        <v>58</v>
      </c>
      <c r="H252" s="28">
        <v>32182</v>
      </c>
      <c r="I252" s="27" t="s">
        <v>37</v>
      </c>
      <c r="J252" s="27" t="s">
        <v>38</v>
      </c>
      <c r="K252" s="27" t="s">
        <v>29</v>
      </c>
      <c r="L252" s="27" t="s">
        <v>30</v>
      </c>
      <c r="M252" s="95">
        <v>9</v>
      </c>
      <c r="N252" s="27">
        <v>2200</v>
      </c>
      <c r="O252" s="27">
        <v>10</v>
      </c>
      <c r="P252" s="27">
        <v>17820</v>
      </c>
      <c r="Q252" s="27">
        <v>3</v>
      </c>
      <c r="R252" s="90" t="s">
        <v>60</v>
      </c>
      <c r="S252" s="27" t="s">
        <v>32</v>
      </c>
      <c r="T252" s="27" t="s">
        <v>128</v>
      </c>
      <c r="U252" s="27">
        <v>9569007422</v>
      </c>
      <c r="V252" s="37" t="s">
        <v>52</v>
      </c>
      <c r="W252" s="40" t="str">
        <f t="shared" si="9"/>
        <v>Vikas Mehta</v>
      </c>
      <c r="X252" s="93" t="str">
        <f t="shared" si="10"/>
        <v>Home Appliances</v>
      </c>
      <c r="Y252" s="94" t="str">
        <f t="shared" si="11"/>
        <v>North</v>
      </c>
    </row>
    <row r="253" spans="1:25" ht="15" thickBot="1" x14ac:dyDescent="0.4">
      <c r="A253" s="90" t="s">
        <v>380</v>
      </c>
      <c r="B253" s="30" t="s">
        <v>23</v>
      </c>
      <c r="C253" s="30" t="s">
        <v>105</v>
      </c>
      <c r="D253" s="31">
        <v>45739</v>
      </c>
      <c r="E253" s="31">
        <v>45742</v>
      </c>
      <c r="F253" s="30" t="s">
        <v>25</v>
      </c>
      <c r="G253" s="30" t="s">
        <v>26</v>
      </c>
      <c r="H253" s="31">
        <v>30038</v>
      </c>
      <c r="I253" s="30" t="s">
        <v>147</v>
      </c>
      <c r="J253" s="30" t="s">
        <v>148</v>
      </c>
      <c r="K253" s="30" t="s">
        <v>29</v>
      </c>
      <c r="L253" s="30" t="s">
        <v>107</v>
      </c>
      <c r="M253" s="95">
        <v>16</v>
      </c>
      <c r="N253" s="30">
        <v>8500</v>
      </c>
      <c r="O253" s="30">
        <v>0</v>
      </c>
      <c r="P253" s="30">
        <v>136000</v>
      </c>
      <c r="Q253" s="30">
        <v>5</v>
      </c>
      <c r="R253" s="90" t="s">
        <v>65</v>
      </c>
      <c r="S253" s="30" t="s">
        <v>80</v>
      </c>
      <c r="T253" s="30" t="s">
        <v>43</v>
      </c>
      <c r="U253" s="30">
        <v>9180820441</v>
      </c>
      <c r="V253" s="38" t="s">
        <v>53</v>
      </c>
      <c r="W253" s="40" t="str">
        <f t="shared" si="9"/>
        <v>Kavya Nair</v>
      </c>
      <c r="X253" s="93" t="str">
        <f t="shared" si="10"/>
        <v>Home Appliances</v>
      </c>
      <c r="Y253" s="94" t="str">
        <f t="shared" si="11"/>
        <v>East</v>
      </c>
    </row>
    <row r="254" spans="1:25" ht="15" thickBot="1" x14ac:dyDescent="0.4">
      <c r="A254" s="90" t="s">
        <v>381</v>
      </c>
      <c r="B254" s="27" t="s">
        <v>156</v>
      </c>
      <c r="C254" s="27" t="s">
        <v>56</v>
      </c>
      <c r="D254" s="28">
        <v>46006</v>
      </c>
      <c r="E254" s="28">
        <v>46007</v>
      </c>
      <c r="F254" s="27" t="s">
        <v>106</v>
      </c>
      <c r="G254" s="27" t="s">
        <v>58</v>
      </c>
      <c r="H254" s="28">
        <v>28122</v>
      </c>
      <c r="I254" s="27" t="s">
        <v>37</v>
      </c>
      <c r="J254" s="27" t="s">
        <v>38</v>
      </c>
      <c r="K254" s="27" t="s">
        <v>39</v>
      </c>
      <c r="L254" s="27" t="s">
        <v>59</v>
      </c>
      <c r="M254" s="95">
        <v>10</v>
      </c>
      <c r="N254" s="27">
        <v>1200</v>
      </c>
      <c r="O254" s="27">
        <v>15</v>
      </c>
      <c r="P254" s="27">
        <v>10200</v>
      </c>
      <c r="Q254" s="27">
        <v>5</v>
      </c>
      <c r="R254" s="90" t="s">
        <v>31</v>
      </c>
      <c r="S254" s="27" t="s">
        <v>42</v>
      </c>
      <c r="T254" s="27" t="s">
        <v>158</v>
      </c>
      <c r="U254" s="27">
        <v>9769075826</v>
      </c>
      <c r="V254" s="35" t="s">
        <v>34</v>
      </c>
      <c r="W254" s="40" t="str">
        <f t="shared" si="9"/>
        <v>Amit Sharma</v>
      </c>
      <c r="X254" s="93" t="str">
        <f t="shared" si="10"/>
        <v>Electronics</v>
      </c>
      <c r="Y254" s="94" t="str">
        <f t="shared" si="11"/>
        <v>North</v>
      </c>
    </row>
    <row r="255" spans="1:25" ht="15" thickBot="1" x14ac:dyDescent="0.4">
      <c r="A255" s="90" t="s">
        <v>382</v>
      </c>
      <c r="B255" s="30" t="s">
        <v>87</v>
      </c>
      <c r="C255" s="30" t="s">
        <v>36</v>
      </c>
      <c r="D255" s="31">
        <v>45721</v>
      </c>
      <c r="E255" s="31">
        <v>45731</v>
      </c>
      <c r="F255" s="30" t="s">
        <v>88</v>
      </c>
      <c r="G255" s="30" t="s">
        <v>58</v>
      </c>
      <c r="H255" s="31">
        <v>37836</v>
      </c>
      <c r="I255" s="30" t="s">
        <v>147</v>
      </c>
      <c r="J255" s="30" t="s">
        <v>148</v>
      </c>
      <c r="K255" s="30" t="s">
        <v>39</v>
      </c>
      <c r="L255" s="30" t="s">
        <v>40</v>
      </c>
      <c r="M255" s="95">
        <v>7</v>
      </c>
      <c r="N255" s="30">
        <v>12000</v>
      </c>
      <c r="O255" s="30">
        <v>0</v>
      </c>
      <c r="P255" s="30">
        <v>84000</v>
      </c>
      <c r="Q255" s="30">
        <v>1</v>
      </c>
      <c r="R255" s="90" t="s">
        <v>65</v>
      </c>
      <c r="S255" s="30" t="s">
        <v>96</v>
      </c>
      <c r="T255" s="30" t="s">
        <v>89</v>
      </c>
      <c r="U255" s="30">
        <v>9467916296</v>
      </c>
      <c r="V255" s="38" t="s">
        <v>52</v>
      </c>
      <c r="W255" s="40" t="str">
        <f t="shared" si="9"/>
        <v>Rohit Singh</v>
      </c>
      <c r="X255" s="93" t="str">
        <f t="shared" si="10"/>
        <v>Electronics</v>
      </c>
      <c r="Y255" s="94" t="str">
        <f t="shared" si="11"/>
        <v>East</v>
      </c>
    </row>
    <row r="256" spans="1:25" ht="15" thickBot="1" x14ac:dyDescent="0.4">
      <c r="A256" s="90" t="s">
        <v>383</v>
      </c>
      <c r="B256" s="27" t="s">
        <v>124</v>
      </c>
      <c r="C256" s="27" t="s">
        <v>36</v>
      </c>
      <c r="D256" s="28">
        <v>45919</v>
      </c>
      <c r="E256" s="28">
        <v>45931</v>
      </c>
      <c r="F256" s="27" t="s">
        <v>126</v>
      </c>
      <c r="G256" s="27" t="s">
        <v>58</v>
      </c>
      <c r="H256" s="28">
        <v>31538</v>
      </c>
      <c r="I256" s="27" t="s">
        <v>79</v>
      </c>
      <c r="J256" s="27" t="s">
        <v>75</v>
      </c>
      <c r="K256" s="27" t="s">
        <v>39</v>
      </c>
      <c r="L256" s="27" t="s">
        <v>40</v>
      </c>
      <c r="M256" s="95">
        <v>3</v>
      </c>
      <c r="N256" s="27">
        <v>12000</v>
      </c>
      <c r="O256" s="27">
        <v>10</v>
      </c>
      <c r="P256" s="27">
        <v>32400</v>
      </c>
      <c r="Q256" s="27">
        <v>4</v>
      </c>
      <c r="R256" s="90" t="s">
        <v>60</v>
      </c>
      <c r="S256" s="27" t="s">
        <v>96</v>
      </c>
      <c r="T256" s="27" t="s">
        <v>128</v>
      </c>
      <c r="U256" s="27">
        <v>9477052923</v>
      </c>
      <c r="V256" s="35" t="s">
        <v>34</v>
      </c>
      <c r="W256" s="40" t="str">
        <f t="shared" si="9"/>
        <v>Vikas Mehta</v>
      </c>
      <c r="X256" s="93" t="str">
        <f t="shared" si="10"/>
        <v>Electronics</v>
      </c>
      <c r="Y256" s="94" t="str">
        <f t="shared" si="11"/>
        <v>West</v>
      </c>
    </row>
    <row r="257" spans="1:25" ht="15" thickBot="1" x14ac:dyDescent="0.4">
      <c r="A257" s="90" t="s">
        <v>384</v>
      </c>
      <c r="B257" s="30" t="s">
        <v>124</v>
      </c>
      <c r="C257" s="30" t="s">
        <v>36</v>
      </c>
      <c r="D257" s="31">
        <v>45964</v>
      </c>
      <c r="E257" s="31">
        <v>45970</v>
      </c>
      <c r="F257" s="30" t="s">
        <v>126</v>
      </c>
      <c r="G257" s="30" t="s">
        <v>58</v>
      </c>
      <c r="H257" s="31">
        <v>32543</v>
      </c>
      <c r="I257" s="30" t="s">
        <v>27</v>
      </c>
      <c r="J257" s="30" t="s">
        <v>28</v>
      </c>
      <c r="K257" s="30" t="s">
        <v>39</v>
      </c>
      <c r="L257" s="30" t="s">
        <v>40</v>
      </c>
      <c r="M257" s="95">
        <v>4</v>
      </c>
      <c r="N257" s="30">
        <v>12000</v>
      </c>
      <c r="O257" s="30">
        <v>15</v>
      </c>
      <c r="P257" s="30">
        <v>40800</v>
      </c>
      <c r="Q257" s="30">
        <v>3</v>
      </c>
      <c r="R257" s="90" t="s">
        <v>60</v>
      </c>
      <c r="S257" s="30" t="s">
        <v>32</v>
      </c>
      <c r="T257" s="30" t="s">
        <v>128</v>
      </c>
      <c r="U257" s="30">
        <v>9184311420</v>
      </c>
      <c r="V257" s="38" t="s">
        <v>52</v>
      </c>
      <c r="W257" s="40" t="str">
        <f t="shared" si="9"/>
        <v>Vikas Mehta</v>
      </c>
      <c r="X257" s="93" t="str">
        <f t="shared" si="10"/>
        <v>Electronics</v>
      </c>
      <c r="Y257" s="94" t="str">
        <f t="shared" si="11"/>
        <v>South</v>
      </c>
    </row>
    <row r="258" spans="1:25" ht="15" thickBot="1" x14ac:dyDescent="0.4">
      <c r="A258" s="90" t="s">
        <v>385</v>
      </c>
      <c r="B258" s="27" t="s">
        <v>87</v>
      </c>
      <c r="C258" s="27" t="s">
        <v>36</v>
      </c>
      <c r="D258" s="28">
        <v>45824</v>
      </c>
      <c r="E258" s="28">
        <v>45826</v>
      </c>
      <c r="F258" s="27" t="s">
        <v>88</v>
      </c>
      <c r="G258" s="27" t="s">
        <v>58</v>
      </c>
      <c r="H258" s="28">
        <v>29259</v>
      </c>
      <c r="I258" s="27" t="s">
        <v>27</v>
      </c>
      <c r="J258" s="27" t="s">
        <v>28</v>
      </c>
      <c r="K258" s="27" t="s">
        <v>39</v>
      </c>
      <c r="L258" s="27" t="s">
        <v>40</v>
      </c>
      <c r="M258" s="95">
        <v>13</v>
      </c>
      <c r="N258" s="27">
        <v>12000</v>
      </c>
      <c r="O258" s="27">
        <v>10</v>
      </c>
      <c r="P258" s="27">
        <v>140400</v>
      </c>
      <c r="Q258" s="27">
        <v>2</v>
      </c>
      <c r="R258" s="90" t="s">
        <v>31</v>
      </c>
      <c r="S258" s="27" t="s">
        <v>96</v>
      </c>
      <c r="T258" s="27" t="s">
        <v>89</v>
      </c>
      <c r="U258" s="27">
        <v>9630913127</v>
      </c>
      <c r="V258" s="37" t="s">
        <v>53</v>
      </c>
      <c r="W258" s="40" t="str">
        <f t="shared" si="9"/>
        <v>Rohit Singh</v>
      </c>
      <c r="X258" s="93" t="str">
        <f t="shared" si="10"/>
        <v>Electronics</v>
      </c>
      <c r="Y258" s="94" t="str">
        <f t="shared" si="11"/>
        <v>South</v>
      </c>
    </row>
    <row r="259" spans="1:25" ht="15" thickBot="1" x14ac:dyDescent="0.4">
      <c r="A259" s="90" t="s">
        <v>386</v>
      </c>
      <c r="B259" s="30" t="s">
        <v>23</v>
      </c>
      <c r="C259" s="30" t="s">
        <v>68</v>
      </c>
      <c r="D259" s="31">
        <v>45812</v>
      </c>
      <c r="E259" s="31">
        <v>45819</v>
      </c>
      <c r="F259" s="30" t="s">
        <v>25</v>
      </c>
      <c r="G259" s="30" t="s">
        <v>26</v>
      </c>
      <c r="H259" s="31">
        <v>31060</v>
      </c>
      <c r="I259" s="30" t="s">
        <v>48</v>
      </c>
      <c r="J259" s="30" t="s">
        <v>28</v>
      </c>
      <c r="K259" s="30" t="s">
        <v>29</v>
      </c>
      <c r="L259" s="30" t="s">
        <v>70</v>
      </c>
      <c r="M259" s="95">
        <v>19</v>
      </c>
      <c r="N259" s="30">
        <v>3500</v>
      </c>
      <c r="O259" s="30">
        <v>20</v>
      </c>
      <c r="P259" s="30">
        <v>53200</v>
      </c>
      <c r="Q259" s="30">
        <v>1</v>
      </c>
      <c r="R259" s="90" t="s">
        <v>31</v>
      </c>
      <c r="S259" s="30" t="s">
        <v>50</v>
      </c>
      <c r="T259" s="30" t="s">
        <v>43</v>
      </c>
      <c r="U259" s="30">
        <v>9997515828</v>
      </c>
      <c r="V259" s="38" t="s">
        <v>53</v>
      </c>
      <c r="W259" s="40" t="str">
        <f t="shared" ref="W259:W322" si="12">PROPER(TRIM(F259))</f>
        <v>Kavya Nair</v>
      </c>
      <c r="X259" s="93" t="str">
        <f t="shared" ref="X259:X322" si="13">PROPER(K259)</f>
        <v>Home Appliances</v>
      </c>
      <c r="Y259" s="94" t="str">
        <f t="shared" ref="Y259:Y322" si="14">PROPER(J259)</f>
        <v>South</v>
      </c>
    </row>
    <row r="260" spans="1:25" ht="15" thickBot="1" x14ac:dyDescent="0.4">
      <c r="A260" s="90" t="s">
        <v>387</v>
      </c>
      <c r="B260" s="27" t="s">
        <v>23</v>
      </c>
      <c r="C260" s="27" t="s">
        <v>24</v>
      </c>
      <c r="D260" s="28">
        <v>45695</v>
      </c>
      <c r="E260" s="28">
        <v>45700</v>
      </c>
      <c r="F260" s="27" t="s">
        <v>25</v>
      </c>
      <c r="G260" s="27" t="s">
        <v>26</v>
      </c>
      <c r="H260" s="28">
        <v>29060</v>
      </c>
      <c r="I260" s="27" t="s">
        <v>74</v>
      </c>
      <c r="J260" s="27" t="s">
        <v>75</v>
      </c>
      <c r="K260" s="27" t="s">
        <v>29</v>
      </c>
      <c r="L260" s="27" t="s">
        <v>30</v>
      </c>
      <c r="M260" s="95">
        <v>7</v>
      </c>
      <c r="N260" s="27">
        <v>2200</v>
      </c>
      <c r="O260" s="27">
        <v>5</v>
      </c>
      <c r="P260" s="27">
        <v>14630</v>
      </c>
      <c r="Q260" s="27">
        <v>3</v>
      </c>
      <c r="R260" s="90" t="s">
        <v>65</v>
      </c>
      <c r="S260" s="27" t="s">
        <v>50</v>
      </c>
      <c r="T260" s="27" t="s">
        <v>43</v>
      </c>
      <c r="U260" s="27">
        <v>9394291182</v>
      </c>
      <c r="V260" s="37" t="s">
        <v>53</v>
      </c>
      <c r="W260" s="40" t="str">
        <f t="shared" si="12"/>
        <v>Kavya Nair</v>
      </c>
      <c r="X260" s="93" t="str">
        <f t="shared" si="13"/>
        <v>Home Appliances</v>
      </c>
      <c r="Y260" s="94" t="str">
        <f t="shared" si="14"/>
        <v>West</v>
      </c>
    </row>
    <row r="261" spans="1:25" ht="15" thickBot="1" x14ac:dyDescent="0.4">
      <c r="A261" s="90" t="s">
        <v>388</v>
      </c>
      <c r="B261" s="30" t="s">
        <v>63</v>
      </c>
      <c r="C261" s="30" t="s">
        <v>112</v>
      </c>
      <c r="D261" s="31">
        <v>46151</v>
      </c>
      <c r="E261" s="31">
        <v>46155</v>
      </c>
      <c r="F261" s="30" t="s">
        <v>110</v>
      </c>
      <c r="G261" s="30" t="s">
        <v>58</v>
      </c>
      <c r="H261" s="31">
        <v>34184</v>
      </c>
      <c r="I261" s="30" t="s">
        <v>121</v>
      </c>
      <c r="J261" s="30" t="s">
        <v>38</v>
      </c>
      <c r="K261" s="30" t="s">
        <v>39</v>
      </c>
      <c r="L261" s="30" t="s">
        <v>114</v>
      </c>
      <c r="M261" s="95">
        <v>18</v>
      </c>
      <c r="N261" s="30">
        <v>700</v>
      </c>
      <c r="O261" s="30">
        <v>5</v>
      </c>
      <c r="P261" s="30">
        <v>11970</v>
      </c>
      <c r="Q261" s="30">
        <v>2</v>
      </c>
      <c r="R261" s="90" t="s">
        <v>65</v>
      </c>
      <c r="S261" s="30" t="s">
        <v>50</v>
      </c>
      <c r="T261" s="30" t="s">
        <v>66</v>
      </c>
      <c r="U261" s="30">
        <v>9616853220</v>
      </c>
      <c r="V261" s="38" t="s">
        <v>53</v>
      </c>
      <c r="W261" s="40" t="str">
        <f t="shared" si="12"/>
        <v>Arjun Rao</v>
      </c>
      <c r="X261" s="93" t="str">
        <f t="shared" si="13"/>
        <v>Electronics</v>
      </c>
      <c r="Y261" s="94" t="str">
        <f t="shared" si="14"/>
        <v>North</v>
      </c>
    </row>
    <row r="262" spans="1:25" ht="15" thickBot="1" x14ac:dyDescent="0.4">
      <c r="A262" s="90" t="s">
        <v>389</v>
      </c>
      <c r="B262" s="27" t="s">
        <v>23</v>
      </c>
      <c r="C262" s="27" t="s">
        <v>125</v>
      </c>
      <c r="D262" s="28">
        <v>45858</v>
      </c>
      <c r="E262" s="28">
        <v>45868</v>
      </c>
      <c r="F262" s="27" t="s">
        <v>25</v>
      </c>
      <c r="G262" s="27" t="s">
        <v>26</v>
      </c>
      <c r="H262" s="28">
        <v>27629</v>
      </c>
      <c r="I262" s="27" t="s">
        <v>147</v>
      </c>
      <c r="J262" s="27" t="s">
        <v>148</v>
      </c>
      <c r="K262" s="27" t="s">
        <v>83</v>
      </c>
      <c r="L262" s="27" t="s">
        <v>127</v>
      </c>
      <c r="M262" s="95">
        <v>11</v>
      </c>
      <c r="N262" s="27">
        <v>20</v>
      </c>
      <c r="O262" s="27">
        <v>0</v>
      </c>
      <c r="P262" s="27">
        <v>220</v>
      </c>
      <c r="Q262" s="27">
        <v>2</v>
      </c>
      <c r="R262" s="90" t="s">
        <v>41</v>
      </c>
      <c r="S262" s="27" t="s">
        <v>80</v>
      </c>
      <c r="T262" s="27" t="s">
        <v>43</v>
      </c>
      <c r="U262" s="27">
        <v>9147552626</v>
      </c>
      <c r="V262" s="37" t="s">
        <v>53</v>
      </c>
      <c r="W262" s="40" t="str">
        <f t="shared" si="12"/>
        <v>Kavya Nair</v>
      </c>
      <c r="X262" s="93" t="str">
        <f t="shared" si="13"/>
        <v>Stationery</v>
      </c>
      <c r="Y262" s="94" t="str">
        <f t="shared" si="14"/>
        <v>East</v>
      </c>
    </row>
    <row r="263" spans="1:25" ht="15" thickBot="1" x14ac:dyDescent="0.4">
      <c r="A263" s="90" t="s">
        <v>390</v>
      </c>
      <c r="B263" s="30" t="s">
        <v>156</v>
      </c>
      <c r="C263" s="30" t="s">
        <v>36</v>
      </c>
      <c r="D263" s="31">
        <v>45716</v>
      </c>
      <c r="E263" s="31">
        <v>45723</v>
      </c>
      <c r="F263" s="30" t="s">
        <v>106</v>
      </c>
      <c r="G263" s="30" t="s">
        <v>58</v>
      </c>
      <c r="H263" s="31">
        <v>28603</v>
      </c>
      <c r="I263" s="30" t="s">
        <v>79</v>
      </c>
      <c r="J263" s="30" t="s">
        <v>75</v>
      </c>
      <c r="K263" s="30" t="s">
        <v>39</v>
      </c>
      <c r="L263" s="30" t="s">
        <v>40</v>
      </c>
      <c r="M263" s="95">
        <v>17</v>
      </c>
      <c r="N263" s="30">
        <v>12000</v>
      </c>
      <c r="O263" s="30">
        <v>20</v>
      </c>
      <c r="P263" s="30">
        <v>163200</v>
      </c>
      <c r="Q263" s="30">
        <v>4</v>
      </c>
      <c r="R263" s="90" t="s">
        <v>65</v>
      </c>
      <c r="S263" s="30" t="s">
        <v>96</v>
      </c>
      <c r="T263" s="30" t="s">
        <v>158</v>
      </c>
      <c r="U263" s="30">
        <v>9724197033</v>
      </c>
      <c r="V263" s="36" t="s">
        <v>34</v>
      </c>
      <c r="W263" s="40" t="str">
        <f t="shared" si="12"/>
        <v>Amit Sharma</v>
      </c>
      <c r="X263" s="93" t="str">
        <f t="shared" si="13"/>
        <v>Electronics</v>
      </c>
      <c r="Y263" s="94" t="str">
        <f t="shared" si="14"/>
        <v>West</v>
      </c>
    </row>
    <row r="264" spans="1:25" ht="15" thickBot="1" x14ac:dyDescent="0.4">
      <c r="A264" s="90" t="s">
        <v>391</v>
      </c>
      <c r="B264" s="27" t="s">
        <v>134</v>
      </c>
      <c r="C264" s="27" t="s">
        <v>24</v>
      </c>
      <c r="D264" s="28">
        <v>45846</v>
      </c>
      <c r="E264" s="28">
        <v>45851</v>
      </c>
      <c r="F264" s="27" t="s">
        <v>135</v>
      </c>
      <c r="G264" s="27" t="s">
        <v>26</v>
      </c>
      <c r="H264" s="28">
        <v>37889</v>
      </c>
      <c r="I264" s="27" t="s">
        <v>147</v>
      </c>
      <c r="J264" s="27" t="s">
        <v>148</v>
      </c>
      <c r="K264" s="27" t="s">
        <v>29</v>
      </c>
      <c r="L264" s="27" t="s">
        <v>30</v>
      </c>
      <c r="M264" s="95">
        <v>4</v>
      </c>
      <c r="N264" s="27">
        <v>2200</v>
      </c>
      <c r="O264" s="27">
        <v>5</v>
      </c>
      <c r="P264" s="27">
        <v>8360</v>
      </c>
      <c r="Q264" s="27">
        <v>2</v>
      </c>
      <c r="R264" s="90" t="s">
        <v>31</v>
      </c>
      <c r="S264" s="27" t="s">
        <v>32</v>
      </c>
      <c r="T264" s="27" t="s">
        <v>136</v>
      </c>
      <c r="U264" s="27">
        <v>9130666128</v>
      </c>
      <c r="V264" s="35" t="s">
        <v>34</v>
      </c>
      <c r="W264" s="40" t="str">
        <f t="shared" si="12"/>
        <v>Sneha Joshi</v>
      </c>
      <c r="X264" s="93" t="str">
        <f t="shared" si="13"/>
        <v>Home Appliances</v>
      </c>
      <c r="Y264" s="94" t="str">
        <f t="shared" si="14"/>
        <v>East</v>
      </c>
    </row>
    <row r="265" spans="1:25" ht="15" thickBot="1" x14ac:dyDescent="0.4">
      <c r="A265" s="90" t="s">
        <v>392</v>
      </c>
      <c r="B265" s="30" t="s">
        <v>23</v>
      </c>
      <c r="C265" s="30" t="s">
        <v>46</v>
      </c>
      <c r="D265" s="31">
        <v>46003</v>
      </c>
      <c r="E265" s="31">
        <v>46010</v>
      </c>
      <c r="F265" s="30" t="s">
        <v>25</v>
      </c>
      <c r="G265" s="30" t="s">
        <v>26</v>
      </c>
      <c r="H265" s="31">
        <v>37355</v>
      </c>
      <c r="I265" s="30" t="s">
        <v>91</v>
      </c>
      <c r="J265" s="30" t="s">
        <v>75</v>
      </c>
      <c r="K265" s="30" t="s">
        <v>39</v>
      </c>
      <c r="L265" s="30" t="s">
        <v>49</v>
      </c>
      <c r="M265" s="95">
        <v>6</v>
      </c>
      <c r="N265" s="30">
        <v>55000</v>
      </c>
      <c r="O265" s="30">
        <v>20</v>
      </c>
      <c r="P265" s="30">
        <v>264000</v>
      </c>
      <c r="Q265" s="30">
        <v>2</v>
      </c>
      <c r="R265" s="90" t="s">
        <v>65</v>
      </c>
      <c r="S265" s="30" t="s">
        <v>96</v>
      </c>
      <c r="T265" s="30" t="s">
        <v>43</v>
      </c>
      <c r="U265" s="30">
        <v>9866567601</v>
      </c>
      <c r="V265" s="38" t="s">
        <v>53</v>
      </c>
      <c r="W265" s="40" t="str">
        <f t="shared" si="12"/>
        <v>Kavya Nair</v>
      </c>
      <c r="X265" s="93" t="str">
        <f t="shared" si="13"/>
        <v>Electronics</v>
      </c>
      <c r="Y265" s="94" t="str">
        <f t="shared" si="14"/>
        <v>West</v>
      </c>
    </row>
    <row r="266" spans="1:25" ht="15" thickBot="1" x14ac:dyDescent="0.4">
      <c r="A266" s="90" t="s">
        <v>393</v>
      </c>
      <c r="B266" s="27" t="s">
        <v>55</v>
      </c>
      <c r="C266" s="27" t="s">
        <v>105</v>
      </c>
      <c r="D266" s="28">
        <v>46026</v>
      </c>
      <c r="E266" s="28">
        <v>46036</v>
      </c>
      <c r="F266" s="27" t="s">
        <v>57</v>
      </c>
      <c r="G266" s="27" t="s">
        <v>58</v>
      </c>
      <c r="H266" s="28">
        <v>31314</v>
      </c>
      <c r="I266" s="27" t="s">
        <v>37</v>
      </c>
      <c r="J266" s="27" t="s">
        <v>38</v>
      </c>
      <c r="K266" s="27" t="s">
        <v>29</v>
      </c>
      <c r="L266" s="27" t="s">
        <v>107</v>
      </c>
      <c r="M266" s="95">
        <v>6</v>
      </c>
      <c r="N266" s="27">
        <v>8500</v>
      </c>
      <c r="O266" s="27">
        <v>10</v>
      </c>
      <c r="P266" s="27">
        <v>45900</v>
      </c>
      <c r="Q266" s="27">
        <v>5</v>
      </c>
      <c r="R266" s="90" t="s">
        <v>65</v>
      </c>
      <c r="S266" s="27" t="s">
        <v>50</v>
      </c>
      <c r="T266" s="27" t="s">
        <v>61</v>
      </c>
      <c r="U266" s="27">
        <v>9477282450</v>
      </c>
      <c r="V266" s="35" t="s">
        <v>34</v>
      </c>
      <c r="W266" s="40" t="str">
        <f t="shared" si="12"/>
        <v>Mohit Verma</v>
      </c>
      <c r="X266" s="93" t="str">
        <f t="shared" si="13"/>
        <v>Home Appliances</v>
      </c>
      <c r="Y266" s="94" t="str">
        <f t="shared" si="14"/>
        <v>North</v>
      </c>
    </row>
    <row r="267" spans="1:25" ht="15" thickBot="1" x14ac:dyDescent="0.4">
      <c r="A267" s="90" t="s">
        <v>394</v>
      </c>
      <c r="B267" s="30" t="s">
        <v>23</v>
      </c>
      <c r="C267" s="30" t="s">
        <v>125</v>
      </c>
      <c r="D267" s="31">
        <v>45889</v>
      </c>
      <c r="E267" s="31">
        <v>45894</v>
      </c>
      <c r="F267" s="30" t="s">
        <v>25</v>
      </c>
      <c r="G267" s="30" t="s">
        <v>26</v>
      </c>
      <c r="H267" s="31">
        <v>31028</v>
      </c>
      <c r="I267" s="30" t="s">
        <v>121</v>
      </c>
      <c r="J267" s="30" t="s">
        <v>38</v>
      </c>
      <c r="K267" s="30" t="s">
        <v>83</v>
      </c>
      <c r="L267" s="30" t="s">
        <v>127</v>
      </c>
      <c r="M267" s="95">
        <v>6</v>
      </c>
      <c r="N267" s="30">
        <v>20</v>
      </c>
      <c r="O267" s="30">
        <v>15</v>
      </c>
      <c r="P267" s="30">
        <v>102</v>
      </c>
      <c r="Q267" s="30">
        <v>2</v>
      </c>
      <c r="R267" s="90" t="s">
        <v>65</v>
      </c>
      <c r="S267" s="30" t="s">
        <v>42</v>
      </c>
      <c r="T267" s="30" t="s">
        <v>43</v>
      </c>
      <c r="U267" s="30">
        <v>9857621478</v>
      </c>
      <c r="V267" s="38" t="s">
        <v>53</v>
      </c>
      <c r="W267" s="40" t="str">
        <f t="shared" si="12"/>
        <v>Kavya Nair</v>
      </c>
      <c r="X267" s="93" t="str">
        <f t="shared" si="13"/>
        <v>Stationery</v>
      </c>
      <c r="Y267" s="94" t="str">
        <f t="shared" si="14"/>
        <v>North</v>
      </c>
    </row>
    <row r="268" spans="1:25" ht="15" thickBot="1" x14ac:dyDescent="0.4">
      <c r="A268" s="90" t="s">
        <v>395</v>
      </c>
      <c r="B268" s="27" t="s">
        <v>45</v>
      </c>
      <c r="C268" s="27" t="s">
        <v>82</v>
      </c>
      <c r="D268" s="28">
        <v>45780</v>
      </c>
      <c r="E268" s="28">
        <v>45788</v>
      </c>
      <c r="F268" s="27" t="s">
        <v>101</v>
      </c>
      <c r="G268" s="27" t="s">
        <v>26</v>
      </c>
      <c r="H268" s="28">
        <v>30883</v>
      </c>
      <c r="I268" s="27" t="s">
        <v>74</v>
      </c>
      <c r="J268" s="27" t="s">
        <v>75</v>
      </c>
      <c r="K268" s="27" t="s">
        <v>83</v>
      </c>
      <c r="L268" s="27" t="s">
        <v>84</v>
      </c>
      <c r="M268" s="95">
        <v>6</v>
      </c>
      <c r="N268" s="27">
        <v>60</v>
      </c>
      <c r="O268" s="27">
        <v>5</v>
      </c>
      <c r="P268" s="27">
        <v>342</v>
      </c>
      <c r="Q268" s="27">
        <v>1</v>
      </c>
      <c r="R268" s="90" t="s">
        <v>41</v>
      </c>
      <c r="S268" s="27" t="s">
        <v>50</v>
      </c>
      <c r="T268" s="27" t="s">
        <v>51</v>
      </c>
      <c r="U268" s="27">
        <v>9753869055</v>
      </c>
      <c r="V268" s="35" t="s">
        <v>34</v>
      </c>
      <c r="W268" s="40" t="str">
        <f t="shared" si="12"/>
        <v>Pooja Shah</v>
      </c>
      <c r="X268" s="93" t="str">
        <f t="shared" si="13"/>
        <v>Stationery</v>
      </c>
      <c r="Y268" s="94" t="str">
        <f t="shared" si="14"/>
        <v>West</v>
      </c>
    </row>
    <row r="269" spans="1:25" ht="15" thickBot="1" x14ac:dyDescent="0.4">
      <c r="A269" s="90" t="s">
        <v>396</v>
      </c>
      <c r="B269" s="30" t="s">
        <v>87</v>
      </c>
      <c r="C269" s="30" t="s">
        <v>105</v>
      </c>
      <c r="D269" s="31">
        <v>45666</v>
      </c>
      <c r="E269" s="31">
        <v>45669</v>
      </c>
      <c r="F269" s="30" t="s">
        <v>88</v>
      </c>
      <c r="G269" s="30" t="s">
        <v>58</v>
      </c>
      <c r="H269" s="31">
        <v>32217</v>
      </c>
      <c r="I269" s="30" t="s">
        <v>27</v>
      </c>
      <c r="J269" s="30" t="s">
        <v>28</v>
      </c>
      <c r="K269" s="30" t="s">
        <v>29</v>
      </c>
      <c r="L269" s="30" t="s">
        <v>107</v>
      </c>
      <c r="M269" s="95">
        <v>19</v>
      </c>
      <c r="N269" s="30">
        <v>8500</v>
      </c>
      <c r="O269" s="30">
        <v>0</v>
      </c>
      <c r="P269" s="30">
        <v>161500</v>
      </c>
      <c r="Q269" s="30">
        <v>5</v>
      </c>
      <c r="R269" s="90" t="s">
        <v>65</v>
      </c>
      <c r="S269" s="30" t="s">
        <v>96</v>
      </c>
      <c r="T269" s="30" t="s">
        <v>89</v>
      </c>
      <c r="U269" s="30">
        <v>9663266204</v>
      </c>
      <c r="V269" s="36" t="s">
        <v>34</v>
      </c>
      <c r="W269" s="40" t="str">
        <f t="shared" si="12"/>
        <v>Rohit Singh</v>
      </c>
      <c r="X269" s="93" t="str">
        <f t="shared" si="13"/>
        <v>Home Appliances</v>
      </c>
      <c r="Y269" s="94" t="str">
        <f t="shared" si="14"/>
        <v>South</v>
      </c>
    </row>
    <row r="270" spans="1:25" ht="15" thickBot="1" x14ac:dyDescent="0.4">
      <c r="A270" s="90" t="s">
        <v>397</v>
      </c>
      <c r="B270" s="27" t="s">
        <v>134</v>
      </c>
      <c r="C270" s="27" t="s">
        <v>46</v>
      </c>
      <c r="D270" s="28">
        <v>45901</v>
      </c>
      <c r="E270" s="28">
        <v>45910</v>
      </c>
      <c r="F270" s="27" t="s">
        <v>135</v>
      </c>
      <c r="G270" s="27" t="s">
        <v>26</v>
      </c>
      <c r="H270" s="28">
        <v>31924</v>
      </c>
      <c r="I270" s="27" t="s">
        <v>121</v>
      </c>
      <c r="J270" s="27" t="s">
        <v>38</v>
      </c>
      <c r="K270" s="27" t="s">
        <v>39</v>
      </c>
      <c r="L270" s="27" t="s">
        <v>49</v>
      </c>
      <c r="M270" s="95">
        <v>8</v>
      </c>
      <c r="N270" s="27">
        <v>55000</v>
      </c>
      <c r="O270" s="27">
        <v>0</v>
      </c>
      <c r="P270" s="27">
        <v>440000</v>
      </c>
      <c r="Q270" s="27">
        <v>3</v>
      </c>
      <c r="R270" s="90" t="s">
        <v>60</v>
      </c>
      <c r="S270" s="27" t="s">
        <v>80</v>
      </c>
      <c r="T270" s="27" t="s">
        <v>136</v>
      </c>
      <c r="U270" s="27">
        <v>9675208616</v>
      </c>
      <c r="V270" s="37" t="s">
        <v>52</v>
      </c>
      <c r="W270" s="40" t="str">
        <f t="shared" si="12"/>
        <v>Sneha Joshi</v>
      </c>
      <c r="X270" s="93" t="str">
        <f t="shared" si="13"/>
        <v>Electronics</v>
      </c>
      <c r="Y270" s="94" t="str">
        <f t="shared" si="14"/>
        <v>North</v>
      </c>
    </row>
    <row r="271" spans="1:25" ht="15" thickBot="1" x14ac:dyDescent="0.4">
      <c r="A271" s="90" t="s">
        <v>398</v>
      </c>
      <c r="B271" s="30" t="s">
        <v>55</v>
      </c>
      <c r="C271" s="30" t="s">
        <v>36</v>
      </c>
      <c r="D271" s="31">
        <v>46144</v>
      </c>
      <c r="E271" s="31">
        <v>46149</v>
      </c>
      <c r="F271" s="30" t="s">
        <v>57</v>
      </c>
      <c r="G271" s="30" t="s">
        <v>58</v>
      </c>
      <c r="H271" s="31">
        <v>32441</v>
      </c>
      <c r="I271" s="30" t="s">
        <v>147</v>
      </c>
      <c r="J271" s="30" t="s">
        <v>148</v>
      </c>
      <c r="K271" s="30" t="s">
        <v>39</v>
      </c>
      <c r="L271" s="30" t="s">
        <v>40</v>
      </c>
      <c r="M271" s="95">
        <v>18</v>
      </c>
      <c r="N271" s="30">
        <v>12000</v>
      </c>
      <c r="O271" s="30">
        <v>20</v>
      </c>
      <c r="P271" s="30">
        <v>172800</v>
      </c>
      <c r="Q271" s="30">
        <v>5</v>
      </c>
      <c r="R271" s="90" t="s">
        <v>65</v>
      </c>
      <c r="S271" s="30" t="s">
        <v>50</v>
      </c>
      <c r="T271" s="30" t="s">
        <v>61</v>
      </c>
      <c r="U271" s="30">
        <v>9618393586</v>
      </c>
      <c r="V271" s="38" t="s">
        <v>53</v>
      </c>
      <c r="W271" s="40" t="str">
        <f t="shared" si="12"/>
        <v>Mohit Verma</v>
      </c>
      <c r="X271" s="93" t="str">
        <f t="shared" si="13"/>
        <v>Electronics</v>
      </c>
      <c r="Y271" s="94" t="str">
        <f t="shared" si="14"/>
        <v>East</v>
      </c>
    </row>
    <row r="272" spans="1:25" ht="15" thickBot="1" x14ac:dyDescent="0.4">
      <c r="A272" s="90" t="s">
        <v>399</v>
      </c>
      <c r="B272" s="27" t="s">
        <v>87</v>
      </c>
      <c r="C272" s="27" t="s">
        <v>105</v>
      </c>
      <c r="D272" s="28">
        <v>45764</v>
      </c>
      <c r="E272" s="28">
        <v>45773</v>
      </c>
      <c r="F272" s="27" t="s">
        <v>88</v>
      </c>
      <c r="G272" s="27" t="s">
        <v>58</v>
      </c>
      <c r="H272" s="28">
        <v>33219</v>
      </c>
      <c r="I272" s="27" t="s">
        <v>91</v>
      </c>
      <c r="J272" s="27" t="s">
        <v>75</v>
      </c>
      <c r="K272" s="27" t="s">
        <v>29</v>
      </c>
      <c r="L272" s="27" t="s">
        <v>107</v>
      </c>
      <c r="M272" s="95">
        <v>8</v>
      </c>
      <c r="N272" s="27">
        <v>8500</v>
      </c>
      <c r="O272" s="27">
        <v>5</v>
      </c>
      <c r="P272" s="27">
        <v>64600</v>
      </c>
      <c r="Q272" s="27">
        <v>2</v>
      </c>
      <c r="R272" s="90" t="s">
        <v>60</v>
      </c>
      <c r="S272" s="27" t="s">
        <v>50</v>
      </c>
      <c r="T272" s="27" t="s">
        <v>89</v>
      </c>
      <c r="U272" s="27">
        <v>9137027840</v>
      </c>
      <c r="V272" s="37" t="s">
        <v>53</v>
      </c>
      <c r="W272" s="40" t="str">
        <f t="shared" si="12"/>
        <v>Rohit Singh</v>
      </c>
      <c r="X272" s="93" t="str">
        <f t="shared" si="13"/>
        <v>Home Appliances</v>
      </c>
      <c r="Y272" s="94" t="str">
        <f t="shared" si="14"/>
        <v>West</v>
      </c>
    </row>
    <row r="273" spans="1:25" ht="15" thickBot="1" x14ac:dyDescent="0.4">
      <c r="A273" s="90" t="s">
        <v>400</v>
      </c>
      <c r="B273" s="30" t="s">
        <v>23</v>
      </c>
      <c r="C273" s="30" t="s">
        <v>125</v>
      </c>
      <c r="D273" s="31">
        <v>45878</v>
      </c>
      <c r="E273" s="31">
        <v>45887</v>
      </c>
      <c r="F273" s="30" t="s">
        <v>25</v>
      </c>
      <c r="G273" s="30" t="s">
        <v>26</v>
      </c>
      <c r="H273" s="31">
        <v>29640</v>
      </c>
      <c r="I273" s="30" t="s">
        <v>74</v>
      </c>
      <c r="J273" s="30" t="s">
        <v>75</v>
      </c>
      <c r="K273" s="30" t="s">
        <v>83</v>
      </c>
      <c r="L273" s="30" t="s">
        <v>127</v>
      </c>
      <c r="M273" s="95">
        <v>13</v>
      </c>
      <c r="N273" s="30">
        <v>20</v>
      </c>
      <c r="O273" s="30">
        <v>5</v>
      </c>
      <c r="P273" s="30">
        <v>247</v>
      </c>
      <c r="Q273" s="30">
        <v>3</v>
      </c>
      <c r="R273" s="90" t="s">
        <v>41</v>
      </c>
      <c r="S273" s="30" t="s">
        <v>80</v>
      </c>
      <c r="T273" s="30" t="s">
        <v>43</v>
      </c>
      <c r="U273" s="30">
        <v>9362758134</v>
      </c>
      <c r="V273" s="38" t="s">
        <v>52</v>
      </c>
      <c r="W273" s="40" t="str">
        <f t="shared" si="12"/>
        <v>Kavya Nair</v>
      </c>
      <c r="X273" s="93" t="str">
        <f t="shared" si="13"/>
        <v>Stationery</v>
      </c>
      <c r="Y273" s="94" t="str">
        <f t="shared" si="14"/>
        <v>West</v>
      </c>
    </row>
    <row r="274" spans="1:25" ht="15" thickBot="1" x14ac:dyDescent="0.4">
      <c r="A274" s="90" t="s">
        <v>401</v>
      </c>
      <c r="B274" s="27" t="s">
        <v>63</v>
      </c>
      <c r="C274" s="27" t="s">
        <v>82</v>
      </c>
      <c r="D274" s="28">
        <v>46116</v>
      </c>
      <c r="E274" s="28">
        <v>46128</v>
      </c>
      <c r="F274" s="27" t="s">
        <v>110</v>
      </c>
      <c r="G274" s="27" t="s">
        <v>58</v>
      </c>
      <c r="H274" s="28">
        <v>31140</v>
      </c>
      <c r="I274" s="27" t="s">
        <v>121</v>
      </c>
      <c r="J274" s="27" t="s">
        <v>38</v>
      </c>
      <c r="K274" s="27" t="s">
        <v>83</v>
      </c>
      <c r="L274" s="27" t="s">
        <v>84</v>
      </c>
      <c r="M274" s="95">
        <v>1</v>
      </c>
      <c r="N274" s="27">
        <v>60</v>
      </c>
      <c r="O274" s="27">
        <v>15</v>
      </c>
      <c r="P274" s="27">
        <v>51</v>
      </c>
      <c r="Q274" s="27">
        <v>2</v>
      </c>
      <c r="R274" s="90" t="s">
        <v>60</v>
      </c>
      <c r="S274" s="27" t="s">
        <v>50</v>
      </c>
      <c r="T274" s="27" t="s">
        <v>66</v>
      </c>
      <c r="U274" s="27">
        <v>9648541985</v>
      </c>
      <c r="V274" s="37" t="s">
        <v>53</v>
      </c>
      <c r="W274" s="40" t="str">
        <f t="shared" si="12"/>
        <v>Arjun Rao</v>
      </c>
      <c r="X274" s="93" t="str">
        <f t="shared" si="13"/>
        <v>Stationery</v>
      </c>
      <c r="Y274" s="94" t="str">
        <f t="shared" si="14"/>
        <v>North</v>
      </c>
    </row>
    <row r="275" spans="1:25" ht="15" thickBot="1" x14ac:dyDescent="0.4">
      <c r="A275" s="90" t="s">
        <v>402</v>
      </c>
      <c r="B275" s="30" t="s">
        <v>45</v>
      </c>
      <c r="C275" s="30" t="s">
        <v>125</v>
      </c>
      <c r="D275" s="31">
        <v>45830</v>
      </c>
      <c r="E275" s="31">
        <v>45836</v>
      </c>
      <c r="F275" s="30" t="s">
        <v>101</v>
      </c>
      <c r="G275" s="30" t="s">
        <v>26</v>
      </c>
      <c r="H275" s="31">
        <v>27978</v>
      </c>
      <c r="I275" s="30" t="s">
        <v>79</v>
      </c>
      <c r="J275" s="30" t="s">
        <v>75</v>
      </c>
      <c r="K275" s="30" t="s">
        <v>83</v>
      </c>
      <c r="L275" s="30" t="s">
        <v>127</v>
      </c>
      <c r="M275" s="95">
        <v>5</v>
      </c>
      <c r="N275" s="30">
        <v>20</v>
      </c>
      <c r="O275" s="30">
        <v>5</v>
      </c>
      <c r="P275" s="30">
        <v>95</v>
      </c>
      <c r="Q275" s="30">
        <v>2</v>
      </c>
      <c r="R275" s="90" t="s">
        <v>41</v>
      </c>
      <c r="S275" s="30" t="s">
        <v>42</v>
      </c>
      <c r="T275" s="30" t="s">
        <v>51</v>
      </c>
      <c r="U275" s="30">
        <v>9175002781</v>
      </c>
      <c r="V275" s="38" t="s">
        <v>52</v>
      </c>
      <c r="W275" s="40" t="str">
        <f t="shared" si="12"/>
        <v>Pooja Shah</v>
      </c>
      <c r="X275" s="93" t="str">
        <f t="shared" si="13"/>
        <v>Stationery</v>
      </c>
      <c r="Y275" s="94" t="str">
        <f t="shared" si="14"/>
        <v>West</v>
      </c>
    </row>
    <row r="276" spans="1:25" ht="15" thickBot="1" x14ac:dyDescent="0.4">
      <c r="A276" s="90" t="s">
        <v>403</v>
      </c>
      <c r="B276" s="27" t="s">
        <v>124</v>
      </c>
      <c r="C276" s="27" t="s">
        <v>125</v>
      </c>
      <c r="D276" s="28">
        <v>45796</v>
      </c>
      <c r="E276" s="28">
        <v>45801</v>
      </c>
      <c r="F276" s="27" t="s">
        <v>126</v>
      </c>
      <c r="G276" s="27" t="s">
        <v>58</v>
      </c>
      <c r="H276" s="28">
        <v>28623</v>
      </c>
      <c r="I276" s="27" t="s">
        <v>147</v>
      </c>
      <c r="J276" s="27" t="s">
        <v>148</v>
      </c>
      <c r="K276" s="27" t="s">
        <v>83</v>
      </c>
      <c r="L276" s="27" t="s">
        <v>127</v>
      </c>
      <c r="M276" s="95">
        <v>19</v>
      </c>
      <c r="N276" s="27">
        <v>20</v>
      </c>
      <c r="O276" s="27">
        <v>20</v>
      </c>
      <c r="P276" s="27">
        <v>304</v>
      </c>
      <c r="Q276" s="27">
        <v>3</v>
      </c>
      <c r="R276" s="90" t="s">
        <v>31</v>
      </c>
      <c r="S276" s="27" t="s">
        <v>32</v>
      </c>
      <c r="T276" s="27" t="s">
        <v>128</v>
      </c>
      <c r="U276" s="27">
        <v>9786241263</v>
      </c>
      <c r="V276" s="37" t="s">
        <v>53</v>
      </c>
      <c r="W276" s="40" t="str">
        <f t="shared" si="12"/>
        <v>Vikas Mehta</v>
      </c>
      <c r="X276" s="93" t="str">
        <f t="shared" si="13"/>
        <v>Stationery</v>
      </c>
      <c r="Y276" s="94" t="str">
        <f t="shared" si="14"/>
        <v>East</v>
      </c>
    </row>
    <row r="277" spans="1:25" ht="15" thickBot="1" x14ac:dyDescent="0.4">
      <c r="A277" s="90" t="s">
        <v>404</v>
      </c>
      <c r="B277" s="30" t="s">
        <v>72</v>
      </c>
      <c r="C277" s="30" t="s">
        <v>138</v>
      </c>
      <c r="D277" s="31">
        <v>45745</v>
      </c>
      <c r="E277" s="31">
        <v>45754</v>
      </c>
      <c r="F277" s="30" t="s">
        <v>73</v>
      </c>
      <c r="G277" s="30" t="s">
        <v>26</v>
      </c>
      <c r="H277" s="31">
        <v>36026</v>
      </c>
      <c r="I277" s="30" t="s">
        <v>91</v>
      </c>
      <c r="J277" s="30" t="s">
        <v>75</v>
      </c>
      <c r="K277" s="30" t="s">
        <v>83</v>
      </c>
      <c r="L277" s="30" t="s">
        <v>139</v>
      </c>
      <c r="M277" s="95">
        <v>17</v>
      </c>
      <c r="N277" s="30">
        <v>45</v>
      </c>
      <c r="O277" s="30">
        <v>5</v>
      </c>
      <c r="P277" s="30">
        <v>726.75</v>
      </c>
      <c r="Q277" s="30">
        <v>4</v>
      </c>
      <c r="R277" s="90" t="s">
        <v>31</v>
      </c>
      <c r="S277" s="30" t="s">
        <v>80</v>
      </c>
      <c r="T277" s="30" t="s">
        <v>93</v>
      </c>
      <c r="U277" s="30">
        <v>9691078176</v>
      </c>
      <c r="V277" s="38" t="s">
        <v>52</v>
      </c>
      <c r="W277" s="40" t="str">
        <f t="shared" si="12"/>
        <v>Priya Patel</v>
      </c>
      <c r="X277" s="93" t="str">
        <f t="shared" si="13"/>
        <v>Stationery</v>
      </c>
      <c r="Y277" s="94" t="str">
        <f t="shared" si="14"/>
        <v>West</v>
      </c>
    </row>
    <row r="278" spans="1:25" ht="15" thickBot="1" x14ac:dyDescent="0.4">
      <c r="A278" s="90" t="s">
        <v>405</v>
      </c>
      <c r="B278" s="27" t="s">
        <v>63</v>
      </c>
      <c r="C278" s="27" t="s">
        <v>112</v>
      </c>
      <c r="D278" s="28">
        <v>46071</v>
      </c>
      <c r="E278" s="28">
        <v>46075</v>
      </c>
      <c r="F278" s="27" t="s">
        <v>110</v>
      </c>
      <c r="G278" s="27" t="s">
        <v>58</v>
      </c>
      <c r="H278" s="28">
        <v>27687</v>
      </c>
      <c r="I278" s="27" t="s">
        <v>48</v>
      </c>
      <c r="J278" s="27" t="s">
        <v>28</v>
      </c>
      <c r="K278" s="27" t="s">
        <v>39</v>
      </c>
      <c r="L278" s="27" t="s">
        <v>114</v>
      </c>
      <c r="M278" s="95">
        <v>8</v>
      </c>
      <c r="N278" s="27">
        <v>700</v>
      </c>
      <c r="O278" s="27">
        <v>15</v>
      </c>
      <c r="P278" s="27">
        <v>4760</v>
      </c>
      <c r="Q278" s="27">
        <v>4</v>
      </c>
      <c r="R278" s="90" t="s">
        <v>41</v>
      </c>
      <c r="S278" s="27" t="s">
        <v>32</v>
      </c>
      <c r="T278" s="27" t="s">
        <v>66</v>
      </c>
      <c r="U278" s="27">
        <v>9336679085</v>
      </c>
      <c r="V278" s="37" t="s">
        <v>52</v>
      </c>
      <c r="W278" s="40" t="str">
        <f t="shared" si="12"/>
        <v>Arjun Rao</v>
      </c>
      <c r="X278" s="93" t="str">
        <f t="shared" si="13"/>
        <v>Electronics</v>
      </c>
      <c r="Y278" s="94" t="str">
        <f t="shared" si="14"/>
        <v>South</v>
      </c>
    </row>
    <row r="279" spans="1:25" ht="15" thickBot="1" x14ac:dyDescent="0.4">
      <c r="A279" s="90" t="s">
        <v>406</v>
      </c>
      <c r="B279" s="30" t="s">
        <v>104</v>
      </c>
      <c r="C279" s="30" t="s">
        <v>24</v>
      </c>
      <c r="D279" s="31">
        <v>46043</v>
      </c>
      <c r="E279" s="31">
        <v>46051</v>
      </c>
      <c r="F279" s="30" t="s">
        <v>166</v>
      </c>
      <c r="G279" s="30" t="s">
        <v>26</v>
      </c>
      <c r="H279" s="31">
        <v>27665</v>
      </c>
      <c r="I279" s="30" t="s">
        <v>74</v>
      </c>
      <c r="J279" s="30" t="s">
        <v>75</v>
      </c>
      <c r="K279" s="30" t="s">
        <v>29</v>
      </c>
      <c r="L279" s="30" t="s">
        <v>30</v>
      </c>
      <c r="M279" s="95">
        <v>15</v>
      </c>
      <c r="N279" s="30">
        <v>2200</v>
      </c>
      <c r="O279" s="30">
        <v>10</v>
      </c>
      <c r="P279" s="30">
        <v>29700</v>
      </c>
      <c r="Q279" s="30">
        <v>5</v>
      </c>
      <c r="R279" s="90" t="s">
        <v>65</v>
      </c>
      <c r="S279" s="30" t="s">
        <v>96</v>
      </c>
      <c r="T279" s="30" t="s">
        <v>108</v>
      </c>
      <c r="U279" s="30">
        <v>9497351043</v>
      </c>
      <c r="V279" s="36" t="s">
        <v>34</v>
      </c>
      <c r="W279" s="40" t="str">
        <f t="shared" si="12"/>
        <v>Anita Gupta</v>
      </c>
      <c r="X279" s="93" t="str">
        <f t="shared" si="13"/>
        <v>Home Appliances</v>
      </c>
      <c r="Y279" s="94" t="str">
        <f t="shared" si="14"/>
        <v>West</v>
      </c>
    </row>
    <row r="280" spans="1:25" ht="15" thickBot="1" x14ac:dyDescent="0.4">
      <c r="A280" s="90" t="s">
        <v>407</v>
      </c>
      <c r="B280" s="27" t="s">
        <v>72</v>
      </c>
      <c r="C280" s="27" t="s">
        <v>24</v>
      </c>
      <c r="D280" s="28">
        <v>45917</v>
      </c>
      <c r="E280" s="28">
        <v>45929</v>
      </c>
      <c r="F280" s="27" t="s">
        <v>73</v>
      </c>
      <c r="G280" s="27" t="s">
        <v>26</v>
      </c>
      <c r="H280" s="28">
        <v>37522</v>
      </c>
      <c r="I280" s="27" t="s">
        <v>74</v>
      </c>
      <c r="J280" s="27" t="s">
        <v>75</v>
      </c>
      <c r="K280" s="27" t="s">
        <v>29</v>
      </c>
      <c r="L280" s="27" t="s">
        <v>30</v>
      </c>
      <c r="M280" s="95">
        <v>1</v>
      </c>
      <c r="N280" s="27">
        <v>2200</v>
      </c>
      <c r="O280" s="27">
        <v>0</v>
      </c>
      <c r="P280" s="27">
        <v>2200</v>
      </c>
      <c r="Q280" s="27">
        <v>4</v>
      </c>
      <c r="R280" s="90" t="s">
        <v>31</v>
      </c>
      <c r="S280" s="27" t="s">
        <v>42</v>
      </c>
      <c r="T280" s="27" t="s">
        <v>93</v>
      </c>
      <c r="U280" s="27">
        <v>9357038998</v>
      </c>
      <c r="V280" s="37" t="s">
        <v>53</v>
      </c>
      <c r="W280" s="40" t="str">
        <f t="shared" si="12"/>
        <v>Priya Patel</v>
      </c>
      <c r="X280" s="93" t="str">
        <f t="shared" si="13"/>
        <v>Home Appliances</v>
      </c>
      <c r="Y280" s="94" t="str">
        <f t="shared" si="14"/>
        <v>West</v>
      </c>
    </row>
    <row r="281" spans="1:25" ht="15" thickBot="1" x14ac:dyDescent="0.4">
      <c r="A281" s="90" t="s">
        <v>408</v>
      </c>
      <c r="B281" s="30" t="s">
        <v>134</v>
      </c>
      <c r="C281" s="30" t="s">
        <v>68</v>
      </c>
      <c r="D281" s="31">
        <v>45827</v>
      </c>
      <c r="E281" s="31">
        <v>45838</v>
      </c>
      <c r="F281" s="30" t="s">
        <v>135</v>
      </c>
      <c r="G281" s="30" t="s">
        <v>26</v>
      </c>
      <c r="H281" s="31">
        <v>32311</v>
      </c>
      <c r="I281" s="30" t="s">
        <v>91</v>
      </c>
      <c r="J281" s="30" t="s">
        <v>75</v>
      </c>
      <c r="K281" s="30" t="s">
        <v>29</v>
      </c>
      <c r="L281" s="30" t="s">
        <v>70</v>
      </c>
      <c r="M281" s="95">
        <v>10</v>
      </c>
      <c r="N281" s="30">
        <v>3500</v>
      </c>
      <c r="O281" s="30">
        <v>10</v>
      </c>
      <c r="P281" s="30">
        <v>31500</v>
      </c>
      <c r="Q281" s="30">
        <v>4</v>
      </c>
      <c r="R281" s="90" t="s">
        <v>41</v>
      </c>
      <c r="S281" s="30" t="s">
        <v>32</v>
      </c>
      <c r="T281" s="30" t="s">
        <v>136</v>
      </c>
      <c r="U281" s="30">
        <v>9986371291</v>
      </c>
      <c r="V281" s="38" t="s">
        <v>53</v>
      </c>
      <c r="W281" s="40" t="str">
        <f t="shared" si="12"/>
        <v>Sneha Joshi</v>
      </c>
      <c r="X281" s="93" t="str">
        <f t="shared" si="13"/>
        <v>Home Appliances</v>
      </c>
      <c r="Y281" s="94" t="str">
        <f t="shared" si="14"/>
        <v>West</v>
      </c>
    </row>
    <row r="282" spans="1:25" ht="15" thickBot="1" x14ac:dyDescent="0.4">
      <c r="A282" s="90" t="s">
        <v>409</v>
      </c>
      <c r="B282" s="27" t="s">
        <v>55</v>
      </c>
      <c r="C282" s="27" t="s">
        <v>68</v>
      </c>
      <c r="D282" s="28">
        <v>45789</v>
      </c>
      <c r="E282" s="28">
        <v>45793</v>
      </c>
      <c r="F282" s="27" t="s">
        <v>57</v>
      </c>
      <c r="G282" s="27" t="s">
        <v>58</v>
      </c>
      <c r="H282" s="28">
        <v>33271</v>
      </c>
      <c r="I282" s="27" t="s">
        <v>121</v>
      </c>
      <c r="J282" s="27" t="s">
        <v>38</v>
      </c>
      <c r="K282" s="27" t="s">
        <v>29</v>
      </c>
      <c r="L282" s="27" t="s">
        <v>70</v>
      </c>
      <c r="M282" s="95">
        <v>16</v>
      </c>
      <c r="N282" s="27">
        <v>3500</v>
      </c>
      <c r="O282" s="27">
        <v>15</v>
      </c>
      <c r="P282" s="27">
        <v>47600</v>
      </c>
      <c r="Q282" s="27">
        <v>1</v>
      </c>
      <c r="R282" s="90" t="s">
        <v>60</v>
      </c>
      <c r="S282" s="27" t="s">
        <v>80</v>
      </c>
      <c r="T282" s="27" t="s">
        <v>61</v>
      </c>
      <c r="U282" s="27">
        <v>9397839191</v>
      </c>
      <c r="V282" s="37" t="s">
        <v>52</v>
      </c>
      <c r="W282" s="40" t="str">
        <f t="shared" si="12"/>
        <v>Mohit Verma</v>
      </c>
      <c r="X282" s="93" t="str">
        <f t="shared" si="13"/>
        <v>Home Appliances</v>
      </c>
      <c r="Y282" s="94" t="str">
        <f t="shared" si="14"/>
        <v>North</v>
      </c>
    </row>
    <row r="283" spans="1:25" ht="15" thickBot="1" x14ac:dyDescent="0.4">
      <c r="A283" s="90" t="s">
        <v>410</v>
      </c>
      <c r="B283" s="30" t="s">
        <v>134</v>
      </c>
      <c r="C283" s="30" t="s">
        <v>36</v>
      </c>
      <c r="D283" s="31">
        <v>45906</v>
      </c>
      <c r="E283" s="31">
        <v>45918</v>
      </c>
      <c r="F283" s="30" t="s">
        <v>135</v>
      </c>
      <c r="G283" s="30" t="s">
        <v>26</v>
      </c>
      <c r="H283" s="31">
        <v>28711</v>
      </c>
      <c r="I283" s="30" t="s">
        <v>121</v>
      </c>
      <c r="J283" s="30" t="s">
        <v>38</v>
      </c>
      <c r="K283" s="30" t="s">
        <v>39</v>
      </c>
      <c r="L283" s="30" t="s">
        <v>40</v>
      </c>
      <c r="M283" s="95">
        <v>1</v>
      </c>
      <c r="N283" s="30">
        <v>12000</v>
      </c>
      <c r="O283" s="30">
        <v>0</v>
      </c>
      <c r="P283" s="30">
        <v>12000</v>
      </c>
      <c r="Q283" s="30">
        <v>4</v>
      </c>
      <c r="R283" s="90" t="s">
        <v>41</v>
      </c>
      <c r="S283" s="30" t="s">
        <v>80</v>
      </c>
      <c r="T283" s="30" t="s">
        <v>136</v>
      </c>
      <c r="U283" s="30">
        <v>9162975843</v>
      </c>
      <c r="V283" s="38" t="s">
        <v>53</v>
      </c>
      <c r="W283" s="40" t="str">
        <f t="shared" si="12"/>
        <v>Sneha Joshi</v>
      </c>
      <c r="X283" s="93" t="str">
        <f t="shared" si="13"/>
        <v>Electronics</v>
      </c>
      <c r="Y283" s="94" t="str">
        <f t="shared" si="14"/>
        <v>North</v>
      </c>
    </row>
    <row r="284" spans="1:25" ht="15" thickBot="1" x14ac:dyDescent="0.4">
      <c r="A284" s="90" t="s">
        <v>411</v>
      </c>
      <c r="B284" s="27" t="s">
        <v>63</v>
      </c>
      <c r="C284" s="27" t="s">
        <v>112</v>
      </c>
      <c r="D284" s="28">
        <v>45770</v>
      </c>
      <c r="E284" s="28">
        <v>45776</v>
      </c>
      <c r="F284" s="27" t="s">
        <v>110</v>
      </c>
      <c r="G284" s="27" t="s">
        <v>58</v>
      </c>
      <c r="H284" s="28">
        <v>34367</v>
      </c>
      <c r="I284" s="27" t="s">
        <v>74</v>
      </c>
      <c r="J284" s="27" t="s">
        <v>75</v>
      </c>
      <c r="K284" s="27" t="s">
        <v>39</v>
      </c>
      <c r="L284" s="27" t="s">
        <v>114</v>
      </c>
      <c r="M284" s="95">
        <v>6</v>
      </c>
      <c r="N284" s="27">
        <v>700</v>
      </c>
      <c r="O284" s="27">
        <v>20</v>
      </c>
      <c r="P284" s="27">
        <v>3360</v>
      </c>
      <c r="Q284" s="27">
        <v>2</v>
      </c>
      <c r="R284" s="90" t="s">
        <v>41</v>
      </c>
      <c r="S284" s="27" t="s">
        <v>80</v>
      </c>
      <c r="T284" s="27" t="s">
        <v>66</v>
      </c>
      <c r="U284" s="27">
        <v>9237616558</v>
      </c>
      <c r="V284" s="37" t="s">
        <v>52</v>
      </c>
      <c r="W284" s="40" t="str">
        <f t="shared" si="12"/>
        <v>Arjun Rao</v>
      </c>
      <c r="X284" s="93" t="str">
        <f t="shared" si="13"/>
        <v>Electronics</v>
      </c>
      <c r="Y284" s="94" t="str">
        <f t="shared" si="14"/>
        <v>West</v>
      </c>
    </row>
    <row r="285" spans="1:25" ht="15" thickBot="1" x14ac:dyDescent="0.4">
      <c r="A285" s="90" t="s">
        <v>412</v>
      </c>
      <c r="B285" s="30" t="s">
        <v>55</v>
      </c>
      <c r="C285" s="30" t="s">
        <v>24</v>
      </c>
      <c r="D285" s="31">
        <v>46074</v>
      </c>
      <c r="E285" s="31">
        <v>46080</v>
      </c>
      <c r="F285" s="30" t="s">
        <v>57</v>
      </c>
      <c r="G285" s="30" t="s">
        <v>58</v>
      </c>
      <c r="H285" s="31">
        <v>34786</v>
      </c>
      <c r="I285" s="30" t="s">
        <v>91</v>
      </c>
      <c r="J285" s="30" t="s">
        <v>75</v>
      </c>
      <c r="K285" s="30" t="s">
        <v>29</v>
      </c>
      <c r="L285" s="30" t="s">
        <v>30</v>
      </c>
      <c r="M285" s="95">
        <v>3</v>
      </c>
      <c r="N285" s="30">
        <v>2200</v>
      </c>
      <c r="O285" s="30">
        <v>0</v>
      </c>
      <c r="P285" s="30">
        <v>6600</v>
      </c>
      <c r="Q285" s="30">
        <v>4</v>
      </c>
      <c r="R285" s="90" t="s">
        <v>60</v>
      </c>
      <c r="S285" s="30" t="s">
        <v>32</v>
      </c>
      <c r="T285" s="30" t="s">
        <v>61</v>
      </c>
      <c r="U285" s="30">
        <v>9935063989</v>
      </c>
      <c r="V285" s="36" t="s">
        <v>34</v>
      </c>
      <c r="W285" s="40" t="str">
        <f t="shared" si="12"/>
        <v>Mohit Verma</v>
      </c>
      <c r="X285" s="93" t="str">
        <f t="shared" si="13"/>
        <v>Home Appliances</v>
      </c>
      <c r="Y285" s="94" t="str">
        <f t="shared" si="14"/>
        <v>West</v>
      </c>
    </row>
    <row r="286" spans="1:25" ht="15" thickBot="1" x14ac:dyDescent="0.4">
      <c r="A286" s="90" t="s">
        <v>413</v>
      </c>
      <c r="B286" s="27" t="s">
        <v>134</v>
      </c>
      <c r="C286" s="27" t="s">
        <v>138</v>
      </c>
      <c r="D286" s="28">
        <v>46019</v>
      </c>
      <c r="E286" s="28">
        <v>46023</v>
      </c>
      <c r="F286" s="27" t="s">
        <v>135</v>
      </c>
      <c r="G286" s="27" t="s">
        <v>26</v>
      </c>
      <c r="H286" s="28">
        <v>33675</v>
      </c>
      <c r="I286" s="27" t="s">
        <v>27</v>
      </c>
      <c r="J286" s="27" t="s">
        <v>28</v>
      </c>
      <c r="K286" s="27" t="s">
        <v>83</v>
      </c>
      <c r="L286" s="27" t="s">
        <v>139</v>
      </c>
      <c r="M286" s="95">
        <v>6</v>
      </c>
      <c r="N286" s="27">
        <v>45</v>
      </c>
      <c r="O286" s="27">
        <v>15</v>
      </c>
      <c r="P286" s="27">
        <v>229.5</v>
      </c>
      <c r="Q286" s="27">
        <v>1</v>
      </c>
      <c r="R286" s="90" t="s">
        <v>65</v>
      </c>
      <c r="S286" s="27" t="s">
        <v>42</v>
      </c>
      <c r="T286" s="27" t="s">
        <v>136</v>
      </c>
      <c r="U286" s="27">
        <v>9167376169</v>
      </c>
      <c r="V286" s="35" t="s">
        <v>34</v>
      </c>
      <c r="W286" s="40" t="str">
        <f t="shared" si="12"/>
        <v>Sneha Joshi</v>
      </c>
      <c r="X286" s="93" t="str">
        <f t="shared" si="13"/>
        <v>Stationery</v>
      </c>
      <c r="Y286" s="94" t="str">
        <f t="shared" si="14"/>
        <v>South</v>
      </c>
    </row>
    <row r="287" spans="1:25" ht="15" thickBot="1" x14ac:dyDescent="0.4">
      <c r="A287" s="90" t="s">
        <v>414</v>
      </c>
      <c r="B287" s="30" t="s">
        <v>134</v>
      </c>
      <c r="C287" s="30" t="s">
        <v>56</v>
      </c>
      <c r="D287" s="31">
        <v>45922</v>
      </c>
      <c r="E287" s="31">
        <v>45930</v>
      </c>
      <c r="F287" s="30" t="s">
        <v>135</v>
      </c>
      <c r="G287" s="30" t="s">
        <v>26</v>
      </c>
      <c r="H287" s="31">
        <v>29609</v>
      </c>
      <c r="I287" s="30" t="s">
        <v>48</v>
      </c>
      <c r="J287" s="30" t="s">
        <v>28</v>
      </c>
      <c r="K287" s="30" t="s">
        <v>39</v>
      </c>
      <c r="L287" s="30" t="s">
        <v>59</v>
      </c>
      <c r="M287" s="95">
        <v>2</v>
      </c>
      <c r="N287" s="30">
        <v>1200</v>
      </c>
      <c r="O287" s="30">
        <v>0</v>
      </c>
      <c r="P287" s="30">
        <v>2400</v>
      </c>
      <c r="Q287" s="30">
        <v>1</v>
      </c>
      <c r="R287" s="90" t="s">
        <v>31</v>
      </c>
      <c r="S287" s="30" t="s">
        <v>96</v>
      </c>
      <c r="T287" s="30" t="s">
        <v>136</v>
      </c>
      <c r="U287" s="30">
        <v>9231845497</v>
      </c>
      <c r="V287" s="38" t="s">
        <v>53</v>
      </c>
      <c r="W287" s="40" t="str">
        <f t="shared" si="12"/>
        <v>Sneha Joshi</v>
      </c>
      <c r="X287" s="93" t="str">
        <f t="shared" si="13"/>
        <v>Electronics</v>
      </c>
      <c r="Y287" s="94" t="str">
        <f t="shared" si="14"/>
        <v>South</v>
      </c>
    </row>
    <row r="288" spans="1:25" ht="15" thickBot="1" x14ac:dyDescent="0.4">
      <c r="A288" s="90" t="s">
        <v>416</v>
      </c>
      <c r="B288" s="27" t="s">
        <v>104</v>
      </c>
      <c r="C288" s="27" t="s">
        <v>112</v>
      </c>
      <c r="D288" s="28">
        <v>46150</v>
      </c>
      <c r="E288" s="28">
        <v>46153</v>
      </c>
      <c r="F288" s="27" t="s">
        <v>166</v>
      </c>
      <c r="G288" s="27" t="s">
        <v>26</v>
      </c>
      <c r="H288" s="28">
        <v>30953</v>
      </c>
      <c r="I288" s="27" t="s">
        <v>27</v>
      </c>
      <c r="J288" s="27" t="s">
        <v>28</v>
      </c>
      <c r="K288" s="27" t="s">
        <v>39</v>
      </c>
      <c r="L288" s="27" t="s">
        <v>114</v>
      </c>
      <c r="M288" s="95">
        <v>14</v>
      </c>
      <c r="N288" s="27">
        <v>700</v>
      </c>
      <c r="O288" s="27">
        <v>15</v>
      </c>
      <c r="P288" s="27">
        <v>8330</v>
      </c>
      <c r="Q288" s="27">
        <v>5</v>
      </c>
      <c r="R288" s="90" t="s">
        <v>31</v>
      </c>
      <c r="S288" s="27" t="s">
        <v>80</v>
      </c>
      <c r="T288" s="27" t="s">
        <v>108</v>
      </c>
      <c r="U288" s="27">
        <v>9409415805</v>
      </c>
      <c r="V288" s="37" t="s">
        <v>52</v>
      </c>
      <c r="W288" s="40" t="str">
        <f t="shared" si="12"/>
        <v>Anita Gupta</v>
      </c>
      <c r="X288" s="93" t="str">
        <f t="shared" si="13"/>
        <v>Electronics</v>
      </c>
      <c r="Y288" s="94" t="str">
        <f t="shared" si="14"/>
        <v>South</v>
      </c>
    </row>
    <row r="289" spans="1:25" ht="15" thickBot="1" x14ac:dyDescent="0.4">
      <c r="A289" s="90" t="s">
        <v>417</v>
      </c>
      <c r="B289" s="30" t="s">
        <v>72</v>
      </c>
      <c r="C289" s="30" t="s">
        <v>125</v>
      </c>
      <c r="D289" s="31">
        <v>45966</v>
      </c>
      <c r="E289" s="31">
        <v>45967</v>
      </c>
      <c r="F289" s="30" t="s">
        <v>73</v>
      </c>
      <c r="G289" s="30" t="s">
        <v>26</v>
      </c>
      <c r="H289" s="31">
        <v>27704</v>
      </c>
      <c r="I289" s="30" t="s">
        <v>74</v>
      </c>
      <c r="J289" s="30" t="s">
        <v>75</v>
      </c>
      <c r="K289" s="30" t="s">
        <v>83</v>
      </c>
      <c r="L289" s="30" t="s">
        <v>127</v>
      </c>
      <c r="M289" s="95">
        <v>13</v>
      </c>
      <c r="N289" s="30">
        <v>20</v>
      </c>
      <c r="O289" s="30">
        <v>5</v>
      </c>
      <c r="P289" s="30">
        <v>247</v>
      </c>
      <c r="Q289" s="30">
        <v>1</v>
      </c>
      <c r="R289" s="90" t="s">
        <v>60</v>
      </c>
      <c r="S289" s="30" t="s">
        <v>32</v>
      </c>
      <c r="T289" s="30" t="s">
        <v>415</v>
      </c>
      <c r="U289" s="30">
        <v>9240800508</v>
      </c>
      <c r="V289" s="38" t="s">
        <v>52</v>
      </c>
      <c r="W289" s="40" t="str">
        <f t="shared" si="12"/>
        <v>Priya Patel</v>
      </c>
      <c r="X289" s="93" t="str">
        <f t="shared" si="13"/>
        <v>Stationery</v>
      </c>
      <c r="Y289" s="94" t="str">
        <f t="shared" si="14"/>
        <v>West</v>
      </c>
    </row>
    <row r="290" spans="1:25" ht="15" thickBot="1" x14ac:dyDescent="0.4">
      <c r="A290" s="90" t="s">
        <v>418</v>
      </c>
      <c r="B290" s="27" t="s">
        <v>55</v>
      </c>
      <c r="C290" s="27" t="s">
        <v>24</v>
      </c>
      <c r="D290" s="28">
        <v>45724</v>
      </c>
      <c r="E290" s="28">
        <v>45731</v>
      </c>
      <c r="F290" s="27" t="s">
        <v>57</v>
      </c>
      <c r="G290" s="27" t="s">
        <v>58</v>
      </c>
      <c r="H290" s="28">
        <v>34876</v>
      </c>
      <c r="I290" s="27" t="s">
        <v>79</v>
      </c>
      <c r="J290" s="27" t="s">
        <v>75</v>
      </c>
      <c r="K290" s="27" t="s">
        <v>29</v>
      </c>
      <c r="L290" s="27" t="s">
        <v>30</v>
      </c>
      <c r="M290" s="95">
        <v>3</v>
      </c>
      <c r="N290" s="27">
        <v>2200</v>
      </c>
      <c r="O290" s="27">
        <v>0</v>
      </c>
      <c r="P290" s="27">
        <v>6600</v>
      </c>
      <c r="Q290" s="27">
        <v>4</v>
      </c>
      <c r="R290" s="90" t="s">
        <v>41</v>
      </c>
      <c r="S290" s="27" t="s">
        <v>50</v>
      </c>
      <c r="T290" s="27" t="s">
        <v>61</v>
      </c>
      <c r="U290" s="27">
        <v>9764609936</v>
      </c>
      <c r="V290" s="37" t="s">
        <v>53</v>
      </c>
      <c r="W290" s="40" t="str">
        <f t="shared" si="12"/>
        <v>Mohit Verma</v>
      </c>
      <c r="X290" s="93" t="str">
        <f t="shared" si="13"/>
        <v>Home Appliances</v>
      </c>
      <c r="Y290" s="94" t="str">
        <f t="shared" si="14"/>
        <v>West</v>
      </c>
    </row>
    <row r="291" spans="1:25" ht="15" thickBot="1" x14ac:dyDescent="0.4">
      <c r="A291" s="90" t="s">
        <v>419</v>
      </c>
      <c r="B291" s="30" t="s">
        <v>55</v>
      </c>
      <c r="C291" s="30" t="s">
        <v>82</v>
      </c>
      <c r="D291" s="31">
        <v>46062</v>
      </c>
      <c r="E291" s="31">
        <v>46074</v>
      </c>
      <c r="F291" s="30" t="s">
        <v>57</v>
      </c>
      <c r="G291" s="30" t="s">
        <v>58</v>
      </c>
      <c r="H291" s="31">
        <v>29180</v>
      </c>
      <c r="I291" s="30" t="s">
        <v>79</v>
      </c>
      <c r="J291" s="30" t="s">
        <v>75</v>
      </c>
      <c r="K291" s="30" t="s">
        <v>83</v>
      </c>
      <c r="L291" s="30" t="s">
        <v>84</v>
      </c>
      <c r="M291" s="95">
        <v>3</v>
      </c>
      <c r="N291" s="30">
        <v>60</v>
      </c>
      <c r="O291" s="30">
        <v>15</v>
      </c>
      <c r="P291" s="30">
        <v>153</v>
      </c>
      <c r="Q291" s="30">
        <v>4</v>
      </c>
      <c r="R291" s="90" t="s">
        <v>65</v>
      </c>
      <c r="S291" s="30" t="s">
        <v>80</v>
      </c>
      <c r="T291" s="30" t="s">
        <v>61</v>
      </c>
      <c r="U291" s="30">
        <v>9362733217</v>
      </c>
      <c r="V291" s="36" t="s">
        <v>34</v>
      </c>
      <c r="W291" s="40" t="str">
        <f t="shared" si="12"/>
        <v>Mohit Verma</v>
      </c>
      <c r="X291" s="93" t="str">
        <f t="shared" si="13"/>
        <v>Stationery</v>
      </c>
      <c r="Y291" s="94" t="str">
        <f t="shared" si="14"/>
        <v>West</v>
      </c>
    </row>
    <row r="292" spans="1:25" ht="15" thickBot="1" x14ac:dyDescent="0.4">
      <c r="A292" s="90" t="s">
        <v>420</v>
      </c>
      <c r="B292" s="27" t="s">
        <v>87</v>
      </c>
      <c r="C292" s="27" t="s">
        <v>68</v>
      </c>
      <c r="D292" s="28">
        <v>45733</v>
      </c>
      <c r="E292" s="28">
        <v>45739</v>
      </c>
      <c r="F292" s="27" t="s">
        <v>88</v>
      </c>
      <c r="G292" s="27" t="s">
        <v>58</v>
      </c>
      <c r="H292" s="28">
        <v>31805</v>
      </c>
      <c r="I292" s="27" t="s">
        <v>74</v>
      </c>
      <c r="J292" s="27" t="s">
        <v>75</v>
      </c>
      <c r="K292" s="27" t="s">
        <v>29</v>
      </c>
      <c r="L292" s="27" t="s">
        <v>70</v>
      </c>
      <c r="M292" s="95">
        <v>9</v>
      </c>
      <c r="N292" s="27">
        <v>3500</v>
      </c>
      <c r="O292" s="27">
        <v>5</v>
      </c>
      <c r="P292" s="27">
        <v>29925</v>
      </c>
      <c r="Q292" s="27">
        <v>1</v>
      </c>
      <c r="R292" s="90" t="s">
        <v>31</v>
      </c>
      <c r="S292" s="27" t="s">
        <v>50</v>
      </c>
      <c r="T292" s="27" t="s">
        <v>89</v>
      </c>
      <c r="U292" s="27">
        <v>9270466205</v>
      </c>
      <c r="V292" s="37" t="s">
        <v>52</v>
      </c>
      <c r="W292" s="40" t="str">
        <f t="shared" si="12"/>
        <v>Rohit Singh</v>
      </c>
      <c r="X292" s="93" t="str">
        <f t="shared" si="13"/>
        <v>Home Appliances</v>
      </c>
      <c r="Y292" s="94" t="str">
        <f t="shared" si="14"/>
        <v>West</v>
      </c>
    </row>
    <row r="293" spans="1:25" ht="15" thickBot="1" x14ac:dyDescent="0.4">
      <c r="A293" s="90" t="s">
        <v>422</v>
      </c>
      <c r="B293" s="30" t="s">
        <v>156</v>
      </c>
      <c r="C293" s="30" t="s">
        <v>56</v>
      </c>
      <c r="D293" s="31">
        <v>45743</v>
      </c>
      <c r="E293" s="31">
        <v>45748</v>
      </c>
      <c r="F293" s="30" t="s">
        <v>106</v>
      </c>
      <c r="G293" s="30" t="s">
        <v>58</v>
      </c>
      <c r="H293" s="31">
        <v>36930</v>
      </c>
      <c r="I293" s="30" t="s">
        <v>121</v>
      </c>
      <c r="J293" s="30" t="s">
        <v>38</v>
      </c>
      <c r="K293" s="30" t="s">
        <v>39</v>
      </c>
      <c r="L293" s="30" t="s">
        <v>59</v>
      </c>
      <c r="M293" s="95">
        <v>5</v>
      </c>
      <c r="N293" s="30">
        <v>1200</v>
      </c>
      <c r="O293" s="30">
        <v>20</v>
      </c>
      <c r="P293" s="30">
        <v>4800</v>
      </c>
      <c r="Q293" s="30">
        <v>2</v>
      </c>
      <c r="R293" s="90" t="s">
        <v>65</v>
      </c>
      <c r="S293" s="30" t="s">
        <v>80</v>
      </c>
      <c r="T293" s="30" t="s">
        <v>158</v>
      </c>
      <c r="U293" s="30">
        <v>9571436865</v>
      </c>
      <c r="V293" s="38" t="s">
        <v>52</v>
      </c>
      <c r="W293" s="40" t="str">
        <f t="shared" si="12"/>
        <v>Amit Sharma</v>
      </c>
      <c r="X293" s="93" t="str">
        <f t="shared" si="13"/>
        <v>Electronics</v>
      </c>
      <c r="Y293" s="94" t="str">
        <f t="shared" si="14"/>
        <v>North</v>
      </c>
    </row>
    <row r="294" spans="1:25" ht="15" thickBot="1" x14ac:dyDescent="0.4">
      <c r="A294" s="90" t="s">
        <v>423</v>
      </c>
      <c r="B294" s="27" t="s">
        <v>45</v>
      </c>
      <c r="C294" s="27" t="s">
        <v>56</v>
      </c>
      <c r="D294" s="28">
        <v>45728</v>
      </c>
      <c r="E294" s="28">
        <v>45730</v>
      </c>
      <c r="F294" s="27" t="s">
        <v>101</v>
      </c>
      <c r="G294" s="27" t="s">
        <v>26</v>
      </c>
      <c r="H294" s="28">
        <v>32856</v>
      </c>
      <c r="I294" s="27" t="s">
        <v>121</v>
      </c>
      <c r="J294" s="27" t="s">
        <v>38</v>
      </c>
      <c r="K294" s="27" t="s">
        <v>39</v>
      </c>
      <c r="L294" s="27" t="s">
        <v>59</v>
      </c>
      <c r="M294" s="95">
        <v>10</v>
      </c>
      <c r="N294" s="27">
        <v>1200</v>
      </c>
      <c r="O294" s="27">
        <v>20</v>
      </c>
      <c r="P294" s="27">
        <v>9600</v>
      </c>
      <c r="Q294" s="27">
        <v>4</v>
      </c>
      <c r="R294" s="90" t="s">
        <v>31</v>
      </c>
      <c r="S294" s="27" t="s">
        <v>42</v>
      </c>
      <c r="T294" s="29" t="s">
        <v>421</v>
      </c>
      <c r="U294" s="27">
        <v>9307011171</v>
      </c>
      <c r="V294" s="35" t="s">
        <v>34</v>
      </c>
      <c r="W294" s="40" t="str">
        <f t="shared" si="12"/>
        <v>Pooja Shah</v>
      </c>
      <c r="X294" s="93" t="str">
        <f t="shared" si="13"/>
        <v>Electronics</v>
      </c>
      <c r="Y294" s="94" t="str">
        <f t="shared" si="14"/>
        <v>North</v>
      </c>
    </row>
    <row r="295" spans="1:25" ht="15" thickBot="1" x14ac:dyDescent="0.4">
      <c r="A295" s="90" t="s">
        <v>424</v>
      </c>
      <c r="B295" s="30" t="s">
        <v>23</v>
      </c>
      <c r="C295" s="30" t="s">
        <v>56</v>
      </c>
      <c r="D295" s="31">
        <v>46066</v>
      </c>
      <c r="E295" s="31">
        <v>46077</v>
      </c>
      <c r="F295" s="30" t="s">
        <v>25</v>
      </c>
      <c r="G295" s="30" t="s">
        <v>26</v>
      </c>
      <c r="H295" s="31">
        <v>32492</v>
      </c>
      <c r="I295" s="30" t="s">
        <v>91</v>
      </c>
      <c r="J295" s="30" t="s">
        <v>75</v>
      </c>
      <c r="K295" s="30" t="s">
        <v>39</v>
      </c>
      <c r="L295" s="30" t="s">
        <v>59</v>
      </c>
      <c r="M295" s="95">
        <v>5</v>
      </c>
      <c r="N295" s="30">
        <v>1200</v>
      </c>
      <c r="O295" s="30">
        <v>20</v>
      </c>
      <c r="P295" s="30">
        <v>4800</v>
      </c>
      <c r="Q295" s="30">
        <v>3</v>
      </c>
      <c r="R295" s="90" t="s">
        <v>41</v>
      </c>
      <c r="S295" s="30" t="s">
        <v>96</v>
      </c>
      <c r="T295" s="30" t="s">
        <v>43</v>
      </c>
      <c r="U295" s="30">
        <v>9922380435</v>
      </c>
      <c r="V295" s="36" t="s">
        <v>34</v>
      </c>
      <c r="W295" s="40" t="str">
        <f t="shared" si="12"/>
        <v>Kavya Nair</v>
      </c>
      <c r="X295" s="93" t="str">
        <f t="shared" si="13"/>
        <v>Electronics</v>
      </c>
      <c r="Y295" s="94" t="str">
        <f t="shared" si="14"/>
        <v>West</v>
      </c>
    </row>
    <row r="296" spans="1:25" ht="15" thickBot="1" x14ac:dyDescent="0.4">
      <c r="A296" s="90" t="s">
        <v>425</v>
      </c>
      <c r="B296" s="27" t="s">
        <v>104</v>
      </c>
      <c r="C296" s="27" t="s">
        <v>125</v>
      </c>
      <c r="D296" s="28">
        <v>45699</v>
      </c>
      <c r="E296" s="28">
        <v>45702</v>
      </c>
      <c r="F296" s="27" t="s">
        <v>166</v>
      </c>
      <c r="G296" s="27" t="s">
        <v>26</v>
      </c>
      <c r="H296" s="28">
        <v>33166</v>
      </c>
      <c r="I296" s="27" t="s">
        <v>74</v>
      </c>
      <c r="J296" s="27" t="s">
        <v>75</v>
      </c>
      <c r="K296" s="27" t="s">
        <v>83</v>
      </c>
      <c r="L296" s="27" t="s">
        <v>127</v>
      </c>
      <c r="M296" s="95">
        <v>10</v>
      </c>
      <c r="N296" s="27">
        <v>20</v>
      </c>
      <c r="O296" s="27">
        <v>5</v>
      </c>
      <c r="P296" s="27">
        <v>190</v>
      </c>
      <c r="Q296" s="27">
        <v>4</v>
      </c>
      <c r="R296" s="90" t="s">
        <v>31</v>
      </c>
      <c r="S296" s="27" t="s">
        <v>96</v>
      </c>
      <c r="T296" s="27" t="s">
        <v>108</v>
      </c>
      <c r="U296" s="27">
        <v>9463618792</v>
      </c>
      <c r="V296" s="37" t="s">
        <v>52</v>
      </c>
      <c r="W296" s="40" t="str">
        <f t="shared" si="12"/>
        <v>Anita Gupta</v>
      </c>
      <c r="X296" s="93" t="str">
        <f t="shared" si="13"/>
        <v>Stationery</v>
      </c>
      <c r="Y296" s="94" t="str">
        <f t="shared" si="14"/>
        <v>West</v>
      </c>
    </row>
    <row r="297" spans="1:25" ht="15" thickBot="1" x14ac:dyDescent="0.4">
      <c r="A297" s="90" t="s">
        <v>426</v>
      </c>
      <c r="B297" s="30" t="s">
        <v>72</v>
      </c>
      <c r="C297" s="30" t="s">
        <v>82</v>
      </c>
      <c r="D297" s="31">
        <v>45674</v>
      </c>
      <c r="E297" s="31">
        <v>45684</v>
      </c>
      <c r="F297" s="30" t="s">
        <v>73</v>
      </c>
      <c r="G297" s="30" t="s">
        <v>26</v>
      </c>
      <c r="H297" s="31">
        <v>28741</v>
      </c>
      <c r="I297" s="30" t="s">
        <v>37</v>
      </c>
      <c r="J297" s="30" t="s">
        <v>38</v>
      </c>
      <c r="K297" s="30" t="s">
        <v>83</v>
      </c>
      <c r="L297" s="30" t="s">
        <v>84</v>
      </c>
      <c r="M297" s="95">
        <v>20</v>
      </c>
      <c r="N297" s="30">
        <v>60</v>
      </c>
      <c r="O297" s="30">
        <v>15</v>
      </c>
      <c r="P297" s="30">
        <v>1020</v>
      </c>
      <c r="Q297" s="30">
        <v>5</v>
      </c>
      <c r="R297" s="90" t="s">
        <v>60</v>
      </c>
      <c r="S297" s="30" t="s">
        <v>32</v>
      </c>
      <c r="T297" s="30" t="s">
        <v>93</v>
      </c>
      <c r="U297" s="30">
        <v>9954973200</v>
      </c>
      <c r="V297" s="38" t="s">
        <v>52</v>
      </c>
      <c r="W297" s="40" t="str">
        <f t="shared" si="12"/>
        <v>Priya Patel</v>
      </c>
      <c r="X297" s="93" t="str">
        <f t="shared" si="13"/>
        <v>Stationery</v>
      </c>
      <c r="Y297" s="94" t="str">
        <f t="shared" si="14"/>
        <v>North</v>
      </c>
    </row>
    <row r="298" spans="1:25" ht="15" thickBot="1" x14ac:dyDescent="0.4">
      <c r="A298" s="90" t="s">
        <v>427</v>
      </c>
      <c r="B298" s="27" t="s">
        <v>156</v>
      </c>
      <c r="C298" s="27" t="s">
        <v>24</v>
      </c>
      <c r="D298" s="28">
        <v>45748</v>
      </c>
      <c r="E298" s="28">
        <v>45759</v>
      </c>
      <c r="F298" s="27" t="s">
        <v>106</v>
      </c>
      <c r="G298" s="27" t="s">
        <v>58</v>
      </c>
      <c r="H298" s="28">
        <v>28530</v>
      </c>
      <c r="I298" s="27" t="s">
        <v>91</v>
      </c>
      <c r="J298" s="27" t="s">
        <v>75</v>
      </c>
      <c r="K298" s="27" t="s">
        <v>29</v>
      </c>
      <c r="L298" s="27" t="s">
        <v>30</v>
      </c>
      <c r="M298" s="95">
        <v>7</v>
      </c>
      <c r="N298" s="27">
        <v>2200</v>
      </c>
      <c r="O298" s="27">
        <v>15</v>
      </c>
      <c r="P298" s="27">
        <v>13090</v>
      </c>
      <c r="Q298" s="27">
        <v>4</v>
      </c>
      <c r="R298" s="90" t="s">
        <v>31</v>
      </c>
      <c r="S298" s="27" t="s">
        <v>50</v>
      </c>
      <c r="T298" s="27" t="s">
        <v>158</v>
      </c>
      <c r="U298" s="27">
        <v>9383199236</v>
      </c>
      <c r="V298" s="37" t="s">
        <v>53</v>
      </c>
      <c r="W298" s="40" t="str">
        <f t="shared" si="12"/>
        <v>Amit Sharma</v>
      </c>
      <c r="X298" s="93" t="str">
        <f t="shared" si="13"/>
        <v>Home Appliances</v>
      </c>
      <c r="Y298" s="94" t="str">
        <f t="shared" si="14"/>
        <v>West</v>
      </c>
    </row>
    <row r="299" spans="1:25" ht="15" thickBot="1" x14ac:dyDescent="0.4">
      <c r="A299" s="90" t="s">
        <v>428</v>
      </c>
      <c r="B299" s="30" t="s">
        <v>87</v>
      </c>
      <c r="C299" s="30" t="s">
        <v>46</v>
      </c>
      <c r="D299" s="31">
        <v>45670</v>
      </c>
      <c r="E299" s="31">
        <v>45673</v>
      </c>
      <c r="F299" s="30" t="s">
        <v>88</v>
      </c>
      <c r="G299" s="30" t="s">
        <v>58</v>
      </c>
      <c r="H299" s="31">
        <v>37989</v>
      </c>
      <c r="I299" s="30" t="s">
        <v>27</v>
      </c>
      <c r="J299" s="30" t="s">
        <v>28</v>
      </c>
      <c r="K299" s="30" t="s">
        <v>39</v>
      </c>
      <c r="L299" s="30" t="s">
        <v>49</v>
      </c>
      <c r="M299" s="95">
        <v>11</v>
      </c>
      <c r="N299" s="30">
        <v>55000</v>
      </c>
      <c r="O299" s="30">
        <v>5</v>
      </c>
      <c r="P299" s="30">
        <v>574750</v>
      </c>
      <c r="Q299" s="30">
        <v>1</v>
      </c>
      <c r="R299" s="90" t="s">
        <v>65</v>
      </c>
      <c r="S299" s="30" t="s">
        <v>32</v>
      </c>
      <c r="T299" s="30" t="s">
        <v>89</v>
      </c>
      <c r="U299" s="30">
        <v>9482699727</v>
      </c>
      <c r="V299" s="38" t="s">
        <v>53</v>
      </c>
      <c r="W299" s="40" t="str">
        <f t="shared" si="12"/>
        <v>Rohit Singh</v>
      </c>
      <c r="X299" s="93" t="str">
        <f t="shared" si="13"/>
        <v>Electronics</v>
      </c>
      <c r="Y299" s="94" t="str">
        <f t="shared" si="14"/>
        <v>South</v>
      </c>
    </row>
    <row r="300" spans="1:25" ht="15" thickBot="1" x14ac:dyDescent="0.4">
      <c r="A300" s="90" t="s">
        <v>429</v>
      </c>
      <c r="B300" s="27" t="s">
        <v>63</v>
      </c>
      <c r="C300" s="27" t="s">
        <v>68</v>
      </c>
      <c r="D300" s="28">
        <v>45935</v>
      </c>
      <c r="E300" s="28">
        <v>45947</v>
      </c>
      <c r="F300" s="27" t="s">
        <v>110</v>
      </c>
      <c r="G300" s="27" t="s">
        <v>58</v>
      </c>
      <c r="H300" s="28">
        <v>33726</v>
      </c>
      <c r="I300" s="27" t="s">
        <v>121</v>
      </c>
      <c r="J300" s="27" t="s">
        <v>38</v>
      </c>
      <c r="K300" s="27" t="s">
        <v>29</v>
      </c>
      <c r="L300" s="27" t="s">
        <v>70</v>
      </c>
      <c r="M300" s="95">
        <v>12</v>
      </c>
      <c r="N300" s="27">
        <v>3500</v>
      </c>
      <c r="O300" s="27">
        <v>0</v>
      </c>
      <c r="P300" s="27">
        <v>42000</v>
      </c>
      <c r="Q300" s="27">
        <v>2</v>
      </c>
      <c r="R300" s="97" t="s">
        <v>41</v>
      </c>
      <c r="S300" s="92" t="s">
        <v>684</v>
      </c>
      <c r="T300" s="27" t="s">
        <v>66</v>
      </c>
      <c r="U300" s="27">
        <v>9332473934</v>
      </c>
      <c r="V300" s="37" t="s">
        <v>52</v>
      </c>
      <c r="W300" s="40" t="str">
        <f t="shared" si="12"/>
        <v>Arjun Rao</v>
      </c>
      <c r="X300" s="93" t="str">
        <f t="shared" si="13"/>
        <v>Home Appliances</v>
      </c>
      <c r="Y300" s="94" t="str">
        <f t="shared" si="14"/>
        <v>North</v>
      </c>
    </row>
    <row r="301" spans="1:25" ht="15" thickBot="1" x14ac:dyDescent="0.4">
      <c r="A301" s="90" t="s">
        <v>430</v>
      </c>
      <c r="B301" s="30" t="s">
        <v>55</v>
      </c>
      <c r="C301" s="30" t="s">
        <v>138</v>
      </c>
      <c r="D301" s="31">
        <v>46078</v>
      </c>
      <c r="E301" s="31">
        <v>46089</v>
      </c>
      <c r="F301" s="30" t="s">
        <v>57</v>
      </c>
      <c r="G301" s="30" t="s">
        <v>58</v>
      </c>
      <c r="H301" s="31">
        <v>37647</v>
      </c>
      <c r="I301" s="30" t="s">
        <v>27</v>
      </c>
      <c r="J301" s="30" t="s">
        <v>28</v>
      </c>
      <c r="K301" s="30" t="s">
        <v>83</v>
      </c>
      <c r="L301" s="30" t="s">
        <v>139</v>
      </c>
      <c r="M301" s="95">
        <v>15</v>
      </c>
      <c r="N301" s="30">
        <v>45</v>
      </c>
      <c r="O301" s="30">
        <v>10</v>
      </c>
      <c r="P301" s="30">
        <v>607.5</v>
      </c>
      <c r="Q301" s="30">
        <v>2</v>
      </c>
      <c r="R301" s="90" t="s">
        <v>31</v>
      </c>
      <c r="S301" s="30" t="s">
        <v>96</v>
      </c>
      <c r="T301" s="30" t="s">
        <v>61</v>
      </c>
      <c r="U301" s="30">
        <v>9647657382</v>
      </c>
      <c r="V301" s="38" t="s">
        <v>52</v>
      </c>
      <c r="W301" s="40" t="str">
        <f t="shared" si="12"/>
        <v>Mohit Verma</v>
      </c>
      <c r="X301" s="93" t="str">
        <f t="shared" si="13"/>
        <v>Stationery</v>
      </c>
      <c r="Y301" s="94" t="str">
        <f t="shared" si="14"/>
        <v>South</v>
      </c>
    </row>
    <row r="302" spans="1:25" ht="15" thickBot="1" x14ac:dyDescent="0.4">
      <c r="A302" s="90" t="s">
        <v>431</v>
      </c>
      <c r="B302" s="27" t="s">
        <v>156</v>
      </c>
      <c r="C302" s="27" t="s">
        <v>138</v>
      </c>
      <c r="D302" s="28">
        <v>45793</v>
      </c>
      <c r="E302" s="28">
        <v>45803</v>
      </c>
      <c r="F302" s="27" t="s">
        <v>106</v>
      </c>
      <c r="G302" s="27" t="s">
        <v>58</v>
      </c>
      <c r="H302" s="28">
        <v>31917</v>
      </c>
      <c r="I302" s="27" t="s">
        <v>48</v>
      </c>
      <c r="J302" s="27" t="s">
        <v>28</v>
      </c>
      <c r="K302" s="27" t="s">
        <v>83</v>
      </c>
      <c r="L302" s="27" t="s">
        <v>139</v>
      </c>
      <c r="M302" s="95">
        <v>13</v>
      </c>
      <c r="N302" s="27">
        <v>45</v>
      </c>
      <c r="O302" s="27">
        <v>0</v>
      </c>
      <c r="P302" s="27">
        <v>585</v>
      </c>
      <c r="Q302" s="27">
        <v>5</v>
      </c>
      <c r="R302" s="90" t="s">
        <v>41</v>
      </c>
      <c r="S302" s="27" t="s">
        <v>42</v>
      </c>
      <c r="T302" s="27" t="s">
        <v>158</v>
      </c>
      <c r="U302" s="27">
        <v>9736797776</v>
      </c>
      <c r="V302" s="37" t="s">
        <v>52</v>
      </c>
      <c r="W302" s="40" t="str">
        <f t="shared" si="12"/>
        <v>Amit Sharma</v>
      </c>
      <c r="X302" s="93" t="str">
        <f t="shared" si="13"/>
        <v>Stationery</v>
      </c>
      <c r="Y302" s="94" t="str">
        <f t="shared" si="14"/>
        <v>South</v>
      </c>
    </row>
    <row r="303" spans="1:25" ht="15" thickBot="1" x14ac:dyDescent="0.4">
      <c r="A303" s="90" t="s">
        <v>432</v>
      </c>
      <c r="B303" s="30" t="s">
        <v>87</v>
      </c>
      <c r="C303" s="30" t="s">
        <v>46</v>
      </c>
      <c r="D303" s="31">
        <v>46024</v>
      </c>
      <c r="E303" s="31">
        <v>46027</v>
      </c>
      <c r="F303" s="30" t="s">
        <v>88</v>
      </c>
      <c r="G303" s="30" t="s">
        <v>58</v>
      </c>
      <c r="H303" s="31">
        <v>27644</v>
      </c>
      <c r="I303" s="30" t="s">
        <v>48</v>
      </c>
      <c r="J303" s="30" t="s">
        <v>28</v>
      </c>
      <c r="K303" s="30" t="s">
        <v>39</v>
      </c>
      <c r="L303" s="30" t="s">
        <v>49</v>
      </c>
      <c r="M303" s="95">
        <v>8</v>
      </c>
      <c r="N303" s="30">
        <v>55000</v>
      </c>
      <c r="O303" s="30">
        <v>0</v>
      </c>
      <c r="P303" s="30">
        <v>440000</v>
      </c>
      <c r="Q303" s="30">
        <v>2</v>
      </c>
      <c r="R303" s="90" t="s">
        <v>65</v>
      </c>
      <c r="S303" s="30" t="s">
        <v>96</v>
      </c>
      <c r="T303" s="30" t="s">
        <v>89</v>
      </c>
      <c r="U303" s="30">
        <v>9745773533</v>
      </c>
      <c r="V303" s="38" t="s">
        <v>53</v>
      </c>
      <c r="W303" s="40" t="str">
        <f t="shared" si="12"/>
        <v>Rohit Singh</v>
      </c>
      <c r="X303" s="93" t="str">
        <f t="shared" si="13"/>
        <v>Electronics</v>
      </c>
      <c r="Y303" s="94" t="str">
        <f t="shared" si="14"/>
        <v>South</v>
      </c>
    </row>
    <row r="304" spans="1:25" ht="15" thickBot="1" x14ac:dyDescent="0.4">
      <c r="A304" s="90" t="s">
        <v>433</v>
      </c>
      <c r="B304" s="27" t="s">
        <v>134</v>
      </c>
      <c r="C304" s="27" t="s">
        <v>46</v>
      </c>
      <c r="D304" s="28">
        <v>45861</v>
      </c>
      <c r="E304" s="28">
        <v>45865</v>
      </c>
      <c r="F304" s="27" t="s">
        <v>135</v>
      </c>
      <c r="G304" s="27" t="s">
        <v>26</v>
      </c>
      <c r="H304" s="28">
        <v>29443</v>
      </c>
      <c r="I304" s="27" t="s">
        <v>37</v>
      </c>
      <c r="J304" s="27" t="s">
        <v>38</v>
      </c>
      <c r="K304" s="27" t="s">
        <v>39</v>
      </c>
      <c r="L304" s="27" t="s">
        <v>49</v>
      </c>
      <c r="M304" s="95">
        <v>4</v>
      </c>
      <c r="N304" s="27">
        <v>55000</v>
      </c>
      <c r="O304" s="27">
        <v>20</v>
      </c>
      <c r="P304" s="27">
        <v>176000</v>
      </c>
      <c r="Q304" s="27">
        <v>5</v>
      </c>
      <c r="R304" s="90" t="s">
        <v>31</v>
      </c>
      <c r="S304" s="27" t="s">
        <v>42</v>
      </c>
      <c r="T304" s="27" t="s">
        <v>136</v>
      </c>
      <c r="U304" s="27">
        <v>9246715757</v>
      </c>
      <c r="V304" s="37" t="s">
        <v>52</v>
      </c>
      <c r="W304" s="40" t="str">
        <f t="shared" si="12"/>
        <v>Sneha Joshi</v>
      </c>
      <c r="X304" s="93" t="str">
        <f t="shared" si="13"/>
        <v>Electronics</v>
      </c>
      <c r="Y304" s="94" t="str">
        <f t="shared" si="14"/>
        <v>North</v>
      </c>
    </row>
    <row r="305" spans="1:25" ht="15" thickBot="1" x14ac:dyDescent="0.4">
      <c r="A305" s="90" t="s">
        <v>434</v>
      </c>
      <c r="B305" s="30" t="s">
        <v>23</v>
      </c>
      <c r="C305" s="30" t="s">
        <v>68</v>
      </c>
      <c r="D305" s="31">
        <v>46135</v>
      </c>
      <c r="E305" s="31">
        <v>46138</v>
      </c>
      <c r="F305" s="30" t="s">
        <v>25</v>
      </c>
      <c r="G305" s="30" t="s">
        <v>26</v>
      </c>
      <c r="H305" s="31">
        <v>32605</v>
      </c>
      <c r="I305" s="30" t="s">
        <v>91</v>
      </c>
      <c r="J305" s="30" t="s">
        <v>75</v>
      </c>
      <c r="K305" s="30" t="s">
        <v>29</v>
      </c>
      <c r="L305" s="30" t="s">
        <v>70</v>
      </c>
      <c r="M305" s="95">
        <v>19</v>
      </c>
      <c r="N305" s="30">
        <v>3500</v>
      </c>
      <c r="O305" s="30">
        <v>5</v>
      </c>
      <c r="P305" s="30">
        <v>63175</v>
      </c>
      <c r="Q305" s="30">
        <v>1</v>
      </c>
      <c r="R305" s="90" t="s">
        <v>60</v>
      </c>
      <c r="S305" s="30" t="s">
        <v>80</v>
      </c>
      <c r="T305" s="30" t="s">
        <v>43</v>
      </c>
      <c r="U305" s="30">
        <v>9904065774</v>
      </c>
      <c r="V305" s="36" t="s">
        <v>34</v>
      </c>
      <c r="W305" s="40" t="str">
        <f t="shared" si="12"/>
        <v>Kavya Nair</v>
      </c>
      <c r="X305" s="93" t="str">
        <f t="shared" si="13"/>
        <v>Home Appliances</v>
      </c>
      <c r="Y305" s="94" t="str">
        <f t="shared" si="14"/>
        <v>West</v>
      </c>
    </row>
    <row r="306" spans="1:25" ht="15" thickBot="1" x14ac:dyDescent="0.4">
      <c r="A306" s="90" t="s">
        <v>435</v>
      </c>
      <c r="B306" s="27" t="s">
        <v>124</v>
      </c>
      <c r="C306" s="27" t="s">
        <v>56</v>
      </c>
      <c r="D306" s="28">
        <v>45718</v>
      </c>
      <c r="E306" s="28">
        <v>45722</v>
      </c>
      <c r="F306" s="27" t="s">
        <v>126</v>
      </c>
      <c r="G306" s="27" t="s">
        <v>58</v>
      </c>
      <c r="H306" s="28">
        <v>36027</v>
      </c>
      <c r="I306" s="27" t="s">
        <v>121</v>
      </c>
      <c r="J306" s="27" t="s">
        <v>38</v>
      </c>
      <c r="K306" s="27" t="s">
        <v>39</v>
      </c>
      <c r="L306" s="27" t="s">
        <v>59</v>
      </c>
      <c r="M306" s="95">
        <v>17</v>
      </c>
      <c r="N306" s="27">
        <v>1200</v>
      </c>
      <c r="O306" s="27">
        <v>15</v>
      </c>
      <c r="P306" s="27">
        <v>17340</v>
      </c>
      <c r="Q306" s="27">
        <v>2</v>
      </c>
      <c r="R306" s="90" t="s">
        <v>41</v>
      </c>
      <c r="S306" s="27" t="s">
        <v>42</v>
      </c>
      <c r="T306" s="27" t="s">
        <v>128</v>
      </c>
      <c r="U306" s="27">
        <v>9652985385</v>
      </c>
      <c r="V306" s="35" t="s">
        <v>34</v>
      </c>
      <c r="W306" s="40" t="str">
        <f t="shared" si="12"/>
        <v>Vikas Mehta</v>
      </c>
      <c r="X306" s="93" t="str">
        <f t="shared" si="13"/>
        <v>Electronics</v>
      </c>
      <c r="Y306" s="94" t="str">
        <f t="shared" si="14"/>
        <v>North</v>
      </c>
    </row>
    <row r="307" spans="1:25" ht="15" thickBot="1" x14ac:dyDescent="0.4">
      <c r="A307" s="90" t="s">
        <v>436</v>
      </c>
      <c r="B307" s="30" t="s">
        <v>23</v>
      </c>
      <c r="C307" s="30" t="s">
        <v>24</v>
      </c>
      <c r="D307" s="31">
        <v>46062</v>
      </c>
      <c r="E307" s="31">
        <v>46070</v>
      </c>
      <c r="F307" s="30" t="s">
        <v>25</v>
      </c>
      <c r="G307" s="30" t="s">
        <v>26</v>
      </c>
      <c r="H307" s="31">
        <v>36984</v>
      </c>
      <c r="I307" s="30" t="s">
        <v>27</v>
      </c>
      <c r="J307" s="30" t="s">
        <v>28</v>
      </c>
      <c r="K307" s="30" t="s">
        <v>29</v>
      </c>
      <c r="L307" s="30" t="s">
        <v>30</v>
      </c>
      <c r="M307" s="95">
        <v>8</v>
      </c>
      <c r="N307" s="30">
        <v>2200</v>
      </c>
      <c r="O307" s="30">
        <v>5</v>
      </c>
      <c r="P307" s="30">
        <v>16720</v>
      </c>
      <c r="Q307" s="30">
        <v>3</v>
      </c>
      <c r="R307" s="90" t="s">
        <v>60</v>
      </c>
      <c r="S307" s="30" t="s">
        <v>80</v>
      </c>
      <c r="T307" s="30" t="s">
        <v>43</v>
      </c>
      <c r="U307" s="30">
        <v>9427001508</v>
      </c>
      <c r="V307" s="38" t="s">
        <v>52</v>
      </c>
      <c r="W307" s="40" t="str">
        <f t="shared" si="12"/>
        <v>Kavya Nair</v>
      </c>
      <c r="X307" s="93" t="str">
        <f t="shared" si="13"/>
        <v>Home Appliances</v>
      </c>
      <c r="Y307" s="94" t="str">
        <f t="shared" si="14"/>
        <v>South</v>
      </c>
    </row>
    <row r="308" spans="1:25" ht="15" thickBot="1" x14ac:dyDescent="0.4">
      <c r="A308" s="90" t="s">
        <v>437</v>
      </c>
      <c r="B308" s="27" t="s">
        <v>134</v>
      </c>
      <c r="C308" s="27" t="s">
        <v>112</v>
      </c>
      <c r="D308" s="28">
        <v>45704</v>
      </c>
      <c r="E308" s="28">
        <v>45714</v>
      </c>
      <c r="F308" s="27" t="s">
        <v>135</v>
      </c>
      <c r="G308" s="27" t="s">
        <v>26</v>
      </c>
      <c r="H308" s="28">
        <v>33668</v>
      </c>
      <c r="I308" s="27" t="s">
        <v>74</v>
      </c>
      <c r="J308" s="27" t="s">
        <v>75</v>
      </c>
      <c r="K308" s="27" t="s">
        <v>39</v>
      </c>
      <c r="L308" s="27" t="s">
        <v>114</v>
      </c>
      <c r="M308" s="95">
        <v>17</v>
      </c>
      <c r="N308" s="27">
        <v>700</v>
      </c>
      <c r="O308" s="27">
        <v>20</v>
      </c>
      <c r="P308" s="27">
        <v>9520</v>
      </c>
      <c r="Q308" s="27">
        <v>4</v>
      </c>
      <c r="R308" s="90" t="s">
        <v>41</v>
      </c>
      <c r="S308" s="27" t="s">
        <v>80</v>
      </c>
      <c r="T308" s="27" t="s">
        <v>136</v>
      </c>
      <c r="U308" s="27">
        <v>9666803655</v>
      </c>
      <c r="V308" s="35" t="s">
        <v>34</v>
      </c>
      <c r="W308" s="40" t="str">
        <f t="shared" si="12"/>
        <v>Sneha Joshi</v>
      </c>
      <c r="X308" s="93" t="str">
        <f t="shared" si="13"/>
        <v>Electronics</v>
      </c>
      <c r="Y308" s="94" t="str">
        <f t="shared" si="14"/>
        <v>West</v>
      </c>
    </row>
    <row r="309" spans="1:25" ht="15" thickBot="1" x14ac:dyDescent="0.4">
      <c r="A309" s="90" t="s">
        <v>438</v>
      </c>
      <c r="B309" s="30" t="s">
        <v>134</v>
      </c>
      <c r="C309" s="30" t="s">
        <v>105</v>
      </c>
      <c r="D309" s="31">
        <v>45897</v>
      </c>
      <c r="E309" s="31">
        <v>45908</v>
      </c>
      <c r="F309" s="30" t="s">
        <v>135</v>
      </c>
      <c r="G309" s="30" t="s">
        <v>26</v>
      </c>
      <c r="H309" s="31">
        <v>28122</v>
      </c>
      <c r="I309" s="30" t="s">
        <v>79</v>
      </c>
      <c r="J309" s="30" t="s">
        <v>75</v>
      </c>
      <c r="K309" s="30" t="s">
        <v>29</v>
      </c>
      <c r="L309" s="30" t="s">
        <v>107</v>
      </c>
      <c r="M309" s="95">
        <v>6</v>
      </c>
      <c r="N309" s="30">
        <v>8500</v>
      </c>
      <c r="O309" s="30">
        <v>15</v>
      </c>
      <c r="P309" s="30">
        <v>43350</v>
      </c>
      <c r="Q309" s="30">
        <v>1</v>
      </c>
      <c r="R309" s="90" t="s">
        <v>31</v>
      </c>
      <c r="S309" s="30" t="s">
        <v>50</v>
      </c>
      <c r="T309" s="30" t="s">
        <v>136</v>
      </c>
      <c r="U309" s="30">
        <v>9134878547</v>
      </c>
      <c r="V309" s="36" t="s">
        <v>34</v>
      </c>
      <c r="W309" s="40" t="str">
        <f t="shared" si="12"/>
        <v>Sneha Joshi</v>
      </c>
      <c r="X309" s="93" t="str">
        <f t="shared" si="13"/>
        <v>Home Appliances</v>
      </c>
      <c r="Y309" s="94" t="str">
        <f t="shared" si="14"/>
        <v>West</v>
      </c>
    </row>
    <row r="310" spans="1:25" ht="15" thickBot="1" x14ac:dyDescent="0.4">
      <c r="A310" s="90" t="s">
        <v>439</v>
      </c>
      <c r="B310" s="27" t="s">
        <v>45</v>
      </c>
      <c r="C310" s="27" t="s">
        <v>68</v>
      </c>
      <c r="D310" s="28">
        <v>45936</v>
      </c>
      <c r="E310" s="28">
        <v>45941</v>
      </c>
      <c r="F310" s="27" t="s">
        <v>101</v>
      </c>
      <c r="G310" s="27" t="s">
        <v>26</v>
      </c>
      <c r="H310" s="28">
        <v>31659</v>
      </c>
      <c r="I310" s="27" t="s">
        <v>27</v>
      </c>
      <c r="J310" s="27" t="s">
        <v>28</v>
      </c>
      <c r="K310" s="27" t="s">
        <v>29</v>
      </c>
      <c r="L310" s="27" t="s">
        <v>70</v>
      </c>
      <c r="M310" s="95">
        <v>3</v>
      </c>
      <c r="N310" s="27">
        <v>3500</v>
      </c>
      <c r="O310" s="27">
        <v>10</v>
      </c>
      <c r="P310" s="27">
        <v>9450</v>
      </c>
      <c r="Q310" s="27">
        <v>1</v>
      </c>
      <c r="R310" s="90" t="s">
        <v>41</v>
      </c>
      <c r="S310" s="27" t="s">
        <v>42</v>
      </c>
      <c r="T310" s="27" t="s">
        <v>51</v>
      </c>
      <c r="U310" s="27">
        <v>9253593557</v>
      </c>
      <c r="V310" s="35" t="s">
        <v>34</v>
      </c>
      <c r="W310" s="40" t="str">
        <f t="shared" si="12"/>
        <v>Pooja Shah</v>
      </c>
      <c r="X310" s="93" t="str">
        <f t="shared" si="13"/>
        <v>Home Appliances</v>
      </c>
      <c r="Y310" s="94" t="str">
        <f t="shared" si="14"/>
        <v>South</v>
      </c>
    </row>
    <row r="311" spans="1:25" ht="15" thickBot="1" x14ac:dyDescent="0.4">
      <c r="A311" s="90" t="s">
        <v>440</v>
      </c>
      <c r="B311" s="30" t="s">
        <v>55</v>
      </c>
      <c r="C311" s="30" t="s">
        <v>36</v>
      </c>
      <c r="D311" s="31">
        <v>45674</v>
      </c>
      <c r="E311" s="31">
        <v>45686</v>
      </c>
      <c r="F311" s="30" t="s">
        <v>57</v>
      </c>
      <c r="G311" s="30" t="s">
        <v>58</v>
      </c>
      <c r="H311" s="31">
        <v>32734</v>
      </c>
      <c r="I311" s="30" t="s">
        <v>91</v>
      </c>
      <c r="J311" s="30" t="s">
        <v>75</v>
      </c>
      <c r="K311" s="30" t="s">
        <v>39</v>
      </c>
      <c r="L311" s="30" t="s">
        <v>40</v>
      </c>
      <c r="M311" s="95">
        <v>2</v>
      </c>
      <c r="N311" s="30">
        <v>12000</v>
      </c>
      <c r="O311" s="30">
        <v>20</v>
      </c>
      <c r="P311" s="30">
        <v>19200</v>
      </c>
      <c r="Q311" s="30">
        <v>1</v>
      </c>
      <c r="R311" s="90" t="s">
        <v>60</v>
      </c>
      <c r="S311" s="30" t="s">
        <v>50</v>
      </c>
      <c r="T311" s="30" t="s">
        <v>61</v>
      </c>
      <c r="U311" s="30">
        <v>9183094051</v>
      </c>
      <c r="V311" s="36" t="s">
        <v>34</v>
      </c>
      <c r="W311" s="40" t="str">
        <f t="shared" si="12"/>
        <v>Mohit Verma</v>
      </c>
      <c r="X311" s="93" t="str">
        <f t="shared" si="13"/>
        <v>Electronics</v>
      </c>
      <c r="Y311" s="94" t="str">
        <f t="shared" si="14"/>
        <v>West</v>
      </c>
    </row>
    <row r="312" spans="1:25" ht="15" thickBot="1" x14ac:dyDescent="0.4">
      <c r="A312" s="90" t="s">
        <v>441</v>
      </c>
      <c r="B312" s="27" t="s">
        <v>124</v>
      </c>
      <c r="C312" s="27" t="s">
        <v>125</v>
      </c>
      <c r="D312" s="28">
        <v>45943</v>
      </c>
      <c r="E312" s="28">
        <v>45946</v>
      </c>
      <c r="F312" s="27" t="s">
        <v>126</v>
      </c>
      <c r="G312" s="27" t="s">
        <v>58</v>
      </c>
      <c r="H312" s="28">
        <v>33299</v>
      </c>
      <c r="I312" s="27" t="s">
        <v>37</v>
      </c>
      <c r="J312" s="27" t="s">
        <v>38</v>
      </c>
      <c r="K312" s="27" t="s">
        <v>83</v>
      </c>
      <c r="L312" s="27" t="s">
        <v>127</v>
      </c>
      <c r="M312" s="95">
        <v>12</v>
      </c>
      <c r="N312" s="27">
        <v>20</v>
      </c>
      <c r="O312" s="27">
        <v>20</v>
      </c>
      <c r="P312" s="27">
        <v>192</v>
      </c>
      <c r="Q312" s="27">
        <v>2</v>
      </c>
      <c r="R312" s="90" t="s">
        <v>60</v>
      </c>
      <c r="S312" s="27" t="s">
        <v>42</v>
      </c>
      <c r="T312" s="27" t="s">
        <v>128</v>
      </c>
      <c r="U312" s="27">
        <v>9293147620</v>
      </c>
      <c r="V312" s="35" t="s">
        <v>34</v>
      </c>
      <c r="W312" s="40" t="str">
        <f t="shared" si="12"/>
        <v>Vikas Mehta</v>
      </c>
      <c r="X312" s="93" t="str">
        <f t="shared" si="13"/>
        <v>Stationery</v>
      </c>
      <c r="Y312" s="94" t="str">
        <f t="shared" si="14"/>
        <v>North</v>
      </c>
    </row>
    <row r="313" spans="1:25" ht="15" thickBot="1" x14ac:dyDescent="0.4">
      <c r="A313" s="90" t="s">
        <v>442</v>
      </c>
      <c r="B313" s="30" t="s">
        <v>72</v>
      </c>
      <c r="C313" s="30" t="s">
        <v>36</v>
      </c>
      <c r="D313" s="31">
        <v>46138</v>
      </c>
      <c r="E313" s="31">
        <v>46140</v>
      </c>
      <c r="F313" s="30" t="s">
        <v>73</v>
      </c>
      <c r="G313" s="30" t="s">
        <v>26</v>
      </c>
      <c r="H313" s="31">
        <v>32733</v>
      </c>
      <c r="I313" s="30" t="s">
        <v>147</v>
      </c>
      <c r="J313" s="30" t="s">
        <v>148</v>
      </c>
      <c r="K313" s="30" t="s">
        <v>39</v>
      </c>
      <c r="L313" s="30" t="s">
        <v>40</v>
      </c>
      <c r="M313" s="95">
        <v>20</v>
      </c>
      <c r="N313" s="30">
        <v>12000</v>
      </c>
      <c r="O313" s="30">
        <v>15</v>
      </c>
      <c r="P313" s="30">
        <v>204000</v>
      </c>
      <c r="Q313" s="30">
        <v>3</v>
      </c>
      <c r="R313" s="90" t="s">
        <v>31</v>
      </c>
      <c r="S313" s="30" t="s">
        <v>32</v>
      </c>
      <c r="T313" s="30" t="s">
        <v>93</v>
      </c>
      <c r="U313" s="30">
        <v>9755583734</v>
      </c>
      <c r="V313" s="38" t="s">
        <v>52</v>
      </c>
      <c r="W313" s="40" t="str">
        <f t="shared" si="12"/>
        <v>Priya Patel</v>
      </c>
      <c r="X313" s="93" t="str">
        <f t="shared" si="13"/>
        <v>Electronics</v>
      </c>
      <c r="Y313" s="94" t="str">
        <f t="shared" si="14"/>
        <v>East</v>
      </c>
    </row>
    <row r="314" spans="1:25" ht="15" thickBot="1" x14ac:dyDescent="0.4">
      <c r="A314" s="90" t="s">
        <v>443</v>
      </c>
      <c r="B314" s="27" t="s">
        <v>45</v>
      </c>
      <c r="C314" s="27" t="s">
        <v>82</v>
      </c>
      <c r="D314" s="28">
        <v>46105</v>
      </c>
      <c r="E314" s="28">
        <v>46116</v>
      </c>
      <c r="F314" s="27" t="s">
        <v>101</v>
      </c>
      <c r="G314" s="27" t="s">
        <v>26</v>
      </c>
      <c r="H314" s="28">
        <v>37654</v>
      </c>
      <c r="I314" s="27" t="s">
        <v>121</v>
      </c>
      <c r="J314" s="27" t="s">
        <v>38</v>
      </c>
      <c r="K314" s="27" t="s">
        <v>83</v>
      </c>
      <c r="L314" s="27" t="s">
        <v>84</v>
      </c>
      <c r="M314" s="95">
        <v>13</v>
      </c>
      <c r="N314" s="27">
        <v>60</v>
      </c>
      <c r="O314" s="27">
        <v>10</v>
      </c>
      <c r="P314" s="27">
        <v>702</v>
      </c>
      <c r="Q314" s="27">
        <v>5</v>
      </c>
      <c r="R314" s="90" t="s">
        <v>31</v>
      </c>
      <c r="S314" s="27" t="s">
        <v>32</v>
      </c>
      <c r="T314" s="27" t="s">
        <v>51</v>
      </c>
      <c r="U314" s="27">
        <v>9186592813</v>
      </c>
      <c r="V314" s="37" t="s">
        <v>52</v>
      </c>
      <c r="W314" s="40" t="str">
        <f t="shared" si="12"/>
        <v>Pooja Shah</v>
      </c>
      <c r="X314" s="93" t="str">
        <f t="shared" si="13"/>
        <v>Stationery</v>
      </c>
      <c r="Y314" s="94" t="str">
        <f t="shared" si="14"/>
        <v>North</v>
      </c>
    </row>
    <row r="315" spans="1:25" ht="15" thickBot="1" x14ac:dyDescent="0.4">
      <c r="A315" s="90" t="s">
        <v>444</v>
      </c>
      <c r="B315" s="30" t="s">
        <v>55</v>
      </c>
      <c r="C315" s="30" t="s">
        <v>46</v>
      </c>
      <c r="D315" s="31">
        <v>45785</v>
      </c>
      <c r="E315" s="31">
        <v>45796</v>
      </c>
      <c r="F315" s="30" t="s">
        <v>57</v>
      </c>
      <c r="G315" s="30" t="s">
        <v>58</v>
      </c>
      <c r="H315" s="31">
        <v>35019</v>
      </c>
      <c r="I315" s="30" t="s">
        <v>79</v>
      </c>
      <c r="J315" s="30" t="s">
        <v>75</v>
      </c>
      <c r="K315" s="30" t="s">
        <v>39</v>
      </c>
      <c r="L315" s="30" t="s">
        <v>49</v>
      </c>
      <c r="M315" s="95">
        <v>13</v>
      </c>
      <c r="N315" s="30">
        <v>55000</v>
      </c>
      <c r="O315" s="30">
        <v>5</v>
      </c>
      <c r="P315" s="30">
        <v>679250</v>
      </c>
      <c r="Q315" s="30">
        <v>1</v>
      </c>
      <c r="R315" s="90" t="s">
        <v>65</v>
      </c>
      <c r="S315" s="30" t="s">
        <v>96</v>
      </c>
      <c r="T315" s="30" t="s">
        <v>61</v>
      </c>
      <c r="U315" s="30">
        <v>9203482008</v>
      </c>
      <c r="V315" s="38" t="s">
        <v>52</v>
      </c>
      <c r="W315" s="40" t="str">
        <f t="shared" si="12"/>
        <v>Mohit Verma</v>
      </c>
      <c r="X315" s="93" t="str">
        <f t="shared" si="13"/>
        <v>Electronics</v>
      </c>
      <c r="Y315" s="94" t="str">
        <f t="shared" si="14"/>
        <v>West</v>
      </c>
    </row>
    <row r="316" spans="1:25" ht="15" thickBot="1" x14ac:dyDescent="0.4">
      <c r="A316" s="90" t="s">
        <v>445</v>
      </c>
      <c r="B316" s="27" t="s">
        <v>72</v>
      </c>
      <c r="C316" s="27" t="s">
        <v>56</v>
      </c>
      <c r="D316" s="28">
        <v>46088</v>
      </c>
      <c r="E316" s="28">
        <v>46091</v>
      </c>
      <c r="F316" s="27" t="s">
        <v>73</v>
      </c>
      <c r="G316" s="27" t="s">
        <v>26</v>
      </c>
      <c r="H316" s="28">
        <v>32836</v>
      </c>
      <c r="I316" s="27" t="s">
        <v>48</v>
      </c>
      <c r="J316" s="27" t="s">
        <v>28</v>
      </c>
      <c r="K316" s="27" t="s">
        <v>39</v>
      </c>
      <c r="L316" s="27" t="s">
        <v>59</v>
      </c>
      <c r="M316" s="95">
        <v>7</v>
      </c>
      <c r="N316" s="27">
        <v>1200</v>
      </c>
      <c r="O316" s="27">
        <v>15</v>
      </c>
      <c r="P316" s="27">
        <v>7140</v>
      </c>
      <c r="Q316" s="27">
        <v>5</v>
      </c>
      <c r="R316" s="90" t="s">
        <v>65</v>
      </c>
      <c r="S316" s="27" t="s">
        <v>42</v>
      </c>
      <c r="T316" s="27" t="s">
        <v>93</v>
      </c>
      <c r="U316" s="27">
        <v>9829888777</v>
      </c>
      <c r="V316" s="37" t="s">
        <v>52</v>
      </c>
      <c r="W316" s="40" t="str">
        <f t="shared" si="12"/>
        <v>Priya Patel</v>
      </c>
      <c r="X316" s="93" t="str">
        <f t="shared" si="13"/>
        <v>Electronics</v>
      </c>
      <c r="Y316" s="94" t="str">
        <f t="shared" si="14"/>
        <v>South</v>
      </c>
    </row>
    <row r="317" spans="1:25" ht="15" thickBot="1" x14ac:dyDescent="0.4">
      <c r="A317" s="90" t="s">
        <v>446</v>
      </c>
      <c r="B317" s="30" t="s">
        <v>63</v>
      </c>
      <c r="C317" s="30" t="s">
        <v>36</v>
      </c>
      <c r="D317" s="31">
        <v>46017</v>
      </c>
      <c r="E317" s="31">
        <v>46021</v>
      </c>
      <c r="F317" s="30" t="s">
        <v>110</v>
      </c>
      <c r="G317" s="30" t="s">
        <v>58</v>
      </c>
      <c r="H317" s="31">
        <v>32253</v>
      </c>
      <c r="I317" s="30" t="s">
        <v>121</v>
      </c>
      <c r="J317" s="30" t="s">
        <v>38</v>
      </c>
      <c r="K317" s="30" t="s">
        <v>39</v>
      </c>
      <c r="L317" s="30" t="s">
        <v>40</v>
      </c>
      <c r="M317" s="95">
        <v>17</v>
      </c>
      <c r="N317" s="30">
        <v>12000</v>
      </c>
      <c r="O317" s="30">
        <v>5</v>
      </c>
      <c r="P317" s="30">
        <v>193800</v>
      </c>
      <c r="Q317" s="30">
        <v>1</v>
      </c>
      <c r="R317" s="90" t="s">
        <v>31</v>
      </c>
      <c r="S317" s="30" t="s">
        <v>50</v>
      </c>
      <c r="T317" s="30" t="s">
        <v>66</v>
      </c>
      <c r="U317" s="30">
        <v>9566101317</v>
      </c>
      <c r="V317" s="38" t="s">
        <v>53</v>
      </c>
      <c r="W317" s="40" t="str">
        <f t="shared" si="12"/>
        <v>Arjun Rao</v>
      </c>
      <c r="X317" s="93" t="str">
        <f t="shared" si="13"/>
        <v>Electronics</v>
      </c>
      <c r="Y317" s="94" t="str">
        <f t="shared" si="14"/>
        <v>North</v>
      </c>
    </row>
    <row r="318" spans="1:25" ht="15" thickBot="1" x14ac:dyDescent="0.4">
      <c r="A318" s="90" t="s">
        <v>447</v>
      </c>
      <c r="B318" s="27" t="s">
        <v>63</v>
      </c>
      <c r="C318" s="27" t="s">
        <v>125</v>
      </c>
      <c r="D318" s="28">
        <v>46131</v>
      </c>
      <c r="E318" s="28">
        <v>46137</v>
      </c>
      <c r="F318" s="27" t="s">
        <v>110</v>
      </c>
      <c r="G318" s="27" t="s">
        <v>58</v>
      </c>
      <c r="H318" s="28">
        <v>28796</v>
      </c>
      <c r="I318" s="27" t="s">
        <v>48</v>
      </c>
      <c r="J318" s="27" t="s">
        <v>28</v>
      </c>
      <c r="K318" s="27" t="s">
        <v>83</v>
      </c>
      <c r="L318" s="27" t="s">
        <v>127</v>
      </c>
      <c r="M318" s="95">
        <v>10</v>
      </c>
      <c r="N318" s="27">
        <v>20</v>
      </c>
      <c r="O318" s="27">
        <v>5</v>
      </c>
      <c r="P318" s="27">
        <v>190</v>
      </c>
      <c r="Q318" s="27">
        <v>2</v>
      </c>
      <c r="R318" s="90" t="s">
        <v>31</v>
      </c>
      <c r="S318" s="27" t="s">
        <v>50</v>
      </c>
      <c r="T318" s="27" t="s">
        <v>66</v>
      </c>
      <c r="U318" s="27">
        <v>9706240823</v>
      </c>
      <c r="V318" s="37" t="s">
        <v>53</v>
      </c>
      <c r="W318" s="40" t="str">
        <f t="shared" si="12"/>
        <v>Arjun Rao</v>
      </c>
      <c r="X318" s="93" t="str">
        <f t="shared" si="13"/>
        <v>Stationery</v>
      </c>
      <c r="Y318" s="94" t="str">
        <f t="shared" si="14"/>
        <v>South</v>
      </c>
    </row>
    <row r="319" spans="1:25" ht="15" thickBot="1" x14ac:dyDescent="0.4">
      <c r="A319" s="90" t="s">
        <v>448</v>
      </c>
      <c r="B319" s="30" t="s">
        <v>104</v>
      </c>
      <c r="C319" s="30" t="s">
        <v>24</v>
      </c>
      <c r="D319" s="31">
        <v>45966</v>
      </c>
      <c r="E319" s="31">
        <v>45969</v>
      </c>
      <c r="F319" s="30" t="s">
        <v>166</v>
      </c>
      <c r="G319" s="30" t="s">
        <v>26</v>
      </c>
      <c r="H319" s="31">
        <v>32855</v>
      </c>
      <c r="I319" s="30" t="s">
        <v>37</v>
      </c>
      <c r="J319" s="30" t="s">
        <v>38</v>
      </c>
      <c r="K319" s="30" t="s">
        <v>29</v>
      </c>
      <c r="L319" s="30" t="s">
        <v>30</v>
      </c>
      <c r="M319" s="95">
        <v>11</v>
      </c>
      <c r="N319" s="30">
        <v>2200</v>
      </c>
      <c r="O319" s="30">
        <v>5</v>
      </c>
      <c r="P319" s="30">
        <v>22990</v>
      </c>
      <c r="Q319" s="30">
        <v>5</v>
      </c>
      <c r="R319" s="90" t="s">
        <v>60</v>
      </c>
      <c r="S319" s="30" t="s">
        <v>42</v>
      </c>
      <c r="T319" s="30" t="s">
        <v>108</v>
      </c>
      <c r="U319" s="30">
        <v>9259943760</v>
      </c>
      <c r="V319" s="38" t="s">
        <v>52</v>
      </c>
      <c r="W319" s="40" t="str">
        <f t="shared" si="12"/>
        <v>Anita Gupta</v>
      </c>
      <c r="X319" s="93" t="str">
        <f t="shared" si="13"/>
        <v>Home Appliances</v>
      </c>
      <c r="Y319" s="94" t="str">
        <f t="shared" si="14"/>
        <v>North</v>
      </c>
    </row>
    <row r="320" spans="1:25" ht="15" thickBot="1" x14ac:dyDescent="0.4">
      <c r="A320" s="90" t="s">
        <v>449</v>
      </c>
      <c r="B320" s="27" t="s">
        <v>72</v>
      </c>
      <c r="C320" s="27" t="s">
        <v>82</v>
      </c>
      <c r="D320" s="28">
        <v>46077</v>
      </c>
      <c r="E320" s="28">
        <v>46081</v>
      </c>
      <c r="F320" s="27" t="s">
        <v>73</v>
      </c>
      <c r="G320" s="27" t="s">
        <v>26</v>
      </c>
      <c r="H320" s="28">
        <v>34707</v>
      </c>
      <c r="I320" s="27" t="s">
        <v>121</v>
      </c>
      <c r="J320" s="27" t="s">
        <v>38</v>
      </c>
      <c r="K320" s="27" t="s">
        <v>83</v>
      </c>
      <c r="L320" s="27" t="s">
        <v>84</v>
      </c>
      <c r="M320" s="95">
        <v>8</v>
      </c>
      <c r="N320" s="27">
        <v>60</v>
      </c>
      <c r="O320" s="27">
        <v>15</v>
      </c>
      <c r="P320" s="27">
        <v>408</v>
      </c>
      <c r="Q320" s="27">
        <v>4</v>
      </c>
      <c r="R320" s="90" t="s">
        <v>31</v>
      </c>
      <c r="S320" s="27" t="s">
        <v>42</v>
      </c>
      <c r="T320" s="27" t="s">
        <v>93</v>
      </c>
      <c r="U320" s="27">
        <v>9527326977</v>
      </c>
      <c r="V320" s="37" t="s">
        <v>52</v>
      </c>
      <c r="W320" s="40" t="str">
        <f t="shared" si="12"/>
        <v>Priya Patel</v>
      </c>
      <c r="X320" s="93" t="str">
        <f t="shared" si="13"/>
        <v>Stationery</v>
      </c>
      <c r="Y320" s="94" t="str">
        <f t="shared" si="14"/>
        <v>North</v>
      </c>
    </row>
    <row r="321" spans="1:25" ht="15" thickBot="1" x14ac:dyDescent="0.4">
      <c r="A321" s="90" t="s">
        <v>450</v>
      </c>
      <c r="B321" s="30" t="s">
        <v>124</v>
      </c>
      <c r="C321" s="30" t="s">
        <v>138</v>
      </c>
      <c r="D321" s="31">
        <v>45739</v>
      </c>
      <c r="E321" s="31">
        <v>45741</v>
      </c>
      <c r="F321" s="30" t="s">
        <v>126</v>
      </c>
      <c r="G321" s="30" t="s">
        <v>58</v>
      </c>
      <c r="H321" s="31">
        <v>34630</v>
      </c>
      <c r="I321" s="30" t="s">
        <v>37</v>
      </c>
      <c r="J321" s="30" t="s">
        <v>38</v>
      </c>
      <c r="K321" s="30" t="s">
        <v>83</v>
      </c>
      <c r="L321" s="30" t="s">
        <v>139</v>
      </c>
      <c r="M321" s="95">
        <v>17</v>
      </c>
      <c r="N321" s="30">
        <v>45</v>
      </c>
      <c r="O321" s="30">
        <v>15</v>
      </c>
      <c r="P321" s="30">
        <v>650.25</v>
      </c>
      <c r="Q321" s="30">
        <v>2</v>
      </c>
      <c r="R321" s="90" t="s">
        <v>65</v>
      </c>
      <c r="S321" s="30" t="s">
        <v>96</v>
      </c>
      <c r="T321" s="30" t="s">
        <v>128</v>
      </c>
      <c r="U321" s="30">
        <v>9886970990</v>
      </c>
      <c r="V321" s="36" t="s">
        <v>34</v>
      </c>
      <c r="W321" s="40" t="str">
        <f t="shared" si="12"/>
        <v>Vikas Mehta</v>
      </c>
      <c r="X321" s="93" t="str">
        <f t="shared" si="13"/>
        <v>Stationery</v>
      </c>
      <c r="Y321" s="94" t="str">
        <f t="shared" si="14"/>
        <v>North</v>
      </c>
    </row>
    <row r="322" spans="1:25" ht="15" thickBot="1" x14ac:dyDescent="0.4">
      <c r="A322" s="90" t="s">
        <v>451</v>
      </c>
      <c r="B322" s="27" t="s">
        <v>156</v>
      </c>
      <c r="C322" s="27" t="s">
        <v>112</v>
      </c>
      <c r="D322" s="28">
        <v>45715</v>
      </c>
      <c r="E322" s="28">
        <v>45726</v>
      </c>
      <c r="F322" s="27" t="s">
        <v>106</v>
      </c>
      <c r="G322" s="27" t="s">
        <v>58</v>
      </c>
      <c r="H322" s="28">
        <v>35206</v>
      </c>
      <c r="I322" s="27" t="s">
        <v>121</v>
      </c>
      <c r="J322" s="27" t="s">
        <v>38</v>
      </c>
      <c r="K322" s="27" t="s">
        <v>39</v>
      </c>
      <c r="L322" s="27" t="s">
        <v>114</v>
      </c>
      <c r="M322" s="95">
        <v>14</v>
      </c>
      <c r="N322" s="27">
        <v>700</v>
      </c>
      <c r="O322" s="27">
        <v>15</v>
      </c>
      <c r="P322" s="27">
        <v>8330</v>
      </c>
      <c r="Q322" s="27">
        <v>1</v>
      </c>
      <c r="R322" s="90" t="s">
        <v>60</v>
      </c>
      <c r="S322" s="27" t="s">
        <v>80</v>
      </c>
      <c r="T322" s="27" t="s">
        <v>158</v>
      </c>
      <c r="U322" s="27">
        <v>9106930369</v>
      </c>
      <c r="V322" s="35" t="s">
        <v>34</v>
      </c>
      <c r="W322" s="40" t="str">
        <f t="shared" si="12"/>
        <v>Amit Sharma</v>
      </c>
      <c r="X322" s="93" t="str">
        <f t="shared" si="13"/>
        <v>Electronics</v>
      </c>
      <c r="Y322" s="94" t="str">
        <f t="shared" si="14"/>
        <v>North</v>
      </c>
    </row>
    <row r="323" spans="1:25" ht="15" thickBot="1" x14ac:dyDescent="0.4">
      <c r="A323" s="90" t="s">
        <v>452</v>
      </c>
      <c r="B323" s="30" t="s">
        <v>63</v>
      </c>
      <c r="C323" s="30" t="s">
        <v>56</v>
      </c>
      <c r="D323" s="31">
        <v>45811</v>
      </c>
      <c r="E323" s="31">
        <v>45822</v>
      </c>
      <c r="F323" s="30" t="s">
        <v>110</v>
      </c>
      <c r="G323" s="30" t="s">
        <v>58</v>
      </c>
      <c r="H323" s="31">
        <v>30097</v>
      </c>
      <c r="I323" s="30" t="s">
        <v>79</v>
      </c>
      <c r="J323" s="30" t="s">
        <v>75</v>
      </c>
      <c r="K323" s="30" t="s">
        <v>39</v>
      </c>
      <c r="L323" s="30" t="s">
        <v>59</v>
      </c>
      <c r="M323" s="95">
        <v>3</v>
      </c>
      <c r="N323" s="30">
        <v>1200</v>
      </c>
      <c r="O323" s="30">
        <v>5</v>
      </c>
      <c r="P323" s="30">
        <v>3420</v>
      </c>
      <c r="Q323" s="30">
        <v>3</v>
      </c>
      <c r="R323" s="90" t="s">
        <v>41</v>
      </c>
      <c r="S323" s="30" t="s">
        <v>96</v>
      </c>
      <c r="T323" s="30" t="s">
        <v>66</v>
      </c>
      <c r="U323" s="30">
        <v>9342009114</v>
      </c>
      <c r="V323" s="36" t="s">
        <v>34</v>
      </c>
      <c r="W323" s="40" t="str">
        <f t="shared" ref="W323:W386" si="15">PROPER(TRIM(F323))</f>
        <v>Arjun Rao</v>
      </c>
      <c r="X323" s="93" t="str">
        <f t="shared" ref="X323:X386" si="16">PROPER(K323)</f>
        <v>Electronics</v>
      </c>
      <c r="Y323" s="94" t="str">
        <f t="shared" ref="Y323:Y386" si="17">PROPER(J323)</f>
        <v>West</v>
      </c>
    </row>
    <row r="324" spans="1:25" ht="15" thickBot="1" x14ac:dyDescent="0.4">
      <c r="A324" s="90" t="s">
        <v>453</v>
      </c>
      <c r="B324" s="27" t="s">
        <v>23</v>
      </c>
      <c r="C324" s="27" t="s">
        <v>56</v>
      </c>
      <c r="D324" s="28">
        <v>45845</v>
      </c>
      <c r="E324" s="28">
        <v>45854</v>
      </c>
      <c r="F324" s="27" t="s">
        <v>25</v>
      </c>
      <c r="G324" s="27" t="s">
        <v>26</v>
      </c>
      <c r="H324" s="28">
        <v>37217</v>
      </c>
      <c r="I324" s="27" t="s">
        <v>91</v>
      </c>
      <c r="J324" s="27" t="s">
        <v>75</v>
      </c>
      <c r="K324" s="27" t="s">
        <v>39</v>
      </c>
      <c r="L324" s="27" t="s">
        <v>59</v>
      </c>
      <c r="M324" s="95">
        <v>9</v>
      </c>
      <c r="N324" s="27">
        <v>1200</v>
      </c>
      <c r="O324" s="27">
        <v>15</v>
      </c>
      <c r="P324" s="27">
        <v>9180</v>
      </c>
      <c r="Q324" s="27">
        <v>3</v>
      </c>
      <c r="R324" s="90" t="s">
        <v>31</v>
      </c>
      <c r="S324" s="27" t="s">
        <v>42</v>
      </c>
      <c r="T324" s="27" t="s">
        <v>43</v>
      </c>
      <c r="U324" s="27">
        <v>9992739960</v>
      </c>
      <c r="V324" s="35" t="s">
        <v>34</v>
      </c>
      <c r="W324" s="40" t="str">
        <f t="shared" si="15"/>
        <v>Kavya Nair</v>
      </c>
      <c r="X324" s="93" t="str">
        <f t="shared" si="16"/>
        <v>Electronics</v>
      </c>
      <c r="Y324" s="94" t="str">
        <f t="shared" si="17"/>
        <v>West</v>
      </c>
    </row>
    <row r="325" spans="1:25" ht="15" thickBot="1" x14ac:dyDescent="0.4">
      <c r="A325" s="90" t="s">
        <v>454</v>
      </c>
      <c r="B325" s="30" t="s">
        <v>134</v>
      </c>
      <c r="C325" s="30" t="s">
        <v>125</v>
      </c>
      <c r="D325" s="31">
        <v>46132</v>
      </c>
      <c r="E325" s="31">
        <v>46133</v>
      </c>
      <c r="F325" s="30" t="s">
        <v>135</v>
      </c>
      <c r="G325" s="30" t="s">
        <v>26</v>
      </c>
      <c r="H325" s="31">
        <v>32565</v>
      </c>
      <c r="I325" s="30" t="s">
        <v>74</v>
      </c>
      <c r="J325" s="30" t="s">
        <v>75</v>
      </c>
      <c r="K325" s="30" t="s">
        <v>83</v>
      </c>
      <c r="L325" s="30" t="s">
        <v>127</v>
      </c>
      <c r="M325" s="95">
        <v>5</v>
      </c>
      <c r="N325" s="30">
        <v>20</v>
      </c>
      <c r="O325" s="30">
        <v>5</v>
      </c>
      <c r="P325" s="30">
        <v>95</v>
      </c>
      <c r="Q325" s="30">
        <v>4</v>
      </c>
      <c r="R325" s="90" t="s">
        <v>31</v>
      </c>
      <c r="S325" s="30" t="s">
        <v>96</v>
      </c>
      <c r="T325" s="30" t="s">
        <v>136</v>
      </c>
      <c r="U325" s="30">
        <v>9241987748</v>
      </c>
      <c r="V325" s="36" t="s">
        <v>34</v>
      </c>
      <c r="W325" s="40" t="str">
        <f t="shared" si="15"/>
        <v>Sneha Joshi</v>
      </c>
      <c r="X325" s="93" t="str">
        <f t="shared" si="16"/>
        <v>Stationery</v>
      </c>
      <c r="Y325" s="94" t="str">
        <f t="shared" si="17"/>
        <v>West</v>
      </c>
    </row>
    <row r="326" spans="1:25" ht="15" thickBot="1" x14ac:dyDescent="0.4">
      <c r="A326" s="90" t="s">
        <v>455</v>
      </c>
      <c r="B326" s="27" t="s">
        <v>134</v>
      </c>
      <c r="C326" s="27" t="s">
        <v>24</v>
      </c>
      <c r="D326" s="28">
        <v>46001</v>
      </c>
      <c r="E326" s="28">
        <v>46012</v>
      </c>
      <c r="F326" s="27" t="s">
        <v>135</v>
      </c>
      <c r="G326" s="27" t="s">
        <v>26</v>
      </c>
      <c r="H326" s="28">
        <v>31277</v>
      </c>
      <c r="I326" s="27" t="s">
        <v>91</v>
      </c>
      <c r="J326" s="27" t="s">
        <v>75</v>
      </c>
      <c r="K326" s="27" t="s">
        <v>29</v>
      </c>
      <c r="L326" s="27" t="s">
        <v>30</v>
      </c>
      <c r="M326" s="95">
        <v>8</v>
      </c>
      <c r="N326" s="27">
        <v>2200</v>
      </c>
      <c r="O326" s="27">
        <v>10</v>
      </c>
      <c r="P326" s="27">
        <v>15840</v>
      </c>
      <c r="Q326" s="27">
        <v>4</v>
      </c>
      <c r="R326" s="90" t="s">
        <v>65</v>
      </c>
      <c r="S326" s="27" t="s">
        <v>50</v>
      </c>
      <c r="T326" s="27" t="s">
        <v>136</v>
      </c>
      <c r="U326" s="27">
        <v>9571990711</v>
      </c>
      <c r="V326" s="37" t="s">
        <v>53</v>
      </c>
      <c r="W326" s="40" t="str">
        <f t="shared" si="15"/>
        <v>Sneha Joshi</v>
      </c>
      <c r="X326" s="93" t="str">
        <f t="shared" si="16"/>
        <v>Home Appliances</v>
      </c>
      <c r="Y326" s="94" t="str">
        <f t="shared" si="17"/>
        <v>West</v>
      </c>
    </row>
    <row r="327" spans="1:25" ht="15" thickBot="1" x14ac:dyDescent="0.4">
      <c r="A327" s="90" t="s">
        <v>456</v>
      </c>
      <c r="B327" s="30" t="s">
        <v>134</v>
      </c>
      <c r="C327" s="30" t="s">
        <v>112</v>
      </c>
      <c r="D327" s="31">
        <v>46089</v>
      </c>
      <c r="E327" s="31">
        <v>46093</v>
      </c>
      <c r="F327" s="30" t="s">
        <v>135</v>
      </c>
      <c r="G327" s="30" t="s">
        <v>26</v>
      </c>
      <c r="H327" s="31">
        <v>29223</v>
      </c>
      <c r="I327" s="30" t="s">
        <v>74</v>
      </c>
      <c r="J327" s="30" t="s">
        <v>75</v>
      </c>
      <c r="K327" s="30" t="s">
        <v>39</v>
      </c>
      <c r="L327" s="30" t="s">
        <v>114</v>
      </c>
      <c r="M327" s="95">
        <v>10</v>
      </c>
      <c r="N327" s="30">
        <v>700</v>
      </c>
      <c r="O327" s="30">
        <v>20</v>
      </c>
      <c r="P327" s="30">
        <v>5600</v>
      </c>
      <c r="Q327" s="30">
        <v>1</v>
      </c>
      <c r="R327" s="90" t="s">
        <v>65</v>
      </c>
      <c r="S327" s="30" t="s">
        <v>80</v>
      </c>
      <c r="T327" s="30" t="s">
        <v>136</v>
      </c>
      <c r="U327" s="30">
        <v>9219231183</v>
      </c>
      <c r="V327" s="36" t="s">
        <v>34</v>
      </c>
      <c r="W327" s="40" t="str">
        <f t="shared" si="15"/>
        <v>Sneha Joshi</v>
      </c>
      <c r="X327" s="93" t="str">
        <f t="shared" si="16"/>
        <v>Electronics</v>
      </c>
      <c r="Y327" s="94" t="str">
        <f t="shared" si="17"/>
        <v>West</v>
      </c>
    </row>
    <row r="328" spans="1:25" ht="15" thickBot="1" x14ac:dyDescent="0.4">
      <c r="A328" s="90" t="s">
        <v>457</v>
      </c>
      <c r="B328" s="27" t="s">
        <v>63</v>
      </c>
      <c r="C328" s="27" t="s">
        <v>112</v>
      </c>
      <c r="D328" s="28">
        <v>45986</v>
      </c>
      <c r="E328" s="28">
        <v>45989</v>
      </c>
      <c r="F328" s="27" t="s">
        <v>110</v>
      </c>
      <c r="G328" s="27" t="s">
        <v>58</v>
      </c>
      <c r="H328" s="28">
        <v>28498</v>
      </c>
      <c r="I328" s="27" t="s">
        <v>48</v>
      </c>
      <c r="J328" s="27" t="s">
        <v>28</v>
      </c>
      <c r="K328" s="27" t="s">
        <v>39</v>
      </c>
      <c r="L328" s="27" t="s">
        <v>114</v>
      </c>
      <c r="M328" s="95">
        <v>2</v>
      </c>
      <c r="N328" s="27">
        <v>700</v>
      </c>
      <c r="O328" s="27">
        <v>20</v>
      </c>
      <c r="P328" s="27">
        <v>1120</v>
      </c>
      <c r="Q328" s="27">
        <v>2</v>
      </c>
      <c r="R328" s="90" t="s">
        <v>31</v>
      </c>
      <c r="S328" s="27" t="s">
        <v>80</v>
      </c>
      <c r="T328" s="27" t="s">
        <v>66</v>
      </c>
      <c r="U328" s="27">
        <v>9847386174</v>
      </c>
      <c r="V328" s="37" t="s">
        <v>52</v>
      </c>
      <c r="W328" s="40" t="str">
        <f t="shared" si="15"/>
        <v>Arjun Rao</v>
      </c>
      <c r="X328" s="93" t="str">
        <f t="shared" si="16"/>
        <v>Electronics</v>
      </c>
      <c r="Y328" s="94" t="str">
        <f t="shared" si="17"/>
        <v>South</v>
      </c>
    </row>
    <row r="329" spans="1:25" ht="15" thickBot="1" x14ac:dyDescent="0.4">
      <c r="A329" s="90" t="s">
        <v>458</v>
      </c>
      <c r="B329" s="30" t="s">
        <v>124</v>
      </c>
      <c r="C329" s="30" t="s">
        <v>68</v>
      </c>
      <c r="D329" s="31">
        <v>45827</v>
      </c>
      <c r="E329" s="31">
        <v>45836</v>
      </c>
      <c r="F329" s="30" t="s">
        <v>126</v>
      </c>
      <c r="G329" s="30" t="s">
        <v>58</v>
      </c>
      <c r="H329" s="31">
        <v>33821</v>
      </c>
      <c r="I329" s="30" t="s">
        <v>79</v>
      </c>
      <c r="J329" s="30" t="s">
        <v>75</v>
      </c>
      <c r="K329" s="30" t="s">
        <v>29</v>
      </c>
      <c r="L329" s="30" t="s">
        <v>70</v>
      </c>
      <c r="M329" s="95">
        <v>16</v>
      </c>
      <c r="N329" s="30">
        <v>3500</v>
      </c>
      <c r="O329" s="30">
        <v>20</v>
      </c>
      <c r="P329" s="30">
        <v>44800</v>
      </c>
      <c r="Q329" s="30">
        <v>2</v>
      </c>
      <c r="R329" s="90" t="s">
        <v>65</v>
      </c>
      <c r="S329" s="30" t="s">
        <v>32</v>
      </c>
      <c r="T329" s="30" t="s">
        <v>128</v>
      </c>
      <c r="U329" s="30">
        <v>9941274924</v>
      </c>
      <c r="V329" s="38" t="s">
        <v>52</v>
      </c>
      <c r="W329" s="40" t="str">
        <f t="shared" si="15"/>
        <v>Vikas Mehta</v>
      </c>
      <c r="X329" s="93" t="str">
        <f t="shared" si="16"/>
        <v>Home Appliances</v>
      </c>
      <c r="Y329" s="94" t="str">
        <f t="shared" si="17"/>
        <v>West</v>
      </c>
    </row>
    <row r="330" spans="1:25" ht="15" thickBot="1" x14ac:dyDescent="0.4">
      <c r="A330" s="90" t="s">
        <v>459</v>
      </c>
      <c r="B330" s="27" t="s">
        <v>104</v>
      </c>
      <c r="C330" s="27" t="s">
        <v>68</v>
      </c>
      <c r="D330" s="28">
        <v>45860</v>
      </c>
      <c r="E330" s="28">
        <v>45870</v>
      </c>
      <c r="F330" s="27" t="s">
        <v>166</v>
      </c>
      <c r="G330" s="27" t="s">
        <v>26</v>
      </c>
      <c r="H330" s="28">
        <v>38349</v>
      </c>
      <c r="I330" s="27" t="s">
        <v>37</v>
      </c>
      <c r="J330" s="27" t="s">
        <v>38</v>
      </c>
      <c r="K330" s="27" t="s">
        <v>29</v>
      </c>
      <c r="L330" s="27" t="s">
        <v>70</v>
      </c>
      <c r="M330" s="95">
        <v>9</v>
      </c>
      <c r="N330" s="27">
        <v>3500</v>
      </c>
      <c r="O330" s="27">
        <v>20</v>
      </c>
      <c r="P330" s="27">
        <v>25200</v>
      </c>
      <c r="Q330" s="27">
        <v>1</v>
      </c>
      <c r="R330" s="90" t="s">
        <v>60</v>
      </c>
      <c r="S330" s="27" t="s">
        <v>42</v>
      </c>
      <c r="T330" s="27" t="s">
        <v>108</v>
      </c>
      <c r="U330" s="27">
        <v>9950650508</v>
      </c>
      <c r="V330" s="37" t="s">
        <v>53</v>
      </c>
      <c r="W330" s="40" t="str">
        <f t="shared" si="15"/>
        <v>Anita Gupta</v>
      </c>
      <c r="X330" s="93" t="str">
        <f t="shared" si="16"/>
        <v>Home Appliances</v>
      </c>
      <c r="Y330" s="94" t="str">
        <f t="shared" si="17"/>
        <v>North</v>
      </c>
    </row>
    <row r="331" spans="1:25" ht="15" thickBot="1" x14ac:dyDescent="0.4">
      <c r="A331" s="90" t="s">
        <v>460</v>
      </c>
      <c r="B331" s="30" t="s">
        <v>87</v>
      </c>
      <c r="C331" s="30" t="s">
        <v>112</v>
      </c>
      <c r="D331" s="31">
        <v>45959</v>
      </c>
      <c r="E331" s="31">
        <v>45960</v>
      </c>
      <c r="F331" s="30" t="s">
        <v>88</v>
      </c>
      <c r="G331" s="30" t="s">
        <v>58</v>
      </c>
      <c r="H331" s="31">
        <v>37628</v>
      </c>
      <c r="I331" s="30" t="s">
        <v>27</v>
      </c>
      <c r="J331" s="30" t="s">
        <v>28</v>
      </c>
      <c r="K331" s="30" t="s">
        <v>39</v>
      </c>
      <c r="L331" s="30" t="s">
        <v>114</v>
      </c>
      <c r="M331" s="95">
        <v>15</v>
      </c>
      <c r="N331" s="30">
        <v>700</v>
      </c>
      <c r="O331" s="30">
        <v>5</v>
      </c>
      <c r="P331" s="30">
        <v>9975</v>
      </c>
      <c r="Q331" s="30">
        <v>1</v>
      </c>
      <c r="R331" s="90" t="s">
        <v>31</v>
      </c>
      <c r="S331" s="30" t="s">
        <v>42</v>
      </c>
      <c r="T331" s="30" t="s">
        <v>89</v>
      </c>
      <c r="U331" s="30">
        <v>9464035549</v>
      </c>
      <c r="V331" s="38" t="s">
        <v>53</v>
      </c>
      <c r="W331" s="40" t="str">
        <f t="shared" si="15"/>
        <v>Rohit Singh</v>
      </c>
      <c r="X331" s="93" t="str">
        <f t="shared" si="16"/>
        <v>Electronics</v>
      </c>
      <c r="Y331" s="94" t="str">
        <f t="shared" si="17"/>
        <v>South</v>
      </c>
    </row>
    <row r="332" spans="1:25" ht="15" thickBot="1" x14ac:dyDescent="0.4">
      <c r="A332" s="90" t="s">
        <v>461</v>
      </c>
      <c r="B332" s="27" t="s">
        <v>45</v>
      </c>
      <c r="C332" s="27" t="s">
        <v>56</v>
      </c>
      <c r="D332" s="28">
        <v>46086</v>
      </c>
      <c r="E332" s="28">
        <v>46091</v>
      </c>
      <c r="F332" s="27" t="s">
        <v>101</v>
      </c>
      <c r="G332" s="27" t="s">
        <v>26</v>
      </c>
      <c r="H332" s="28">
        <v>34037</v>
      </c>
      <c r="I332" s="27" t="s">
        <v>91</v>
      </c>
      <c r="J332" s="27" t="s">
        <v>75</v>
      </c>
      <c r="K332" s="27" t="s">
        <v>39</v>
      </c>
      <c r="L332" s="27" t="s">
        <v>59</v>
      </c>
      <c r="M332" s="95">
        <v>13</v>
      </c>
      <c r="N332" s="27">
        <v>1200</v>
      </c>
      <c r="O332" s="27">
        <v>0</v>
      </c>
      <c r="P332" s="27">
        <v>15600</v>
      </c>
      <c r="Q332" s="27">
        <v>3</v>
      </c>
      <c r="R332" s="90" t="s">
        <v>41</v>
      </c>
      <c r="S332" s="27" t="s">
        <v>80</v>
      </c>
      <c r="T332" s="27" t="s">
        <v>51</v>
      </c>
      <c r="U332" s="27">
        <v>9142334315</v>
      </c>
      <c r="V332" s="37" t="s">
        <v>53</v>
      </c>
      <c r="W332" s="40" t="str">
        <f t="shared" si="15"/>
        <v>Pooja Shah</v>
      </c>
      <c r="X332" s="93" t="str">
        <f t="shared" si="16"/>
        <v>Electronics</v>
      </c>
      <c r="Y332" s="94" t="str">
        <f t="shared" si="17"/>
        <v>West</v>
      </c>
    </row>
    <row r="333" spans="1:25" ht="15" thickBot="1" x14ac:dyDescent="0.4">
      <c r="A333" s="90" t="s">
        <v>462</v>
      </c>
      <c r="B333" s="30" t="s">
        <v>156</v>
      </c>
      <c r="C333" s="30" t="s">
        <v>36</v>
      </c>
      <c r="D333" s="31">
        <v>45895</v>
      </c>
      <c r="E333" s="31">
        <v>45907</v>
      </c>
      <c r="F333" s="30" t="s">
        <v>106</v>
      </c>
      <c r="G333" s="30" t="s">
        <v>58</v>
      </c>
      <c r="H333" s="31">
        <v>34123</v>
      </c>
      <c r="I333" s="30" t="s">
        <v>37</v>
      </c>
      <c r="J333" s="30" t="s">
        <v>38</v>
      </c>
      <c r="K333" s="30" t="s">
        <v>39</v>
      </c>
      <c r="L333" s="30" t="s">
        <v>40</v>
      </c>
      <c r="M333" s="95">
        <v>5</v>
      </c>
      <c r="N333" s="30">
        <v>12000</v>
      </c>
      <c r="O333" s="30">
        <v>10</v>
      </c>
      <c r="P333" s="30">
        <v>54000</v>
      </c>
      <c r="Q333" s="30">
        <v>3</v>
      </c>
      <c r="R333" s="90" t="s">
        <v>65</v>
      </c>
      <c r="S333" s="30" t="s">
        <v>42</v>
      </c>
      <c r="T333" s="30" t="s">
        <v>158</v>
      </c>
      <c r="U333" s="30">
        <v>9123961962</v>
      </c>
      <c r="V333" s="36" t="s">
        <v>34</v>
      </c>
      <c r="W333" s="40" t="str">
        <f t="shared" si="15"/>
        <v>Amit Sharma</v>
      </c>
      <c r="X333" s="93" t="str">
        <f t="shared" si="16"/>
        <v>Electronics</v>
      </c>
      <c r="Y333" s="94" t="str">
        <f t="shared" si="17"/>
        <v>North</v>
      </c>
    </row>
    <row r="334" spans="1:25" ht="15" thickBot="1" x14ac:dyDescent="0.4">
      <c r="A334" s="90" t="s">
        <v>463</v>
      </c>
      <c r="B334" s="27" t="s">
        <v>45</v>
      </c>
      <c r="C334" s="27" t="s">
        <v>138</v>
      </c>
      <c r="D334" s="28">
        <v>45752</v>
      </c>
      <c r="E334" s="28">
        <v>45755</v>
      </c>
      <c r="F334" s="27" t="s">
        <v>101</v>
      </c>
      <c r="G334" s="27" t="s">
        <v>26</v>
      </c>
      <c r="H334" s="28">
        <v>36504</v>
      </c>
      <c r="I334" s="27" t="s">
        <v>48</v>
      </c>
      <c r="J334" s="27" t="s">
        <v>28</v>
      </c>
      <c r="K334" s="27" t="s">
        <v>83</v>
      </c>
      <c r="L334" s="27" t="s">
        <v>139</v>
      </c>
      <c r="M334" s="95">
        <v>12</v>
      </c>
      <c r="N334" s="27">
        <v>45</v>
      </c>
      <c r="O334" s="27">
        <v>20</v>
      </c>
      <c r="P334" s="27">
        <v>432</v>
      </c>
      <c r="Q334" s="27">
        <v>3</v>
      </c>
      <c r="R334" s="90" t="s">
        <v>41</v>
      </c>
      <c r="S334" s="27" t="s">
        <v>50</v>
      </c>
      <c r="T334" s="27" t="s">
        <v>51</v>
      </c>
      <c r="U334" s="27">
        <v>9741953402</v>
      </c>
      <c r="V334" s="35" t="s">
        <v>34</v>
      </c>
      <c r="W334" s="40" t="str">
        <f t="shared" si="15"/>
        <v>Pooja Shah</v>
      </c>
      <c r="X334" s="93" t="str">
        <f t="shared" si="16"/>
        <v>Stationery</v>
      </c>
      <c r="Y334" s="94" t="str">
        <f t="shared" si="17"/>
        <v>South</v>
      </c>
    </row>
    <row r="335" spans="1:25" ht="15" thickBot="1" x14ac:dyDescent="0.4">
      <c r="A335" s="90" t="s">
        <v>464</v>
      </c>
      <c r="B335" s="30" t="s">
        <v>23</v>
      </c>
      <c r="C335" s="30" t="s">
        <v>68</v>
      </c>
      <c r="D335" s="31">
        <v>45756</v>
      </c>
      <c r="E335" s="31">
        <v>45761</v>
      </c>
      <c r="F335" s="30" t="s">
        <v>25</v>
      </c>
      <c r="G335" s="30" t="s">
        <v>26</v>
      </c>
      <c r="H335" s="31">
        <v>27917</v>
      </c>
      <c r="I335" s="30" t="s">
        <v>48</v>
      </c>
      <c r="J335" s="30" t="s">
        <v>28</v>
      </c>
      <c r="K335" s="30" t="s">
        <v>29</v>
      </c>
      <c r="L335" s="30" t="s">
        <v>70</v>
      </c>
      <c r="M335" s="95">
        <v>2</v>
      </c>
      <c r="N335" s="30">
        <v>3500</v>
      </c>
      <c r="O335" s="30">
        <v>0</v>
      </c>
      <c r="P335" s="30">
        <v>7000</v>
      </c>
      <c r="Q335" s="30">
        <v>1</v>
      </c>
      <c r="R335" s="90" t="s">
        <v>41</v>
      </c>
      <c r="S335" s="30" t="s">
        <v>80</v>
      </c>
      <c r="T335" s="30" t="s">
        <v>43</v>
      </c>
      <c r="U335" s="30">
        <v>9404733633</v>
      </c>
      <c r="V335" s="38" t="s">
        <v>52</v>
      </c>
      <c r="W335" s="40" t="str">
        <f t="shared" si="15"/>
        <v>Kavya Nair</v>
      </c>
      <c r="X335" s="93" t="str">
        <f t="shared" si="16"/>
        <v>Home Appliances</v>
      </c>
      <c r="Y335" s="94" t="str">
        <f t="shared" si="17"/>
        <v>South</v>
      </c>
    </row>
    <row r="336" spans="1:25" ht="15" thickBot="1" x14ac:dyDescent="0.4">
      <c r="A336" s="90" t="s">
        <v>465</v>
      </c>
      <c r="B336" s="27" t="s">
        <v>23</v>
      </c>
      <c r="C336" s="27" t="s">
        <v>24</v>
      </c>
      <c r="D336" s="28">
        <v>46155</v>
      </c>
      <c r="E336" s="28">
        <v>46158</v>
      </c>
      <c r="F336" s="27" t="s">
        <v>25</v>
      </c>
      <c r="G336" s="27" t="s">
        <v>26</v>
      </c>
      <c r="H336" s="28">
        <v>30982</v>
      </c>
      <c r="I336" s="27" t="s">
        <v>79</v>
      </c>
      <c r="J336" s="27" t="s">
        <v>75</v>
      </c>
      <c r="K336" s="27" t="s">
        <v>29</v>
      </c>
      <c r="L336" s="27" t="s">
        <v>30</v>
      </c>
      <c r="M336" s="95">
        <v>15</v>
      </c>
      <c r="N336" s="27">
        <v>2200</v>
      </c>
      <c r="O336" s="27">
        <v>15</v>
      </c>
      <c r="P336" s="27">
        <v>28050</v>
      </c>
      <c r="Q336" s="27">
        <v>2</v>
      </c>
      <c r="R336" s="90" t="s">
        <v>41</v>
      </c>
      <c r="S336" s="27" t="s">
        <v>42</v>
      </c>
      <c r="T336" s="27" t="s">
        <v>43</v>
      </c>
      <c r="U336" s="27">
        <v>9297492337</v>
      </c>
      <c r="V336" s="37" t="s">
        <v>52</v>
      </c>
      <c r="W336" s="40" t="str">
        <f t="shared" si="15"/>
        <v>Kavya Nair</v>
      </c>
      <c r="X336" s="93" t="str">
        <f t="shared" si="16"/>
        <v>Home Appliances</v>
      </c>
      <c r="Y336" s="94" t="str">
        <f t="shared" si="17"/>
        <v>West</v>
      </c>
    </row>
    <row r="337" spans="1:25" ht="15" thickBot="1" x14ac:dyDescent="0.4">
      <c r="A337" s="90" t="s">
        <v>466</v>
      </c>
      <c r="B337" s="30" t="s">
        <v>72</v>
      </c>
      <c r="C337" s="30" t="s">
        <v>125</v>
      </c>
      <c r="D337" s="31">
        <v>45995</v>
      </c>
      <c r="E337" s="31">
        <v>46003</v>
      </c>
      <c r="F337" s="30" t="s">
        <v>73</v>
      </c>
      <c r="G337" s="30" t="s">
        <v>26</v>
      </c>
      <c r="H337" s="31">
        <v>27453</v>
      </c>
      <c r="I337" s="30" t="s">
        <v>91</v>
      </c>
      <c r="J337" s="30" t="s">
        <v>75</v>
      </c>
      <c r="K337" s="30" t="s">
        <v>83</v>
      </c>
      <c r="L337" s="30" t="s">
        <v>127</v>
      </c>
      <c r="M337" s="95">
        <v>8</v>
      </c>
      <c r="N337" s="30">
        <v>20</v>
      </c>
      <c r="O337" s="30">
        <v>20</v>
      </c>
      <c r="P337" s="30">
        <v>128</v>
      </c>
      <c r="Q337" s="30">
        <v>5</v>
      </c>
      <c r="R337" s="90" t="s">
        <v>65</v>
      </c>
      <c r="S337" s="30" t="s">
        <v>42</v>
      </c>
      <c r="T337" s="30" t="s">
        <v>93</v>
      </c>
      <c r="U337" s="30">
        <v>9350338928</v>
      </c>
      <c r="V337" s="36" t="s">
        <v>34</v>
      </c>
      <c r="W337" s="40" t="str">
        <f t="shared" si="15"/>
        <v>Priya Patel</v>
      </c>
      <c r="X337" s="93" t="str">
        <f t="shared" si="16"/>
        <v>Stationery</v>
      </c>
      <c r="Y337" s="94" t="str">
        <f t="shared" si="17"/>
        <v>West</v>
      </c>
    </row>
    <row r="338" spans="1:25" ht="15" thickBot="1" x14ac:dyDescent="0.4">
      <c r="A338" s="90" t="s">
        <v>467</v>
      </c>
      <c r="B338" s="27" t="s">
        <v>87</v>
      </c>
      <c r="C338" s="27" t="s">
        <v>125</v>
      </c>
      <c r="D338" s="28">
        <v>46089</v>
      </c>
      <c r="E338" s="28">
        <v>46091</v>
      </c>
      <c r="F338" s="27" t="s">
        <v>88</v>
      </c>
      <c r="G338" s="27" t="s">
        <v>58</v>
      </c>
      <c r="H338" s="28">
        <v>34261</v>
      </c>
      <c r="I338" s="27" t="s">
        <v>27</v>
      </c>
      <c r="J338" s="27" t="s">
        <v>28</v>
      </c>
      <c r="K338" s="27" t="s">
        <v>83</v>
      </c>
      <c r="L338" s="27" t="s">
        <v>127</v>
      </c>
      <c r="M338" s="95">
        <v>1</v>
      </c>
      <c r="N338" s="27">
        <v>20</v>
      </c>
      <c r="O338" s="27">
        <v>0</v>
      </c>
      <c r="P338" s="27">
        <v>20</v>
      </c>
      <c r="Q338" s="27">
        <v>3</v>
      </c>
      <c r="R338" s="90" t="s">
        <v>65</v>
      </c>
      <c r="S338" s="27" t="s">
        <v>32</v>
      </c>
      <c r="T338" s="27" t="s">
        <v>89</v>
      </c>
      <c r="U338" s="27">
        <v>9933894798</v>
      </c>
      <c r="V338" s="35" t="s">
        <v>34</v>
      </c>
      <c r="W338" s="40" t="str">
        <f t="shared" si="15"/>
        <v>Rohit Singh</v>
      </c>
      <c r="X338" s="93" t="str">
        <f t="shared" si="16"/>
        <v>Stationery</v>
      </c>
      <c r="Y338" s="94" t="str">
        <f t="shared" si="17"/>
        <v>South</v>
      </c>
    </row>
    <row r="339" spans="1:25" ht="15" thickBot="1" x14ac:dyDescent="0.4">
      <c r="A339" s="90" t="s">
        <v>468</v>
      </c>
      <c r="B339" s="30" t="s">
        <v>23</v>
      </c>
      <c r="C339" s="30" t="s">
        <v>112</v>
      </c>
      <c r="D339" s="31">
        <v>46027</v>
      </c>
      <c r="E339" s="31">
        <v>46038</v>
      </c>
      <c r="F339" s="30" t="s">
        <v>25</v>
      </c>
      <c r="G339" s="30" t="s">
        <v>26</v>
      </c>
      <c r="H339" s="31">
        <v>30614</v>
      </c>
      <c r="I339" s="30" t="s">
        <v>121</v>
      </c>
      <c r="J339" s="30" t="s">
        <v>38</v>
      </c>
      <c r="K339" s="30" t="s">
        <v>39</v>
      </c>
      <c r="L339" s="30" t="s">
        <v>114</v>
      </c>
      <c r="M339" s="95">
        <v>15</v>
      </c>
      <c r="N339" s="30">
        <v>700</v>
      </c>
      <c r="O339" s="30">
        <v>0</v>
      </c>
      <c r="P339" s="30">
        <v>10500</v>
      </c>
      <c r="Q339" s="30">
        <v>2</v>
      </c>
      <c r="R339" s="90" t="s">
        <v>65</v>
      </c>
      <c r="S339" s="30" t="s">
        <v>42</v>
      </c>
      <c r="T339" s="30" t="s">
        <v>43</v>
      </c>
      <c r="U339" s="30">
        <v>9705218824</v>
      </c>
      <c r="V339" s="36" t="s">
        <v>34</v>
      </c>
      <c r="W339" s="40" t="str">
        <f t="shared" si="15"/>
        <v>Kavya Nair</v>
      </c>
      <c r="X339" s="93" t="str">
        <f t="shared" si="16"/>
        <v>Electronics</v>
      </c>
      <c r="Y339" s="94" t="str">
        <f t="shared" si="17"/>
        <v>North</v>
      </c>
    </row>
    <row r="340" spans="1:25" ht="15" thickBot="1" x14ac:dyDescent="0.4">
      <c r="A340" s="90" t="s">
        <v>469</v>
      </c>
      <c r="B340" s="27" t="s">
        <v>156</v>
      </c>
      <c r="C340" s="27" t="s">
        <v>68</v>
      </c>
      <c r="D340" s="28">
        <v>45695</v>
      </c>
      <c r="E340" s="28">
        <v>45698</v>
      </c>
      <c r="F340" s="27" t="s">
        <v>106</v>
      </c>
      <c r="G340" s="27" t="s">
        <v>58</v>
      </c>
      <c r="H340" s="28">
        <v>30324</v>
      </c>
      <c r="I340" s="27" t="s">
        <v>27</v>
      </c>
      <c r="J340" s="27" t="s">
        <v>28</v>
      </c>
      <c r="K340" s="27" t="s">
        <v>29</v>
      </c>
      <c r="L340" s="27" t="s">
        <v>70</v>
      </c>
      <c r="M340" s="95">
        <v>15</v>
      </c>
      <c r="N340" s="27">
        <v>3500</v>
      </c>
      <c r="O340" s="27">
        <v>10</v>
      </c>
      <c r="P340" s="27">
        <v>47250</v>
      </c>
      <c r="Q340" s="27">
        <v>3</v>
      </c>
      <c r="R340" s="90" t="s">
        <v>31</v>
      </c>
      <c r="S340" s="27" t="s">
        <v>96</v>
      </c>
      <c r="T340" s="27" t="s">
        <v>158</v>
      </c>
      <c r="U340" s="27">
        <v>9229164453</v>
      </c>
      <c r="V340" s="37" t="s">
        <v>52</v>
      </c>
      <c r="W340" s="40" t="str">
        <f t="shared" si="15"/>
        <v>Amit Sharma</v>
      </c>
      <c r="X340" s="93" t="str">
        <f t="shared" si="16"/>
        <v>Home Appliances</v>
      </c>
      <c r="Y340" s="94" t="str">
        <f t="shared" si="17"/>
        <v>South</v>
      </c>
    </row>
    <row r="341" spans="1:25" ht="15" thickBot="1" x14ac:dyDescent="0.4">
      <c r="A341" s="90" t="s">
        <v>470</v>
      </c>
      <c r="B341" s="30" t="s">
        <v>23</v>
      </c>
      <c r="C341" s="30" t="s">
        <v>82</v>
      </c>
      <c r="D341" s="31">
        <v>45866</v>
      </c>
      <c r="E341" s="31">
        <v>45876</v>
      </c>
      <c r="F341" s="30" t="s">
        <v>25</v>
      </c>
      <c r="G341" s="30" t="s">
        <v>26</v>
      </c>
      <c r="H341" s="31">
        <v>30664</v>
      </c>
      <c r="I341" s="30" t="s">
        <v>147</v>
      </c>
      <c r="J341" s="30" t="s">
        <v>148</v>
      </c>
      <c r="K341" s="30" t="s">
        <v>83</v>
      </c>
      <c r="L341" s="30" t="s">
        <v>84</v>
      </c>
      <c r="M341" s="95">
        <v>16</v>
      </c>
      <c r="N341" s="30">
        <v>60</v>
      </c>
      <c r="O341" s="30">
        <v>10</v>
      </c>
      <c r="P341" s="30">
        <v>864</v>
      </c>
      <c r="Q341" s="30">
        <v>4</v>
      </c>
      <c r="R341" s="90" t="s">
        <v>60</v>
      </c>
      <c r="S341" s="30" t="s">
        <v>50</v>
      </c>
      <c r="T341" s="30" t="s">
        <v>43</v>
      </c>
      <c r="U341" s="30">
        <v>9219806176</v>
      </c>
      <c r="V341" s="36" t="s">
        <v>34</v>
      </c>
      <c r="W341" s="40" t="str">
        <f t="shared" si="15"/>
        <v>Kavya Nair</v>
      </c>
      <c r="X341" s="93" t="str">
        <f t="shared" si="16"/>
        <v>Stationery</v>
      </c>
      <c r="Y341" s="94" t="str">
        <f t="shared" si="17"/>
        <v>East</v>
      </c>
    </row>
    <row r="342" spans="1:25" ht="15" thickBot="1" x14ac:dyDescent="0.4">
      <c r="A342" s="90" t="s">
        <v>471</v>
      </c>
      <c r="B342" s="27" t="s">
        <v>87</v>
      </c>
      <c r="C342" s="27" t="s">
        <v>138</v>
      </c>
      <c r="D342" s="28">
        <v>45945</v>
      </c>
      <c r="E342" s="28">
        <v>45951</v>
      </c>
      <c r="F342" s="27" t="s">
        <v>88</v>
      </c>
      <c r="G342" s="27" t="s">
        <v>58</v>
      </c>
      <c r="H342" s="28">
        <v>30585</v>
      </c>
      <c r="I342" s="27" t="s">
        <v>37</v>
      </c>
      <c r="J342" s="27" t="s">
        <v>38</v>
      </c>
      <c r="K342" s="27" t="s">
        <v>83</v>
      </c>
      <c r="L342" s="27" t="s">
        <v>139</v>
      </c>
      <c r="M342" s="95">
        <v>2</v>
      </c>
      <c r="N342" s="27">
        <v>45</v>
      </c>
      <c r="O342" s="27">
        <v>15</v>
      </c>
      <c r="P342" s="27">
        <v>76.5</v>
      </c>
      <c r="Q342" s="27">
        <v>1</v>
      </c>
      <c r="R342" s="90" t="s">
        <v>65</v>
      </c>
      <c r="S342" s="27" t="s">
        <v>96</v>
      </c>
      <c r="T342" s="27" t="s">
        <v>89</v>
      </c>
      <c r="U342" s="27">
        <v>9630210250</v>
      </c>
      <c r="V342" s="37" t="s">
        <v>53</v>
      </c>
      <c r="W342" s="40" t="str">
        <f t="shared" si="15"/>
        <v>Rohit Singh</v>
      </c>
      <c r="X342" s="93" t="str">
        <f t="shared" si="16"/>
        <v>Stationery</v>
      </c>
      <c r="Y342" s="94" t="str">
        <f t="shared" si="17"/>
        <v>North</v>
      </c>
    </row>
    <row r="343" spans="1:25" ht="15" thickBot="1" x14ac:dyDescent="0.4">
      <c r="A343" s="90" t="s">
        <v>472</v>
      </c>
      <c r="B343" s="30" t="s">
        <v>104</v>
      </c>
      <c r="C343" s="30" t="s">
        <v>82</v>
      </c>
      <c r="D343" s="31">
        <v>45997</v>
      </c>
      <c r="E343" s="31">
        <v>46006</v>
      </c>
      <c r="F343" s="30" t="s">
        <v>166</v>
      </c>
      <c r="G343" s="30" t="s">
        <v>26</v>
      </c>
      <c r="H343" s="31">
        <v>27537</v>
      </c>
      <c r="I343" s="30" t="s">
        <v>37</v>
      </c>
      <c r="J343" s="30" t="s">
        <v>38</v>
      </c>
      <c r="K343" s="30" t="s">
        <v>83</v>
      </c>
      <c r="L343" s="30" t="s">
        <v>84</v>
      </c>
      <c r="M343" s="95">
        <v>13</v>
      </c>
      <c r="N343" s="30">
        <v>60</v>
      </c>
      <c r="O343" s="30">
        <v>15</v>
      </c>
      <c r="P343" s="30">
        <v>663</v>
      </c>
      <c r="Q343" s="30">
        <v>2</v>
      </c>
      <c r="R343" s="90" t="s">
        <v>41</v>
      </c>
      <c r="S343" s="30" t="s">
        <v>50</v>
      </c>
      <c r="T343" s="30" t="s">
        <v>108</v>
      </c>
      <c r="U343" s="30">
        <v>9583354052</v>
      </c>
      <c r="V343" s="38" t="s">
        <v>53</v>
      </c>
      <c r="W343" s="40" t="str">
        <f t="shared" si="15"/>
        <v>Anita Gupta</v>
      </c>
      <c r="X343" s="93" t="str">
        <f t="shared" si="16"/>
        <v>Stationery</v>
      </c>
      <c r="Y343" s="94" t="str">
        <f t="shared" si="17"/>
        <v>North</v>
      </c>
    </row>
    <row r="344" spans="1:25" ht="15" thickBot="1" x14ac:dyDescent="0.4">
      <c r="A344" s="90" t="s">
        <v>473</v>
      </c>
      <c r="B344" s="27" t="s">
        <v>63</v>
      </c>
      <c r="C344" s="27" t="s">
        <v>36</v>
      </c>
      <c r="D344" s="28">
        <v>45797</v>
      </c>
      <c r="E344" s="28">
        <v>45799</v>
      </c>
      <c r="F344" s="27" t="s">
        <v>110</v>
      </c>
      <c r="G344" s="27" t="s">
        <v>58</v>
      </c>
      <c r="H344" s="28">
        <v>34647</v>
      </c>
      <c r="I344" s="27" t="s">
        <v>37</v>
      </c>
      <c r="J344" s="27" t="s">
        <v>38</v>
      </c>
      <c r="K344" s="27" t="s">
        <v>39</v>
      </c>
      <c r="L344" s="27" t="s">
        <v>40</v>
      </c>
      <c r="M344" s="95">
        <v>15</v>
      </c>
      <c r="N344" s="27">
        <v>12000</v>
      </c>
      <c r="O344" s="27">
        <v>20</v>
      </c>
      <c r="P344" s="27">
        <v>144000</v>
      </c>
      <c r="Q344" s="27">
        <v>3</v>
      </c>
      <c r="R344" s="90" t="s">
        <v>60</v>
      </c>
      <c r="S344" s="27" t="s">
        <v>32</v>
      </c>
      <c r="T344" s="27" t="s">
        <v>66</v>
      </c>
      <c r="U344" s="27">
        <v>9242534507</v>
      </c>
      <c r="V344" s="37" t="s">
        <v>53</v>
      </c>
      <c r="W344" s="40" t="str">
        <f t="shared" si="15"/>
        <v>Arjun Rao</v>
      </c>
      <c r="X344" s="93" t="str">
        <f t="shared" si="16"/>
        <v>Electronics</v>
      </c>
      <c r="Y344" s="94" t="str">
        <f t="shared" si="17"/>
        <v>North</v>
      </c>
    </row>
    <row r="345" spans="1:25" ht="15" thickBot="1" x14ac:dyDescent="0.4">
      <c r="A345" s="90" t="s">
        <v>474</v>
      </c>
      <c r="B345" s="30" t="s">
        <v>156</v>
      </c>
      <c r="C345" s="30" t="s">
        <v>125</v>
      </c>
      <c r="D345" s="31">
        <v>45863</v>
      </c>
      <c r="E345" s="31">
        <v>45871</v>
      </c>
      <c r="F345" s="30" t="s">
        <v>106</v>
      </c>
      <c r="G345" s="30" t="s">
        <v>58</v>
      </c>
      <c r="H345" s="31">
        <v>32128</v>
      </c>
      <c r="I345" s="30" t="s">
        <v>37</v>
      </c>
      <c r="J345" s="30" t="s">
        <v>38</v>
      </c>
      <c r="K345" s="30" t="s">
        <v>83</v>
      </c>
      <c r="L345" s="30" t="s">
        <v>127</v>
      </c>
      <c r="M345" s="95">
        <v>2</v>
      </c>
      <c r="N345" s="30">
        <v>20</v>
      </c>
      <c r="O345" s="30">
        <v>20</v>
      </c>
      <c r="P345" s="30">
        <v>32</v>
      </c>
      <c r="Q345" s="30">
        <v>4</v>
      </c>
      <c r="R345" s="90" t="s">
        <v>31</v>
      </c>
      <c r="S345" s="30" t="s">
        <v>32</v>
      </c>
      <c r="T345" s="30" t="s">
        <v>158</v>
      </c>
      <c r="U345" s="30">
        <v>9291239150</v>
      </c>
      <c r="V345" s="38" t="s">
        <v>52</v>
      </c>
      <c r="W345" s="40" t="str">
        <f t="shared" si="15"/>
        <v>Amit Sharma</v>
      </c>
      <c r="X345" s="93" t="str">
        <f t="shared" si="16"/>
        <v>Stationery</v>
      </c>
      <c r="Y345" s="94" t="str">
        <f t="shared" si="17"/>
        <v>North</v>
      </c>
    </row>
    <row r="346" spans="1:25" ht="15" thickBot="1" x14ac:dyDescent="0.4">
      <c r="A346" s="90" t="s">
        <v>475</v>
      </c>
      <c r="B346" s="27" t="s">
        <v>87</v>
      </c>
      <c r="C346" s="27" t="s">
        <v>68</v>
      </c>
      <c r="D346" s="28">
        <v>45874</v>
      </c>
      <c r="E346" s="28">
        <v>45886</v>
      </c>
      <c r="F346" s="27" t="s">
        <v>88</v>
      </c>
      <c r="G346" s="27" t="s">
        <v>58</v>
      </c>
      <c r="H346" s="28">
        <v>27564</v>
      </c>
      <c r="I346" s="27" t="s">
        <v>48</v>
      </c>
      <c r="J346" s="27" t="s">
        <v>28</v>
      </c>
      <c r="K346" s="27" t="s">
        <v>29</v>
      </c>
      <c r="L346" s="27" t="s">
        <v>70</v>
      </c>
      <c r="M346" s="95">
        <v>16</v>
      </c>
      <c r="N346" s="27">
        <v>3500</v>
      </c>
      <c r="O346" s="27">
        <v>0</v>
      </c>
      <c r="P346" s="27">
        <v>56000</v>
      </c>
      <c r="Q346" s="27">
        <v>4</v>
      </c>
      <c r="R346" s="90" t="s">
        <v>31</v>
      </c>
      <c r="S346" s="27" t="s">
        <v>80</v>
      </c>
      <c r="T346" s="27" t="s">
        <v>89</v>
      </c>
      <c r="U346" s="27">
        <v>9550820904</v>
      </c>
      <c r="V346" s="35" t="s">
        <v>34</v>
      </c>
      <c r="W346" s="40" t="str">
        <f t="shared" si="15"/>
        <v>Rohit Singh</v>
      </c>
      <c r="X346" s="93" t="str">
        <f t="shared" si="16"/>
        <v>Home Appliances</v>
      </c>
      <c r="Y346" s="94" t="str">
        <f t="shared" si="17"/>
        <v>South</v>
      </c>
    </row>
    <row r="347" spans="1:25" ht="15" thickBot="1" x14ac:dyDescent="0.4">
      <c r="A347" s="90" t="s">
        <v>476</v>
      </c>
      <c r="B347" s="30" t="s">
        <v>45</v>
      </c>
      <c r="C347" s="30" t="s">
        <v>68</v>
      </c>
      <c r="D347" s="31">
        <v>46071</v>
      </c>
      <c r="E347" s="31">
        <v>46078</v>
      </c>
      <c r="F347" s="30" t="s">
        <v>101</v>
      </c>
      <c r="G347" s="30" t="s">
        <v>26</v>
      </c>
      <c r="H347" s="31">
        <v>28134</v>
      </c>
      <c r="I347" s="30" t="s">
        <v>91</v>
      </c>
      <c r="J347" s="30" t="s">
        <v>75</v>
      </c>
      <c r="K347" s="30" t="s">
        <v>29</v>
      </c>
      <c r="L347" s="30" t="s">
        <v>70</v>
      </c>
      <c r="M347" s="95">
        <v>18</v>
      </c>
      <c r="N347" s="30">
        <v>3500</v>
      </c>
      <c r="O347" s="30">
        <v>15</v>
      </c>
      <c r="P347" s="30">
        <v>53550</v>
      </c>
      <c r="Q347" s="30">
        <v>5</v>
      </c>
      <c r="R347" s="90" t="s">
        <v>31</v>
      </c>
      <c r="S347" s="30" t="s">
        <v>96</v>
      </c>
      <c r="T347" s="30" t="s">
        <v>51</v>
      </c>
      <c r="U347" s="30">
        <v>9294486423</v>
      </c>
      <c r="V347" s="38" t="s">
        <v>53</v>
      </c>
      <c r="W347" s="40" t="str">
        <f t="shared" si="15"/>
        <v>Pooja Shah</v>
      </c>
      <c r="X347" s="93" t="str">
        <f t="shared" si="16"/>
        <v>Home Appliances</v>
      </c>
      <c r="Y347" s="94" t="str">
        <f t="shared" si="17"/>
        <v>West</v>
      </c>
    </row>
    <row r="348" spans="1:25" ht="15" thickBot="1" x14ac:dyDescent="0.4">
      <c r="A348" s="90" t="s">
        <v>477</v>
      </c>
      <c r="B348" s="27" t="s">
        <v>23</v>
      </c>
      <c r="C348" s="27" t="s">
        <v>138</v>
      </c>
      <c r="D348" s="28">
        <v>46102</v>
      </c>
      <c r="E348" s="28">
        <v>46107</v>
      </c>
      <c r="F348" s="27" t="s">
        <v>25</v>
      </c>
      <c r="G348" s="27" t="s">
        <v>26</v>
      </c>
      <c r="H348" s="28">
        <v>34232</v>
      </c>
      <c r="I348" s="27" t="s">
        <v>91</v>
      </c>
      <c r="J348" s="27" t="s">
        <v>75</v>
      </c>
      <c r="K348" s="27" t="s">
        <v>83</v>
      </c>
      <c r="L348" s="27" t="s">
        <v>139</v>
      </c>
      <c r="M348" s="95">
        <v>20</v>
      </c>
      <c r="N348" s="27">
        <v>45</v>
      </c>
      <c r="O348" s="27">
        <v>15</v>
      </c>
      <c r="P348" s="27">
        <v>765</v>
      </c>
      <c r="Q348" s="27">
        <v>4</v>
      </c>
      <c r="R348" s="90" t="s">
        <v>31</v>
      </c>
      <c r="S348" s="27" t="s">
        <v>96</v>
      </c>
      <c r="T348" s="27" t="s">
        <v>43</v>
      </c>
      <c r="U348" s="27">
        <v>9260258621</v>
      </c>
      <c r="V348" s="37" t="s">
        <v>53</v>
      </c>
      <c r="W348" s="40" t="str">
        <f t="shared" si="15"/>
        <v>Kavya Nair</v>
      </c>
      <c r="X348" s="93" t="str">
        <f t="shared" si="16"/>
        <v>Stationery</v>
      </c>
      <c r="Y348" s="94" t="str">
        <f t="shared" si="17"/>
        <v>West</v>
      </c>
    </row>
    <row r="349" spans="1:25" ht="15" thickBot="1" x14ac:dyDescent="0.4">
      <c r="A349" s="90" t="s">
        <v>479</v>
      </c>
      <c r="B349" s="30" t="s">
        <v>134</v>
      </c>
      <c r="C349" s="30" t="s">
        <v>24</v>
      </c>
      <c r="D349" s="31">
        <v>46128</v>
      </c>
      <c r="E349" s="31">
        <v>46131</v>
      </c>
      <c r="F349" s="30" t="s">
        <v>135</v>
      </c>
      <c r="G349" s="30" t="s">
        <v>26</v>
      </c>
      <c r="H349" s="31">
        <v>35494</v>
      </c>
      <c r="I349" s="30" t="s">
        <v>37</v>
      </c>
      <c r="J349" s="30" t="s">
        <v>38</v>
      </c>
      <c r="K349" s="30" t="s">
        <v>29</v>
      </c>
      <c r="L349" s="30" t="s">
        <v>30</v>
      </c>
      <c r="M349" s="95">
        <v>13</v>
      </c>
      <c r="N349" s="30">
        <v>2200</v>
      </c>
      <c r="O349" s="30">
        <v>15</v>
      </c>
      <c r="P349" s="30">
        <v>24310</v>
      </c>
      <c r="Q349" s="30">
        <v>2</v>
      </c>
      <c r="R349" s="90" t="s">
        <v>41</v>
      </c>
      <c r="S349" s="30" t="s">
        <v>80</v>
      </c>
      <c r="T349" s="30" t="s">
        <v>136</v>
      </c>
      <c r="U349" s="30">
        <v>9697433584</v>
      </c>
      <c r="V349" s="38" t="s">
        <v>52</v>
      </c>
      <c r="W349" s="40" t="str">
        <f t="shared" si="15"/>
        <v>Sneha Joshi</v>
      </c>
      <c r="X349" s="93" t="str">
        <f t="shared" si="16"/>
        <v>Home Appliances</v>
      </c>
      <c r="Y349" s="94" t="str">
        <f t="shared" si="17"/>
        <v>North</v>
      </c>
    </row>
    <row r="350" spans="1:25" ht="15" thickBot="1" x14ac:dyDescent="0.4">
      <c r="A350" s="90" t="s">
        <v>480</v>
      </c>
      <c r="B350" s="27" t="s">
        <v>45</v>
      </c>
      <c r="C350" s="27" t="s">
        <v>478</v>
      </c>
      <c r="D350" s="28">
        <v>45943</v>
      </c>
      <c r="E350" s="28">
        <v>45944</v>
      </c>
      <c r="F350" s="27" t="s">
        <v>101</v>
      </c>
      <c r="G350" s="27" t="s">
        <v>26</v>
      </c>
      <c r="H350" s="28">
        <v>37447</v>
      </c>
      <c r="I350" s="27" t="s">
        <v>147</v>
      </c>
      <c r="J350" s="27" t="s">
        <v>148</v>
      </c>
      <c r="K350" s="27" t="s">
        <v>29</v>
      </c>
      <c r="L350" s="27" t="s">
        <v>107</v>
      </c>
      <c r="M350" s="95">
        <v>11</v>
      </c>
      <c r="N350" s="27">
        <v>8500</v>
      </c>
      <c r="O350" s="27">
        <v>5</v>
      </c>
      <c r="P350" s="27">
        <v>88825</v>
      </c>
      <c r="Q350" s="27">
        <v>1</v>
      </c>
      <c r="R350" s="90" t="s">
        <v>65</v>
      </c>
      <c r="S350" s="27" t="s">
        <v>80</v>
      </c>
      <c r="T350" s="27" t="s">
        <v>51</v>
      </c>
      <c r="U350" s="27">
        <v>9837969758</v>
      </c>
      <c r="V350" s="37" t="s">
        <v>53</v>
      </c>
      <c r="W350" s="40" t="str">
        <f t="shared" si="15"/>
        <v>Pooja Shah</v>
      </c>
      <c r="X350" s="93" t="str">
        <f t="shared" si="16"/>
        <v>Home Appliances</v>
      </c>
      <c r="Y350" s="94" t="str">
        <f t="shared" si="17"/>
        <v>East</v>
      </c>
    </row>
    <row r="351" spans="1:25" ht="15" thickBot="1" x14ac:dyDescent="0.4">
      <c r="A351" s="90" t="s">
        <v>481</v>
      </c>
      <c r="B351" s="30" t="s">
        <v>45</v>
      </c>
      <c r="C351" s="30" t="s">
        <v>24</v>
      </c>
      <c r="D351" s="31">
        <v>45996</v>
      </c>
      <c r="E351" s="31">
        <v>46001</v>
      </c>
      <c r="F351" s="30" t="s">
        <v>101</v>
      </c>
      <c r="G351" s="30" t="s">
        <v>26</v>
      </c>
      <c r="H351" s="31">
        <v>30790</v>
      </c>
      <c r="I351" s="30" t="s">
        <v>121</v>
      </c>
      <c r="J351" s="30" t="s">
        <v>38</v>
      </c>
      <c r="K351" s="30" t="s">
        <v>29</v>
      </c>
      <c r="L351" s="30" t="s">
        <v>30</v>
      </c>
      <c r="M351" s="95">
        <v>2</v>
      </c>
      <c r="N351" s="30">
        <v>2200</v>
      </c>
      <c r="O351" s="30">
        <v>0</v>
      </c>
      <c r="P351" s="30">
        <v>4400</v>
      </c>
      <c r="Q351" s="30">
        <v>4</v>
      </c>
      <c r="R351" s="90" t="s">
        <v>65</v>
      </c>
      <c r="S351" s="30" t="s">
        <v>96</v>
      </c>
      <c r="T351" s="30" t="s">
        <v>51</v>
      </c>
      <c r="U351" s="30">
        <v>9209736419</v>
      </c>
      <c r="V351" s="38" t="s">
        <v>52</v>
      </c>
      <c r="W351" s="40" t="str">
        <f t="shared" si="15"/>
        <v>Pooja Shah</v>
      </c>
      <c r="X351" s="93" t="str">
        <f t="shared" si="16"/>
        <v>Home Appliances</v>
      </c>
      <c r="Y351" s="94" t="str">
        <f t="shared" si="17"/>
        <v>North</v>
      </c>
    </row>
    <row r="352" spans="1:25" ht="15" thickBot="1" x14ac:dyDescent="0.4">
      <c r="A352" s="90" t="s">
        <v>482</v>
      </c>
      <c r="B352" s="27" t="s">
        <v>63</v>
      </c>
      <c r="C352" s="27" t="s">
        <v>112</v>
      </c>
      <c r="D352" s="28">
        <v>45868</v>
      </c>
      <c r="E352" s="28">
        <v>45873</v>
      </c>
      <c r="F352" s="27" t="s">
        <v>110</v>
      </c>
      <c r="G352" s="27" t="s">
        <v>58</v>
      </c>
      <c r="H352" s="28">
        <v>37803</v>
      </c>
      <c r="I352" s="27" t="s">
        <v>74</v>
      </c>
      <c r="J352" s="27" t="s">
        <v>75</v>
      </c>
      <c r="K352" s="27" t="s">
        <v>39</v>
      </c>
      <c r="L352" s="27" t="s">
        <v>114</v>
      </c>
      <c r="M352" s="95">
        <v>15</v>
      </c>
      <c r="N352" s="27">
        <v>700</v>
      </c>
      <c r="O352" s="27">
        <v>15</v>
      </c>
      <c r="P352" s="27">
        <v>8925</v>
      </c>
      <c r="Q352" s="27">
        <v>3</v>
      </c>
      <c r="R352" s="90" t="s">
        <v>41</v>
      </c>
      <c r="S352" s="27" t="s">
        <v>80</v>
      </c>
      <c r="T352" s="27" t="s">
        <v>66</v>
      </c>
      <c r="U352" s="27">
        <v>9645907237</v>
      </c>
      <c r="V352" s="35" t="s">
        <v>34</v>
      </c>
      <c r="W352" s="40" t="str">
        <f t="shared" si="15"/>
        <v>Arjun Rao</v>
      </c>
      <c r="X352" s="93" t="str">
        <f t="shared" si="16"/>
        <v>Electronics</v>
      </c>
      <c r="Y352" s="94" t="str">
        <f t="shared" si="17"/>
        <v>West</v>
      </c>
    </row>
    <row r="353" spans="1:25" ht="15" thickBot="1" x14ac:dyDescent="0.4">
      <c r="A353" s="90" t="s">
        <v>483</v>
      </c>
      <c r="B353" s="30" t="s">
        <v>87</v>
      </c>
      <c r="C353" s="30" t="s">
        <v>24</v>
      </c>
      <c r="D353" s="31">
        <v>45856</v>
      </c>
      <c r="E353" s="31">
        <v>45862</v>
      </c>
      <c r="F353" s="30" t="s">
        <v>88</v>
      </c>
      <c r="G353" s="30" t="s">
        <v>58</v>
      </c>
      <c r="H353" s="31">
        <v>33902</v>
      </c>
      <c r="I353" s="30" t="s">
        <v>91</v>
      </c>
      <c r="J353" s="30" t="s">
        <v>75</v>
      </c>
      <c r="K353" s="30" t="s">
        <v>29</v>
      </c>
      <c r="L353" s="30" t="s">
        <v>30</v>
      </c>
      <c r="M353" s="95">
        <v>5</v>
      </c>
      <c r="N353" s="30">
        <v>2200</v>
      </c>
      <c r="O353" s="30">
        <v>15</v>
      </c>
      <c r="P353" s="30">
        <v>9350</v>
      </c>
      <c r="Q353" s="30">
        <v>1</v>
      </c>
      <c r="R353" s="90" t="s">
        <v>41</v>
      </c>
      <c r="S353" s="30" t="s">
        <v>80</v>
      </c>
      <c r="T353" s="30" t="s">
        <v>89</v>
      </c>
      <c r="U353" s="30">
        <v>9566149945</v>
      </c>
      <c r="V353" s="38" t="s">
        <v>52</v>
      </c>
      <c r="W353" s="40" t="str">
        <f t="shared" si="15"/>
        <v>Rohit Singh</v>
      </c>
      <c r="X353" s="93" t="str">
        <f t="shared" si="16"/>
        <v>Home Appliances</v>
      </c>
      <c r="Y353" s="94" t="str">
        <f t="shared" si="17"/>
        <v>West</v>
      </c>
    </row>
    <row r="354" spans="1:25" ht="15" thickBot="1" x14ac:dyDescent="0.4">
      <c r="A354" s="90" t="s">
        <v>484</v>
      </c>
      <c r="B354" s="27" t="s">
        <v>63</v>
      </c>
      <c r="C354" s="27" t="s">
        <v>56</v>
      </c>
      <c r="D354" s="28">
        <v>46092</v>
      </c>
      <c r="E354" s="28">
        <v>46093</v>
      </c>
      <c r="F354" s="27" t="s">
        <v>110</v>
      </c>
      <c r="G354" s="27" t="s">
        <v>58</v>
      </c>
      <c r="H354" s="28">
        <v>32360</v>
      </c>
      <c r="I354" s="27" t="s">
        <v>91</v>
      </c>
      <c r="J354" s="27" t="s">
        <v>75</v>
      </c>
      <c r="K354" s="27" t="s">
        <v>39</v>
      </c>
      <c r="L354" s="27" t="s">
        <v>59</v>
      </c>
      <c r="M354" s="95">
        <v>15</v>
      </c>
      <c r="N354" s="27">
        <v>1200</v>
      </c>
      <c r="O354" s="27">
        <v>0</v>
      </c>
      <c r="P354" s="27">
        <v>18000</v>
      </c>
      <c r="Q354" s="27">
        <v>3</v>
      </c>
      <c r="R354" s="90" t="s">
        <v>41</v>
      </c>
      <c r="S354" s="27" t="s">
        <v>50</v>
      </c>
      <c r="T354" s="27" t="s">
        <v>66</v>
      </c>
      <c r="U354" s="27">
        <v>9935018068</v>
      </c>
      <c r="V354" s="37" t="s">
        <v>53</v>
      </c>
      <c r="W354" s="40" t="str">
        <f t="shared" si="15"/>
        <v>Arjun Rao</v>
      </c>
      <c r="X354" s="93" t="str">
        <f t="shared" si="16"/>
        <v>Electronics</v>
      </c>
      <c r="Y354" s="94" t="str">
        <f t="shared" si="17"/>
        <v>West</v>
      </c>
    </row>
    <row r="355" spans="1:25" ht="15" thickBot="1" x14ac:dyDescent="0.4">
      <c r="A355" s="90" t="s">
        <v>485</v>
      </c>
      <c r="B355" s="30" t="s">
        <v>134</v>
      </c>
      <c r="C355" s="30" t="s">
        <v>56</v>
      </c>
      <c r="D355" s="31">
        <v>46120</v>
      </c>
      <c r="E355" s="31">
        <v>46122</v>
      </c>
      <c r="F355" s="30" t="s">
        <v>135</v>
      </c>
      <c r="G355" s="30" t="s">
        <v>26</v>
      </c>
      <c r="H355" s="31">
        <v>31952</v>
      </c>
      <c r="I355" s="30" t="s">
        <v>74</v>
      </c>
      <c r="J355" s="30" t="s">
        <v>75</v>
      </c>
      <c r="K355" s="30" t="s">
        <v>39</v>
      </c>
      <c r="L355" s="30" t="s">
        <v>59</v>
      </c>
      <c r="M355" s="95">
        <v>19</v>
      </c>
      <c r="N355" s="30">
        <v>1200</v>
      </c>
      <c r="O355" s="30">
        <v>0</v>
      </c>
      <c r="P355" s="30">
        <v>22800</v>
      </c>
      <c r="Q355" s="30">
        <v>1</v>
      </c>
      <c r="R355" s="90" t="s">
        <v>31</v>
      </c>
      <c r="S355" s="30" t="s">
        <v>42</v>
      </c>
      <c r="T355" s="30" t="s">
        <v>136</v>
      </c>
      <c r="U355" s="30">
        <v>9171794652</v>
      </c>
      <c r="V355" s="38" t="s">
        <v>53</v>
      </c>
      <c r="W355" s="40" t="str">
        <f t="shared" si="15"/>
        <v>Sneha Joshi</v>
      </c>
      <c r="X355" s="93" t="str">
        <f t="shared" si="16"/>
        <v>Electronics</v>
      </c>
      <c r="Y355" s="94" t="str">
        <f t="shared" si="17"/>
        <v>West</v>
      </c>
    </row>
    <row r="356" spans="1:25" ht="15" thickBot="1" x14ac:dyDescent="0.4">
      <c r="A356" s="90" t="s">
        <v>486</v>
      </c>
      <c r="B356" s="27" t="s">
        <v>104</v>
      </c>
      <c r="C356" s="27" t="s">
        <v>36</v>
      </c>
      <c r="D356" s="28">
        <v>45918</v>
      </c>
      <c r="E356" s="28">
        <v>45925</v>
      </c>
      <c r="F356" s="27" t="s">
        <v>166</v>
      </c>
      <c r="G356" s="27" t="s">
        <v>26</v>
      </c>
      <c r="H356" s="28">
        <v>32800</v>
      </c>
      <c r="I356" s="27" t="s">
        <v>74</v>
      </c>
      <c r="J356" s="27" t="s">
        <v>75</v>
      </c>
      <c r="K356" s="27" t="s">
        <v>39</v>
      </c>
      <c r="L356" s="27" t="s">
        <v>40</v>
      </c>
      <c r="M356" s="95">
        <v>9</v>
      </c>
      <c r="N356" s="27">
        <v>12000</v>
      </c>
      <c r="O356" s="27">
        <v>15</v>
      </c>
      <c r="P356" s="27">
        <v>91800</v>
      </c>
      <c r="Q356" s="27">
        <v>3</v>
      </c>
      <c r="R356" s="90" t="s">
        <v>65</v>
      </c>
      <c r="S356" s="27" t="s">
        <v>42</v>
      </c>
      <c r="T356" s="27" t="s">
        <v>108</v>
      </c>
      <c r="U356" s="27">
        <v>9671497416</v>
      </c>
      <c r="V356" s="37" t="s">
        <v>53</v>
      </c>
      <c r="W356" s="40" t="str">
        <f t="shared" si="15"/>
        <v>Anita Gupta</v>
      </c>
      <c r="X356" s="93" t="str">
        <f t="shared" si="16"/>
        <v>Electronics</v>
      </c>
      <c r="Y356" s="94" t="str">
        <f t="shared" si="17"/>
        <v>West</v>
      </c>
    </row>
    <row r="357" spans="1:25" ht="15" thickBot="1" x14ac:dyDescent="0.4">
      <c r="A357" s="90" t="s">
        <v>488</v>
      </c>
      <c r="B357" s="30" t="s">
        <v>23</v>
      </c>
      <c r="C357" s="30" t="s">
        <v>138</v>
      </c>
      <c r="D357" s="31">
        <v>45941</v>
      </c>
      <c r="E357" s="31">
        <v>45951</v>
      </c>
      <c r="F357" s="30" t="s">
        <v>25</v>
      </c>
      <c r="G357" s="30" t="s">
        <v>26</v>
      </c>
      <c r="H357" s="31">
        <v>33746</v>
      </c>
      <c r="I357" s="30" t="s">
        <v>121</v>
      </c>
      <c r="J357" s="30" t="s">
        <v>38</v>
      </c>
      <c r="K357" s="30" t="s">
        <v>83</v>
      </c>
      <c r="L357" s="30" t="s">
        <v>139</v>
      </c>
      <c r="M357" s="95">
        <v>5</v>
      </c>
      <c r="N357" s="30">
        <v>45</v>
      </c>
      <c r="O357" s="30">
        <v>5</v>
      </c>
      <c r="P357" s="30">
        <v>213.75</v>
      </c>
      <c r="Q357" s="30">
        <v>1</v>
      </c>
      <c r="R357" s="90" t="s">
        <v>60</v>
      </c>
      <c r="S357" s="30" t="s">
        <v>80</v>
      </c>
      <c r="T357" s="30" t="s">
        <v>43</v>
      </c>
      <c r="U357" s="30">
        <v>9810433484</v>
      </c>
      <c r="V357" s="36" t="s">
        <v>34</v>
      </c>
      <c r="W357" s="40" t="str">
        <f t="shared" si="15"/>
        <v>Kavya Nair</v>
      </c>
      <c r="X357" s="93" t="str">
        <f t="shared" si="16"/>
        <v>Stationery</v>
      </c>
      <c r="Y357" s="94" t="str">
        <f t="shared" si="17"/>
        <v>North</v>
      </c>
    </row>
    <row r="358" spans="1:25" ht="15" thickBot="1" x14ac:dyDescent="0.4">
      <c r="A358" s="90" t="s">
        <v>489</v>
      </c>
      <c r="B358" s="27" t="s">
        <v>134</v>
      </c>
      <c r="C358" s="27" t="s">
        <v>112</v>
      </c>
      <c r="D358" s="92" t="s">
        <v>52</v>
      </c>
      <c r="E358" s="28">
        <v>45699</v>
      </c>
      <c r="F358" s="27" t="s">
        <v>135</v>
      </c>
      <c r="G358" s="27" t="s">
        <v>26</v>
      </c>
      <c r="H358" s="28">
        <v>32822</v>
      </c>
      <c r="I358" s="27" t="s">
        <v>74</v>
      </c>
      <c r="J358" s="27" t="s">
        <v>75</v>
      </c>
      <c r="K358" s="27" t="s">
        <v>39</v>
      </c>
      <c r="L358" s="27" t="s">
        <v>114</v>
      </c>
      <c r="M358" s="95">
        <v>3</v>
      </c>
      <c r="N358" s="27">
        <v>700</v>
      </c>
      <c r="O358" s="27">
        <v>15</v>
      </c>
      <c r="P358" s="27">
        <v>1785</v>
      </c>
      <c r="Q358" s="27">
        <v>4</v>
      </c>
      <c r="R358" s="90" t="s">
        <v>31</v>
      </c>
      <c r="S358" s="27" t="s">
        <v>96</v>
      </c>
      <c r="T358" s="27" t="s">
        <v>136</v>
      </c>
      <c r="U358" s="27">
        <v>9990243436</v>
      </c>
      <c r="V358" s="35" t="s">
        <v>34</v>
      </c>
      <c r="W358" s="40" t="str">
        <f t="shared" si="15"/>
        <v>Sneha Joshi</v>
      </c>
      <c r="X358" s="93" t="str">
        <f t="shared" si="16"/>
        <v>Electronics</v>
      </c>
      <c r="Y358" s="94" t="str">
        <f t="shared" si="17"/>
        <v>West</v>
      </c>
    </row>
    <row r="359" spans="1:25" ht="15" thickBot="1" x14ac:dyDescent="0.4">
      <c r="A359" s="90" t="s">
        <v>490</v>
      </c>
      <c r="B359" s="30" t="s">
        <v>55</v>
      </c>
      <c r="C359" s="30" t="s">
        <v>105</v>
      </c>
      <c r="D359" s="31">
        <v>46005</v>
      </c>
      <c r="E359" s="31">
        <v>46017</v>
      </c>
      <c r="F359" s="30" t="s">
        <v>57</v>
      </c>
      <c r="G359" s="30" t="s">
        <v>58</v>
      </c>
      <c r="H359" s="31">
        <v>29467</v>
      </c>
      <c r="I359" s="30" t="s">
        <v>121</v>
      </c>
      <c r="J359" s="30" t="s">
        <v>38</v>
      </c>
      <c r="K359" s="30" t="s">
        <v>29</v>
      </c>
      <c r="L359" s="30" t="s">
        <v>107</v>
      </c>
      <c r="M359" s="95">
        <v>12</v>
      </c>
      <c r="N359" s="30">
        <v>8500</v>
      </c>
      <c r="O359" s="30">
        <v>5</v>
      </c>
      <c r="P359" s="30">
        <v>96900</v>
      </c>
      <c r="Q359" s="30">
        <v>3</v>
      </c>
      <c r="R359" s="90" t="s">
        <v>60</v>
      </c>
      <c r="S359" s="30" t="s">
        <v>50</v>
      </c>
      <c r="T359" s="30" t="s">
        <v>61</v>
      </c>
      <c r="U359" s="30">
        <v>9396678031</v>
      </c>
      <c r="V359" s="38" t="s">
        <v>52</v>
      </c>
      <c r="W359" s="40" t="str">
        <f t="shared" si="15"/>
        <v>Mohit Verma</v>
      </c>
      <c r="X359" s="93" t="str">
        <f t="shared" si="16"/>
        <v>Home Appliances</v>
      </c>
      <c r="Y359" s="94" t="str">
        <f t="shared" si="17"/>
        <v>North</v>
      </c>
    </row>
    <row r="360" spans="1:25" ht="15" thickBot="1" x14ac:dyDescent="0.4">
      <c r="A360" s="90" t="s">
        <v>491</v>
      </c>
      <c r="B360" s="27" t="s">
        <v>134</v>
      </c>
      <c r="C360" s="27" t="s">
        <v>105</v>
      </c>
      <c r="D360" s="28">
        <v>46123</v>
      </c>
      <c r="E360" s="28">
        <v>46131</v>
      </c>
      <c r="F360" s="27" t="s">
        <v>135</v>
      </c>
      <c r="G360" s="27" t="s">
        <v>26</v>
      </c>
      <c r="H360" s="28">
        <v>28920</v>
      </c>
      <c r="I360" s="27" t="s">
        <v>79</v>
      </c>
      <c r="J360" s="27" t="s">
        <v>75</v>
      </c>
      <c r="K360" s="27" t="s">
        <v>29</v>
      </c>
      <c r="L360" s="27" t="s">
        <v>107</v>
      </c>
      <c r="M360" s="95">
        <v>4</v>
      </c>
      <c r="N360" s="27">
        <v>8500</v>
      </c>
      <c r="O360" s="27">
        <v>15</v>
      </c>
      <c r="P360" s="27">
        <v>28900</v>
      </c>
      <c r="Q360" s="27">
        <v>4</v>
      </c>
      <c r="R360" s="90" t="s">
        <v>41</v>
      </c>
      <c r="S360" s="27" t="s">
        <v>50</v>
      </c>
      <c r="T360" s="27" t="s">
        <v>136</v>
      </c>
      <c r="U360" s="27">
        <v>9818591245</v>
      </c>
      <c r="V360" s="37" t="s">
        <v>52</v>
      </c>
      <c r="W360" s="40" t="str">
        <f t="shared" si="15"/>
        <v>Sneha Joshi</v>
      </c>
      <c r="X360" s="93" t="str">
        <f t="shared" si="16"/>
        <v>Home Appliances</v>
      </c>
      <c r="Y360" s="94" t="str">
        <f t="shared" si="17"/>
        <v>West</v>
      </c>
    </row>
    <row r="361" spans="1:25" ht="15" thickBot="1" x14ac:dyDescent="0.4">
      <c r="A361" s="90" t="s">
        <v>492</v>
      </c>
      <c r="B361" s="30" t="s">
        <v>87</v>
      </c>
      <c r="C361" s="30" t="s">
        <v>125</v>
      </c>
      <c r="D361" s="31">
        <v>45766</v>
      </c>
      <c r="E361" s="31">
        <v>45769</v>
      </c>
      <c r="F361" s="30" t="s">
        <v>88</v>
      </c>
      <c r="G361" s="30" t="s">
        <v>58</v>
      </c>
      <c r="H361" s="31">
        <v>35312</v>
      </c>
      <c r="I361" s="30" t="s">
        <v>121</v>
      </c>
      <c r="J361" s="30" t="s">
        <v>38</v>
      </c>
      <c r="K361" s="30" t="s">
        <v>83</v>
      </c>
      <c r="L361" s="30" t="s">
        <v>127</v>
      </c>
      <c r="M361" s="95">
        <v>16</v>
      </c>
      <c r="N361" s="30">
        <v>20</v>
      </c>
      <c r="O361" s="30">
        <v>10</v>
      </c>
      <c r="P361" s="30">
        <v>288</v>
      </c>
      <c r="Q361" s="30">
        <v>4</v>
      </c>
      <c r="R361" s="90" t="s">
        <v>31</v>
      </c>
      <c r="S361" s="30" t="s">
        <v>80</v>
      </c>
      <c r="T361" s="30" t="s">
        <v>89</v>
      </c>
      <c r="U361" s="30">
        <v>9505550047</v>
      </c>
      <c r="V361" s="38" t="s">
        <v>53</v>
      </c>
      <c r="W361" s="40" t="str">
        <f t="shared" si="15"/>
        <v>Rohit Singh</v>
      </c>
      <c r="X361" s="93" t="str">
        <f t="shared" si="16"/>
        <v>Stationery</v>
      </c>
      <c r="Y361" s="94" t="str">
        <f t="shared" si="17"/>
        <v>North</v>
      </c>
    </row>
    <row r="362" spans="1:25" ht="15" thickBot="1" x14ac:dyDescent="0.4">
      <c r="A362" s="90" t="s">
        <v>493</v>
      </c>
      <c r="B362" s="27" t="s">
        <v>87</v>
      </c>
      <c r="C362" s="27" t="s">
        <v>82</v>
      </c>
      <c r="D362" s="28">
        <v>46152</v>
      </c>
      <c r="E362" s="28">
        <v>46160</v>
      </c>
      <c r="F362" s="27" t="s">
        <v>88</v>
      </c>
      <c r="G362" s="27" t="s">
        <v>58</v>
      </c>
      <c r="H362" s="28">
        <v>36233</v>
      </c>
      <c r="I362" s="27" t="s">
        <v>74</v>
      </c>
      <c r="J362" s="27" t="s">
        <v>75</v>
      </c>
      <c r="K362" s="27" t="s">
        <v>83</v>
      </c>
      <c r="L362" s="27" t="s">
        <v>84</v>
      </c>
      <c r="M362" s="95">
        <v>3</v>
      </c>
      <c r="N362" s="27">
        <v>60</v>
      </c>
      <c r="O362" s="27">
        <v>20</v>
      </c>
      <c r="P362" s="27">
        <v>144</v>
      </c>
      <c r="Q362" s="27">
        <v>4</v>
      </c>
      <c r="R362" s="90" t="s">
        <v>65</v>
      </c>
      <c r="S362" s="27" t="s">
        <v>96</v>
      </c>
      <c r="T362" s="27" t="s">
        <v>89</v>
      </c>
      <c r="U362" s="27">
        <v>9469828772</v>
      </c>
      <c r="V362" s="37" t="s">
        <v>52</v>
      </c>
      <c r="W362" s="40" t="str">
        <f t="shared" si="15"/>
        <v>Rohit Singh</v>
      </c>
      <c r="X362" s="93" t="str">
        <f t="shared" si="16"/>
        <v>Stationery</v>
      </c>
      <c r="Y362" s="94" t="str">
        <f t="shared" si="17"/>
        <v>West</v>
      </c>
    </row>
    <row r="363" spans="1:25" ht="15" thickBot="1" x14ac:dyDescent="0.4">
      <c r="A363" s="90" t="s">
        <v>494</v>
      </c>
      <c r="B363" s="30" t="s">
        <v>55</v>
      </c>
      <c r="C363" s="30" t="s">
        <v>24</v>
      </c>
      <c r="D363" s="31">
        <v>45858</v>
      </c>
      <c r="E363" s="31">
        <v>45864</v>
      </c>
      <c r="F363" s="30" t="s">
        <v>57</v>
      </c>
      <c r="G363" s="30" t="s">
        <v>58</v>
      </c>
      <c r="H363" s="31">
        <v>30958</v>
      </c>
      <c r="I363" s="30" t="s">
        <v>74</v>
      </c>
      <c r="J363" s="30" t="s">
        <v>75</v>
      </c>
      <c r="K363" s="30" t="s">
        <v>29</v>
      </c>
      <c r="L363" s="30" t="s">
        <v>30</v>
      </c>
      <c r="M363" s="95">
        <v>19</v>
      </c>
      <c r="N363" s="30">
        <v>2200</v>
      </c>
      <c r="O363" s="30">
        <v>10</v>
      </c>
      <c r="P363" s="30">
        <v>37620</v>
      </c>
      <c r="Q363" s="30">
        <v>2</v>
      </c>
      <c r="R363" s="90" t="s">
        <v>31</v>
      </c>
      <c r="S363" s="30" t="s">
        <v>96</v>
      </c>
      <c r="T363" s="30" t="s">
        <v>61</v>
      </c>
      <c r="U363" s="30">
        <v>9885092680</v>
      </c>
      <c r="V363" s="38" t="s">
        <v>52</v>
      </c>
      <c r="W363" s="40" t="str">
        <f t="shared" si="15"/>
        <v>Mohit Verma</v>
      </c>
      <c r="X363" s="93" t="str">
        <f t="shared" si="16"/>
        <v>Home Appliances</v>
      </c>
      <c r="Y363" s="94" t="str">
        <f t="shared" si="17"/>
        <v>West</v>
      </c>
    </row>
    <row r="364" spans="1:25" ht="15" thickBot="1" x14ac:dyDescent="0.4">
      <c r="A364" s="90" t="s">
        <v>495</v>
      </c>
      <c r="B364" s="27" t="s">
        <v>55</v>
      </c>
      <c r="C364" s="27" t="s">
        <v>56</v>
      </c>
      <c r="D364" s="28">
        <v>46045</v>
      </c>
      <c r="E364" s="28">
        <v>46049</v>
      </c>
      <c r="F364" s="27" t="s">
        <v>57</v>
      </c>
      <c r="G364" s="27" t="s">
        <v>58</v>
      </c>
      <c r="H364" s="28">
        <v>30872</v>
      </c>
      <c r="I364" s="27" t="s">
        <v>27</v>
      </c>
      <c r="J364" s="27" t="s">
        <v>28</v>
      </c>
      <c r="K364" s="27" t="s">
        <v>39</v>
      </c>
      <c r="L364" s="27" t="s">
        <v>59</v>
      </c>
      <c r="M364" s="95">
        <v>7</v>
      </c>
      <c r="N364" s="27">
        <v>1200</v>
      </c>
      <c r="O364" s="27">
        <v>20</v>
      </c>
      <c r="P364" s="27">
        <v>6720</v>
      </c>
      <c r="Q364" s="27">
        <v>3</v>
      </c>
      <c r="R364" s="90" t="s">
        <v>60</v>
      </c>
      <c r="S364" s="27" t="s">
        <v>80</v>
      </c>
      <c r="T364" s="27" t="s">
        <v>61</v>
      </c>
      <c r="U364" s="27">
        <v>9362319457</v>
      </c>
      <c r="V364" s="37" t="s">
        <v>53</v>
      </c>
      <c r="W364" s="40" t="str">
        <f t="shared" si="15"/>
        <v>Mohit Verma</v>
      </c>
      <c r="X364" s="93" t="str">
        <f t="shared" si="16"/>
        <v>Electronics</v>
      </c>
      <c r="Y364" s="94" t="str">
        <f t="shared" si="17"/>
        <v>South</v>
      </c>
    </row>
    <row r="365" spans="1:25" ht="15" thickBot="1" x14ac:dyDescent="0.4">
      <c r="A365" s="90" t="s">
        <v>496</v>
      </c>
      <c r="B365" s="30" t="s">
        <v>45</v>
      </c>
      <c r="C365" s="30" t="s">
        <v>125</v>
      </c>
      <c r="D365" s="31">
        <v>46097</v>
      </c>
      <c r="E365" s="31">
        <v>46102</v>
      </c>
      <c r="F365" s="30" t="s">
        <v>101</v>
      </c>
      <c r="G365" s="30" t="s">
        <v>26</v>
      </c>
      <c r="H365" s="31">
        <v>32577</v>
      </c>
      <c r="I365" s="30" t="s">
        <v>48</v>
      </c>
      <c r="J365" s="30" t="s">
        <v>28</v>
      </c>
      <c r="K365" s="30" t="s">
        <v>83</v>
      </c>
      <c r="L365" s="30" t="s">
        <v>127</v>
      </c>
      <c r="M365" s="95">
        <v>20</v>
      </c>
      <c r="N365" s="30">
        <v>20</v>
      </c>
      <c r="O365" s="30">
        <v>20</v>
      </c>
      <c r="P365" s="30">
        <v>320</v>
      </c>
      <c r="Q365" s="30">
        <v>5</v>
      </c>
      <c r="R365" s="90" t="s">
        <v>60</v>
      </c>
      <c r="S365" s="30" t="s">
        <v>80</v>
      </c>
      <c r="T365" s="30" t="s">
        <v>51</v>
      </c>
      <c r="U365" s="30">
        <v>9223945130</v>
      </c>
      <c r="V365" s="38" t="s">
        <v>52</v>
      </c>
      <c r="W365" s="40" t="str">
        <f t="shared" si="15"/>
        <v>Pooja Shah</v>
      </c>
      <c r="X365" s="93" t="str">
        <f t="shared" si="16"/>
        <v>Stationery</v>
      </c>
      <c r="Y365" s="94" t="str">
        <f t="shared" si="17"/>
        <v>South</v>
      </c>
    </row>
    <row r="366" spans="1:25" ht="15" thickBot="1" x14ac:dyDescent="0.4">
      <c r="A366" s="90" t="s">
        <v>497</v>
      </c>
      <c r="B366" s="27" t="s">
        <v>72</v>
      </c>
      <c r="C366" s="27" t="s">
        <v>56</v>
      </c>
      <c r="D366" s="28">
        <v>45777</v>
      </c>
      <c r="E366" s="28">
        <v>45784</v>
      </c>
      <c r="F366" s="27" t="s">
        <v>73</v>
      </c>
      <c r="G366" s="27" t="s">
        <v>26</v>
      </c>
      <c r="H366" s="28">
        <v>31156</v>
      </c>
      <c r="I366" s="27" t="s">
        <v>27</v>
      </c>
      <c r="J366" s="27" t="s">
        <v>28</v>
      </c>
      <c r="K366" s="27" t="s">
        <v>39</v>
      </c>
      <c r="L366" s="27" t="s">
        <v>59</v>
      </c>
      <c r="M366" s="95">
        <v>19</v>
      </c>
      <c r="N366" s="27">
        <v>1200</v>
      </c>
      <c r="O366" s="27">
        <v>5</v>
      </c>
      <c r="P366" s="27">
        <v>21660</v>
      </c>
      <c r="Q366" s="27">
        <v>3</v>
      </c>
      <c r="R366" s="90" t="s">
        <v>60</v>
      </c>
      <c r="S366" s="27" t="s">
        <v>32</v>
      </c>
      <c r="T366" s="27" t="s">
        <v>93</v>
      </c>
      <c r="U366" s="27">
        <v>9910804926</v>
      </c>
      <c r="V366" s="37" t="s">
        <v>52</v>
      </c>
      <c r="W366" s="40" t="str">
        <f t="shared" si="15"/>
        <v>Priya Patel</v>
      </c>
      <c r="X366" s="93" t="str">
        <f t="shared" si="16"/>
        <v>Electronics</v>
      </c>
      <c r="Y366" s="94" t="str">
        <f t="shared" si="17"/>
        <v>South</v>
      </c>
    </row>
    <row r="367" spans="1:25" ht="15" thickBot="1" x14ac:dyDescent="0.4">
      <c r="A367" s="90" t="s">
        <v>498</v>
      </c>
      <c r="B367" s="30" t="s">
        <v>45</v>
      </c>
      <c r="C367" s="30" t="s">
        <v>125</v>
      </c>
      <c r="D367" s="31">
        <v>45691</v>
      </c>
      <c r="E367" s="31">
        <v>45701</v>
      </c>
      <c r="F367" s="30" t="s">
        <v>101</v>
      </c>
      <c r="G367" s="30" t="s">
        <v>26</v>
      </c>
      <c r="H367" s="31">
        <v>37846</v>
      </c>
      <c r="I367" s="30" t="s">
        <v>27</v>
      </c>
      <c r="J367" s="30" t="s">
        <v>28</v>
      </c>
      <c r="K367" s="30" t="s">
        <v>83</v>
      </c>
      <c r="L367" s="30" t="s">
        <v>127</v>
      </c>
      <c r="M367" s="95">
        <v>5</v>
      </c>
      <c r="N367" s="30">
        <v>20</v>
      </c>
      <c r="O367" s="30">
        <v>0</v>
      </c>
      <c r="P367" s="30">
        <v>100</v>
      </c>
      <c r="Q367" s="30">
        <v>2</v>
      </c>
      <c r="R367" s="90" t="s">
        <v>65</v>
      </c>
      <c r="S367" s="30" t="s">
        <v>42</v>
      </c>
      <c r="T367" s="30" t="s">
        <v>51</v>
      </c>
      <c r="U367" s="30">
        <v>9274269744</v>
      </c>
      <c r="V367" s="38" t="s">
        <v>52</v>
      </c>
      <c r="W367" s="40" t="str">
        <f t="shared" si="15"/>
        <v>Pooja Shah</v>
      </c>
      <c r="X367" s="93" t="str">
        <f t="shared" si="16"/>
        <v>Stationery</v>
      </c>
      <c r="Y367" s="94" t="str">
        <f t="shared" si="17"/>
        <v>South</v>
      </c>
    </row>
    <row r="368" spans="1:25" ht="15" thickBot="1" x14ac:dyDescent="0.4">
      <c r="A368" s="90" t="s">
        <v>499</v>
      </c>
      <c r="B368" s="27" t="s">
        <v>72</v>
      </c>
      <c r="C368" s="27" t="s">
        <v>138</v>
      </c>
      <c r="D368" s="28">
        <v>46088</v>
      </c>
      <c r="E368" s="28">
        <v>46097</v>
      </c>
      <c r="F368" s="27" t="s">
        <v>73</v>
      </c>
      <c r="G368" s="27" t="s">
        <v>26</v>
      </c>
      <c r="H368" s="28">
        <v>30570</v>
      </c>
      <c r="I368" s="27" t="s">
        <v>121</v>
      </c>
      <c r="J368" s="27" t="s">
        <v>38</v>
      </c>
      <c r="K368" s="27" t="s">
        <v>83</v>
      </c>
      <c r="L368" s="27" t="s">
        <v>139</v>
      </c>
      <c r="M368" s="95">
        <v>16</v>
      </c>
      <c r="N368" s="27">
        <v>45</v>
      </c>
      <c r="O368" s="27">
        <v>15</v>
      </c>
      <c r="P368" s="27">
        <v>612</v>
      </c>
      <c r="Q368" s="27">
        <v>5</v>
      </c>
      <c r="R368" s="90" t="s">
        <v>31</v>
      </c>
      <c r="S368" s="27" t="s">
        <v>50</v>
      </c>
      <c r="T368" s="27" t="s">
        <v>93</v>
      </c>
      <c r="U368" s="27">
        <v>9223196101</v>
      </c>
      <c r="V368" s="37" t="s">
        <v>53</v>
      </c>
      <c r="W368" s="40" t="str">
        <f t="shared" si="15"/>
        <v>Priya Patel</v>
      </c>
      <c r="X368" s="93" t="str">
        <f t="shared" si="16"/>
        <v>Stationery</v>
      </c>
      <c r="Y368" s="94" t="str">
        <f t="shared" si="17"/>
        <v>North</v>
      </c>
    </row>
    <row r="369" spans="1:25" ht="15" thickBot="1" x14ac:dyDescent="0.4">
      <c r="A369" s="90" t="s">
        <v>500</v>
      </c>
      <c r="B369" s="30" t="s">
        <v>23</v>
      </c>
      <c r="C369" s="30" t="s">
        <v>24</v>
      </c>
      <c r="D369" s="31">
        <v>45780</v>
      </c>
      <c r="E369" s="31">
        <v>45792</v>
      </c>
      <c r="F369" s="30" t="s">
        <v>25</v>
      </c>
      <c r="G369" s="30" t="s">
        <v>26</v>
      </c>
      <c r="H369" s="31">
        <v>27922</v>
      </c>
      <c r="I369" s="30" t="s">
        <v>121</v>
      </c>
      <c r="J369" s="30" t="s">
        <v>38</v>
      </c>
      <c r="K369" s="30" t="s">
        <v>29</v>
      </c>
      <c r="L369" s="30" t="s">
        <v>30</v>
      </c>
      <c r="M369" s="95">
        <v>1</v>
      </c>
      <c r="N369" s="30">
        <v>2200</v>
      </c>
      <c r="O369" s="30">
        <v>10</v>
      </c>
      <c r="P369" s="30">
        <v>1980</v>
      </c>
      <c r="Q369" s="30">
        <v>5</v>
      </c>
      <c r="R369" s="90" t="s">
        <v>60</v>
      </c>
      <c r="S369" s="30" t="s">
        <v>42</v>
      </c>
      <c r="T369" s="30" t="s">
        <v>43</v>
      </c>
      <c r="U369" s="30">
        <v>9888477457</v>
      </c>
      <c r="V369" s="36" t="s">
        <v>34</v>
      </c>
      <c r="W369" s="40" t="str">
        <f t="shared" si="15"/>
        <v>Kavya Nair</v>
      </c>
      <c r="X369" s="93" t="str">
        <f t="shared" si="16"/>
        <v>Home Appliances</v>
      </c>
      <c r="Y369" s="94" t="str">
        <f t="shared" si="17"/>
        <v>North</v>
      </c>
    </row>
    <row r="370" spans="1:25" ht="15" thickBot="1" x14ac:dyDescent="0.4">
      <c r="A370" s="90" t="s">
        <v>501</v>
      </c>
      <c r="B370" s="27" t="s">
        <v>45</v>
      </c>
      <c r="C370" s="27" t="s">
        <v>82</v>
      </c>
      <c r="D370" s="28">
        <v>46113</v>
      </c>
      <c r="E370" s="28">
        <v>46117</v>
      </c>
      <c r="F370" s="27" t="s">
        <v>101</v>
      </c>
      <c r="G370" s="27" t="s">
        <v>26</v>
      </c>
      <c r="H370" s="28">
        <v>31781</v>
      </c>
      <c r="I370" s="27" t="s">
        <v>27</v>
      </c>
      <c r="J370" s="27" t="s">
        <v>28</v>
      </c>
      <c r="K370" s="27" t="s">
        <v>83</v>
      </c>
      <c r="L370" s="27" t="s">
        <v>84</v>
      </c>
      <c r="M370" s="95">
        <v>19</v>
      </c>
      <c r="N370" s="27">
        <v>60</v>
      </c>
      <c r="O370" s="27">
        <v>15</v>
      </c>
      <c r="P370" s="27">
        <v>969</v>
      </c>
      <c r="Q370" s="27">
        <v>4</v>
      </c>
      <c r="R370" s="90" t="s">
        <v>41</v>
      </c>
      <c r="S370" s="27" t="s">
        <v>80</v>
      </c>
      <c r="T370" s="27" t="s">
        <v>51</v>
      </c>
      <c r="U370" s="27">
        <v>9435947486</v>
      </c>
      <c r="V370" s="37" t="s">
        <v>53</v>
      </c>
      <c r="W370" s="40" t="str">
        <f t="shared" si="15"/>
        <v>Pooja Shah</v>
      </c>
      <c r="X370" s="93" t="str">
        <f t="shared" si="16"/>
        <v>Stationery</v>
      </c>
      <c r="Y370" s="94" t="str">
        <f t="shared" si="17"/>
        <v>South</v>
      </c>
    </row>
    <row r="371" spans="1:25" ht="15" thickBot="1" x14ac:dyDescent="0.4">
      <c r="A371" s="90" t="s">
        <v>502</v>
      </c>
      <c r="B371" s="30" t="s">
        <v>156</v>
      </c>
      <c r="C371" s="30" t="s">
        <v>46</v>
      </c>
      <c r="D371" s="92" t="s">
        <v>52</v>
      </c>
      <c r="E371" s="31">
        <v>45690</v>
      </c>
      <c r="F371" s="30" t="s">
        <v>106</v>
      </c>
      <c r="G371" s="30" t="s">
        <v>58</v>
      </c>
      <c r="H371" s="31">
        <v>33738</v>
      </c>
      <c r="I371" s="30" t="s">
        <v>37</v>
      </c>
      <c r="J371" s="30" t="s">
        <v>38</v>
      </c>
      <c r="K371" s="30" t="s">
        <v>39</v>
      </c>
      <c r="L371" s="30" t="s">
        <v>49</v>
      </c>
      <c r="M371" s="95">
        <v>15</v>
      </c>
      <c r="N371" s="30">
        <v>55000</v>
      </c>
      <c r="O371" s="30">
        <v>0</v>
      </c>
      <c r="P371" s="30">
        <v>825000</v>
      </c>
      <c r="Q371" s="30">
        <v>5</v>
      </c>
      <c r="R371" s="90" t="s">
        <v>60</v>
      </c>
      <c r="S371" s="30" t="s">
        <v>80</v>
      </c>
      <c r="T371" s="30" t="s">
        <v>158</v>
      </c>
      <c r="U371" s="30">
        <v>9411668831</v>
      </c>
      <c r="V371" s="38" t="s">
        <v>53</v>
      </c>
      <c r="W371" s="40" t="str">
        <f t="shared" si="15"/>
        <v>Amit Sharma</v>
      </c>
      <c r="X371" s="93" t="str">
        <f t="shared" si="16"/>
        <v>Electronics</v>
      </c>
      <c r="Y371" s="94" t="str">
        <f t="shared" si="17"/>
        <v>North</v>
      </c>
    </row>
    <row r="372" spans="1:25" ht="15" thickBot="1" x14ac:dyDescent="0.4">
      <c r="A372" s="90" t="s">
        <v>503</v>
      </c>
      <c r="B372" s="27" t="s">
        <v>55</v>
      </c>
      <c r="C372" s="27" t="s">
        <v>138</v>
      </c>
      <c r="D372" s="28">
        <v>45936</v>
      </c>
      <c r="E372" s="28">
        <v>45938</v>
      </c>
      <c r="F372" s="27" t="s">
        <v>57</v>
      </c>
      <c r="G372" s="27" t="s">
        <v>58</v>
      </c>
      <c r="H372" s="28">
        <v>32631</v>
      </c>
      <c r="I372" s="27" t="s">
        <v>48</v>
      </c>
      <c r="J372" s="27" t="s">
        <v>28</v>
      </c>
      <c r="K372" s="27" t="s">
        <v>83</v>
      </c>
      <c r="L372" s="27" t="s">
        <v>139</v>
      </c>
      <c r="M372" s="95">
        <v>11</v>
      </c>
      <c r="N372" s="27">
        <v>45</v>
      </c>
      <c r="O372" s="27">
        <v>5</v>
      </c>
      <c r="P372" s="27">
        <v>470.25</v>
      </c>
      <c r="Q372" s="27">
        <v>5</v>
      </c>
      <c r="R372" s="90" t="s">
        <v>41</v>
      </c>
      <c r="S372" s="27" t="s">
        <v>96</v>
      </c>
      <c r="T372" s="27" t="s">
        <v>61</v>
      </c>
      <c r="U372" s="27">
        <v>9523682403</v>
      </c>
      <c r="V372" s="35" t="s">
        <v>34</v>
      </c>
      <c r="W372" s="40" t="str">
        <f t="shared" si="15"/>
        <v>Mohit Verma</v>
      </c>
      <c r="X372" s="93" t="str">
        <f t="shared" si="16"/>
        <v>Stationery</v>
      </c>
      <c r="Y372" s="94" t="str">
        <f t="shared" si="17"/>
        <v>South</v>
      </c>
    </row>
    <row r="373" spans="1:25" ht="15" thickBot="1" x14ac:dyDescent="0.4">
      <c r="A373" s="90" t="s">
        <v>504</v>
      </c>
      <c r="B373" s="30" t="s">
        <v>134</v>
      </c>
      <c r="C373" s="30" t="s">
        <v>125</v>
      </c>
      <c r="D373" s="31">
        <v>45820</v>
      </c>
      <c r="E373" s="31">
        <v>45825</v>
      </c>
      <c r="F373" s="30" t="s">
        <v>135</v>
      </c>
      <c r="G373" s="30" t="s">
        <v>26</v>
      </c>
      <c r="H373" s="31">
        <v>33226</v>
      </c>
      <c r="I373" s="30" t="s">
        <v>121</v>
      </c>
      <c r="J373" s="30" t="s">
        <v>38</v>
      </c>
      <c r="K373" s="30" t="s">
        <v>83</v>
      </c>
      <c r="L373" s="30" t="s">
        <v>127</v>
      </c>
      <c r="M373" s="95">
        <v>9</v>
      </c>
      <c r="N373" s="30">
        <v>20</v>
      </c>
      <c r="O373" s="30">
        <v>10</v>
      </c>
      <c r="P373" s="30">
        <v>162</v>
      </c>
      <c r="Q373" s="30">
        <v>1</v>
      </c>
      <c r="R373" s="90" t="s">
        <v>60</v>
      </c>
      <c r="S373" s="30" t="s">
        <v>42</v>
      </c>
      <c r="T373" s="30" t="s">
        <v>136</v>
      </c>
      <c r="U373" s="30">
        <v>9652936744</v>
      </c>
      <c r="V373" s="38" t="s">
        <v>53</v>
      </c>
      <c r="W373" s="40" t="str">
        <f t="shared" si="15"/>
        <v>Sneha Joshi</v>
      </c>
      <c r="X373" s="93" t="str">
        <f t="shared" si="16"/>
        <v>Stationery</v>
      </c>
      <c r="Y373" s="94" t="str">
        <f t="shared" si="17"/>
        <v>North</v>
      </c>
    </row>
    <row r="374" spans="1:25" ht="15" thickBot="1" x14ac:dyDescent="0.4">
      <c r="A374" s="90" t="s">
        <v>505</v>
      </c>
      <c r="B374" s="27" t="s">
        <v>104</v>
      </c>
      <c r="C374" s="27" t="s">
        <v>138</v>
      </c>
      <c r="D374" s="28">
        <v>45979</v>
      </c>
      <c r="E374" s="28">
        <v>45981</v>
      </c>
      <c r="F374" s="27" t="s">
        <v>166</v>
      </c>
      <c r="G374" s="27" t="s">
        <v>26</v>
      </c>
      <c r="H374" s="28">
        <v>34889</v>
      </c>
      <c r="I374" s="27" t="s">
        <v>48</v>
      </c>
      <c r="J374" s="27" t="s">
        <v>28</v>
      </c>
      <c r="K374" s="27" t="s">
        <v>83</v>
      </c>
      <c r="L374" s="27" t="s">
        <v>139</v>
      </c>
      <c r="M374" s="95">
        <v>5</v>
      </c>
      <c r="N374" s="27">
        <v>45</v>
      </c>
      <c r="O374" s="27">
        <v>5</v>
      </c>
      <c r="P374" s="27">
        <v>213.75</v>
      </c>
      <c r="Q374" s="27">
        <v>3</v>
      </c>
      <c r="R374" s="90" t="s">
        <v>60</v>
      </c>
      <c r="S374" s="27" t="s">
        <v>80</v>
      </c>
      <c r="T374" s="27" t="s">
        <v>108</v>
      </c>
      <c r="U374" s="27">
        <v>9726464733</v>
      </c>
      <c r="V374" s="37" t="s">
        <v>52</v>
      </c>
      <c r="W374" s="40" t="str">
        <f t="shared" si="15"/>
        <v>Anita Gupta</v>
      </c>
      <c r="X374" s="93" t="str">
        <f t="shared" si="16"/>
        <v>Stationery</v>
      </c>
      <c r="Y374" s="94" t="str">
        <f t="shared" si="17"/>
        <v>South</v>
      </c>
    </row>
    <row r="375" spans="1:25" ht="15" thickBot="1" x14ac:dyDescent="0.4">
      <c r="A375" s="90" t="s">
        <v>506</v>
      </c>
      <c r="B375" s="30" t="s">
        <v>63</v>
      </c>
      <c r="C375" s="30" t="s">
        <v>112</v>
      </c>
      <c r="D375" s="31">
        <v>45962</v>
      </c>
      <c r="E375" s="31">
        <v>45963</v>
      </c>
      <c r="F375" s="30" t="s">
        <v>110</v>
      </c>
      <c r="G375" s="30" t="s">
        <v>58</v>
      </c>
      <c r="H375" s="31">
        <v>36152</v>
      </c>
      <c r="I375" s="30" t="s">
        <v>27</v>
      </c>
      <c r="J375" s="30" t="s">
        <v>28</v>
      </c>
      <c r="K375" s="30" t="s">
        <v>39</v>
      </c>
      <c r="L375" s="30" t="s">
        <v>114</v>
      </c>
      <c r="M375" s="95">
        <v>5</v>
      </c>
      <c r="N375" s="30">
        <v>700</v>
      </c>
      <c r="O375" s="30">
        <v>10</v>
      </c>
      <c r="P375" s="30">
        <v>3150</v>
      </c>
      <c r="Q375" s="30">
        <v>2</v>
      </c>
      <c r="R375" s="90" t="s">
        <v>65</v>
      </c>
      <c r="S375" s="30" t="s">
        <v>42</v>
      </c>
      <c r="T375" s="30" t="s">
        <v>66</v>
      </c>
      <c r="U375" s="30">
        <v>9273520544</v>
      </c>
      <c r="V375" s="36" t="s">
        <v>34</v>
      </c>
      <c r="W375" s="40" t="str">
        <f t="shared" si="15"/>
        <v>Arjun Rao</v>
      </c>
      <c r="X375" s="93" t="str">
        <f t="shared" si="16"/>
        <v>Electronics</v>
      </c>
      <c r="Y375" s="94" t="str">
        <f t="shared" si="17"/>
        <v>South</v>
      </c>
    </row>
    <row r="376" spans="1:25" ht="15" thickBot="1" x14ac:dyDescent="0.4">
      <c r="A376" s="90" t="s">
        <v>507</v>
      </c>
      <c r="B376" s="27" t="s">
        <v>124</v>
      </c>
      <c r="C376" s="27" t="s">
        <v>112</v>
      </c>
      <c r="D376" s="28">
        <v>45681</v>
      </c>
      <c r="E376" s="28">
        <v>45688</v>
      </c>
      <c r="F376" s="27" t="s">
        <v>126</v>
      </c>
      <c r="G376" s="27" t="s">
        <v>58</v>
      </c>
      <c r="H376" s="28">
        <v>29212</v>
      </c>
      <c r="I376" s="27" t="s">
        <v>147</v>
      </c>
      <c r="J376" s="27" t="s">
        <v>148</v>
      </c>
      <c r="K376" s="27" t="s">
        <v>39</v>
      </c>
      <c r="L376" s="27" t="s">
        <v>114</v>
      </c>
      <c r="M376" s="95">
        <v>1</v>
      </c>
      <c r="N376" s="27">
        <v>700</v>
      </c>
      <c r="O376" s="27">
        <v>0</v>
      </c>
      <c r="P376" s="27">
        <v>700</v>
      </c>
      <c r="Q376" s="27">
        <v>1</v>
      </c>
      <c r="R376" s="90" t="s">
        <v>65</v>
      </c>
      <c r="S376" s="27" t="s">
        <v>96</v>
      </c>
      <c r="T376" s="27" t="s">
        <v>128</v>
      </c>
      <c r="U376" s="27">
        <v>9374259988</v>
      </c>
      <c r="V376" s="35" t="s">
        <v>34</v>
      </c>
      <c r="W376" s="40" t="str">
        <f t="shared" si="15"/>
        <v>Vikas Mehta</v>
      </c>
      <c r="X376" s="93" t="str">
        <f t="shared" si="16"/>
        <v>Electronics</v>
      </c>
      <c r="Y376" s="94" t="str">
        <f t="shared" si="17"/>
        <v>East</v>
      </c>
    </row>
    <row r="377" spans="1:25" ht="15" thickBot="1" x14ac:dyDescent="0.4">
      <c r="A377" s="90" t="s">
        <v>508</v>
      </c>
      <c r="B377" s="30" t="s">
        <v>23</v>
      </c>
      <c r="C377" s="30" t="s">
        <v>112</v>
      </c>
      <c r="D377" s="31">
        <v>46066</v>
      </c>
      <c r="E377" s="31">
        <v>46074</v>
      </c>
      <c r="F377" s="30" t="s">
        <v>25</v>
      </c>
      <c r="G377" s="30" t="s">
        <v>26</v>
      </c>
      <c r="H377" s="31">
        <v>27743</v>
      </c>
      <c r="I377" s="30" t="s">
        <v>74</v>
      </c>
      <c r="J377" s="30" t="s">
        <v>75</v>
      </c>
      <c r="K377" s="30" t="s">
        <v>39</v>
      </c>
      <c r="L377" s="30" t="s">
        <v>114</v>
      </c>
      <c r="M377" s="95">
        <v>13</v>
      </c>
      <c r="N377" s="30">
        <v>700</v>
      </c>
      <c r="O377" s="30">
        <v>20</v>
      </c>
      <c r="P377" s="30">
        <v>7280</v>
      </c>
      <c r="Q377" s="30">
        <v>2</v>
      </c>
      <c r="R377" s="90" t="s">
        <v>60</v>
      </c>
      <c r="S377" s="30" t="s">
        <v>32</v>
      </c>
      <c r="T377" s="30" t="s">
        <v>43</v>
      </c>
      <c r="U377" s="30">
        <v>9538129419</v>
      </c>
      <c r="V377" s="36" t="s">
        <v>34</v>
      </c>
      <c r="W377" s="40" t="str">
        <f t="shared" si="15"/>
        <v>Kavya Nair</v>
      </c>
      <c r="X377" s="93" t="str">
        <f t="shared" si="16"/>
        <v>Electronics</v>
      </c>
      <c r="Y377" s="94" t="str">
        <f t="shared" si="17"/>
        <v>West</v>
      </c>
    </row>
    <row r="378" spans="1:25" ht="15" thickBot="1" x14ac:dyDescent="0.4">
      <c r="A378" s="90" t="s">
        <v>509</v>
      </c>
      <c r="B378" s="27" t="s">
        <v>55</v>
      </c>
      <c r="C378" s="27" t="s">
        <v>36</v>
      </c>
      <c r="D378" s="28">
        <v>45696</v>
      </c>
      <c r="E378" s="28">
        <v>45707</v>
      </c>
      <c r="F378" s="27" t="s">
        <v>57</v>
      </c>
      <c r="G378" s="27" t="s">
        <v>58</v>
      </c>
      <c r="H378" s="28">
        <v>34106</v>
      </c>
      <c r="I378" s="27" t="s">
        <v>79</v>
      </c>
      <c r="J378" s="27" t="s">
        <v>75</v>
      </c>
      <c r="K378" s="27" t="s">
        <v>39</v>
      </c>
      <c r="L378" s="27" t="s">
        <v>40</v>
      </c>
      <c r="M378" s="95">
        <v>20</v>
      </c>
      <c r="N378" s="27">
        <v>12000</v>
      </c>
      <c r="O378" s="27">
        <v>0</v>
      </c>
      <c r="P378" s="27">
        <v>240000</v>
      </c>
      <c r="Q378" s="27">
        <v>2</v>
      </c>
      <c r="R378" s="90" t="s">
        <v>60</v>
      </c>
      <c r="S378" s="27" t="s">
        <v>80</v>
      </c>
      <c r="T378" s="27" t="s">
        <v>61</v>
      </c>
      <c r="U378" s="27">
        <v>9382815686</v>
      </c>
      <c r="V378" s="35" t="s">
        <v>34</v>
      </c>
      <c r="W378" s="40" t="str">
        <f t="shared" si="15"/>
        <v>Mohit Verma</v>
      </c>
      <c r="X378" s="93" t="str">
        <f t="shared" si="16"/>
        <v>Electronics</v>
      </c>
      <c r="Y378" s="94" t="str">
        <f t="shared" si="17"/>
        <v>West</v>
      </c>
    </row>
    <row r="379" spans="1:25" ht="15" thickBot="1" x14ac:dyDescent="0.4">
      <c r="A379" s="90" t="s">
        <v>510</v>
      </c>
      <c r="B379" s="30" t="s">
        <v>63</v>
      </c>
      <c r="C379" s="30" t="s">
        <v>56</v>
      </c>
      <c r="D379" s="31">
        <v>46019</v>
      </c>
      <c r="E379" s="31">
        <v>46028</v>
      </c>
      <c r="F379" s="30" t="s">
        <v>110</v>
      </c>
      <c r="G379" s="30" t="s">
        <v>58</v>
      </c>
      <c r="H379" s="31">
        <v>28020</v>
      </c>
      <c r="I379" s="30" t="s">
        <v>147</v>
      </c>
      <c r="J379" s="30" t="s">
        <v>148</v>
      </c>
      <c r="K379" s="30" t="s">
        <v>39</v>
      </c>
      <c r="L379" s="30" t="s">
        <v>59</v>
      </c>
      <c r="M379" s="95">
        <v>9</v>
      </c>
      <c r="N379" s="30">
        <v>1200</v>
      </c>
      <c r="O379" s="30">
        <v>15</v>
      </c>
      <c r="P379" s="30">
        <v>9180</v>
      </c>
      <c r="Q379" s="30">
        <v>1</v>
      </c>
      <c r="R379" s="90" t="s">
        <v>65</v>
      </c>
      <c r="S379" s="30" t="s">
        <v>32</v>
      </c>
      <c r="T379" s="30" t="s">
        <v>66</v>
      </c>
      <c r="U379" s="30">
        <v>9450746157</v>
      </c>
      <c r="V379" s="38" t="s">
        <v>52</v>
      </c>
      <c r="W379" s="40" t="str">
        <f t="shared" si="15"/>
        <v>Arjun Rao</v>
      </c>
      <c r="X379" s="93" t="str">
        <f t="shared" si="16"/>
        <v>Electronics</v>
      </c>
      <c r="Y379" s="94" t="str">
        <f t="shared" si="17"/>
        <v>East</v>
      </c>
    </row>
    <row r="380" spans="1:25" ht="15" thickBot="1" x14ac:dyDescent="0.4">
      <c r="A380" s="90" t="s">
        <v>511</v>
      </c>
      <c r="B380" s="27" t="s">
        <v>63</v>
      </c>
      <c r="C380" s="27" t="s">
        <v>125</v>
      </c>
      <c r="D380" s="28">
        <v>45931</v>
      </c>
      <c r="E380" s="28">
        <v>45933</v>
      </c>
      <c r="F380" s="27" t="s">
        <v>110</v>
      </c>
      <c r="G380" s="27" t="s">
        <v>58</v>
      </c>
      <c r="H380" s="28">
        <v>35421</v>
      </c>
      <c r="I380" s="27" t="s">
        <v>121</v>
      </c>
      <c r="J380" s="27" t="s">
        <v>38</v>
      </c>
      <c r="K380" s="27" t="s">
        <v>83</v>
      </c>
      <c r="L380" s="27" t="s">
        <v>127</v>
      </c>
      <c r="M380" s="95">
        <v>3</v>
      </c>
      <c r="N380" s="27">
        <v>20</v>
      </c>
      <c r="O380" s="27">
        <v>15</v>
      </c>
      <c r="P380" s="27">
        <v>51</v>
      </c>
      <c r="Q380" s="27">
        <v>3</v>
      </c>
      <c r="R380" s="90" t="s">
        <v>31</v>
      </c>
      <c r="S380" s="27" t="s">
        <v>80</v>
      </c>
      <c r="T380" s="27" t="s">
        <v>66</v>
      </c>
      <c r="U380" s="27">
        <v>9349012570</v>
      </c>
      <c r="V380" s="37" t="s">
        <v>52</v>
      </c>
      <c r="W380" s="40" t="str">
        <f t="shared" si="15"/>
        <v>Arjun Rao</v>
      </c>
      <c r="X380" s="93" t="str">
        <f t="shared" si="16"/>
        <v>Stationery</v>
      </c>
      <c r="Y380" s="94" t="str">
        <f t="shared" si="17"/>
        <v>North</v>
      </c>
    </row>
    <row r="381" spans="1:25" ht="15" thickBot="1" x14ac:dyDescent="0.4">
      <c r="A381" s="90" t="s">
        <v>512</v>
      </c>
      <c r="B381" s="30" t="s">
        <v>134</v>
      </c>
      <c r="C381" s="30" t="s">
        <v>46</v>
      </c>
      <c r="D381" s="31">
        <v>46009</v>
      </c>
      <c r="E381" s="31">
        <v>46010</v>
      </c>
      <c r="F381" s="30" t="s">
        <v>135</v>
      </c>
      <c r="G381" s="30" t="s">
        <v>26</v>
      </c>
      <c r="H381" s="31">
        <v>35058</v>
      </c>
      <c r="I381" s="30" t="s">
        <v>37</v>
      </c>
      <c r="J381" s="30" t="s">
        <v>38</v>
      </c>
      <c r="K381" s="30" t="s">
        <v>39</v>
      </c>
      <c r="L381" s="30" t="s">
        <v>49</v>
      </c>
      <c r="M381" s="95">
        <v>8</v>
      </c>
      <c r="N381" s="30">
        <v>55000</v>
      </c>
      <c r="O381" s="30">
        <v>20</v>
      </c>
      <c r="P381" s="30">
        <v>352000</v>
      </c>
      <c r="Q381" s="30">
        <v>5</v>
      </c>
      <c r="R381" s="90" t="s">
        <v>60</v>
      </c>
      <c r="S381" s="30" t="s">
        <v>96</v>
      </c>
      <c r="T381" s="30" t="s">
        <v>136</v>
      </c>
      <c r="U381" s="30">
        <v>9442163790</v>
      </c>
      <c r="V381" s="38" t="s">
        <v>52</v>
      </c>
      <c r="W381" s="40" t="str">
        <f t="shared" si="15"/>
        <v>Sneha Joshi</v>
      </c>
      <c r="X381" s="93" t="str">
        <f t="shared" si="16"/>
        <v>Electronics</v>
      </c>
      <c r="Y381" s="94" t="str">
        <f t="shared" si="17"/>
        <v>North</v>
      </c>
    </row>
    <row r="382" spans="1:25" ht="15" thickBot="1" x14ac:dyDescent="0.4">
      <c r="A382" s="90" t="s">
        <v>513</v>
      </c>
      <c r="B382" s="27" t="s">
        <v>134</v>
      </c>
      <c r="C382" s="27" t="s">
        <v>82</v>
      </c>
      <c r="D382" s="28">
        <v>45929</v>
      </c>
      <c r="E382" s="28">
        <v>45937</v>
      </c>
      <c r="F382" s="27" t="s">
        <v>135</v>
      </c>
      <c r="G382" s="27" t="s">
        <v>26</v>
      </c>
      <c r="H382" s="28">
        <v>31221</v>
      </c>
      <c r="I382" s="27" t="s">
        <v>37</v>
      </c>
      <c r="J382" s="27" t="s">
        <v>38</v>
      </c>
      <c r="K382" s="27" t="s">
        <v>83</v>
      </c>
      <c r="L382" s="27" t="s">
        <v>84</v>
      </c>
      <c r="M382" s="95">
        <v>17</v>
      </c>
      <c r="N382" s="27">
        <v>60</v>
      </c>
      <c r="O382" s="27">
        <v>20</v>
      </c>
      <c r="P382" s="27">
        <v>816</v>
      </c>
      <c r="Q382" s="27">
        <v>1</v>
      </c>
      <c r="R382" s="90" t="s">
        <v>65</v>
      </c>
      <c r="S382" s="27" t="s">
        <v>32</v>
      </c>
      <c r="T382" s="27" t="s">
        <v>136</v>
      </c>
      <c r="U382" s="27">
        <v>9953329223</v>
      </c>
      <c r="V382" s="37" t="s">
        <v>52</v>
      </c>
      <c r="W382" s="40" t="str">
        <f t="shared" si="15"/>
        <v>Sneha Joshi</v>
      </c>
      <c r="X382" s="93" t="str">
        <f t="shared" si="16"/>
        <v>Stationery</v>
      </c>
      <c r="Y382" s="94" t="str">
        <f t="shared" si="17"/>
        <v>North</v>
      </c>
    </row>
    <row r="383" spans="1:25" ht="15" thickBot="1" x14ac:dyDescent="0.4">
      <c r="A383" s="90" t="s">
        <v>514</v>
      </c>
      <c r="B383" s="30" t="s">
        <v>87</v>
      </c>
      <c r="C383" s="30" t="s">
        <v>125</v>
      </c>
      <c r="D383" s="31">
        <v>45791</v>
      </c>
      <c r="E383" s="31">
        <v>45799</v>
      </c>
      <c r="F383" s="30" t="s">
        <v>88</v>
      </c>
      <c r="G383" s="30" t="s">
        <v>58</v>
      </c>
      <c r="H383" s="31">
        <v>30722</v>
      </c>
      <c r="I383" s="30" t="s">
        <v>48</v>
      </c>
      <c r="J383" s="30" t="s">
        <v>28</v>
      </c>
      <c r="K383" s="30" t="s">
        <v>83</v>
      </c>
      <c r="L383" s="30" t="s">
        <v>127</v>
      </c>
      <c r="M383" s="95">
        <v>4</v>
      </c>
      <c r="N383" s="30">
        <v>20</v>
      </c>
      <c r="O383" s="30">
        <v>15</v>
      </c>
      <c r="P383" s="30">
        <v>68</v>
      </c>
      <c r="Q383" s="30">
        <v>3</v>
      </c>
      <c r="R383" s="90" t="s">
        <v>41</v>
      </c>
      <c r="S383" s="30" t="s">
        <v>50</v>
      </c>
      <c r="T383" s="30" t="s">
        <v>89</v>
      </c>
      <c r="U383" s="30">
        <v>9202321359</v>
      </c>
      <c r="V383" s="38" t="s">
        <v>52</v>
      </c>
      <c r="W383" s="40" t="str">
        <f t="shared" si="15"/>
        <v>Rohit Singh</v>
      </c>
      <c r="X383" s="93" t="str">
        <f t="shared" si="16"/>
        <v>Stationery</v>
      </c>
      <c r="Y383" s="94" t="str">
        <f t="shared" si="17"/>
        <v>South</v>
      </c>
    </row>
    <row r="384" spans="1:25" ht="15" thickBot="1" x14ac:dyDescent="0.4">
      <c r="A384" s="90" t="s">
        <v>515</v>
      </c>
      <c r="B384" s="27" t="s">
        <v>87</v>
      </c>
      <c r="C384" s="27" t="s">
        <v>24</v>
      </c>
      <c r="D384" s="28">
        <v>45748</v>
      </c>
      <c r="E384" s="28">
        <v>45758</v>
      </c>
      <c r="F384" s="27" t="s">
        <v>88</v>
      </c>
      <c r="G384" s="27" t="s">
        <v>58</v>
      </c>
      <c r="H384" s="28">
        <v>37348</v>
      </c>
      <c r="I384" s="27" t="s">
        <v>147</v>
      </c>
      <c r="J384" s="27" t="s">
        <v>148</v>
      </c>
      <c r="K384" s="27" t="s">
        <v>29</v>
      </c>
      <c r="L384" s="27" t="s">
        <v>30</v>
      </c>
      <c r="M384" s="95">
        <v>2</v>
      </c>
      <c r="N384" s="27">
        <v>2200</v>
      </c>
      <c r="O384" s="27">
        <v>10</v>
      </c>
      <c r="P384" s="27">
        <v>3960</v>
      </c>
      <c r="Q384" s="27">
        <v>2</v>
      </c>
      <c r="R384" s="90" t="s">
        <v>65</v>
      </c>
      <c r="S384" s="27" t="s">
        <v>42</v>
      </c>
      <c r="T384" s="27" t="s">
        <v>89</v>
      </c>
      <c r="U384" s="27">
        <v>9812564160</v>
      </c>
      <c r="V384" s="37" t="s">
        <v>52</v>
      </c>
      <c r="W384" s="40" t="str">
        <f t="shared" si="15"/>
        <v>Rohit Singh</v>
      </c>
      <c r="X384" s="93" t="str">
        <f t="shared" si="16"/>
        <v>Home Appliances</v>
      </c>
      <c r="Y384" s="94" t="str">
        <f t="shared" si="17"/>
        <v>East</v>
      </c>
    </row>
    <row r="385" spans="1:25" ht="15" thickBot="1" x14ac:dyDescent="0.4">
      <c r="A385" s="90" t="s">
        <v>516</v>
      </c>
      <c r="B385" s="30" t="s">
        <v>124</v>
      </c>
      <c r="C385" s="30" t="s">
        <v>82</v>
      </c>
      <c r="D385" s="31">
        <v>45754</v>
      </c>
      <c r="E385" s="31">
        <v>45765</v>
      </c>
      <c r="F385" s="30" t="s">
        <v>126</v>
      </c>
      <c r="G385" s="30" t="s">
        <v>58</v>
      </c>
      <c r="H385" s="31">
        <v>37819</v>
      </c>
      <c r="I385" s="30" t="s">
        <v>48</v>
      </c>
      <c r="J385" s="30" t="s">
        <v>28</v>
      </c>
      <c r="K385" s="30" t="s">
        <v>83</v>
      </c>
      <c r="L385" s="30" t="s">
        <v>84</v>
      </c>
      <c r="M385" s="95">
        <v>5</v>
      </c>
      <c r="N385" s="30">
        <v>60</v>
      </c>
      <c r="O385" s="30">
        <v>5</v>
      </c>
      <c r="P385" s="30">
        <v>285</v>
      </c>
      <c r="Q385" s="30">
        <v>1</v>
      </c>
      <c r="R385" s="90" t="s">
        <v>65</v>
      </c>
      <c r="S385" s="30" t="s">
        <v>32</v>
      </c>
      <c r="T385" s="30" t="s">
        <v>128</v>
      </c>
      <c r="U385" s="30">
        <v>9688458222</v>
      </c>
      <c r="V385" s="38" t="s">
        <v>53</v>
      </c>
      <c r="W385" s="40" t="str">
        <f t="shared" si="15"/>
        <v>Vikas Mehta</v>
      </c>
      <c r="X385" s="93" t="str">
        <f t="shared" si="16"/>
        <v>Stationery</v>
      </c>
      <c r="Y385" s="94" t="str">
        <f t="shared" si="17"/>
        <v>South</v>
      </c>
    </row>
    <row r="386" spans="1:25" ht="15" thickBot="1" x14ac:dyDescent="0.4">
      <c r="A386" s="90" t="s">
        <v>517</v>
      </c>
      <c r="B386" s="27" t="s">
        <v>87</v>
      </c>
      <c r="C386" s="27" t="s">
        <v>24</v>
      </c>
      <c r="D386" s="28">
        <v>46072</v>
      </c>
      <c r="E386" s="28">
        <v>46076</v>
      </c>
      <c r="F386" s="27" t="s">
        <v>88</v>
      </c>
      <c r="G386" s="27" t="s">
        <v>58</v>
      </c>
      <c r="H386" s="28">
        <v>33517</v>
      </c>
      <c r="I386" s="27" t="s">
        <v>37</v>
      </c>
      <c r="J386" s="27" t="s">
        <v>38</v>
      </c>
      <c r="K386" s="27" t="s">
        <v>29</v>
      </c>
      <c r="L386" s="27" t="s">
        <v>30</v>
      </c>
      <c r="M386" s="95">
        <v>17</v>
      </c>
      <c r="N386" s="27">
        <v>2200</v>
      </c>
      <c r="O386" s="27">
        <v>0</v>
      </c>
      <c r="P386" s="27">
        <v>37400</v>
      </c>
      <c r="Q386" s="27">
        <v>2</v>
      </c>
      <c r="R386" s="90" t="s">
        <v>65</v>
      </c>
      <c r="S386" s="27" t="s">
        <v>96</v>
      </c>
      <c r="T386" s="27" t="s">
        <v>89</v>
      </c>
      <c r="U386" s="27">
        <v>9634473337</v>
      </c>
      <c r="V386" s="37" t="s">
        <v>53</v>
      </c>
      <c r="W386" s="40" t="str">
        <f t="shared" si="15"/>
        <v>Rohit Singh</v>
      </c>
      <c r="X386" s="93" t="str">
        <f t="shared" si="16"/>
        <v>Home Appliances</v>
      </c>
      <c r="Y386" s="94" t="str">
        <f t="shared" si="17"/>
        <v>North</v>
      </c>
    </row>
    <row r="387" spans="1:25" ht="15" thickBot="1" x14ac:dyDescent="0.4">
      <c r="A387" s="90" t="s">
        <v>518</v>
      </c>
      <c r="B387" s="30" t="s">
        <v>104</v>
      </c>
      <c r="C387" s="30" t="s">
        <v>82</v>
      </c>
      <c r="D387" s="31">
        <v>45995</v>
      </c>
      <c r="E387" s="31">
        <v>46002</v>
      </c>
      <c r="F387" s="30" t="s">
        <v>166</v>
      </c>
      <c r="G387" s="30" t="s">
        <v>26</v>
      </c>
      <c r="H387" s="31">
        <v>30686</v>
      </c>
      <c r="I387" s="30" t="s">
        <v>91</v>
      </c>
      <c r="J387" s="30" t="s">
        <v>75</v>
      </c>
      <c r="K387" s="30" t="s">
        <v>83</v>
      </c>
      <c r="L387" s="30" t="s">
        <v>84</v>
      </c>
      <c r="M387" s="95">
        <v>7</v>
      </c>
      <c r="N387" s="30">
        <v>60</v>
      </c>
      <c r="O387" s="30">
        <v>0</v>
      </c>
      <c r="P387" s="30">
        <v>420</v>
      </c>
      <c r="Q387" s="30">
        <v>2</v>
      </c>
      <c r="R387" s="90" t="s">
        <v>65</v>
      </c>
      <c r="S387" s="30" t="s">
        <v>50</v>
      </c>
      <c r="T387" s="30" t="s">
        <v>108</v>
      </c>
      <c r="U387" s="30">
        <v>9608737026</v>
      </c>
      <c r="V387" s="38" t="s">
        <v>52</v>
      </c>
      <c r="W387" s="40" t="str">
        <f t="shared" ref="W387:W450" si="18">PROPER(TRIM(F387))</f>
        <v>Anita Gupta</v>
      </c>
      <c r="X387" s="93" t="str">
        <f t="shared" ref="X387:X450" si="19">PROPER(K387)</f>
        <v>Stationery</v>
      </c>
      <c r="Y387" s="94" t="str">
        <f t="shared" ref="Y387:Y450" si="20">PROPER(J387)</f>
        <v>West</v>
      </c>
    </row>
    <row r="388" spans="1:25" ht="15" thickBot="1" x14ac:dyDescent="0.4">
      <c r="A388" s="90" t="s">
        <v>519</v>
      </c>
      <c r="B388" s="27" t="s">
        <v>124</v>
      </c>
      <c r="C388" s="27" t="s">
        <v>46</v>
      </c>
      <c r="D388" s="28">
        <v>45950</v>
      </c>
      <c r="E388" s="28">
        <v>45954</v>
      </c>
      <c r="F388" s="27" t="s">
        <v>126</v>
      </c>
      <c r="G388" s="27" t="s">
        <v>58</v>
      </c>
      <c r="H388" s="28">
        <v>27465</v>
      </c>
      <c r="I388" s="27" t="s">
        <v>27</v>
      </c>
      <c r="J388" s="27" t="s">
        <v>28</v>
      </c>
      <c r="K388" s="27" t="s">
        <v>39</v>
      </c>
      <c r="L388" s="27" t="s">
        <v>49</v>
      </c>
      <c r="M388" s="95">
        <v>6</v>
      </c>
      <c r="N388" s="27">
        <v>55000</v>
      </c>
      <c r="O388" s="27">
        <v>5</v>
      </c>
      <c r="P388" s="27">
        <v>313500</v>
      </c>
      <c r="Q388" s="27">
        <v>4</v>
      </c>
      <c r="R388" s="90" t="s">
        <v>60</v>
      </c>
      <c r="S388" s="27" t="s">
        <v>50</v>
      </c>
      <c r="T388" s="27" t="s">
        <v>128</v>
      </c>
      <c r="U388" s="27">
        <v>9804498139</v>
      </c>
      <c r="V388" s="35" t="s">
        <v>34</v>
      </c>
      <c r="W388" s="40" t="str">
        <f t="shared" si="18"/>
        <v>Vikas Mehta</v>
      </c>
      <c r="X388" s="93" t="str">
        <f t="shared" si="19"/>
        <v>Electronics</v>
      </c>
      <c r="Y388" s="94" t="str">
        <f t="shared" si="20"/>
        <v>South</v>
      </c>
    </row>
    <row r="389" spans="1:25" ht="15" thickBot="1" x14ac:dyDescent="0.4">
      <c r="A389" s="90" t="s">
        <v>520</v>
      </c>
      <c r="B389" s="30" t="s">
        <v>55</v>
      </c>
      <c r="C389" s="30" t="s">
        <v>125</v>
      </c>
      <c r="D389" s="31">
        <v>46043</v>
      </c>
      <c r="E389" s="31">
        <v>46047</v>
      </c>
      <c r="F389" s="30" t="s">
        <v>57</v>
      </c>
      <c r="G389" s="30" t="s">
        <v>58</v>
      </c>
      <c r="H389" s="31">
        <v>30390</v>
      </c>
      <c r="I389" s="30" t="s">
        <v>27</v>
      </c>
      <c r="J389" s="30" t="s">
        <v>28</v>
      </c>
      <c r="K389" s="30" t="s">
        <v>83</v>
      </c>
      <c r="L389" s="30" t="s">
        <v>127</v>
      </c>
      <c r="M389" s="95">
        <v>16</v>
      </c>
      <c r="N389" s="30">
        <v>20</v>
      </c>
      <c r="O389" s="30">
        <v>5</v>
      </c>
      <c r="P389" s="30">
        <v>304</v>
      </c>
      <c r="Q389" s="30">
        <v>1</v>
      </c>
      <c r="R389" s="90" t="s">
        <v>60</v>
      </c>
      <c r="S389" s="30" t="s">
        <v>42</v>
      </c>
      <c r="T389" s="30" t="s">
        <v>61</v>
      </c>
      <c r="U389" s="30">
        <v>9798643580</v>
      </c>
      <c r="V389" s="36" t="s">
        <v>34</v>
      </c>
      <c r="W389" s="40" t="str">
        <f t="shared" si="18"/>
        <v>Mohit Verma</v>
      </c>
      <c r="X389" s="93" t="str">
        <f t="shared" si="19"/>
        <v>Stationery</v>
      </c>
      <c r="Y389" s="94" t="str">
        <f t="shared" si="20"/>
        <v>South</v>
      </c>
    </row>
    <row r="390" spans="1:25" ht="15" thickBot="1" x14ac:dyDescent="0.4">
      <c r="A390" s="90" t="s">
        <v>521</v>
      </c>
      <c r="B390" s="27" t="s">
        <v>23</v>
      </c>
      <c r="C390" s="27" t="s">
        <v>24</v>
      </c>
      <c r="D390" s="28">
        <v>45682</v>
      </c>
      <c r="E390" s="28">
        <v>45685</v>
      </c>
      <c r="F390" s="27" t="s">
        <v>25</v>
      </c>
      <c r="G390" s="27" t="s">
        <v>26</v>
      </c>
      <c r="H390" s="28">
        <v>27870</v>
      </c>
      <c r="I390" s="27" t="s">
        <v>147</v>
      </c>
      <c r="J390" s="27" t="s">
        <v>148</v>
      </c>
      <c r="K390" s="27" t="s">
        <v>29</v>
      </c>
      <c r="L390" s="27" t="s">
        <v>30</v>
      </c>
      <c r="M390" s="95">
        <v>11</v>
      </c>
      <c r="N390" s="27">
        <v>2200</v>
      </c>
      <c r="O390" s="27">
        <v>15</v>
      </c>
      <c r="P390" s="27">
        <v>20570</v>
      </c>
      <c r="Q390" s="27">
        <v>1</v>
      </c>
      <c r="R390" s="90" t="s">
        <v>41</v>
      </c>
      <c r="S390" s="27" t="s">
        <v>80</v>
      </c>
      <c r="T390" s="27" t="s">
        <v>43</v>
      </c>
      <c r="U390" s="27">
        <v>9809823278</v>
      </c>
      <c r="V390" s="37" t="s">
        <v>53</v>
      </c>
      <c r="W390" s="40" t="str">
        <f t="shared" si="18"/>
        <v>Kavya Nair</v>
      </c>
      <c r="X390" s="93" t="str">
        <f t="shared" si="19"/>
        <v>Home Appliances</v>
      </c>
      <c r="Y390" s="94" t="str">
        <f t="shared" si="20"/>
        <v>East</v>
      </c>
    </row>
    <row r="391" spans="1:25" ht="15" thickBot="1" x14ac:dyDescent="0.4">
      <c r="A391" s="90" t="s">
        <v>522</v>
      </c>
      <c r="B391" s="30" t="s">
        <v>72</v>
      </c>
      <c r="C391" s="30" t="s">
        <v>125</v>
      </c>
      <c r="D391" s="31">
        <v>45716</v>
      </c>
      <c r="E391" s="31">
        <v>45718</v>
      </c>
      <c r="F391" s="30" t="s">
        <v>73</v>
      </c>
      <c r="G391" s="30" t="s">
        <v>26</v>
      </c>
      <c r="H391" s="31">
        <v>31454</v>
      </c>
      <c r="I391" s="30" t="s">
        <v>79</v>
      </c>
      <c r="J391" s="30" t="s">
        <v>75</v>
      </c>
      <c r="K391" s="30" t="s">
        <v>83</v>
      </c>
      <c r="L391" s="30" t="s">
        <v>127</v>
      </c>
      <c r="M391" s="95">
        <v>19</v>
      </c>
      <c r="N391" s="30">
        <v>20</v>
      </c>
      <c r="O391" s="30">
        <v>5</v>
      </c>
      <c r="P391" s="30">
        <v>361</v>
      </c>
      <c r="Q391" s="30">
        <v>4</v>
      </c>
      <c r="R391" s="90" t="s">
        <v>65</v>
      </c>
      <c r="S391" s="30" t="s">
        <v>32</v>
      </c>
      <c r="T391" s="30" t="s">
        <v>93</v>
      </c>
      <c r="U391" s="30">
        <v>9177767854</v>
      </c>
      <c r="V391" s="38" t="s">
        <v>52</v>
      </c>
      <c r="W391" s="40" t="str">
        <f t="shared" si="18"/>
        <v>Priya Patel</v>
      </c>
      <c r="X391" s="93" t="str">
        <f t="shared" si="19"/>
        <v>Stationery</v>
      </c>
      <c r="Y391" s="94" t="str">
        <f t="shared" si="20"/>
        <v>West</v>
      </c>
    </row>
    <row r="392" spans="1:25" ht="15" thickBot="1" x14ac:dyDescent="0.4">
      <c r="A392" s="90" t="s">
        <v>523</v>
      </c>
      <c r="B392" s="27" t="s">
        <v>72</v>
      </c>
      <c r="C392" s="27" t="s">
        <v>56</v>
      </c>
      <c r="D392" s="28">
        <v>45828</v>
      </c>
      <c r="E392" s="28">
        <v>45829</v>
      </c>
      <c r="F392" s="27" t="s">
        <v>73</v>
      </c>
      <c r="G392" s="27" t="s">
        <v>26</v>
      </c>
      <c r="H392" s="28">
        <v>28570</v>
      </c>
      <c r="I392" s="27" t="s">
        <v>79</v>
      </c>
      <c r="J392" s="27" t="s">
        <v>75</v>
      </c>
      <c r="K392" s="27" t="s">
        <v>39</v>
      </c>
      <c r="L392" s="27" t="s">
        <v>59</v>
      </c>
      <c r="M392" s="95">
        <v>20</v>
      </c>
      <c r="N392" s="27">
        <v>1200</v>
      </c>
      <c r="O392" s="27">
        <v>15</v>
      </c>
      <c r="P392" s="27">
        <v>20400</v>
      </c>
      <c r="Q392" s="27">
        <v>4</v>
      </c>
      <c r="R392" s="90" t="s">
        <v>60</v>
      </c>
      <c r="S392" s="27" t="s">
        <v>32</v>
      </c>
      <c r="T392" s="27" t="s">
        <v>93</v>
      </c>
      <c r="U392" s="27">
        <v>9643440006</v>
      </c>
      <c r="V392" s="37" t="s">
        <v>52</v>
      </c>
      <c r="W392" s="40" t="str">
        <f t="shared" si="18"/>
        <v>Priya Patel</v>
      </c>
      <c r="X392" s="93" t="str">
        <f t="shared" si="19"/>
        <v>Electronics</v>
      </c>
      <c r="Y392" s="94" t="str">
        <f t="shared" si="20"/>
        <v>West</v>
      </c>
    </row>
    <row r="393" spans="1:25" ht="15" thickBot="1" x14ac:dyDescent="0.4">
      <c r="A393" s="90" t="s">
        <v>524</v>
      </c>
      <c r="B393" s="30" t="s">
        <v>45</v>
      </c>
      <c r="C393" s="30" t="s">
        <v>125</v>
      </c>
      <c r="D393" s="31">
        <v>45805</v>
      </c>
      <c r="E393" s="31">
        <v>45814</v>
      </c>
      <c r="F393" s="30" t="s">
        <v>101</v>
      </c>
      <c r="G393" s="30" t="s">
        <v>26</v>
      </c>
      <c r="H393" s="31">
        <v>35258</v>
      </c>
      <c r="I393" s="30" t="s">
        <v>27</v>
      </c>
      <c r="J393" s="30" t="s">
        <v>28</v>
      </c>
      <c r="K393" s="30" t="s">
        <v>83</v>
      </c>
      <c r="L393" s="30" t="s">
        <v>127</v>
      </c>
      <c r="M393" s="95">
        <v>13</v>
      </c>
      <c r="N393" s="30">
        <v>20</v>
      </c>
      <c r="O393" s="30">
        <v>15</v>
      </c>
      <c r="P393" s="30">
        <v>221</v>
      </c>
      <c r="Q393" s="30">
        <v>4</v>
      </c>
      <c r="R393" s="90" t="s">
        <v>31</v>
      </c>
      <c r="S393" s="30" t="s">
        <v>32</v>
      </c>
      <c r="T393" s="30" t="s">
        <v>51</v>
      </c>
      <c r="U393" s="30">
        <v>9673698825</v>
      </c>
      <c r="V393" s="38" t="s">
        <v>52</v>
      </c>
      <c r="W393" s="40" t="str">
        <f t="shared" si="18"/>
        <v>Pooja Shah</v>
      </c>
      <c r="X393" s="93" t="str">
        <f t="shared" si="19"/>
        <v>Stationery</v>
      </c>
      <c r="Y393" s="94" t="str">
        <f t="shared" si="20"/>
        <v>South</v>
      </c>
    </row>
    <row r="394" spans="1:25" ht="15" thickBot="1" x14ac:dyDescent="0.4">
      <c r="A394" s="90" t="s">
        <v>525</v>
      </c>
      <c r="B394" s="27" t="s">
        <v>134</v>
      </c>
      <c r="C394" s="27" t="s">
        <v>56</v>
      </c>
      <c r="D394" s="28">
        <v>45660</v>
      </c>
      <c r="E394" s="28">
        <v>45665</v>
      </c>
      <c r="F394" s="27" t="s">
        <v>135</v>
      </c>
      <c r="G394" s="27" t="s">
        <v>26</v>
      </c>
      <c r="H394" s="28">
        <v>33940</v>
      </c>
      <c r="I394" s="27" t="s">
        <v>37</v>
      </c>
      <c r="J394" s="27" t="s">
        <v>38</v>
      </c>
      <c r="K394" s="27" t="s">
        <v>39</v>
      </c>
      <c r="L394" s="27" t="s">
        <v>59</v>
      </c>
      <c r="M394" s="95">
        <v>12</v>
      </c>
      <c r="N394" s="27">
        <v>1200</v>
      </c>
      <c r="O394" s="27">
        <v>10</v>
      </c>
      <c r="P394" s="27">
        <v>12960</v>
      </c>
      <c r="Q394" s="27">
        <v>3</v>
      </c>
      <c r="R394" s="90" t="s">
        <v>41</v>
      </c>
      <c r="S394" s="27" t="s">
        <v>32</v>
      </c>
      <c r="T394" s="27" t="s">
        <v>136</v>
      </c>
      <c r="U394" s="27">
        <v>9706238784</v>
      </c>
      <c r="V394" s="37" t="s">
        <v>52</v>
      </c>
      <c r="W394" s="40" t="str">
        <f t="shared" si="18"/>
        <v>Sneha Joshi</v>
      </c>
      <c r="X394" s="93" t="str">
        <f t="shared" si="19"/>
        <v>Electronics</v>
      </c>
      <c r="Y394" s="94" t="str">
        <f t="shared" si="20"/>
        <v>North</v>
      </c>
    </row>
    <row r="395" spans="1:25" ht="15" thickBot="1" x14ac:dyDescent="0.4">
      <c r="A395" s="90" t="s">
        <v>526</v>
      </c>
      <c r="B395" s="30" t="s">
        <v>72</v>
      </c>
      <c r="C395" s="30" t="s">
        <v>105</v>
      </c>
      <c r="D395" s="31">
        <v>45685</v>
      </c>
      <c r="E395" s="31">
        <v>45686</v>
      </c>
      <c r="F395" s="30" t="s">
        <v>73</v>
      </c>
      <c r="G395" s="30" t="s">
        <v>26</v>
      </c>
      <c r="H395" s="31">
        <v>35147</v>
      </c>
      <c r="I395" s="30" t="s">
        <v>147</v>
      </c>
      <c r="J395" s="30" t="s">
        <v>148</v>
      </c>
      <c r="K395" s="30" t="s">
        <v>29</v>
      </c>
      <c r="L395" s="30" t="s">
        <v>107</v>
      </c>
      <c r="M395" s="95">
        <v>6</v>
      </c>
      <c r="N395" s="30">
        <v>8500</v>
      </c>
      <c r="O395" s="30">
        <v>5</v>
      </c>
      <c r="P395" s="30">
        <v>48450</v>
      </c>
      <c r="Q395" s="30">
        <v>5</v>
      </c>
      <c r="R395" s="90" t="s">
        <v>31</v>
      </c>
      <c r="S395" s="30" t="s">
        <v>80</v>
      </c>
      <c r="T395" s="30" t="s">
        <v>93</v>
      </c>
      <c r="U395" s="30">
        <v>9132959877</v>
      </c>
      <c r="V395" s="38" t="s">
        <v>53</v>
      </c>
      <c r="W395" s="40" t="str">
        <f t="shared" si="18"/>
        <v>Priya Patel</v>
      </c>
      <c r="X395" s="93" t="str">
        <f t="shared" si="19"/>
        <v>Home Appliances</v>
      </c>
      <c r="Y395" s="94" t="str">
        <f t="shared" si="20"/>
        <v>East</v>
      </c>
    </row>
    <row r="396" spans="1:25" ht="15" thickBot="1" x14ac:dyDescent="0.4">
      <c r="A396" s="90" t="s">
        <v>527</v>
      </c>
      <c r="B396" s="27" t="s">
        <v>23</v>
      </c>
      <c r="C396" s="27" t="s">
        <v>105</v>
      </c>
      <c r="D396" s="28">
        <v>46071</v>
      </c>
      <c r="E396" s="28">
        <v>46079</v>
      </c>
      <c r="F396" s="27" t="s">
        <v>25</v>
      </c>
      <c r="G396" s="27" t="s">
        <v>26</v>
      </c>
      <c r="H396" s="28">
        <v>34508</v>
      </c>
      <c r="I396" s="27" t="s">
        <v>91</v>
      </c>
      <c r="J396" s="27" t="s">
        <v>75</v>
      </c>
      <c r="K396" s="27" t="s">
        <v>29</v>
      </c>
      <c r="L396" s="27" t="s">
        <v>107</v>
      </c>
      <c r="M396" s="95">
        <v>15</v>
      </c>
      <c r="N396" s="27">
        <v>8500</v>
      </c>
      <c r="O396" s="27">
        <v>10</v>
      </c>
      <c r="P396" s="27">
        <v>114750</v>
      </c>
      <c r="Q396" s="27">
        <v>1</v>
      </c>
      <c r="R396" s="90" t="s">
        <v>31</v>
      </c>
      <c r="S396" s="27" t="s">
        <v>80</v>
      </c>
      <c r="T396" s="27" t="s">
        <v>43</v>
      </c>
      <c r="U396" s="27">
        <v>9295011645</v>
      </c>
      <c r="V396" s="35" t="s">
        <v>34</v>
      </c>
      <c r="W396" s="40" t="str">
        <f t="shared" si="18"/>
        <v>Kavya Nair</v>
      </c>
      <c r="X396" s="93" t="str">
        <f t="shared" si="19"/>
        <v>Home Appliances</v>
      </c>
      <c r="Y396" s="94" t="str">
        <f t="shared" si="20"/>
        <v>West</v>
      </c>
    </row>
    <row r="397" spans="1:25" ht="15" thickBot="1" x14ac:dyDescent="0.4">
      <c r="A397" s="90" t="s">
        <v>528</v>
      </c>
      <c r="B397" s="30" t="s">
        <v>87</v>
      </c>
      <c r="C397" s="30" t="s">
        <v>36</v>
      </c>
      <c r="D397" s="31">
        <v>45872</v>
      </c>
      <c r="E397" s="31">
        <v>45884</v>
      </c>
      <c r="F397" s="30" t="s">
        <v>88</v>
      </c>
      <c r="G397" s="30" t="s">
        <v>58</v>
      </c>
      <c r="H397" s="31">
        <v>29253</v>
      </c>
      <c r="I397" s="30" t="s">
        <v>27</v>
      </c>
      <c r="J397" s="30" t="s">
        <v>28</v>
      </c>
      <c r="K397" s="30" t="s">
        <v>39</v>
      </c>
      <c r="L397" s="30" t="s">
        <v>40</v>
      </c>
      <c r="M397" s="95">
        <v>19</v>
      </c>
      <c r="N397" s="30">
        <v>12000</v>
      </c>
      <c r="O397" s="30">
        <v>20</v>
      </c>
      <c r="P397" s="30">
        <v>182400</v>
      </c>
      <c r="Q397" s="30">
        <v>5</v>
      </c>
      <c r="R397" s="90" t="s">
        <v>31</v>
      </c>
      <c r="S397" s="30" t="s">
        <v>80</v>
      </c>
      <c r="T397" s="30" t="s">
        <v>89</v>
      </c>
      <c r="U397" s="30">
        <v>9677606427</v>
      </c>
      <c r="V397" s="36" t="s">
        <v>34</v>
      </c>
      <c r="W397" s="40" t="str">
        <f t="shared" si="18"/>
        <v>Rohit Singh</v>
      </c>
      <c r="X397" s="93" t="str">
        <f t="shared" si="19"/>
        <v>Electronics</v>
      </c>
      <c r="Y397" s="94" t="str">
        <f t="shared" si="20"/>
        <v>South</v>
      </c>
    </row>
    <row r="398" spans="1:25" ht="15" thickBot="1" x14ac:dyDescent="0.4">
      <c r="A398" s="90" t="s">
        <v>529</v>
      </c>
      <c r="B398" s="27" t="s">
        <v>63</v>
      </c>
      <c r="C398" s="27" t="s">
        <v>112</v>
      </c>
      <c r="D398" s="28">
        <v>45672</v>
      </c>
      <c r="E398" s="28">
        <v>45675</v>
      </c>
      <c r="F398" s="27" t="s">
        <v>110</v>
      </c>
      <c r="G398" s="27" t="s">
        <v>58</v>
      </c>
      <c r="H398" s="28">
        <v>33109</v>
      </c>
      <c r="I398" s="27" t="s">
        <v>37</v>
      </c>
      <c r="J398" s="27" t="s">
        <v>38</v>
      </c>
      <c r="K398" s="27" t="s">
        <v>39</v>
      </c>
      <c r="L398" s="27" t="s">
        <v>114</v>
      </c>
      <c r="M398" s="95">
        <v>5</v>
      </c>
      <c r="N398" s="27">
        <v>700</v>
      </c>
      <c r="O398" s="27">
        <v>0</v>
      </c>
      <c r="P398" s="27">
        <v>3500</v>
      </c>
      <c r="Q398" s="27">
        <v>2</v>
      </c>
      <c r="R398" s="90" t="s">
        <v>60</v>
      </c>
      <c r="S398" s="27" t="s">
        <v>50</v>
      </c>
      <c r="T398" s="27" t="s">
        <v>66</v>
      </c>
      <c r="U398" s="27">
        <v>9161631566</v>
      </c>
      <c r="V398" s="37" t="s">
        <v>53</v>
      </c>
      <c r="W398" s="40" t="str">
        <f t="shared" si="18"/>
        <v>Arjun Rao</v>
      </c>
      <c r="X398" s="93" t="str">
        <f t="shared" si="19"/>
        <v>Electronics</v>
      </c>
      <c r="Y398" s="94" t="str">
        <f t="shared" si="20"/>
        <v>North</v>
      </c>
    </row>
    <row r="399" spans="1:25" ht="15" thickBot="1" x14ac:dyDescent="0.4">
      <c r="A399" s="90" t="s">
        <v>530</v>
      </c>
      <c r="B399" s="30" t="s">
        <v>63</v>
      </c>
      <c r="C399" s="30" t="s">
        <v>36</v>
      </c>
      <c r="D399" s="31">
        <v>45688</v>
      </c>
      <c r="E399" s="31">
        <v>45692</v>
      </c>
      <c r="F399" s="30" t="s">
        <v>110</v>
      </c>
      <c r="G399" s="30" t="s">
        <v>58</v>
      </c>
      <c r="H399" s="31">
        <v>28834</v>
      </c>
      <c r="I399" s="30" t="s">
        <v>147</v>
      </c>
      <c r="J399" s="30" t="s">
        <v>148</v>
      </c>
      <c r="K399" s="30" t="s">
        <v>39</v>
      </c>
      <c r="L399" s="30" t="s">
        <v>40</v>
      </c>
      <c r="M399" s="95">
        <v>19</v>
      </c>
      <c r="N399" s="30">
        <v>12000</v>
      </c>
      <c r="O399" s="30">
        <v>0</v>
      </c>
      <c r="P399" s="30">
        <v>228000</v>
      </c>
      <c r="Q399" s="30">
        <v>4</v>
      </c>
      <c r="R399" s="90" t="s">
        <v>65</v>
      </c>
      <c r="S399" s="30" t="s">
        <v>50</v>
      </c>
      <c r="T399" s="30" t="s">
        <v>66</v>
      </c>
      <c r="U399" s="30">
        <v>9136906750</v>
      </c>
      <c r="V399" s="38" t="s">
        <v>52</v>
      </c>
      <c r="W399" s="40" t="str">
        <f t="shared" si="18"/>
        <v>Arjun Rao</v>
      </c>
      <c r="X399" s="93" t="str">
        <f t="shared" si="19"/>
        <v>Electronics</v>
      </c>
      <c r="Y399" s="94" t="str">
        <f t="shared" si="20"/>
        <v>East</v>
      </c>
    </row>
    <row r="400" spans="1:25" ht="15" thickBot="1" x14ac:dyDescent="0.4">
      <c r="A400" s="90" t="s">
        <v>531</v>
      </c>
      <c r="B400" s="27" t="s">
        <v>156</v>
      </c>
      <c r="C400" s="27" t="s">
        <v>112</v>
      </c>
      <c r="D400" s="92" t="s">
        <v>52</v>
      </c>
      <c r="E400" s="28">
        <v>45964</v>
      </c>
      <c r="F400" s="27" t="s">
        <v>106</v>
      </c>
      <c r="G400" s="27" t="s">
        <v>58</v>
      </c>
      <c r="H400" s="28">
        <v>29099</v>
      </c>
      <c r="I400" s="27" t="s">
        <v>48</v>
      </c>
      <c r="J400" s="27" t="s">
        <v>28</v>
      </c>
      <c r="K400" s="27" t="s">
        <v>39</v>
      </c>
      <c r="L400" s="27" t="s">
        <v>114</v>
      </c>
      <c r="M400" s="95">
        <v>12</v>
      </c>
      <c r="N400" s="27">
        <v>700</v>
      </c>
      <c r="O400" s="27">
        <v>15</v>
      </c>
      <c r="P400" s="27">
        <v>7140</v>
      </c>
      <c r="Q400" s="27">
        <v>3</v>
      </c>
      <c r="R400" s="90" t="s">
        <v>60</v>
      </c>
      <c r="S400" s="27" t="s">
        <v>32</v>
      </c>
      <c r="T400" s="27" t="s">
        <v>158</v>
      </c>
      <c r="U400" s="27">
        <v>9485286324</v>
      </c>
      <c r="V400" s="35" t="s">
        <v>34</v>
      </c>
      <c r="W400" s="40" t="str">
        <f t="shared" si="18"/>
        <v>Amit Sharma</v>
      </c>
      <c r="X400" s="93" t="str">
        <f t="shared" si="19"/>
        <v>Electronics</v>
      </c>
      <c r="Y400" s="94" t="str">
        <f t="shared" si="20"/>
        <v>South</v>
      </c>
    </row>
    <row r="401" spans="1:25" ht="15" thickBot="1" x14ac:dyDescent="0.4">
      <c r="A401" s="90" t="s">
        <v>532</v>
      </c>
      <c r="B401" s="30" t="s">
        <v>23</v>
      </c>
      <c r="C401" s="30" t="s">
        <v>56</v>
      </c>
      <c r="D401" s="31">
        <v>45790</v>
      </c>
      <c r="E401" s="31">
        <v>45798</v>
      </c>
      <c r="F401" s="30" t="s">
        <v>25</v>
      </c>
      <c r="G401" s="30" t="s">
        <v>26</v>
      </c>
      <c r="H401" s="31">
        <v>36989</v>
      </c>
      <c r="I401" s="30" t="s">
        <v>37</v>
      </c>
      <c r="J401" s="30" t="s">
        <v>38</v>
      </c>
      <c r="K401" s="30" t="s">
        <v>39</v>
      </c>
      <c r="L401" s="30" t="s">
        <v>59</v>
      </c>
      <c r="M401" s="95">
        <v>16</v>
      </c>
      <c r="N401" s="30">
        <v>1200</v>
      </c>
      <c r="O401" s="30">
        <v>20</v>
      </c>
      <c r="P401" s="30">
        <v>15360</v>
      </c>
      <c r="Q401" s="30">
        <v>1</v>
      </c>
      <c r="R401" s="90" t="s">
        <v>31</v>
      </c>
      <c r="S401" s="30" t="s">
        <v>42</v>
      </c>
      <c r="T401" s="30" t="s">
        <v>43</v>
      </c>
      <c r="U401" s="30">
        <v>9414633966</v>
      </c>
      <c r="V401" s="38" t="s">
        <v>52</v>
      </c>
      <c r="W401" s="40" t="str">
        <f t="shared" si="18"/>
        <v>Kavya Nair</v>
      </c>
      <c r="X401" s="93" t="str">
        <f t="shared" si="19"/>
        <v>Electronics</v>
      </c>
      <c r="Y401" s="94" t="str">
        <f t="shared" si="20"/>
        <v>North</v>
      </c>
    </row>
    <row r="402" spans="1:25" ht="15" thickBot="1" x14ac:dyDescent="0.4">
      <c r="A402" s="90" t="s">
        <v>533</v>
      </c>
      <c r="B402" s="27" t="s">
        <v>55</v>
      </c>
      <c r="C402" s="27" t="s">
        <v>105</v>
      </c>
      <c r="D402" s="28">
        <v>46018</v>
      </c>
      <c r="E402" s="28">
        <v>46026</v>
      </c>
      <c r="F402" s="27" t="s">
        <v>57</v>
      </c>
      <c r="G402" s="27" t="s">
        <v>58</v>
      </c>
      <c r="H402" s="28">
        <v>30317</v>
      </c>
      <c r="I402" s="27" t="s">
        <v>27</v>
      </c>
      <c r="J402" s="27" t="s">
        <v>28</v>
      </c>
      <c r="K402" s="27" t="s">
        <v>29</v>
      </c>
      <c r="L402" s="27" t="s">
        <v>107</v>
      </c>
      <c r="M402" s="95">
        <v>10</v>
      </c>
      <c r="N402" s="27">
        <v>8500</v>
      </c>
      <c r="O402" s="27">
        <v>5</v>
      </c>
      <c r="P402" s="27">
        <v>80750</v>
      </c>
      <c r="Q402" s="27">
        <v>5</v>
      </c>
      <c r="R402" s="90" t="s">
        <v>41</v>
      </c>
      <c r="S402" s="27" t="s">
        <v>32</v>
      </c>
      <c r="T402" s="27" t="s">
        <v>61</v>
      </c>
      <c r="U402" s="27">
        <v>9833735234</v>
      </c>
      <c r="V402" s="35" t="s">
        <v>34</v>
      </c>
      <c r="W402" s="40" t="str">
        <f t="shared" si="18"/>
        <v>Mohit Verma</v>
      </c>
      <c r="X402" s="93" t="str">
        <f t="shared" si="19"/>
        <v>Home Appliances</v>
      </c>
      <c r="Y402" s="94" t="str">
        <f t="shared" si="20"/>
        <v>South</v>
      </c>
    </row>
    <row r="403" spans="1:25" ht="15" thickBot="1" x14ac:dyDescent="0.4">
      <c r="A403" s="90" t="s">
        <v>534</v>
      </c>
      <c r="B403" s="30" t="s">
        <v>23</v>
      </c>
      <c r="C403" s="30" t="s">
        <v>125</v>
      </c>
      <c r="D403" s="31">
        <v>45699</v>
      </c>
      <c r="E403" s="31">
        <v>45709</v>
      </c>
      <c r="F403" s="30" t="s">
        <v>25</v>
      </c>
      <c r="G403" s="30" t="s">
        <v>26</v>
      </c>
      <c r="H403" s="31">
        <v>32729</v>
      </c>
      <c r="I403" s="30" t="s">
        <v>91</v>
      </c>
      <c r="J403" s="30" t="s">
        <v>75</v>
      </c>
      <c r="K403" s="30" t="s">
        <v>83</v>
      </c>
      <c r="L403" s="30" t="s">
        <v>127</v>
      </c>
      <c r="M403" s="95">
        <v>18</v>
      </c>
      <c r="N403" s="30">
        <v>20</v>
      </c>
      <c r="O403" s="30">
        <v>20</v>
      </c>
      <c r="P403" s="30">
        <v>288</v>
      </c>
      <c r="Q403" s="30">
        <v>1</v>
      </c>
      <c r="R403" s="90" t="s">
        <v>65</v>
      </c>
      <c r="S403" s="30" t="s">
        <v>32</v>
      </c>
      <c r="T403" s="30" t="s">
        <v>43</v>
      </c>
      <c r="U403" s="30">
        <v>9523689108</v>
      </c>
      <c r="V403" s="38" t="s">
        <v>52</v>
      </c>
      <c r="W403" s="40" t="str">
        <f t="shared" si="18"/>
        <v>Kavya Nair</v>
      </c>
      <c r="X403" s="93" t="str">
        <f t="shared" si="19"/>
        <v>Stationery</v>
      </c>
      <c r="Y403" s="94" t="str">
        <f t="shared" si="20"/>
        <v>West</v>
      </c>
    </row>
    <row r="404" spans="1:25" ht="15" thickBot="1" x14ac:dyDescent="0.4">
      <c r="A404" s="90" t="s">
        <v>535</v>
      </c>
      <c r="B404" s="27" t="s">
        <v>55</v>
      </c>
      <c r="C404" s="27" t="s">
        <v>105</v>
      </c>
      <c r="D404" s="28">
        <v>46094</v>
      </c>
      <c r="E404" s="28">
        <v>46100</v>
      </c>
      <c r="F404" s="27" t="s">
        <v>57</v>
      </c>
      <c r="G404" s="27" t="s">
        <v>58</v>
      </c>
      <c r="H404" s="28">
        <v>34264</v>
      </c>
      <c r="I404" s="27" t="s">
        <v>74</v>
      </c>
      <c r="J404" s="27" t="s">
        <v>75</v>
      </c>
      <c r="K404" s="27" t="s">
        <v>29</v>
      </c>
      <c r="L404" s="27" t="s">
        <v>107</v>
      </c>
      <c r="M404" s="95">
        <v>9</v>
      </c>
      <c r="N404" s="27">
        <v>8500</v>
      </c>
      <c r="O404" s="27">
        <v>0</v>
      </c>
      <c r="P404" s="27">
        <v>76500</v>
      </c>
      <c r="Q404" s="27">
        <v>2</v>
      </c>
      <c r="R404" s="90" t="s">
        <v>60</v>
      </c>
      <c r="S404" s="27" t="s">
        <v>32</v>
      </c>
      <c r="T404" s="27" t="s">
        <v>61</v>
      </c>
      <c r="U404" s="27">
        <v>9812909831</v>
      </c>
      <c r="V404" s="37" t="s">
        <v>52</v>
      </c>
      <c r="W404" s="40" t="str">
        <f t="shared" si="18"/>
        <v>Mohit Verma</v>
      </c>
      <c r="X404" s="93" t="str">
        <f t="shared" si="19"/>
        <v>Home Appliances</v>
      </c>
      <c r="Y404" s="94" t="str">
        <f t="shared" si="20"/>
        <v>West</v>
      </c>
    </row>
    <row r="405" spans="1:25" ht="15" thickBot="1" x14ac:dyDescent="0.4">
      <c r="A405" s="90" t="s">
        <v>536</v>
      </c>
      <c r="B405" s="30" t="s">
        <v>23</v>
      </c>
      <c r="C405" s="30" t="s">
        <v>105</v>
      </c>
      <c r="D405" s="31">
        <v>45931</v>
      </c>
      <c r="E405" s="31">
        <v>45942</v>
      </c>
      <c r="F405" s="30" t="s">
        <v>25</v>
      </c>
      <c r="G405" s="30" t="s">
        <v>26</v>
      </c>
      <c r="H405" s="31">
        <v>36651</v>
      </c>
      <c r="I405" s="30" t="s">
        <v>74</v>
      </c>
      <c r="J405" s="30" t="s">
        <v>75</v>
      </c>
      <c r="K405" s="30" t="s">
        <v>29</v>
      </c>
      <c r="L405" s="30" t="s">
        <v>107</v>
      </c>
      <c r="M405" s="95">
        <v>8</v>
      </c>
      <c r="N405" s="30">
        <v>8500</v>
      </c>
      <c r="O405" s="30">
        <v>10</v>
      </c>
      <c r="P405" s="30">
        <v>61200</v>
      </c>
      <c r="Q405" s="30">
        <v>4</v>
      </c>
      <c r="R405" s="90" t="s">
        <v>31</v>
      </c>
      <c r="S405" s="30" t="s">
        <v>80</v>
      </c>
      <c r="T405" s="30" t="s">
        <v>43</v>
      </c>
      <c r="U405" s="30">
        <v>9106290987</v>
      </c>
      <c r="V405" s="38" t="s">
        <v>53</v>
      </c>
      <c r="W405" s="40" t="str">
        <f t="shared" si="18"/>
        <v>Kavya Nair</v>
      </c>
      <c r="X405" s="93" t="str">
        <f t="shared" si="19"/>
        <v>Home Appliances</v>
      </c>
      <c r="Y405" s="94" t="str">
        <f t="shared" si="20"/>
        <v>West</v>
      </c>
    </row>
    <row r="406" spans="1:25" ht="15" thickBot="1" x14ac:dyDescent="0.4">
      <c r="A406" s="90" t="s">
        <v>537</v>
      </c>
      <c r="B406" s="27" t="s">
        <v>45</v>
      </c>
      <c r="C406" s="27" t="s">
        <v>125</v>
      </c>
      <c r="D406" s="28">
        <v>46048</v>
      </c>
      <c r="E406" s="28">
        <v>46054</v>
      </c>
      <c r="F406" s="27" t="s">
        <v>101</v>
      </c>
      <c r="G406" s="27" t="s">
        <v>26</v>
      </c>
      <c r="H406" s="28">
        <v>30730</v>
      </c>
      <c r="I406" s="27" t="s">
        <v>79</v>
      </c>
      <c r="J406" s="27" t="s">
        <v>75</v>
      </c>
      <c r="K406" s="27" t="s">
        <v>83</v>
      </c>
      <c r="L406" s="27" t="s">
        <v>127</v>
      </c>
      <c r="M406" s="95">
        <v>3</v>
      </c>
      <c r="N406" s="27">
        <v>20</v>
      </c>
      <c r="O406" s="27">
        <v>10</v>
      </c>
      <c r="P406" s="27">
        <v>54</v>
      </c>
      <c r="Q406" s="27">
        <v>3</v>
      </c>
      <c r="R406" s="90" t="s">
        <v>60</v>
      </c>
      <c r="S406" s="27" t="s">
        <v>96</v>
      </c>
      <c r="T406" s="27" t="s">
        <v>51</v>
      </c>
      <c r="U406" s="27">
        <v>9767727724</v>
      </c>
      <c r="V406" s="37" t="s">
        <v>52</v>
      </c>
      <c r="W406" s="40" t="str">
        <f t="shared" si="18"/>
        <v>Pooja Shah</v>
      </c>
      <c r="X406" s="93" t="str">
        <f t="shared" si="19"/>
        <v>Stationery</v>
      </c>
      <c r="Y406" s="94" t="str">
        <f t="shared" si="20"/>
        <v>West</v>
      </c>
    </row>
    <row r="407" spans="1:25" ht="15" thickBot="1" x14ac:dyDescent="0.4">
      <c r="A407" s="90" t="s">
        <v>538</v>
      </c>
      <c r="B407" s="30" t="s">
        <v>104</v>
      </c>
      <c r="C407" s="30" t="s">
        <v>105</v>
      </c>
      <c r="D407" s="31">
        <v>45840</v>
      </c>
      <c r="E407" s="31">
        <v>45850</v>
      </c>
      <c r="F407" s="30" t="s">
        <v>166</v>
      </c>
      <c r="G407" s="30" t="s">
        <v>26</v>
      </c>
      <c r="H407" s="31">
        <v>33402</v>
      </c>
      <c r="I407" s="30" t="s">
        <v>147</v>
      </c>
      <c r="J407" s="30" t="s">
        <v>148</v>
      </c>
      <c r="K407" s="30" t="s">
        <v>29</v>
      </c>
      <c r="L407" s="30" t="s">
        <v>107</v>
      </c>
      <c r="M407" s="95">
        <v>18</v>
      </c>
      <c r="N407" s="30">
        <v>8500</v>
      </c>
      <c r="O407" s="30">
        <v>10</v>
      </c>
      <c r="P407" s="30">
        <v>137700</v>
      </c>
      <c r="Q407" s="30">
        <v>4</v>
      </c>
      <c r="R407" s="90" t="s">
        <v>31</v>
      </c>
      <c r="S407" s="30" t="s">
        <v>42</v>
      </c>
      <c r="T407" s="30" t="s">
        <v>108</v>
      </c>
      <c r="U407" s="30">
        <v>9865401727</v>
      </c>
      <c r="V407" s="38" t="s">
        <v>53</v>
      </c>
      <c r="W407" s="40" t="str">
        <f t="shared" si="18"/>
        <v>Anita Gupta</v>
      </c>
      <c r="X407" s="93" t="str">
        <f t="shared" si="19"/>
        <v>Home Appliances</v>
      </c>
      <c r="Y407" s="94" t="str">
        <f t="shared" si="20"/>
        <v>East</v>
      </c>
    </row>
    <row r="408" spans="1:25" ht="15" thickBot="1" x14ac:dyDescent="0.4">
      <c r="A408" s="90" t="s">
        <v>539</v>
      </c>
      <c r="B408" s="27" t="s">
        <v>45</v>
      </c>
      <c r="C408" s="27" t="s">
        <v>138</v>
      </c>
      <c r="D408" s="28">
        <v>45935</v>
      </c>
      <c r="E408" s="28">
        <v>45939</v>
      </c>
      <c r="F408" s="27" t="s">
        <v>101</v>
      </c>
      <c r="G408" s="27" t="s">
        <v>26</v>
      </c>
      <c r="H408" s="28">
        <v>35204</v>
      </c>
      <c r="I408" s="27" t="s">
        <v>79</v>
      </c>
      <c r="J408" s="27" t="s">
        <v>75</v>
      </c>
      <c r="K408" s="27" t="s">
        <v>83</v>
      </c>
      <c r="L408" s="27" t="s">
        <v>139</v>
      </c>
      <c r="M408" s="95">
        <v>5</v>
      </c>
      <c r="N408" s="27">
        <v>45</v>
      </c>
      <c r="O408" s="27">
        <v>10</v>
      </c>
      <c r="P408" s="27">
        <v>202.5</v>
      </c>
      <c r="Q408" s="27">
        <v>3</v>
      </c>
      <c r="R408" s="90" t="s">
        <v>31</v>
      </c>
      <c r="S408" s="27" t="s">
        <v>80</v>
      </c>
      <c r="T408" s="27" t="s">
        <v>51</v>
      </c>
      <c r="U408" s="27">
        <v>9603848571</v>
      </c>
      <c r="V408" s="37" t="s">
        <v>52</v>
      </c>
      <c r="W408" s="40" t="str">
        <f t="shared" si="18"/>
        <v>Pooja Shah</v>
      </c>
      <c r="X408" s="93" t="str">
        <f t="shared" si="19"/>
        <v>Stationery</v>
      </c>
      <c r="Y408" s="94" t="str">
        <f t="shared" si="20"/>
        <v>West</v>
      </c>
    </row>
    <row r="409" spans="1:25" ht="15" thickBot="1" x14ac:dyDescent="0.4">
      <c r="A409" s="90" t="s">
        <v>540</v>
      </c>
      <c r="B409" s="30" t="s">
        <v>55</v>
      </c>
      <c r="C409" s="30" t="s">
        <v>138</v>
      </c>
      <c r="D409" s="31">
        <v>45807</v>
      </c>
      <c r="E409" s="31">
        <v>45810</v>
      </c>
      <c r="F409" s="30" t="s">
        <v>57</v>
      </c>
      <c r="G409" s="30" t="s">
        <v>58</v>
      </c>
      <c r="H409" s="31">
        <v>33747</v>
      </c>
      <c r="I409" s="30" t="s">
        <v>74</v>
      </c>
      <c r="J409" s="30" t="s">
        <v>75</v>
      </c>
      <c r="K409" s="30" t="s">
        <v>83</v>
      </c>
      <c r="L409" s="30" t="s">
        <v>139</v>
      </c>
      <c r="M409" s="95">
        <v>2</v>
      </c>
      <c r="N409" s="30">
        <v>45</v>
      </c>
      <c r="O409" s="30">
        <v>20</v>
      </c>
      <c r="P409" s="30">
        <v>72</v>
      </c>
      <c r="Q409" s="30">
        <v>5</v>
      </c>
      <c r="R409" s="90" t="s">
        <v>65</v>
      </c>
      <c r="S409" s="30" t="s">
        <v>50</v>
      </c>
      <c r="T409" s="30" t="s">
        <v>61</v>
      </c>
      <c r="U409" s="30">
        <v>9101231789</v>
      </c>
      <c r="V409" s="38" t="s">
        <v>53</v>
      </c>
      <c r="W409" s="40" t="str">
        <f t="shared" si="18"/>
        <v>Mohit Verma</v>
      </c>
      <c r="X409" s="93" t="str">
        <f t="shared" si="19"/>
        <v>Stationery</v>
      </c>
      <c r="Y409" s="94" t="str">
        <f t="shared" si="20"/>
        <v>West</v>
      </c>
    </row>
    <row r="410" spans="1:25" ht="15" thickBot="1" x14ac:dyDescent="0.4">
      <c r="A410" s="90" t="s">
        <v>541</v>
      </c>
      <c r="B410" s="27" t="s">
        <v>72</v>
      </c>
      <c r="C410" s="27" t="s">
        <v>138</v>
      </c>
      <c r="D410" s="28">
        <v>45684</v>
      </c>
      <c r="E410" s="28">
        <v>45694</v>
      </c>
      <c r="F410" s="27" t="s">
        <v>73</v>
      </c>
      <c r="G410" s="27" t="s">
        <v>26</v>
      </c>
      <c r="H410" s="28">
        <v>32309</v>
      </c>
      <c r="I410" s="27" t="s">
        <v>27</v>
      </c>
      <c r="J410" s="27" t="s">
        <v>28</v>
      </c>
      <c r="K410" s="27" t="s">
        <v>83</v>
      </c>
      <c r="L410" s="27" t="s">
        <v>139</v>
      </c>
      <c r="M410" s="95">
        <v>18</v>
      </c>
      <c r="N410" s="27">
        <v>45</v>
      </c>
      <c r="O410" s="27">
        <v>10</v>
      </c>
      <c r="P410" s="27">
        <v>729</v>
      </c>
      <c r="Q410" s="27">
        <v>2</v>
      </c>
      <c r="R410" s="90" t="s">
        <v>41</v>
      </c>
      <c r="S410" s="27" t="s">
        <v>80</v>
      </c>
      <c r="T410" s="27" t="s">
        <v>93</v>
      </c>
      <c r="U410" s="27">
        <v>9485017802</v>
      </c>
      <c r="V410" s="37" t="s">
        <v>52</v>
      </c>
      <c r="W410" s="40" t="str">
        <f t="shared" si="18"/>
        <v>Priya Patel</v>
      </c>
      <c r="X410" s="93" t="str">
        <f t="shared" si="19"/>
        <v>Stationery</v>
      </c>
      <c r="Y410" s="94" t="str">
        <f t="shared" si="20"/>
        <v>South</v>
      </c>
    </row>
    <row r="411" spans="1:25" ht="15" thickBot="1" x14ac:dyDescent="0.4">
      <c r="A411" s="90" t="s">
        <v>542</v>
      </c>
      <c r="B411" s="30" t="s">
        <v>87</v>
      </c>
      <c r="C411" s="30" t="s">
        <v>56</v>
      </c>
      <c r="D411" s="31">
        <v>46015</v>
      </c>
      <c r="E411" s="31">
        <v>46023</v>
      </c>
      <c r="F411" s="30" t="s">
        <v>88</v>
      </c>
      <c r="G411" s="30" t="s">
        <v>58</v>
      </c>
      <c r="H411" s="31">
        <v>34172</v>
      </c>
      <c r="I411" s="30" t="s">
        <v>147</v>
      </c>
      <c r="J411" s="30" t="s">
        <v>148</v>
      </c>
      <c r="K411" s="30" t="s">
        <v>39</v>
      </c>
      <c r="L411" s="30" t="s">
        <v>59</v>
      </c>
      <c r="M411" s="95">
        <v>13</v>
      </c>
      <c r="N411" s="30">
        <v>1200</v>
      </c>
      <c r="O411" s="30">
        <v>5</v>
      </c>
      <c r="P411" s="30">
        <v>14820</v>
      </c>
      <c r="Q411" s="30">
        <v>4</v>
      </c>
      <c r="R411" s="90" t="s">
        <v>60</v>
      </c>
      <c r="S411" s="30" t="s">
        <v>80</v>
      </c>
      <c r="T411" s="30" t="s">
        <v>89</v>
      </c>
      <c r="U411" s="30">
        <v>9815464650</v>
      </c>
      <c r="V411" s="36" t="s">
        <v>34</v>
      </c>
      <c r="W411" s="40" t="str">
        <f t="shared" si="18"/>
        <v>Rohit Singh</v>
      </c>
      <c r="X411" s="93" t="str">
        <f t="shared" si="19"/>
        <v>Electronics</v>
      </c>
      <c r="Y411" s="94" t="str">
        <f t="shared" si="20"/>
        <v>East</v>
      </c>
    </row>
    <row r="412" spans="1:25" ht="15" thickBot="1" x14ac:dyDescent="0.4">
      <c r="A412" s="90" t="s">
        <v>543</v>
      </c>
      <c r="B412" s="27" t="s">
        <v>23</v>
      </c>
      <c r="C412" s="27" t="s">
        <v>125</v>
      </c>
      <c r="D412" s="28">
        <v>46153</v>
      </c>
      <c r="E412" s="28">
        <v>46159</v>
      </c>
      <c r="F412" s="27" t="s">
        <v>25</v>
      </c>
      <c r="G412" s="27" t="s">
        <v>26</v>
      </c>
      <c r="H412" s="28">
        <v>38020</v>
      </c>
      <c r="I412" s="27" t="s">
        <v>27</v>
      </c>
      <c r="J412" s="27" t="s">
        <v>28</v>
      </c>
      <c r="K412" s="27" t="s">
        <v>83</v>
      </c>
      <c r="L412" s="27" t="s">
        <v>127</v>
      </c>
      <c r="M412" s="95">
        <v>14</v>
      </c>
      <c r="N412" s="27">
        <v>20</v>
      </c>
      <c r="O412" s="27">
        <v>20</v>
      </c>
      <c r="P412" s="27">
        <v>224</v>
      </c>
      <c r="Q412" s="27">
        <v>5</v>
      </c>
      <c r="R412" s="90" t="s">
        <v>65</v>
      </c>
      <c r="S412" s="27" t="s">
        <v>42</v>
      </c>
      <c r="T412" s="27" t="s">
        <v>43</v>
      </c>
      <c r="U412" s="27">
        <v>9860715839</v>
      </c>
      <c r="V412" s="37" t="s">
        <v>52</v>
      </c>
      <c r="W412" s="40" t="str">
        <f t="shared" si="18"/>
        <v>Kavya Nair</v>
      </c>
      <c r="X412" s="93" t="str">
        <f t="shared" si="19"/>
        <v>Stationery</v>
      </c>
      <c r="Y412" s="94" t="str">
        <f t="shared" si="20"/>
        <v>South</v>
      </c>
    </row>
    <row r="413" spans="1:25" ht="15" thickBot="1" x14ac:dyDescent="0.4">
      <c r="A413" s="90" t="s">
        <v>544</v>
      </c>
      <c r="B413" s="30" t="s">
        <v>72</v>
      </c>
      <c r="C413" s="30" t="s">
        <v>68</v>
      </c>
      <c r="D413" s="31">
        <v>46064</v>
      </c>
      <c r="E413" s="31">
        <v>46076</v>
      </c>
      <c r="F413" s="30" t="s">
        <v>73</v>
      </c>
      <c r="G413" s="30" t="s">
        <v>26</v>
      </c>
      <c r="H413" s="31">
        <v>28847</v>
      </c>
      <c r="I413" s="30" t="s">
        <v>27</v>
      </c>
      <c r="J413" s="30" t="s">
        <v>28</v>
      </c>
      <c r="K413" s="30" t="s">
        <v>29</v>
      </c>
      <c r="L413" s="30" t="s">
        <v>70</v>
      </c>
      <c r="M413" s="95">
        <v>16</v>
      </c>
      <c r="N413" s="30">
        <v>3500</v>
      </c>
      <c r="O413" s="30">
        <v>15</v>
      </c>
      <c r="P413" s="30">
        <v>47600</v>
      </c>
      <c r="Q413" s="30">
        <v>3</v>
      </c>
      <c r="R413" s="90" t="s">
        <v>65</v>
      </c>
      <c r="S413" s="30" t="s">
        <v>50</v>
      </c>
      <c r="T413" s="30" t="s">
        <v>93</v>
      </c>
      <c r="U413" s="30">
        <v>9207561051</v>
      </c>
      <c r="V413" s="38" t="s">
        <v>53</v>
      </c>
      <c r="W413" s="40" t="str">
        <f t="shared" si="18"/>
        <v>Priya Patel</v>
      </c>
      <c r="X413" s="93" t="str">
        <f t="shared" si="19"/>
        <v>Home Appliances</v>
      </c>
      <c r="Y413" s="94" t="str">
        <f t="shared" si="20"/>
        <v>South</v>
      </c>
    </row>
    <row r="414" spans="1:25" ht="15" thickBot="1" x14ac:dyDescent="0.4">
      <c r="A414" s="90" t="s">
        <v>545</v>
      </c>
      <c r="B414" s="27" t="s">
        <v>134</v>
      </c>
      <c r="C414" s="27" t="s">
        <v>125</v>
      </c>
      <c r="D414" s="28">
        <v>45704</v>
      </c>
      <c r="E414" s="28">
        <v>45712</v>
      </c>
      <c r="F414" s="27" t="s">
        <v>135</v>
      </c>
      <c r="G414" s="27" t="s">
        <v>26</v>
      </c>
      <c r="H414" s="28">
        <v>34257</v>
      </c>
      <c r="I414" s="27" t="s">
        <v>48</v>
      </c>
      <c r="J414" s="27" t="s">
        <v>28</v>
      </c>
      <c r="K414" s="27" t="s">
        <v>83</v>
      </c>
      <c r="L414" s="27" t="s">
        <v>127</v>
      </c>
      <c r="M414" s="95">
        <v>20</v>
      </c>
      <c r="N414" s="27">
        <v>20</v>
      </c>
      <c r="O414" s="27">
        <v>15</v>
      </c>
      <c r="P414" s="27">
        <v>340</v>
      </c>
      <c r="Q414" s="27">
        <v>1</v>
      </c>
      <c r="R414" s="90" t="s">
        <v>41</v>
      </c>
      <c r="S414" s="27" t="s">
        <v>50</v>
      </c>
      <c r="T414" s="27" t="s">
        <v>136</v>
      </c>
      <c r="U414" s="27">
        <v>9159894508</v>
      </c>
      <c r="V414" s="37" t="s">
        <v>53</v>
      </c>
      <c r="W414" s="40" t="str">
        <f t="shared" si="18"/>
        <v>Sneha Joshi</v>
      </c>
      <c r="X414" s="93" t="str">
        <f t="shared" si="19"/>
        <v>Stationery</v>
      </c>
      <c r="Y414" s="94" t="str">
        <f t="shared" si="20"/>
        <v>South</v>
      </c>
    </row>
    <row r="415" spans="1:25" ht="15" thickBot="1" x14ac:dyDescent="0.4">
      <c r="A415" s="90" t="s">
        <v>546</v>
      </c>
      <c r="B415" s="30" t="s">
        <v>104</v>
      </c>
      <c r="C415" s="30" t="s">
        <v>46</v>
      </c>
      <c r="D415" s="31">
        <v>45756</v>
      </c>
      <c r="E415" s="31">
        <v>45761</v>
      </c>
      <c r="F415" s="30" t="s">
        <v>166</v>
      </c>
      <c r="G415" s="30" t="s">
        <v>26</v>
      </c>
      <c r="H415" s="31">
        <v>29201</v>
      </c>
      <c r="I415" s="30" t="s">
        <v>91</v>
      </c>
      <c r="J415" s="30" t="s">
        <v>75</v>
      </c>
      <c r="K415" s="30" t="s">
        <v>39</v>
      </c>
      <c r="L415" s="30" t="s">
        <v>49</v>
      </c>
      <c r="M415" s="95">
        <v>1</v>
      </c>
      <c r="N415" s="30">
        <v>55000</v>
      </c>
      <c r="O415" s="30">
        <v>15</v>
      </c>
      <c r="P415" s="30">
        <v>46750</v>
      </c>
      <c r="Q415" s="30">
        <v>2</v>
      </c>
      <c r="R415" s="90" t="s">
        <v>65</v>
      </c>
      <c r="S415" s="30" t="s">
        <v>80</v>
      </c>
      <c r="T415" s="30" t="s">
        <v>108</v>
      </c>
      <c r="U415" s="30">
        <v>9531465024</v>
      </c>
      <c r="V415" s="38" t="s">
        <v>53</v>
      </c>
      <c r="W415" s="40" t="str">
        <f t="shared" si="18"/>
        <v>Anita Gupta</v>
      </c>
      <c r="X415" s="93" t="str">
        <f t="shared" si="19"/>
        <v>Electronics</v>
      </c>
      <c r="Y415" s="94" t="str">
        <f t="shared" si="20"/>
        <v>West</v>
      </c>
    </row>
    <row r="416" spans="1:25" ht="15" thickBot="1" x14ac:dyDescent="0.4">
      <c r="A416" s="90" t="s">
        <v>547</v>
      </c>
      <c r="B416" s="27" t="s">
        <v>72</v>
      </c>
      <c r="C416" s="27" t="s">
        <v>82</v>
      </c>
      <c r="D416" s="28">
        <v>45672</v>
      </c>
      <c r="E416" s="28">
        <v>45677</v>
      </c>
      <c r="F416" s="27" t="s">
        <v>73</v>
      </c>
      <c r="G416" s="27" t="s">
        <v>26</v>
      </c>
      <c r="H416" s="28">
        <v>37400</v>
      </c>
      <c r="I416" s="27" t="s">
        <v>91</v>
      </c>
      <c r="J416" s="27" t="s">
        <v>75</v>
      </c>
      <c r="K416" s="27" t="s">
        <v>83</v>
      </c>
      <c r="L416" s="27" t="s">
        <v>84</v>
      </c>
      <c r="M416" s="95">
        <v>15</v>
      </c>
      <c r="N416" s="27">
        <v>60</v>
      </c>
      <c r="O416" s="27">
        <v>5</v>
      </c>
      <c r="P416" s="27">
        <v>855</v>
      </c>
      <c r="Q416" s="27">
        <v>4</v>
      </c>
      <c r="R416" s="90" t="s">
        <v>41</v>
      </c>
      <c r="S416" s="27" t="s">
        <v>50</v>
      </c>
      <c r="T416" s="27" t="s">
        <v>93</v>
      </c>
      <c r="U416" s="27">
        <v>9158813608</v>
      </c>
      <c r="V416" s="35" t="s">
        <v>34</v>
      </c>
      <c r="W416" s="40" t="str">
        <f t="shared" si="18"/>
        <v>Priya Patel</v>
      </c>
      <c r="X416" s="93" t="str">
        <f t="shared" si="19"/>
        <v>Stationery</v>
      </c>
      <c r="Y416" s="94" t="str">
        <f t="shared" si="20"/>
        <v>West</v>
      </c>
    </row>
    <row r="417" spans="1:25" ht="15" thickBot="1" x14ac:dyDescent="0.4">
      <c r="A417" s="90" t="s">
        <v>548</v>
      </c>
      <c r="B417" s="30" t="s">
        <v>63</v>
      </c>
      <c r="C417" s="30" t="s">
        <v>112</v>
      </c>
      <c r="D417" s="31">
        <v>46108</v>
      </c>
      <c r="E417" s="31">
        <v>46114</v>
      </c>
      <c r="F417" s="30" t="s">
        <v>110</v>
      </c>
      <c r="G417" s="30" t="s">
        <v>58</v>
      </c>
      <c r="H417" s="31">
        <v>27828</v>
      </c>
      <c r="I417" s="30" t="s">
        <v>74</v>
      </c>
      <c r="J417" s="30" t="s">
        <v>75</v>
      </c>
      <c r="K417" s="30" t="s">
        <v>39</v>
      </c>
      <c r="L417" s="30" t="s">
        <v>114</v>
      </c>
      <c r="M417" s="95">
        <v>15</v>
      </c>
      <c r="N417" s="30">
        <v>700</v>
      </c>
      <c r="O417" s="30">
        <v>0</v>
      </c>
      <c r="P417" s="30">
        <v>10500</v>
      </c>
      <c r="Q417" s="30">
        <v>5</v>
      </c>
      <c r="R417" s="90" t="s">
        <v>41</v>
      </c>
      <c r="S417" s="30" t="s">
        <v>80</v>
      </c>
      <c r="T417" s="30" t="s">
        <v>66</v>
      </c>
      <c r="U417" s="30">
        <v>9308461700</v>
      </c>
      <c r="V417" s="36" t="s">
        <v>34</v>
      </c>
      <c r="W417" s="40" t="str">
        <f t="shared" si="18"/>
        <v>Arjun Rao</v>
      </c>
      <c r="X417" s="93" t="str">
        <f t="shared" si="19"/>
        <v>Electronics</v>
      </c>
      <c r="Y417" s="94" t="str">
        <f t="shared" si="20"/>
        <v>West</v>
      </c>
    </row>
    <row r="418" spans="1:25" ht="15" thickBot="1" x14ac:dyDescent="0.4">
      <c r="A418" s="90" t="s">
        <v>549</v>
      </c>
      <c r="B418" s="27" t="s">
        <v>124</v>
      </c>
      <c r="C418" s="27" t="s">
        <v>36</v>
      </c>
      <c r="D418" s="28">
        <v>46027</v>
      </c>
      <c r="E418" s="28">
        <v>46031</v>
      </c>
      <c r="F418" s="27" t="s">
        <v>126</v>
      </c>
      <c r="G418" s="27" t="s">
        <v>58</v>
      </c>
      <c r="H418" s="28">
        <v>29484</v>
      </c>
      <c r="I418" s="27" t="s">
        <v>147</v>
      </c>
      <c r="J418" s="27" t="s">
        <v>148</v>
      </c>
      <c r="K418" s="27" t="s">
        <v>39</v>
      </c>
      <c r="L418" s="27" t="s">
        <v>40</v>
      </c>
      <c r="M418" s="95">
        <v>13</v>
      </c>
      <c r="N418" s="27">
        <v>12000</v>
      </c>
      <c r="O418" s="27">
        <v>10</v>
      </c>
      <c r="P418" s="27">
        <v>140400</v>
      </c>
      <c r="Q418" s="27">
        <v>1</v>
      </c>
      <c r="R418" s="90" t="s">
        <v>31</v>
      </c>
      <c r="S418" s="27" t="s">
        <v>96</v>
      </c>
      <c r="T418" s="27" t="s">
        <v>128</v>
      </c>
      <c r="U418" s="27">
        <v>9882279049</v>
      </c>
      <c r="V418" s="37" t="s">
        <v>53</v>
      </c>
      <c r="W418" s="40" t="str">
        <f t="shared" si="18"/>
        <v>Vikas Mehta</v>
      </c>
      <c r="X418" s="93" t="str">
        <f t="shared" si="19"/>
        <v>Electronics</v>
      </c>
      <c r="Y418" s="94" t="str">
        <f t="shared" si="20"/>
        <v>East</v>
      </c>
    </row>
    <row r="419" spans="1:25" ht="15" thickBot="1" x14ac:dyDescent="0.4">
      <c r="A419" s="90" t="s">
        <v>550</v>
      </c>
      <c r="B419" s="30" t="s">
        <v>63</v>
      </c>
      <c r="C419" s="30" t="s">
        <v>36</v>
      </c>
      <c r="D419" s="31">
        <v>46129</v>
      </c>
      <c r="E419" s="31">
        <v>46141</v>
      </c>
      <c r="F419" s="30" t="s">
        <v>110</v>
      </c>
      <c r="G419" s="30" t="s">
        <v>58</v>
      </c>
      <c r="H419" s="31">
        <v>32318</v>
      </c>
      <c r="I419" s="30" t="s">
        <v>27</v>
      </c>
      <c r="J419" s="30" t="s">
        <v>28</v>
      </c>
      <c r="K419" s="30" t="s">
        <v>39</v>
      </c>
      <c r="L419" s="30" t="s">
        <v>40</v>
      </c>
      <c r="M419" s="95">
        <v>12</v>
      </c>
      <c r="N419" s="30">
        <v>12000</v>
      </c>
      <c r="O419" s="30">
        <v>20</v>
      </c>
      <c r="P419" s="30">
        <v>115200</v>
      </c>
      <c r="Q419" s="30">
        <v>2</v>
      </c>
      <c r="R419" s="90" t="s">
        <v>31</v>
      </c>
      <c r="S419" s="30" t="s">
        <v>32</v>
      </c>
      <c r="T419" s="30" t="s">
        <v>66</v>
      </c>
      <c r="U419" s="30">
        <v>9961801338</v>
      </c>
      <c r="V419" s="36" t="s">
        <v>34</v>
      </c>
      <c r="W419" s="40" t="str">
        <f t="shared" si="18"/>
        <v>Arjun Rao</v>
      </c>
      <c r="X419" s="93" t="str">
        <f t="shared" si="19"/>
        <v>Electronics</v>
      </c>
      <c r="Y419" s="94" t="str">
        <f t="shared" si="20"/>
        <v>South</v>
      </c>
    </row>
    <row r="420" spans="1:25" ht="15" thickBot="1" x14ac:dyDescent="0.4">
      <c r="A420" s="90" t="s">
        <v>551</v>
      </c>
      <c r="B420" s="27" t="s">
        <v>63</v>
      </c>
      <c r="C420" s="27" t="s">
        <v>138</v>
      </c>
      <c r="D420" s="28">
        <v>45741</v>
      </c>
      <c r="E420" s="28">
        <v>45745</v>
      </c>
      <c r="F420" s="27" t="s">
        <v>110</v>
      </c>
      <c r="G420" s="27" t="s">
        <v>58</v>
      </c>
      <c r="H420" s="28">
        <v>37783</v>
      </c>
      <c r="I420" s="27" t="s">
        <v>74</v>
      </c>
      <c r="J420" s="27" t="s">
        <v>75</v>
      </c>
      <c r="K420" s="27" t="s">
        <v>83</v>
      </c>
      <c r="L420" s="27" t="s">
        <v>139</v>
      </c>
      <c r="M420" s="95">
        <v>10</v>
      </c>
      <c r="N420" s="27">
        <v>45</v>
      </c>
      <c r="O420" s="27">
        <v>0</v>
      </c>
      <c r="P420" s="27">
        <v>450</v>
      </c>
      <c r="Q420" s="27">
        <v>5</v>
      </c>
      <c r="R420" s="90" t="s">
        <v>60</v>
      </c>
      <c r="S420" s="27" t="s">
        <v>80</v>
      </c>
      <c r="T420" s="27" t="s">
        <v>66</v>
      </c>
      <c r="U420" s="27">
        <v>9853525026</v>
      </c>
      <c r="V420" s="37" t="s">
        <v>53</v>
      </c>
      <c r="W420" s="40" t="str">
        <f t="shared" si="18"/>
        <v>Arjun Rao</v>
      </c>
      <c r="X420" s="93" t="str">
        <f t="shared" si="19"/>
        <v>Stationery</v>
      </c>
      <c r="Y420" s="94" t="str">
        <f t="shared" si="20"/>
        <v>West</v>
      </c>
    </row>
    <row r="421" spans="1:25" ht="15" thickBot="1" x14ac:dyDescent="0.4">
      <c r="A421" s="90" t="s">
        <v>552</v>
      </c>
      <c r="B421" s="30" t="s">
        <v>87</v>
      </c>
      <c r="C421" s="30" t="s">
        <v>56</v>
      </c>
      <c r="D421" s="31">
        <v>45774</v>
      </c>
      <c r="E421" s="31">
        <v>45786</v>
      </c>
      <c r="F421" s="30" t="s">
        <v>88</v>
      </c>
      <c r="G421" s="30" t="s">
        <v>58</v>
      </c>
      <c r="H421" s="31">
        <v>29930</v>
      </c>
      <c r="I421" s="30" t="s">
        <v>74</v>
      </c>
      <c r="J421" s="30" t="s">
        <v>75</v>
      </c>
      <c r="K421" s="30" t="s">
        <v>39</v>
      </c>
      <c r="L421" s="30" t="s">
        <v>59</v>
      </c>
      <c r="M421" s="95">
        <v>20</v>
      </c>
      <c r="N421" s="30">
        <v>1200</v>
      </c>
      <c r="O421" s="30">
        <v>20</v>
      </c>
      <c r="P421" s="30">
        <v>19200</v>
      </c>
      <c r="Q421" s="30">
        <v>5</v>
      </c>
      <c r="R421" s="90" t="s">
        <v>41</v>
      </c>
      <c r="S421" s="30" t="s">
        <v>50</v>
      </c>
      <c r="T421" s="30" t="s">
        <v>89</v>
      </c>
      <c r="U421" s="30">
        <v>9209649485</v>
      </c>
      <c r="V421" s="38" t="s">
        <v>53</v>
      </c>
      <c r="W421" s="40" t="str">
        <f t="shared" si="18"/>
        <v>Rohit Singh</v>
      </c>
      <c r="X421" s="93" t="str">
        <f t="shared" si="19"/>
        <v>Electronics</v>
      </c>
      <c r="Y421" s="94" t="str">
        <f t="shared" si="20"/>
        <v>West</v>
      </c>
    </row>
    <row r="422" spans="1:25" ht="15" thickBot="1" x14ac:dyDescent="0.4">
      <c r="A422" s="90" t="s">
        <v>553</v>
      </c>
      <c r="B422" s="27" t="s">
        <v>55</v>
      </c>
      <c r="C422" s="27" t="s">
        <v>56</v>
      </c>
      <c r="D422" s="28">
        <v>45919</v>
      </c>
      <c r="E422" s="28">
        <v>45926</v>
      </c>
      <c r="F422" s="27" t="s">
        <v>57</v>
      </c>
      <c r="G422" s="27" t="s">
        <v>58</v>
      </c>
      <c r="H422" s="28">
        <v>27449</v>
      </c>
      <c r="I422" s="27" t="s">
        <v>79</v>
      </c>
      <c r="J422" s="27" t="s">
        <v>75</v>
      </c>
      <c r="K422" s="27" t="s">
        <v>39</v>
      </c>
      <c r="L422" s="27" t="s">
        <v>59</v>
      </c>
      <c r="M422" s="95">
        <v>8</v>
      </c>
      <c r="N422" s="27">
        <v>1200</v>
      </c>
      <c r="O422" s="27">
        <v>10</v>
      </c>
      <c r="P422" s="27">
        <v>8640</v>
      </c>
      <c r="Q422" s="27">
        <v>4</v>
      </c>
      <c r="R422" s="90" t="s">
        <v>41</v>
      </c>
      <c r="S422" s="27" t="s">
        <v>50</v>
      </c>
      <c r="T422" s="27" t="s">
        <v>61</v>
      </c>
      <c r="U422" s="27">
        <v>9712905525</v>
      </c>
      <c r="V422" s="35" t="s">
        <v>34</v>
      </c>
      <c r="W422" s="40" t="str">
        <f t="shared" si="18"/>
        <v>Mohit Verma</v>
      </c>
      <c r="X422" s="93" t="str">
        <f t="shared" si="19"/>
        <v>Electronics</v>
      </c>
      <c r="Y422" s="94" t="str">
        <f t="shared" si="20"/>
        <v>West</v>
      </c>
    </row>
    <row r="423" spans="1:25" ht="15" thickBot="1" x14ac:dyDescent="0.4">
      <c r="A423" s="90" t="s">
        <v>554</v>
      </c>
      <c r="B423" s="30" t="s">
        <v>87</v>
      </c>
      <c r="C423" s="30" t="s">
        <v>56</v>
      </c>
      <c r="D423" s="31">
        <v>45795</v>
      </c>
      <c r="E423" s="31">
        <v>45797</v>
      </c>
      <c r="F423" s="30" t="s">
        <v>88</v>
      </c>
      <c r="G423" s="30" t="s">
        <v>58</v>
      </c>
      <c r="H423" s="31">
        <v>28395</v>
      </c>
      <c r="I423" s="30" t="s">
        <v>121</v>
      </c>
      <c r="J423" s="30" t="s">
        <v>38</v>
      </c>
      <c r="K423" s="30" t="s">
        <v>39</v>
      </c>
      <c r="L423" s="30" t="s">
        <v>59</v>
      </c>
      <c r="M423" s="95">
        <v>8</v>
      </c>
      <c r="N423" s="30">
        <v>1200</v>
      </c>
      <c r="O423" s="30">
        <v>10</v>
      </c>
      <c r="P423" s="30">
        <v>8640</v>
      </c>
      <c r="Q423" s="30">
        <v>5</v>
      </c>
      <c r="R423" s="90" t="s">
        <v>60</v>
      </c>
      <c r="S423" s="30" t="s">
        <v>42</v>
      </c>
      <c r="T423" s="30" t="s">
        <v>89</v>
      </c>
      <c r="U423" s="30">
        <v>9812472447</v>
      </c>
      <c r="V423" s="38" t="s">
        <v>53</v>
      </c>
      <c r="W423" s="40" t="str">
        <f t="shared" si="18"/>
        <v>Rohit Singh</v>
      </c>
      <c r="X423" s="93" t="str">
        <f t="shared" si="19"/>
        <v>Electronics</v>
      </c>
      <c r="Y423" s="94" t="str">
        <f t="shared" si="20"/>
        <v>North</v>
      </c>
    </row>
    <row r="424" spans="1:25" ht="15" thickBot="1" x14ac:dyDescent="0.4">
      <c r="A424" s="90" t="s">
        <v>555</v>
      </c>
      <c r="B424" s="27" t="s">
        <v>156</v>
      </c>
      <c r="C424" s="27" t="s">
        <v>24</v>
      </c>
      <c r="D424" s="28">
        <v>46020</v>
      </c>
      <c r="E424" s="28">
        <v>46021</v>
      </c>
      <c r="F424" s="27" t="s">
        <v>106</v>
      </c>
      <c r="G424" s="27" t="s">
        <v>58</v>
      </c>
      <c r="H424" s="28">
        <v>32136</v>
      </c>
      <c r="I424" s="27" t="s">
        <v>121</v>
      </c>
      <c r="J424" s="27" t="s">
        <v>38</v>
      </c>
      <c r="K424" s="27" t="s">
        <v>29</v>
      </c>
      <c r="L424" s="27" t="s">
        <v>30</v>
      </c>
      <c r="M424" s="95">
        <v>9</v>
      </c>
      <c r="N424" s="27">
        <v>2200</v>
      </c>
      <c r="O424" s="27">
        <v>20</v>
      </c>
      <c r="P424" s="27">
        <v>15840</v>
      </c>
      <c r="Q424" s="27">
        <v>1</v>
      </c>
      <c r="R424" s="90" t="s">
        <v>41</v>
      </c>
      <c r="S424" s="27" t="s">
        <v>80</v>
      </c>
      <c r="T424" s="27" t="s">
        <v>158</v>
      </c>
      <c r="U424" s="27">
        <v>9281127052</v>
      </c>
      <c r="V424" s="35" t="s">
        <v>34</v>
      </c>
      <c r="W424" s="40" t="str">
        <f t="shared" si="18"/>
        <v>Amit Sharma</v>
      </c>
      <c r="X424" s="93" t="str">
        <f t="shared" si="19"/>
        <v>Home Appliances</v>
      </c>
      <c r="Y424" s="94" t="str">
        <f t="shared" si="20"/>
        <v>North</v>
      </c>
    </row>
    <row r="425" spans="1:25" ht="15" thickBot="1" x14ac:dyDescent="0.4">
      <c r="A425" s="90" t="s">
        <v>556</v>
      </c>
      <c r="B425" s="30" t="s">
        <v>87</v>
      </c>
      <c r="C425" s="30" t="s">
        <v>125</v>
      </c>
      <c r="D425" s="31">
        <v>45669</v>
      </c>
      <c r="E425" s="31">
        <v>45673</v>
      </c>
      <c r="F425" s="30" t="s">
        <v>88</v>
      </c>
      <c r="G425" s="30" t="s">
        <v>58</v>
      </c>
      <c r="H425" s="31">
        <v>36973</v>
      </c>
      <c r="I425" s="30" t="s">
        <v>147</v>
      </c>
      <c r="J425" s="30" t="s">
        <v>148</v>
      </c>
      <c r="K425" s="30" t="s">
        <v>83</v>
      </c>
      <c r="L425" s="30" t="s">
        <v>127</v>
      </c>
      <c r="M425" s="95">
        <v>8</v>
      </c>
      <c r="N425" s="30">
        <v>20</v>
      </c>
      <c r="O425" s="30">
        <v>20</v>
      </c>
      <c r="P425" s="30">
        <v>128</v>
      </c>
      <c r="Q425" s="30">
        <v>4</v>
      </c>
      <c r="R425" s="90" t="s">
        <v>31</v>
      </c>
      <c r="S425" s="30" t="s">
        <v>32</v>
      </c>
      <c r="T425" s="30" t="s">
        <v>89</v>
      </c>
      <c r="U425" s="30">
        <v>9346312555</v>
      </c>
      <c r="V425" s="38" t="s">
        <v>53</v>
      </c>
      <c r="W425" s="40" t="str">
        <f t="shared" si="18"/>
        <v>Rohit Singh</v>
      </c>
      <c r="X425" s="93" t="str">
        <f t="shared" si="19"/>
        <v>Stationery</v>
      </c>
      <c r="Y425" s="94" t="str">
        <f t="shared" si="20"/>
        <v>East</v>
      </c>
    </row>
    <row r="426" spans="1:25" ht="15" thickBot="1" x14ac:dyDescent="0.4">
      <c r="A426" s="90" t="s">
        <v>557</v>
      </c>
      <c r="B426" s="27" t="s">
        <v>124</v>
      </c>
      <c r="C426" s="27" t="s">
        <v>46</v>
      </c>
      <c r="D426" s="28">
        <v>46035</v>
      </c>
      <c r="E426" s="28">
        <v>46044</v>
      </c>
      <c r="F426" s="27" t="s">
        <v>126</v>
      </c>
      <c r="G426" s="27" t="s">
        <v>58</v>
      </c>
      <c r="H426" s="28">
        <v>30216</v>
      </c>
      <c r="I426" s="27" t="s">
        <v>79</v>
      </c>
      <c r="J426" s="27" t="s">
        <v>75</v>
      </c>
      <c r="K426" s="27" t="s">
        <v>39</v>
      </c>
      <c r="L426" s="27" t="s">
        <v>49</v>
      </c>
      <c r="M426" s="95">
        <v>5</v>
      </c>
      <c r="N426" s="27">
        <v>55000</v>
      </c>
      <c r="O426" s="27">
        <v>0</v>
      </c>
      <c r="P426" s="27">
        <v>275000</v>
      </c>
      <c r="Q426" s="27">
        <v>1</v>
      </c>
      <c r="R426" s="90" t="s">
        <v>60</v>
      </c>
      <c r="S426" s="27" t="s">
        <v>80</v>
      </c>
      <c r="T426" s="27" t="s">
        <v>128</v>
      </c>
      <c r="U426" s="27">
        <v>9443786067</v>
      </c>
      <c r="V426" s="35" t="s">
        <v>34</v>
      </c>
      <c r="W426" s="40" t="str">
        <f t="shared" si="18"/>
        <v>Vikas Mehta</v>
      </c>
      <c r="X426" s="93" t="str">
        <f t="shared" si="19"/>
        <v>Electronics</v>
      </c>
      <c r="Y426" s="94" t="str">
        <f t="shared" si="20"/>
        <v>West</v>
      </c>
    </row>
    <row r="427" spans="1:25" ht="15" thickBot="1" x14ac:dyDescent="0.4">
      <c r="A427" s="90" t="s">
        <v>558</v>
      </c>
      <c r="B427" s="30" t="s">
        <v>72</v>
      </c>
      <c r="C427" s="30" t="s">
        <v>56</v>
      </c>
      <c r="D427" s="31">
        <v>46096</v>
      </c>
      <c r="E427" s="31">
        <v>46099</v>
      </c>
      <c r="F427" s="30" t="s">
        <v>73</v>
      </c>
      <c r="G427" s="30" t="s">
        <v>26</v>
      </c>
      <c r="H427" s="31">
        <v>31670</v>
      </c>
      <c r="I427" s="30" t="s">
        <v>74</v>
      </c>
      <c r="J427" s="30" t="s">
        <v>75</v>
      </c>
      <c r="K427" s="30" t="s">
        <v>39</v>
      </c>
      <c r="L427" s="30" t="s">
        <v>59</v>
      </c>
      <c r="M427" s="95">
        <v>13</v>
      </c>
      <c r="N427" s="30">
        <v>1200</v>
      </c>
      <c r="O427" s="30">
        <v>5</v>
      </c>
      <c r="P427" s="30">
        <v>14820</v>
      </c>
      <c r="Q427" s="30">
        <v>2</v>
      </c>
      <c r="R427" s="90" t="s">
        <v>60</v>
      </c>
      <c r="S427" s="30" t="s">
        <v>32</v>
      </c>
      <c r="T427" s="30" t="s">
        <v>93</v>
      </c>
      <c r="U427" s="30">
        <v>9452540528</v>
      </c>
      <c r="V427" s="38" t="s">
        <v>53</v>
      </c>
      <c r="W427" s="40" t="str">
        <f t="shared" si="18"/>
        <v>Priya Patel</v>
      </c>
      <c r="X427" s="93" t="str">
        <f t="shared" si="19"/>
        <v>Electronics</v>
      </c>
      <c r="Y427" s="94" t="str">
        <f t="shared" si="20"/>
        <v>West</v>
      </c>
    </row>
    <row r="428" spans="1:25" ht="15" thickBot="1" x14ac:dyDescent="0.4">
      <c r="A428" s="90" t="s">
        <v>559</v>
      </c>
      <c r="B428" s="27" t="s">
        <v>63</v>
      </c>
      <c r="C428" s="27" t="s">
        <v>105</v>
      </c>
      <c r="D428" s="28">
        <v>45986</v>
      </c>
      <c r="E428" s="28">
        <v>45991</v>
      </c>
      <c r="F428" s="27" t="s">
        <v>110</v>
      </c>
      <c r="G428" s="27" t="s">
        <v>58</v>
      </c>
      <c r="H428" s="28">
        <v>37602</v>
      </c>
      <c r="I428" s="27" t="s">
        <v>121</v>
      </c>
      <c r="J428" s="27" t="s">
        <v>38</v>
      </c>
      <c r="K428" s="27" t="s">
        <v>29</v>
      </c>
      <c r="L428" s="27" t="s">
        <v>107</v>
      </c>
      <c r="M428" s="95">
        <v>13</v>
      </c>
      <c r="N428" s="27">
        <v>8500</v>
      </c>
      <c r="O428" s="27">
        <v>20</v>
      </c>
      <c r="P428" s="27">
        <v>88400</v>
      </c>
      <c r="Q428" s="27">
        <v>5</v>
      </c>
      <c r="R428" s="90" t="s">
        <v>31</v>
      </c>
      <c r="S428" s="27" t="s">
        <v>42</v>
      </c>
      <c r="T428" s="27" t="s">
        <v>66</v>
      </c>
      <c r="U428" s="27">
        <v>9750918728</v>
      </c>
      <c r="V428" s="37" t="s">
        <v>52</v>
      </c>
      <c r="W428" s="40" t="str">
        <f t="shared" si="18"/>
        <v>Arjun Rao</v>
      </c>
      <c r="X428" s="93" t="str">
        <f t="shared" si="19"/>
        <v>Home Appliances</v>
      </c>
      <c r="Y428" s="94" t="str">
        <f t="shared" si="20"/>
        <v>North</v>
      </c>
    </row>
    <row r="429" spans="1:25" ht="15" thickBot="1" x14ac:dyDescent="0.4">
      <c r="A429" s="90" t="s">
        <v>560</v>
      </c>
      <c r="B429" s="30" t="s">
        <v>55</v>
      </c>
      <c r="C429" s="30" t="s">
        <v>82</v>
      </c>
      <c r="D429" s="31">
        <v>45692</v>
      </c>
      <c r="E429" s="31">
        <v>45703</v>
      </c>
      <c r="F429" s="30" t="s">
        <v>57</v>
      </c>
      <c r="G429" s="30" t="s">
        <v>58</v>
      </c>
      <c r="H429" s="31">
        <v>36053</v>
      </c>
      <c r="I429" s="30" t="s">
        <v>79</v>
      </c>
      <c r="J429" s="30" t="s">
        <v>75</v>
      </c>
      <c r="K429" s="30" t="s">
        <v>83</v>
      </c>
      <c r="L429" s="30" t="s">
        <v>84</v>
      </c>
      <c r="M429" s="95">
        <v>14</v>
      </c>
      <c r="N429" s="30">
        <v>60</v>
      </c>
      <c r="O429" s="30">
        <v>10</v>
      </c>
      <c r="P429" s="30">
        <v>756</v>
      </c>
      <c r="Q429" s="30">
        <v>1</v>
      </c>
      <c r="R429" s="90" t="s">
        <v>31</v>
      </c>
      <c r="S429" s="30" t="s">
        <v>50</v>
      </c>
      <c r="T429" s="30" t="s">
        <v>61</v>
      </c>
      <c r="U429" s="30">
        <v>9375975834</v>
      </c>
      <c r="V429" s="38" t="s">
        <v>53</v>
      </c>
      <c r="W429" s="40" t="str">
        <f t="shared" si="18"/>
        <v>Mohit Verma</v>
      </c>
      <c r="X429" s="93" t="str">
        <f t="shared" si="19"/>
        <v>Stationery</v>
      </c>
      <c r="Y429" s="94" t="str">
        <f t="shared" si="20"/>
        <v>West</v>
      </c>
    </row>
    <row r="430" spans="1:25" ht="15" thickBot="1" x14ac:dyDescent="0.4">
      <c r="A430" s="90" t="s">
        <v>561</v>
      </c>
      <c r="B430" s="27" t="s">
        <v>134</v>
      </c>
      <c r="C430" s="27" t="s">
        <v>24</v>
      </c>
      <c r="D430" s="28">
        <v>45775</v>
      </c>
      <c r="E430" s="28">
        <v>45776</v>
      </c>
      <c r="F430" s="27" t="s">
        <v>135</v>
      </c>
      <c r="G430" s="27" t="s">
        <v>26</v>
      </c>
      <c r="H430" s="28">
        <v>31337</v>
      </c>
      <c r="I430" s="27" t="s">
        <v>48</v>
      </c>
      <c r="J430" s="27" t="s">
        <v>28</v>
      </c>
      <c r="K430" s="27" t="s">
        <v>29</v>
      </c>
      <c r="L430" s="27" t="s">
        <v>30</v>
      </c>
      <c r="M430" s="95">
        <v>15</v>
      </c>
      <c r="N430" s="27">
        <v>2200</v>
      </c>
      <c r="O430" s="27">
        <v>0</v>
      </c>
      <c r="P430" s="27">
        <v>33000</v>
      </c>
      <c r="Q430" s="27">
        <v>1</v>
      </c>
      <c r="R430" s="90" t="s">
        <v>31</v>
      </c>
      <c r="S430" s="27" t="s">
        <v>50</v>
      </c>
      <c r="T430" s="27" t="s">
        <v>136</v>
      </c>
      <c r="U430" s="27">
        <v>9497321112</v>
      </c>
      <c r="V430" s="35" t="s">
        <v>34</v>
      </c>
      <c r="W430" s="40" t="str">
        <f t="shared" si="18"/>
        <v>Sneha Joshi</v>
      </c>
      <c r="X430" s="93" t="str">
        <f t="shared" si="19"/>
        <v>Home Appliances</v>
      </c>
      <c r="Y430" s="94" t="str">
        <f t="shared" si="20"/>
        <v>South</v>
      </c>
    </row>
    <row r="431" spans="1:25" ht="15" thickBot="1" x14ac:dyDescent="0.4">
      <c r="A431" s="90" t="s">
        <v>562</v>
      </c>
      <c r="B431" s="30" t="s">
        <v>63</v>
      </c>
      <c r="C431" s="30" t="s">
        <v>82</v>
      </c>
      <c r="D431" s="31">
        <v>45896</v>
      </c>
      <c r="E431" s="31">
        <v>45898</v>
      </c>
      <c r="F431" s="30" t="s">
        <v>110</v>
      </c>
      <c r="G431" s="30" t="s">
        <v>58</v>
      </c>
      <c r="H431" s="31">
        <v>34926</v>
      </c>
      <c r="I431" s="30" t="s">
        <v>121</v>
      </c>
      <c r="J431" s="30" t="s">
        <v>38</v>
      </c>
      <c r="K431" s="30" t="s">
        <v>83</v>
      </c>
      <c r="L431" s="30" t="s">
        <v>84</v>
      </c>
      <c r="M431" s="95">
        <v>19</v>
      </c>
      <c r="N431" s="30">
        <v>60</v>
      </c>
      <c r="O431" s="30">
        <v>20</v>
      </c>
      <c r="P431" s="30">
        <v>912</v>
      </c>
      <c r="Q431" s="30">
        <v>3</v>
      </c>
      <c r="R431" s="90" t="s">
        <v>31</v>
      </c>
      <c r="S431" s="30" t="s">
        <v>96</v>
      </c>
      <c r="T431" s="30" t="s">
        <v>66</v>
      </c>
      <c r="U431" s="30">
        <v>9828749888</v>
      </c>
      <c r="V431" s="38" t="s">
        <v>52</v>
      </c>
      <c r="W431" s="40" t="str">
        <f t="shared" si="18"/>
        <v>Arjun Rao</v>
      </c>
      <c r="X431" s="93" t="str">
        <f t="shared" si="19"/>
        <v>Stationery</v>
      </c>
      <c r="Y431" s="94" t="str">
        <f t="shared" si="20"/>
        <v>North</v>
      </c>
    </row>
    <row r="432" spans="1:25" ht="15" thickBot="1" x14ac:dyDescent="0.4">
      <c r="A432" s="90" t="s">
        <v>563</v>
      </c>
      <c r="B432" s="27" t="s">
        <v>45</v>
      </c>
      <c r="C432" s="27" t="s">
        <v>138</v>
      </c>
      <c r="D432" s="28">
        <v>45942</v>
      </c>
      <c r="E432" s="28">
        <v>45953</v>
      </c>
      <c r="F432" s="27" t="s">
        <v>101</v>
      </c>
      <c r="G432" s="27" t="s">
        <v>26</v>
      </c>
      <c r="H432" s="28">
        <v>31286</v>
      </c>
      <c r="I432" s="27" t="s">
        <v>121</v>
      </c>
      <c r="J432" s="27" t="s">
        <v>38</v>
      </c>
      <c r="K432" s="27" t="s">
        <v>83</v>
      </c>
      <c r="L432" s="27" t="s">
        <v>139</v>
      </c>
      <c r="M432" s="95">
        <v>13</v>
      </c>
      <c r="N432" s="27">
        <v>45</v>
      </c>
      <c r="O432" s="27">
        <v>15</v>
      </c>
      <c r="P432" s="27">
        <v>497.25</v>
      </c>
      <c r="Q432" s="27">
        <v>2</v>
      </c>
      <c r="R432" s="90" t="s">
        <v>31</v>
      </c>
      <c r="S432" s="27" t="s">
        <v>42</v>
      </c>
      <c r="T432" s="27" t="s">
        <v>51</v>
      </c>
      <c r="U432" s="27">
        <v>9814267382</v>
      </c>
      <c r="V432" s="35" t="s">
        <v>34</v>
      </c>
      <c r="W432" s="40" t="str">
        <f t="shared" si="18"/>
        <v>Pooja Shah</v>
      </c>
      <c r="X432" s="93" t="str">
        <f t="shared" si="19"/>
        <v>Stationery</v>
      </c>
      <c r="Y432" s="94" t="str">
        <f t="shared" si="20"/>
        <v>North</v>
      </c>
    </row>
    <row r="433" spans="1:25" ht="15" thickBot="1" x14ac:dyDescent="0.4">
      <c r="A433" s="90" t="s">
        <v>564</v>
      </c>
      <c r="B433" s="30" t="s">
        <v>134</v>
      </c>
      <c r="C433" s="30" t="s">
        <v>36</v>
      </c>
      <c r="D433" s="31">
        <v>46036</v>
      </c>
      <c r="E433" s="31">
        <v>46046</v>
      </c>
      <c r="F433" s="30" t="s">
        <v>135</v>
      </c>
      <c r="G433" s="30" t="s">
        <v>26</v>
      </c>
      <c r="H433" s="31">
        <v>27550</v>
      </c>
      <c r="I433" s="30" t="s">
        <v>74</v>
      </c>
      <c r="J433" s="30" t="s">
        <v>75</v>
      </c>
      <c r="K433" s="30" t="s">
        <v>39</v>
      </c>
      <c r="L433" s="30" t="s">
        <v>40</v>
      </c>
      <c r="M433" s="95">
        <v>7</v>
      </c>
      <c r="N433" s="30">
        <v>12000</v>
      </c>
      <c r="O433" s="30">
        <v>5</v>
      </c>
      <c r="P433" s="30">
        <v>79800</v>
      </c>
      <c r="Q433" s="30">
        <v>4</v>
      </c>
      <c r="R433" s="90" t="s">
        <v>60</v>
      </c>
      <c r="S433" s="30" t="s">
        <v>96</v>
      </c>
      <c r="T433" s="30" t="s">
        <v>136</v>
      </c>
      <c r="U433" s="30">
        <v>9937007439</v>
      </c>
      <c r="V433" s="38" t="s">
        <v>53</v>
      </c>
      <c r="W433" s="40" t="str">
        <f t="shared" si="18"/>
        <v>Sneha Joshi</v>
      </c>
      <c r="X433" s="93" t="str">
        <f t="shared" si="19"/>
        <v>Electronics</v>
      </c>
      <c r="Y433" s="94" t="str">
        <f t="shared" si="20"/>
        <v>West</v>
      </c>
    </row>
    <row r="434" spans="1:25" ht="15" thickBot="1" x14ac:dyDescent="0.4">
      <c r="A434" s="90" t="s">
        <v>565</v>
      </c>
      <c r="B434" s="27" t="s">
        <v>156</v>
      </c>
      <c r="C434" s="27" t="s">
        <v>125</v>
      </c>
      <c r="D434" s="23">
        <v>46152</v>
      </c>
      <c r="E434" s="92" t="s">
        <v>52</v>
      </c>
      <c r="F434" s="27" t="s">
        <v>106</v>
      </c>
      <c r="G434" s="27" t="s">
        <v>58</v>
      </c>
      <c r="H434" s="28">
        <v>35514</v>
      </c>
      <c r="I434" s="27" t="s">
        <v>147</v>
      </c>
      <c r="J434" s="27" t="s">
        <v>148</v>
      </c>
      <c r="K434" s="27" t="s">
        <v>83</v>
      </c>
      <c r="L434" s="27" t="s">
        <v>127</v>
      </c>
      <c r="M434" s="95">
        <v>8</v>
      </c>
      <c r="N434" s="27">
        <v>20</v>
      </c>
      <c r="O434" s="27">
        <v>0</v>
      </c>
      <c r="P434" s="27">
        <v>160</v>
      </c>
      <c r="Q434" s="27">
        <v>4</v>
      </c>
      <c r="R434" s="90" t="s">
        <v>60</v>
      </c>
      <c r="S434" s="27" t="s">
        <v>50</v>
      </c>
      <c r="T434" s="27" t="s">
        <v>158</v>
      </c>
      <c r="U434" s="27">
        <v>9657513435</v>
      </c>
      <c r="V434" s="37" t="s">
        <v>52</v>
      </c>
      <c r="W434" s="40" t="str">
        <f t="shared" si="18"/>
        <v>Amit Sharma</v>
      </c>
      <c r="X434" s="93" t="str">
        <f t="shared" si="19"/>
        <v>Stationery</v>
      </c>
      <c r="Y434" s="94" t="str">
        <f t="shared" si="20"/>
        <v>East</v>
      </c>
    </row>
    <row r="435" spans="1:25" ht="15" thickBot="1" x14ac:dyDescent="0.4">
      <c r="A435" s="90" t="s">
        <v>566</v>
      </c>
      <c r="B435" s="30" t="s">
        <v>23</v>
      </c>
      <c r="C435" s="30" t="s">
        <v>68</v>
      </c>
      <c r="D435" s="31">
        <v>45689</v>
      </c>
      <c r="E435" s="31">
        <v>45694</v>
      </c>
      <c r="F435" s="30" t="s">
        <v>25</v>
      </c>
      <c r="G435" s="30" t="s">
        <v>26</v>
      </c>
      <c r="H435" s="31">
        <v>35538</v>
      </c>
      <c r="I435" s="30" t="s">
        <v>147</v>
      </c>
      <c r="J435" s="30" t="s">
        <v>148</v>
      </c>
      <c r="K435" s="30" t="s">
        <v>29</v>
      </c>
      <c r="L435" s="30" t="s">
        <v>70</v>
      </c>
      <c r="M435" s="95">
        <v>16</v>
      </c>
      <c r="N435" s="30">
        <v>3500</v>
      </c>
      <c r="O435" s="30">
        <v>5</v>
      </c>
      <c r="P435" s="30">
        <v>53200</v>
      </c>
      <c r="Q435" s="30">
        <v>1</v>
      </c>
      <c r="R435" s="90" t="s">
        <v>60</v>
      </c>
      <c r="S435" s="30" t="s">
        <v>50</v>
      </c>
      <c r="T435" s="30" t="s">
        <v>43</v>
      </c>
      <c r="U435" s="30">
        <v>9999406260</v>
      </c>
      <c r="V435" s="38" t="s">
        <v>53</v>
      </c>
      <c r="W435" s="40" t="str">
        <f t="shared" si="18"/>
        <v>Kavya Nair</v>
      </c>
      <c r="X435" s="93" t="str">
        <f t="shared" si="19"/>
        <v>Home Appliances</v>
      </c>
      <c r="Y435" s="94" t="str">
        <f t="shared" si="20"/>
        <v>East</v>
      </c>
    </row>
    <row r="436" spans="1:25" ht="15" thickBot="1" x14ac:dyDescent="0.4">
      <c r="A436" s="90" t="s">
        <v>567</v>
      </c>
      <c r="B436" s="27" t="s">
        <v>156</v>
      </c>
      <c r="C436" s="27" t="s">
        <v>105</v>
      </c>
      <c r="D436" s="28">
        <v>45710</v>
      </c>
      <c r="E436" s="28">
        <v>45720</v>
      </c>
      <c r="F436" s="27" t="s">
        <v>106</v>
      </c>
      <c r="G436" s="27" t="s">
        <v>58</v>
      </c>
      <c r="H436" s="28">
        <v>36308</v>
      </c>
      <c r="I436" s="27" t="s">
        <v>74</v>
      </c>
      <c r="J436" s="27" t="s">
        <v>75</v>
      </c>
      <c r="K436" s="27" t="s">
        <v>29</v>
      </c>
      <c r="L436" s="27" t="s">
        <v>107</v>
      </c>
      <c r="M436" s="95">
        <v>12</v>
      </c>
      <c r="N436" s="27">
        <v>8500</v>
      </c>
      <c r="O436" s="27">
        <v>10</v>
      </c>
      <c r="P436" s="27">
        <v>91800</v>
      </c>
      <c r="Q436" s="27">
        <v>3</v>
      </c>
      <c r="R436" s="90" t="s">
        <v>60</v>
      </c>
      <c r="S436" s="27" t="s">
        <v>32</v>
      </c>
      <c r="T436" s="27" t="s">
        <v>158</v>
      </c>
      <c r="U436" s="27">
        <v>9233727886</v>
      </c>
      <c r="V436" s="35" t="s">
        <v>34</v>
      </c>
      <c r="W436" s="40" t="str">
        <f t="shared" si="18"/>
        <v>Amit Sharma</v>
      </c>
      <c r="X436" s="93" t="str">
        <f t="shared" si="19"/>
        <v>Home Appliances</v>
      </c>
      <c r="Y436" s="94" t="str">
        <f t="shared" si="20"/>
        <v>West</v>
      </c>
    </row>
    <row r="437" spans="1:25" ht="15" thickBot="1" x14ac:dyDescent="0.4">
      <c r="A437" s="90" t="s">
        <v>568</v>
      </c>
      <c r="B437" s="30" t="s">
        <v>23</v>
      </c>
      <c r="C437" s="30" t="s">
        <v>82</v>
      </c>
      <c r="D437" s="31">
        <v>45765</v>
      </c>
      <c r="E437" s="31">
        <v>45767</v>
      </c>
      <c r="F437" s="30" t="s">
        <v>25</v>
      </c>
      <c r="G437" s="30" t="s">
        <v>26</v>
      </c>
      <c r="H437" s="31">
        <v>30492</v>
      </c>
      <c r="I437" s="30" t="s">
        <v>91</v>
      </c>
      <c r="J437" s="30" t="s">
        <v>75</v>
      </c>
      <c r="K437" s="30" t="s">
        <v>83</v>
      </c>
      <c r="L437" s="30" t="s">
        <v>84</v>
      </c>
      <c r="M437" s="95">
        <v>1</v>
      </c>
      <c r="N437" s="30">
        <v>60</v>
      </c>
      <c r="O437" s="30">
        <v>20</v>
      </c>
      <c r="P437" s="30">
        <v>48</v>
      </c>
      <c r="Q437" s="30">
        <v>2</v>
      </c>
      <c r="R437" s="90" t="s">
        <v>60</v>
      </c>
      <c r="S437" s="30" t="s">
        <v>96</v>
      </c>
      <c r="T437" s="30" t="s">
        <v>43</v>
      </c>
      <c r="U437" s="30">
        <v>9831688801</v>
      </c>
      <c r="V437" s="36" t="s">
        <v>34</v>
      </c>
      <c r="W437" s="40" t="str">
        <f t="shared" si="18"/>
        <v>Kavya Nair</v>
      </c>
      <c r="X437" s="93" t="str">
        <f t="shared" si="19"/>
        <v>Stationery</v>
      </c>
      <c r="Y437" s="94" t="str">
        <f t="shared" si="20"/>
        <v>West</v>
      </c>
    </row>
    <row r="438" spans="1:25" ht="15" thickBot="1" x14ac:dyDescent="0.4">
      <c r="A438" s="90" t="s">
        <v>569</v>
      </c>
      <c r="B438" s="27" t="s">
        <v>87</v>
      </c>
      <c r="C438" s="27" t="s">
        <v>82</v>
      </c>
      <c r="D438" s="28">
        <v>45967</v>
      </c>
      <c r="E438" s="28">
        <v>45972</v>
      </c>
      <c r="F438" s="27" t="s">
        <v>88</v>
      </c>
      <c r="G438" s="27" t="s">
        <v>58</v>
      </c>
      <c r="H438" s="28">
        <v>33995</v>
      </c>
      <c r="I438" s="27" t="s">
        <v>27</v>
      </c>
      <c r="J438" s="27" t="s">
        <v>28</v>
      </c>
      <c r="K438" s="27" t="s">
        <v>83</v>
      </c>
      <c r="L438" s="27" t="s">
        <v>84</v>
      </c>
      <c r="M438" s="95">
        <v>3</v>
      </c>
      <c r="N438" s="27">
        <v>60</v>
      </c>
      <c r="O438" s="27">
        <v>15</v>
      </c>
      <c r="P438" s="27">
        <v>153</v>
      </c>
      <c r="Q438" s="27">
        <v>4</v>
      </c>
      <c r="R438" s="90" t="s">
        <v>60</v>
      </c>
      <c r="S438" s="27" t="s">
        <v>32</v>
      </c>
      <c r="T438" s="27" t="s">
        <v>89</v>
      </c>
      <c r="U438" s="27">
        <v>9982849508</v>
      </c>
      <c r="V438" s="35" t="s">
        <v>34</v>
      </c>
      <c r="W438" s="40" t="str">
        <f t="shared" si="18"/>
        <v>Rohit Singh</v>
      </c>
      <c r="X438" s="93" t="str">
        <f t="shared" si="19"/>
        <v>Stationery</v>
      </c>
      <c r="Y438" s="94" t="str">
        <f t="shared" si="20"/>
        <v>South</v>
      </c>
    </row>
    <row r="439" spans="1:25" ht="15" thickBot="1" x14ac:dyDescent="0.4">
      <c r="A439" s="90" t="s">
        <v>570</v>
      </c>
      <c r="B439" s="30" t="s">
        <v>72</v>
      </c>
      <c r="C439" s="30" t="s">
        <v>112</v>
      </c>
      <c r="D439" s="31">
        <v>45736</v>
      </c>
      <c r="E439" s="31">
        <v>45741</v>
      </c>
      <c r="F439" s="30" t="s">
        <v>73</v>
      </c>
      <c r="G439" s="30" t="s">
        <v>26</v>
      </c>
      <c r="H439" s="31">
        <v>28917</v>
      </c>
      <c r="I439" s="30" t="s">
        <v>147</v>
      </c>
      <c r="J439" s="30" t="s">
        <v>148</v>
      </c>
      <c r="K439" s="30" t="s">
        <v>39</v>
      </c>
      <c r="L439" s="30" t="s">
        <v>114</v>
      </c>
      <c r="M439" s="95">
        <v>10</v>
      </c>
      <c r="N439" s="30">
        <v>700</v>
      </c>
      <c r="O439" s="30">
        <v>15</v>
      </c>
      <c r="P439" s="30">
        <v>5950</v>
      </c>
      <c r="Q439" s="30">
        <v>3</v>
      </c>
      <c r="R439" s="90" t="s">
        <v>41</v>
      </c>
      <c r="S439" s="30" t="s">
        <v>32</v>
      </c>
      <c r="T439" s="30" t="s">
        <v>93</v>
      </c>
      <c r="U439" s="30">
        <v>9288309246</v>
      </c>
      <c r="V439" s="38" t="s">
        <v>52</v>
      </c>
      <c r="W439" s="40" t="str">
        <f t="shared" si="18"/>
        <v>Priya Patel</v>
      </c>
      <c r="X439" s="93" t="str">
        <f t="shared" si="19"/>
        <v>Electronics</v>
      </c>
      <c r="Y439" s="94" t="str">
        <f t="shared" si="20"/>
        <v>East</v>
      </c>
    </row>
    <row r="440" spans="1:25" ht="15" thickBot="1" x14ac:dyDescent="0.4">
      <c r="A440" s="90" t="s">
        <v>571</v>
      </c>
      <c r="B440" s="27" t="s">
        <v>63</v>
      </c>
      <c r="C440" s="27" t="s">
        <v>125</v>
      </c>
      <c r="D440" s="28">
        <v>45952</v>
      </c>
      <c r="E440" s="28">
        <v>45955</v>
      </c>
      <c r="F440" s="27" t="s">
        <v>110</v>
      </c>
      <c r="G440" s="27" t="s">
        <v>58</v>
      </c>
      <c r="H440" s="28">
        <v>28016</v>
      </c>
      <c r="I440" s="27" t="s">
        <v>91</v>
      </c>
      <c r="J440" s="27" t="s">
        <v>75</v>
      </c>
      <c r="K440" s="27" t="s">
        <v>83</v>
      </c>
      <c r="L440" s="27" t="s">
        <v>127</v>
      </c>
      <c r="M440" s="95">
        <v>2</v>
      </c>
      <c r="N440" s="27">
        <v>20</v>
      </c>
      <c r="O440" s="27">
        <v>10</v>
      </c>
      <c r="P440" s="27">
        <v>36</v>
      </c>
      <c r="Q440" s="27">
        <v>2</v>
      </c>
      <c r="R440" s="90" t="s">
        <v>65</v>
      </c>
      <c r="S440" s="27" t="s">
        <v>50</v>
      </c>
      <c r="T440" s="27" t="s">
        <v>66</v>
      </c>
      <c r="U440" s="27">
        <v>9808476235</v>
      </c>
      <c r="V440" s="35" t="s">
        <v>34</v>
      </c>
      <c r="W440" s="40" t="str">
        <f t="shared" si="18"/>
        <v>Arjun Rao</v>
      </c>
      <c r="X440" s="93" t="str">
        <f t="shared" si="19"/>
        <v>Stationery</v>
      </c>
      <c r="Y440" s="94" t="str">
        <f t="shared" si="20"/>
        <v>West</v>
      </c>
    </row>
    <row r="441" spans="1:25" ht="15" thickBot="1" x14ac:dyDescent="0.4">
      <c r="A441" s="90" t="s">
        <v>572</v>
      </c>
      <c r="B441" s="30" t="s">
        <v>63</v>
      </c>
      <c r="C441" s="30" t="s">
        <v>125</v>
      </c>
      <c r="D441" s="31">
        <v>46022</v>
      </c>
      <c r="E441" s="31">
        <v>46027</v>
      </c>
      <c r="F441" s="30" t="s">
        <v>110</v>
      </c>
      <c r="G441" s="30" t="s">
        <v>58</v>
      </c>
      <c r="H441" s="31">
        <v>33446</v>
      </c>
      <c r="I441" s="30" t="s">
        <v>37</v>
      </c>
      <c r="J441" s="30" t="s">
        <v>38</v>
      </c>
      <c r="K441" s="30" t="s">
        <v>83</v>
      </c>
      <c r="L441" s="30" t="s">
        <v>127</v>
      </c>
      <c r="M441" s="95">
        <v>14</v>
      </c>
      <c r="N441" s="30">
        <v>20</v>
      </c>
      <c r="O441" s="30">
        <v>20</v>
      </c>
      <c r="P441" s="30">
        <v>224</v>
      </c>
      <c r="Q441" s="30">
        <v>5</v>
      </c>
      <c r="R441" s="90" t="s">
        <v>31</v>
      </c>
      <c r="S441" s="30" t="s">
        <v>96</v>
      </c>
      <c r="T441" s="30" t="s">
        <v>66</v>
      </c>
      <c r="U441" s="30">
        <v>9869056117</v>
      </c>
      <c r="V441" s="38" t="s">
        <v>52</v>
      </c>
      <c r="W441" s="40" t="str">
        <f t="shared" si="18"/>
        <v>Arjun Rao</v>
      </c>
      <c r="X441" s="93" t="str">
        <f t="shared" si="19"/>
        <v>Stationery</v>
      </c>
      <c r="Y441" s="94" t="str">
        <f t="shared" si="20"/>
        <v>North</v>
      </c>
    </row>
    <row r="442" spans="1:25" ht="15" thickBot="1" x14ac:dyDescent="0.4">
      <c r="A442" s="90" t="s">
        <v>573</v>
      </c>
      <c r="B442" s="27" t="s">
        <v>156</v>
      </c>
      <c r="C442" s="27" t="s">
        <v>68</v>
      </c>
      <c r="D442" s="28">
        <v>45829</v>
      </c>
      <c r="E442" s="28">
        <v>45833</v>
      </c>
      <c r="F442" s="27" t="s">
        <v>106</v>
      </c>
      <c r="G442" s="27" t="s">
        <v>58</v>
      </c>
      <c r="H442" s="28">
        <v>32075</v>
      </c>
      <c r="I442" s="27" t="s">
        <v>91</v>
      </c>
      <c r="J442" s="27" t="s">
        <v>75</v>
      </c>
      <c r="K442" s="27" t="s">
        <v>29</v>
      </c>
      <c r="L442" s="27" t="s">
        <v>70</v>
      </c>
      <c r="M442" s="95">
        <v>4</v>
      </c>
      <c r="N442" s="27">
        <v>3500</v>
      </c>
      <c r="O442" s="27">
        <v>0</v>
      </c>
      <c r="P442" s="27">
        <v>14000</v>
      </c>
      <c r="Q442" s="27">
        <v>2</v>
      </c>
      <c r="R442" s="90" t="s">
        <v>65</v>
      </c>
      <c r="S442" s="27" t="s">
        <v>32</v>
      </c>
      <c r="T442" s="27" t="s">
        <v>158</v>
      </c>
      <c r="U442" s="27">
        <v>9734229772</v>
      </c>
      <c r="V442" s="37" t="s">
        <v>53</v>
      </c>
      <c r="W442" s="40" t="str">
        <f t="shared" si="18"/>
        <v>Amit Sharma</v>
      </c>
      <c r="X442" s="93" t="str">
        <f t="shared" si="19"/>
        <v>Home Appliances</v>
      </c>
      <c r="Y442" s="94" t="str">
        <f t="shared" si="20"/>
        <v>West</v>
      </c>
    </row>
    <row r="443" spans="1:25" ht="15" thickBot="1" x14ac:dyDescent="0.4">
      <c r="A443" s="90" t="s">
        <v>574</v>
      </c>
      <c r="B443" s="30" t="s">
        <v>63</v>
      </c>
      <c r="C443" s="30" t="s">
        <v>68</v>
      </c>
      <c r="D443" s="31">
        <v>45812</v>
      </c>
      <c r="E443" s="31">
        <v>45813</v>
      </c>
      <c r="F443" s="30" t="s">
        <v>110</v>
      </c>
      <c r="G443" s="30" t="s">
        <v>58</v>
      </c>
      <c r="H443" s="31">
        <v>30629</v>
      </c>
      <c r="I443" s="30" t="s">
        <v>121</v>
      </c>
      <c r="J443" s="30" t="s">
        <v>38</v>
      </c>
      <c r="K443" s="30" t="s">
        <v>29</v>
      </c>
      <c r="L443" s="30" t="s">
        <v>70</v>
      </c>
      <c r="M443" s="95">
        <v>9</v>
      </c>
      <c r="N443" s="30">
        <v>3500</v>
      </c>
      <c r="O443" s="30">
        <v>5</v>
      </c>
      <c r="P443" s="30">
        <v>29925</v>
      </c>
      <c r="Q443" s="30">
        <v>3</v>
      </c>
      <c r="R443" s="90" t="s">
        <v>60</v>
      </c>
      <c r="S443" s="30" t="s">
        <v>50</v>
      </c>
      <c r="T443" s="30" t="s">
        <v>66</v>
      </c>
      <c r="U443" s="30">
        <v>9791617906</v>
      </c>
      <c r="V443" s="36" t="s">
        <v>34</v>
      </c>
      <c r="W443" s="40" t="str">
        <f t="shared" si="18"/>
        <v>Arjun Rao</v>
      </c>
      <c r="X443" s="93" t="str">
        <f t="shared" si="19"/>
        <v>Home Appliances</v>
      </c>
      <c r="Y443" s="94" t="str">
        <f t="shared" si="20"/>
        <v>North</v>
      </c>
    </row>
    <row r="444" spans="1:25" ht="15" thickBot="1" x14ac:dyDescent="0.4">
      <c r="A444" s="90" t="s">
        <v>575</v>
      </c>
      <c r="B444" s="27" t="s">
        <v>87</v>
      </c>
      <c r="C444" s="27" t="s">
        <v>82</v>
      </c>
      <c r="D444" s="28">
        <v>45807</v>
      </c>
      <c r="E444" s="28">
        <v>45811</v>
      </c>
      <c r="F444" s="27" t="s">
        <v>88</v>
      </c>
      <c r="G444" s="27" t="s">
        <v>58</v>
      </c>
      <c r="H444" s="28">
        <v>30678</v>
      </c>
      <c r="I444" s="27" t="s">
        <v>74</v>
      </c>
      <c r="J444" s="27" t="s">
        <v>75</v>
      </c>
      <c r="K444" s="27" t="s">
        <v>83</v>
      </c>
      <c r="L444" s="27" t="s">
        <v>84</v>
      </c>
      <c r="M444" s="95">
        <v>9</v>
      </c>
      <c r="N444" s="27">
        <v>60</v>
      </c>
      <c r="O444" s="27">
        <v>0</v>
      </c>
      <c r="P444" s="27">
        <v>540</v>
      </c>
      <c r="Q444" s="27">
        <v>3</v>
      </c>
      <c r="R444" s="90" t="s">
        <v>65</v>
      </c>
      <c r="S444" s="27" t="s">
        <v>32</v>
      </c>
      <c r="T444" s="27" t="s">
        <v>89</v>
      </c>
      <c r="U444" s="27">
        <v>9286316823</v>
      </c>
      <c r="V444" s="37" t="s">
        <v>52</v>
      </c>
      <c r="W444" s="40" t="str">
        <f t="shared" si="18"/>
        <v>Rohit Singh</v>
      </c>
      <c r="X444" s="93" t="str">
        <f t="shared" si="19"/>
        <v>Stationery</v>
      </c>
      <c r="Y444" s="94" t="str">
        <f t="shared" si="20"/>
        <v>West</v>
      </c>
    </row>
    <row r="445" spans="1:25" ht="15" thickBot="1" x14ac:dyDescent="0.4">
      <c r="A445" s="90" t="s">
        <v>576</v>
      </c>
      <c r="B445" s="30" t="s">
        <v>104</v>
      </c>
      <c r="C445" s="30" t="s">
        <v>56</v>
      </c>
      <c r="D445" s="31">
        <v>45779</v>
      </c>
      <c r="E445" s="31">
        <v>45780</v>
      </c>
      <c r="F445" s="30" t="s">
        <v>166</v>
      </c>
      <c r="G445" s="30" t="s">
        <v>26</v>
      </c>
      <c r="H445" s="31">
        <v>33862</v>
      </c>
      <c r="I445" s="30" t="s">
        <v>91</v>
      </c>
      <c r="J445" s="30" t="s">
        <v>75</v>
      </c>
      <c r="K445" s="30" t="s">
        <v>39</v>
      </c>
      <c r="L445" s="30" t="s">
        <v>59</v>
      </c>
      <c r="M445" s="95">
        <v>4</v>
      </c>
      <c r="N445" s="30">
        <v>1200</v>
      </c>
      <c r="O445" s="30">
        <v>0</v>
      </c>
      <c r="P445" s="30">
        <v>4800</v>
      </c>
      <c r="Q445" s="30">
        <v>1</v>
      </c>
      <c r="R445" s="90" t="s">
        <v>41</v>
      </c>
      <c r="S445" s="30" t="s">
        <v>50</v>
      </c>
      <c r="T445" s="30" t="s">
        <v>108</v>
      </c>
      <c r="U445" s="30">
        <v>9810569252</v>
      </c>
      <c r="V445" s="36" t="s">
        <v>34</v>
      </c>
      <c r="W445" s="40" t="str">
        <f t="shared" si="18"/>
        <v>Anita Gupta</v>
      </c>
      <c r="X445" s="93" t="str">
        <f t="shared" si="19"/>
        <v>Electronics</v>
      </c>
      <c r="Y445" s="94" t="str">
        <f t="shared" si="20"/>
        <v>West</v>
      </c>
    </row>
    <row r="446" spans="1:25" ht="15" thickBot="1" x14ac:dyDescent="0.4">
      <c r="A446" s="90" t="s">
        <v>577</v>
      </c>
      <c r="B446" s="27" t="s">
        <v>45</v>
      </c>
      <c r="C446" s="27" t="s">
        <v>46</v>
      </c>
      <c r="D446" s="28">
        <v>45691</v>
      </c>
      <c r="E446" s="28">
        <v>45701</v>
      </c>
      <c r="F446" s="27" t="s">
        <v>101</v>
      </c>
      <c r="G446" s="27" t="s">
        <v>26</v>
      </c>
      <c r="H446" s="28">
        <v>36381</v>
      </c>
      <c r="I446" s="27" t="s">
        <v>27</v>
      </c>
      <c r="J446" s="27" t="s">
        <v>28</v>
      </c>
      <c r="K446" s="27" t="s">
        <v>39</v>
      </c>
      <c r="L446" s="27" t="s">
        <v>49</v>
      </c>
      <c r="M446" s="95">
        <v>10</v>
      </c>
      <c r="N446" s="27">
        <v>55000</v>
      </c>
      <c r="O446" s="27">
        <v>5</v>
      </c>
      <c r="P446" s="27">
        <v>522500</v>
      </c>
      <c r="Q446" s="27">
        <v>5</v>
      </c>
      <c r="R446" s="90" t="s">
        <v>65</v>
      </c>
      <c r="S446" s="27" t="s">
        <v>80</v>
      </c>
      <c r="T446" s="27" t="s">
        <v>51</v>
      </c>
      <c r="U446" s="27">
        <v>9771745925</v>
      </c>
      <c r="V446" s="35" t="s">
        <v>34</v>
      </c>
      <c r="W446" s="40" t="str">
        <f t="shared" si="18"/>
        <v>Pooja Shah</v>
      </c>
      <c r="X446" s="93" t="str">
        <f t="shared" si="19"/>
        <v>Electronics</v>
      </c>
      <c r="Y446" s="94" t="str">
        <f t="shared" si="20"/>
        <v>South</v>
      </c>
    </row>
    <row r="447" spans="1:25" ht="15" thickBot="1" x14ac:dyDescent="0.4">
      <c r="A447" s="90" t="s">
        <v>578</v>
      </c>
      <c r="B447" s="30" t="s">
        <v>124</v>
      </c>
      <c r="C447" s="30" t="s">
        <v>138</v>
      </c>
      <c r="D447" s="31">
        <v>45837</v>
      </c>
      <c r="E447" s="31">
        <v>45844</v>
      </c>
      <c r="F447" s="30" t="s">
        <v>126</v>
      </c>
      <c r="G447" s="30" t="s">
        <v>58</v>
      </c>
      <c r="H447" s="31">
        <v>32931</v>
      </c>
      <c r="I447" s="30" t="s">
        <v>27</v>
      </c>
      <c r="J447" s="30" t="s">
        <v>28</v>
      </c>
      <c r="K447" s="30" t="s">
        <v>83</v>
      </c>
      <c r="L447" s="30" t="s">
        <v>139</v>
      </c>
      <c r="M447" s="95">
        <v>20</v>
      </c>
      <c r="N447" s="30">
        <v>45</v>
      </c>
      <c r="O447" s="30">
        <v>15</v>
      </c>
      <c r="P447" s="30">
        <v>765</v>
      </c>
      <c r="Q447" s="30">
        <v>2</v>
      </c>
      <c r="R447" s="90" t="s">
        <v>60</v>
      </c>
      <c r="S447" s="30" t="s">
        <v>32</v>
      </c>
      <c r="T447" s="30" t="s">
        <v>128</v>
      </c>
      <c r="U447" s="30">
        <v>9820683063</v>
      </c>
      <c r="V447" s="38" t="s">
        <v>53</v>
      </c>
      <c r="W447" s="40" t="str">
        <f t="shared" si="18"/>
        <v>Vikas Mehta</v>
      </c>
      <c r="X447" s="93" t="str">
        <f t="shared" si="19"/>
        <v>Stationery</v>
      </c>
      <c r="Y447" s="94" t="str">
        <f t="shared" si="20"/>
        <v>South</v>
      </c>
    </row>
    <row r="448" spans="1:25" ht="15" thickBot="1" x14ac:dyDescent="0.4">
      <c r="A448" s="90" t="s">
        <v>579</v>
      </c>
      <c r="B448" s="27" t="s">
        <v>23</v>
      </c>
      <c r="C448" s="27" t="s">
        <v>125</v>
      </c>
      <c r="D448" s="28">
        <v>46065</v>
      </c>
      <c r="E448" s="28">
        <v>46075</v>
      </c>
      <c r="F448" s="27" t="s">
        <v>25</v>
      </c>
      <c r="G448" s="27" t="s">
        <v>26</v>
      </c>
      <c r="H448" s="28">
        <v>34420</v>
      </c>
      <c r="I448" s="27" t="s">
        <v>74</v>
      </c>
      <c r="J448" s="27" t="s">
        <v>75</v>
      </c>
      <c r="K448" s="27" t="s">
        <v>83</v>
      </c>
      <c r="L448" s="27" t="s">
        <v>127</v>
      </c>
      <c r="M448" s="95">
        <v>9</v>
      </c>
      <c r="N448" s="27">
        <v>20</v>
      </c>
      <c r="O448" s="27">
        <v>20</v>
      </c>
      <c r="P448" s="27">
        <v>144</v>
      </c>
      <c r="Q448" s="27">
        <v>3</v>
      </c>
      <c r="R448" s="90" t="s">
        <v>60</v>
      </c>
      <c r="S448" s="27" t="s">
        <v>50</v>
      </c>
      <c r="T448" s="27" t="s">
        <v>43</v>
      </c>
      <c r="U448" s="27">
        <v>9292891941</v>
      </c>
      <c r="V448" s="35" t="s">
        <v>34</v>
      </c>
      <c r="W448" s="40" t="str">
        <f t="shared" si="18"/>
        <v>Kavya Nair</v>
      </c>
      <c r="X448" s="93" t="str">
        <f t="shared" si="19"/>
        <v>Stationery</v>
      </c>
      <c r="Y448" s="94" t="str">
        <f t="shared" si="20"/>
        <v>West</v>
      </c>
    </row>
    <row r="449" spans="1:25" ht="15" thickBot="1" x14ac:dyDescent="0.4">
      <c r="A449" s="90" t="s">
        <v>581</v>
      </c>
      <c r="B449" s="30" t="s">
        <v>23</v>
      </c>
      <c r="C449" s="30" t="s">
        <v>46</v>
      </c>
      <c r="D449" s="31">
        <v>45719</v>
      </c>
      <c r="E449" s="31">
        <v>45730</v>
      </c>
      <c r="F449" s="30" t="s">
        <v>25</v>
      </c>
      <c r="G449" s="30" t="s">
        <v>26</v>
      </c>
      <c r="H449" s="31">
        <v>29383</v>
      </c>
      <c r="I449" s="30" t="s">
        <v>79</v>
      </c>
      <c r="J449" s="30" t="s">
        <v>75</v>
      </c>
      <c r="K449" s="30" t="s">
        <v>39</v>
      </c>
      <c r="L449" s="30" t="s">
        <v>49</v>
      </c>
      <c r="M449" s="95">
        <v>8</v>
      </c>
      <c r="N449" s="30">
        <v>55000</v>
      </c>
      <c r="O449" s="30">
        <v>0</v>
      </c>
      <c r="P449" s="30">
        <v>440000</v>
      </c>
      <c r="Q449" s="30">
        <v>4</v>
      </c>
      <c r="R449" s="90" t="s">
        <v>31</v>
      </c>
      <c r="S449" s="30" t="s">
        <v>80</v>
      </c>
      <c r="T449" s="30" t="s">
        <v>43</v>
      </c>
      <c r="U449" s="30">
        <v>9413789556</v>
      </c>
      <c r="V449" s="36" t="s">
        <v>34</v>
      </c>
      <c r="W449" s="40" t="str">
        <f t="shared" si="18"/>
        <v>Kavya Nair</v>
      </c>
      <c r="X449" s="93" t="str">
        <f t="shared" si="19"/>
        <v>Electronics</v>
      </c>
      <c r="Y449" s="94" t="str">
        <f t="shared" si="20"/>
        <v>West</v>
      </c>
    </row>
    <row r="450" spans="1:25" ht="15" thickBot="1" x14ac:dyDescent="0.4">
      <c r="A450" s="90" t="s">
        <v>582</v>
      </c>
      <c r="B450" s="27" t="s">
        <v>156</v>
      </c>
      <c r="C450" s="27" t="s">
        <v>56</v>
      </c>
      <c r="D450" s="28">
        <v>46136</v>
      </c>
      <c r="E450" s="28">
        <v>46140</v>
      </c>
      <c r="F450" s="27" t="s">
        <v>106</v>
      </c>
      <c r="G450" s="27" t="s">
        <v>58</v>
      </c>
      <c r="H450" s="28">
        <v>36687</v>
      </c>
      <c r="I450" s="27" t="s">
        <v>91</v>
      </c>
      <c r="J450" s="27" t="s">
        <v>75</v>
      </c>
      <c r="K450" s="27" t="s">
        <v>39</v>
      </c>
      <c r="L450" s="27" t="s">
        <v>59</v>
      </c>
      <c r="M450" s="95">
        <v>4</v>
      </c>
      <c r="N450" s="27">
        <v>1200</v>
      </c>
      <c r="O450" s="27">
        <v>10</v>
      </c>
      <c r="P450" s="27">
        <v>4320</v>
      </c>
      <c r="Q450" s="27">
        <v>4</v>
      </c>
      <c r="R450" s="90" t="s">
        <v>65</v>
      </c>
      <c r="S450" s="27" t="s">
        <v>32</v>
      </c>
      <c r="T450" s="29" t="s">
        <v>580</v>
      </c>
      <c r="U450" s="27">
        <v>98765</v>
      </c>
      <c r="V450" s="37" t="s">
        <v>53</v>
      </c>
      <c r="W450" s="40" t="str">
        <f t="shared" si="18"/>
        <v>Amit Sharma</v>
      </c>
      <c r="X450" s="93" t="str">
        <f t="shared" si="19"/>
        <v>Electronics</v>
      </c>
      <c r="Y450" s="94" t="str">
        <f t="shared" si="20"/>
        <v>West</v>
      </c>
    </row>
    <row r="451" spans="1:25" ht="15" thickBot="1" x14ac:dyDescent="0.4">
      <c r="A451" s="90" t="s">
        <v>583</v>
      </c>
      <c r="B451" s="30" t="s">
        <v>156</v>
      </c>
      <c r="C451" s="30" t="s">
        <v>105</v>
      </c>
      <c r="D451" s="31">
        <v>46145</v>
      </c>
      <c r="E451" s="31">
        <v>46155</v>
      </c>
      <c r="F451" s="30" t="s">
        <v>106</v>
      </c>
      <c r="G451" s="30" t="s">
        <v>58</v>
      </c>
      <c r="H451" s="31">
        <v>35906</v>
      </c>
      <c r="I451" s="30" t="s">
        <v>147</v>
      </c>
      <c r="J451" s="30" t="s">
        <v>148</v>
      </c>
      <c r="K451" s="30" t="s">
        <v>29</v>
      </c>
      <c r="L451" s="30" t="s">
        <v>107</v>
      </c>
      <c r="M451" s="95">
        <v>14</v>
      </c>
      <c r="N451" s="30">
        <v>8500</v>
      </c>
      <c r="O451" s="30">
        <v>10</v>
      </c>
      <c r="P451" s="30">
        <v>107100</v>
      </c>
      <c r="Q451" s="30">
        <v>4</v>
      </c>
      <c r="R451" s="90" t="s">
        <v>31</v>
      </c>
      <c r="S451" s="30" t="s">
        <v>32</v>
      </c>
      <c r="T451" s="30" t="s">
        <v>158</v>
      </c>
      <c r="U451" s="30">
        <v>9211936331</v>
      </c>
      <c r="V451" s="36" t="s">
        <v>34</v>
      </c>
      <c r="W451" s="40" t="str">
        <f t="shared" ref="W451:W501" si="21">PROPER(TRIM(F451))</f>
        <v>Amit Sharma</v>
      </c>
      <c r="X451" s="93" t="str">
        <f t="shared" ref="X451:X501" si="22">PROPER(K451)</f>
        <v>Home Appliances</v>
      </c>
      <c r="Y451" s="94" t="str">
        <f t="shared" ref="Y451:Y501" si="23">PROPER(J451)</f>
        <v>East</v>
      </c>
    </row>
    <row r="452" spans="1:25" ht="15" thickBot="1" x14ac:dyDescent="0.4">
      <c r="A452" s="90" t="s">
        <v>584</v>
      </c>
      <c r="B452" s="27" t="s">
        <v>55</v>
      </c>
      <c r="C452" s="27" t="s">
        <v>138</v>
      </c>
      <c r="D452" s="28">
        <v>45807</v>
      </c>
      <c r="E452" s="28">
        <v>45815</v>
      </c>
      <c r="F452" s="27" t="s">
        <v>57</v>
      </c>
      <c r="G452" s="27" t="s">
        <v>58</v>
      </c>
      <c r="H452" s="28">
        <v>30812</v>
      </c>
      <c r="I452" s="27" t="s">
        <v>27</v>
      </c>
      <c r="J452" s="27" t="s">
        <v>28</v>
      </c>
      <c r="K452" s="27" t="s">
        <v>83</v>
      </c>
      <c r="L452" s="27" t="s">
        <v>139</v>
      </c>
      <c r="M452" s="95">
        <v>1</v>
      </c>
      <c r="N452" s="27">
        <v>45</v>
      </c>
      <c r="O452" s="27">
        <v>0</v>
      </c>
      <c r="P452" s="27">
        <v>45</v>
      </c>
      <c r="Q452" s="27">
        <v>3</v>
      </c>
      <c r="R452" s="90" t="s">
        <v>65</v>
      </c>
      <c r="S452" s="27" t="s">
        <v>96</v>
      </c>
      <c r="T452" s="27" t="s">
        <v>61</v>
      </c>
      <c r="U452" s="27">
        <v>9167291747</v>
      </c>
      <c r="V452" s="37" t="s">
        <v>53</v>
      </c>
      <c r="W452" s="40" t="str">
        <f t="shared" si="21"/>
        <v>Mohit Verma</v>
      </c>
      <c r="X452" s="93" t="str">
        <f t="shared" si="22"/>
        <v>Stationery</v>
      </c>
      <c r="Y452" s="94" t="str">
        <f t="shared" si="23"/>
        <v>South</v>
      </c>
    </row>
    <row r="453" spans="1:25" ht="15" thickBot="1" x14ac:dyDescent="0.4">
      <c r="A453" s="90" t="s">
        <v>585</v>
      </c>
      <c r="B453" s="30" t="s">
        <v>55</v>
      </c>
      <c r="C453" s="30" t="s">
        <v>46</v>
      </c>
      <c r="D453" s="31">
        <v>45705</v>
      </c>
      <c r="E453" s="31">
        <v>45716</v>
      </c>
      <c r="F453" s="30" t="s">
        <v>57</v>
      </c>
      <c r="G453" s="30" t="s">
        <v>58</v>
      </c>
      <c r="H453" s="31">
        <v>31692</v>
      </c>
      <c r="I453" s="30" t="s">
        <v>37</v>
      </c>
      <c r="J453" s="30" t="s">
        <v>38</v>
      </c>
      <c r="K453" s="30" t="s">
        <v>39</v>
      </c>
      <c r="L453" s="30" t="s">
        <v>49</v>
      </c>
      <c r="M453" s="95">
        <v>16</v>
      </c>
      <c r="N453" s="30">
        <v>55000</v>
      </c>
      <c r="O453" s="30">
        <v>15</v>
      </c>
      <c r="P453" s="30">
        <v>748000</v>
      </c>
      <c r="Q453" s="30">
        <v>1</v>
      </c>
      <c r="R453" s="90" t="s">
        <v>60</v>
      </c>
      <c r="S453" s="30" t="s">
        <v>96</v>
      </c>
      <c r="T453" s="30" t="s">
        <v>61</v>
      </c>
      <c r="U453" s="30">
        <v>9637283597</v>
      </c>
      <c r="V453" s="38" t="s">
        <v>53</v>
      </c>
      <c r="W453" s="40" t="str">
        <f t="shared" si="21"/>
        <v>Mohit Verma</v>
      </c>
      <c r="X453" s="93" t="str">
        <f t="shared" si="22"/>
        <v>Electronics</v>
      </c>
      <c r="Y453" s="94" t="str">
        <f t="shared" si="23"/>
        <v>North</v>
      </c>
    </row>
    <row r="454" spans="1:25" ht="15" thickBot="1" x14ac:dyDescent="0.4">
      <c r="A454" s="90" t="s">
        <v>586</v>
      </c>
      <c r="B454" s="27" t="s">
        <v>45</v>
      </c>
      <c r="C454" s="27" t="s">
        <v>112</v>
      </c>
      <c r="D454" s="28">
        <v>46103</v>
      </c>
      <c r="E454" s="28">
        <v>46110</v>
      </c>
      <c r="F454" s="27" t="s">
        <v>101</v>
      </c>
      <c r="G454" s="27" t="s">
        <v>26</v>
      </c>
      <c r="H454" s="28">
        <v>37926</v>
      </c>
      <c r="I454" s="27" t="s">
        <v>91</v>
      </c>
      <c r="J454" s="27" t="s">
        <v>75</v>
      </c>
      <c r="K454" s="27" t="s">
        <v>39</v>
      </c>
      <c r="L454" s="27" t="s">
        <v>114</v>
      </c>
      <c r="M454" s="95">
        <v>8</v>
      </c>
      <c r="N454" s="27">
        <v>700</v>
      </c>
      <c r="O454" s="27">
        <v>0</v>
      </c>
      <c r="P454" s="27">
        <v>5600</v>
      </c>
      <c r="Q454" s="27">
        <v>3</v>
      </c>
      <c r="R454" s="90" t="s">
        <v>31</v>
      </c>
      <c r="S454" s="27" t="s">
        <v>42</v>
      </c>
      <c r="T454" s="27" t="s">
        <v>51</v>
      </c>
      <c r="U454" s="27">
        <v>9514269002</v>
      </c>
      <c r="V454" s="35" t="s">
        <v>34</v>
      </c>
      <c r="W454" s="40" t="str">
        <f t="shared" si="21"/>
        <v>Pooja Shah</v>
      </c>
      <c r="X454" s="93" t="str">
        <f t="shared" si="22"/>
        <v>Electronics</v>
      </c>
      <c r="Y454" s="94" t="str">
        <f t="shared" si="23"/>
        <v>West</v>
      </c>
    </row>
    <row r="455" spans="1:25" ht="15" thickBot="1" x14ac:dyDescent="0.4">
      <c r="A455" s="90" t="s">
        <v>587</v>
      </c>
      <c r="B455" s="30" t="s">
        <v>134</v>
      </c>
      <c r="C455" s="30" t="s">
        <v>56</v>
      </c>
      <c r="D455" s="31">
        <v>46114</v>
      </c>
      <c r="E455" s="31">
        <v>46125</v>
      </c>
      <c r="F455" s="30" t="s">
        <v>135</v>
      </c>
      <c r="G455" s="30" t="s">
        <v>26</v>
      </c>
      <c r="H455" s="31">
        <v>37782</v>
      </c>
      <c r="I455" s="30" t="s">
        <v>91</v>
      </c>
      <c r="J455" s="30" t="s">
        <v>75</v>
      </c>
      <c r="K455" s="30" t="s">
        <v>39</v>
      </c>
      <c r="L455" s="30" t="s">
        <v>59</v>
      </c>
      <c r="M455" s="95">
        <v>3</v>
      </c>
      <c r="N455" s="30">
        <v>1200</v>
      </c>
      <c r="O455" s="30">
        <v>0</v>
      </c>
      <c r="P455" s="30">
        <v>3600</v>
      </c>
      <c r="Q455" s="30">
        <v>1</v>
      </c>
      <c r="R455" s="90" t="s">
        <v>60</v>
      </c>
      <c r="S455" s="30" t="s">
        <v>42</v>
      </c>
      <c r="T455" s="30" t="s">
        <v>136</v>
      </c>
      <c r="U455" s="30">
        <v>9778908233</v>
      </c>
      <c r="V455" s="38" t="s">
        <v>53</v>
      </c>
      <c r="W455" s="40" t="str">
        <f t="shared" si="21"/>
        <v>Sneha Joshi</v>
      </c>
      <c r="X455" s="93" t="str">
        <f t="shared" si="22"/>
        <v>Electronics</v>
      </c>
      <c r="Y455" s="94" t="str">
        <f t="shared" si="23"/>
        <v>West</v>
      </c>
    </row>
    <row r="456" spans="1:25" ht="15" thickBot="1" x14ac:dyDescent="0.4">
      <c r="A456" s="90" t="s">
        <v>588</v>
      </c>
      <c r="B456" s="27" t="s">
        <v>55</v>
      </c>
      <c r="C456" s="27" t="s">
        <v>68</v>
      </c>
      <c r="D456" s="28">
        <v>45706</v>
      </c>
      <c r="E456" s="28">
        <v>45714</v>
      </c>
      <c r="F456" s="27" t="s">
        <v>57</v>
      </c>
      <c r="G456" s="27" t="s">
        <v>58</v>
      </c>
      <c r="H456" s="28">
        <v>32959</v>
      </c>
      <c r="I456" s="27" t="s">
        <v>147</v>
      </c>
      <c r="J456" s="27" t="s">
        <v>148</v>
      </c>
      <c r="K456" s="27" t="s">
        <v>29</v>
      </c>
      <c r="L456" s="27" t="s">
        <v>70</v>
      </c>
      <c r="M456" s="95">
        <v>7</v>
      </c>
      <c r="N456" s="27">
        <v>3500</v>
      </c>
      <c r="O456" s="27">
        <v>15</v>
      </c>
      <c r="P456" s="27">
        <v>20825</v>
      </c>
      <c r="Q456" s="27">
        <v>4</v>
      </c>
      <c r="R456" s="90" t="s">
        <v>60</v>
      </c>
      <c r="S456" s="27" t="s">
        <v>50</v>
      </c>
      <c r="T456" s="27" t="s">
        <v>61</v>
      </c>
      <c r="U456" s="27">
        <v>9981118755</v>
      </c>
      <c r="V456" s="37" t="s">
        <v>52</v>
      </c>
      <c r="W456" s="40" t="str">
        <f t="shared" si="21"/>
        <v>Mohit Verma</v>
      </c>
      <c r="X456" s="93" t="str">
        <f t="shared" si="22"/>
        <v>Home Appliances</v>
      </c>
      <c r="Y456" s="94" t="str">
        <f t="shared" si="23"/>
        <v>East</v>
      </c>
    </row>
    <row r="457" spans="1:25" ht="15" thickBot="1" x14ac:dyDescent="0.4">
      <c r="A457" s="90" t="s">
        <v>589</v>
      </c>
      <c r="B457" s="30" t="s">
        <v>45</v>
      </c>
      <c r="C457" s="30" t="s">
        <v>46</v>
      </c>
      <c r="D457" s="31">
        <v>46110</v>
      </c>
      <c r="E457" s="31">
        <v>46116</v>
      </c>
      <c r="F457" s="30" t="s">
        <v>101</v>
      </c>
      <c r="G457" s="30" t="s">
        <v>26</v>
      </c>
      <c r="H457" s="31">
        <v>37769</v>
      </c>
      <c r="I457" s="30" t="s">
        <v>79</v>
      </c>
      <c r="J457" s="30" t="s">
        <v>75</v>
      </c>
      <c r="K457" s="30" t="s">
        <v>39</v>
      </c>
      <c r="L457" s="30" t="s">
        <v>49</v>
      </c>
      <c r="M457" s="95">
        <v>9</v>
      </c>
      <c r="N457" s="30">
        <v>55000</v>
      </c>
      <c r="O457" s="30">
        <v>15</v>
      </c>
      <c r="P457" s="30">
        <v>420750</v>
      </c>
      <c r="Q457" s="30">
        <v>3</v>
      </c>
      <c r="R457" s="90" t="s">
        <v>65</v>
      </c>
      <c r="S457" s="30" t="s">
        <v>32</v>
      </c>
      <c r="T457" s="30" t="s">
        <v>51</v>
      </c>
      <c r="U457" s="30">
        <v>9887896743</v>
      </c>
      <c r="V457" s="38" t="s">
        <v>53</v>
      </c>
      <c r="W457" s="40" t="str">
        <f t="shared" si="21"/>
        <v>Pooja Shah</v>
      </c>
      <c r="X457" s="93" t="str">
        <f t="shared" si="22"/>
        <v>Electronics</v>
      </c>
      <c r="Y457" s="94" t="str">
        <f t="shared" si="23"/>
        <v>West</v>
      </c>
    </row>
    <row r="458" spans="1:25" ht="15" thickBot="1" x14ac:dyDescent="0.4">
      <c r="A458" s="90" t="s">
        <v>590</v>
      </c>
      <c r="B458" s="27" t="s">
        <v>156</v>
      </c>
      <c r="C458" s="27" t="s">
        <v>36</v>
      </c>
      <c r="D458" s="28">
        <v>45992</v>
      </c>
      <c r="E458" s="28">
        <v>45993</v>
      </c>
      <c r="F458" s="27" t="s">
        <v>106</v>
      </c>
      <c r="G458" s="27" t="s">
        <v>58</v>
      </c>
      <c r="H458" s="28">
        <v>34006</v>
      </c>
      <c r="I458" s="27" t="s">
        <v>48</v>
      </c>
      <c r="J458" s="27" t="s">
        <v>28</v>
      </c>
      <c r="K458" s="27" t="s">
        <v>39</v>
      </c>
      <c r="L458" s="27" t="s">
        <v>40</v>
      </c>
      <c r="M458" s="95">
        <v>12</v>
      </c>
      <c r="N458" s="27">
        <v>12000</v>
      </c>
      <c r="O458" s="27">
        <v>0</v>
      </c>
      <c r="P458" s="27">
        <v>144000</v>
      </c>
      <c r="Q458" s="27">
        <v>3</v>
      </c>
      <c r="R458" s="90" t="s">
        <v>60</v>
      </c>
      <c r="S458" s="27" t="s">
        <v>96</v>
      </c>
      <c r="T458" s="27" t="s">
        <v>158</v>
      </c>
      <c r="U458" s="27">
        <v>9585330043</v>
      </c>
      <c r="V458" s="37" t="s">
        <v>53</v>
      </c>
      <c r="W458" s="40" t="str">
        <f t="shared" si="21"/>
        <v>Amit Sharma</v>
      </c>
      <c r="X458" s="93" t="str">
        <f t="shared" si="22"/>
        <v>Electronics</v>
      </c>
      <c r="Y458" s="94" t="str">
        <f t="shared" si="23"/>
        <v>South</v>
      </c>
    </row>
    <row r="459" spans="1:25" ht="15" thickBot="1" x14ac:dyDescent="0.4">
      <c r="A459" s="90" t="s">
        <v>591</v>
      </c>
      <c r="B459" s="30" t="s">
        <v>72</v>
      </c>
      <c r="C459" s="30" t="s">
        <v>82</v>
      </c>
      <c r="D459" s="31">
        <v>45781</v>
      </c>
      <c r="E459" s="31">
        <v>45788</v>
      </c>
      <c r="F459" s="30" t="s">
        <v>73</v>
      </c>
      <c r="G459" s="30" t="s">
        <v>26</v>
      </c>
      <c r="H459" s="31">
        <v>27639</v>
      </c>
      <c r="I459" s="30" t="s">
        <v>91</v>
      </c>
      <c r="J459" s="30" t="s">
        <v>75</v>
      </c>
      <c r="K459" s="30" t="s">
        <v>83</v>
      </c>
      <c r="L459" s="30" t="s">
        <v>84</v>
      </c>
      <c r="M459" s="95">
        <v>7</v>
      </c>
      <c r="N459" s="30">
        <v>60</v>
      </c>
      <c r="O459" s="30">
        <v>10</v>
      </c>
      <c r="P459" s="30">
        <v>378</v>
      </c>
      <c r="Q459" s="30">
        <v>4</v>
      </c>
      <c r="R459" s="90" t="s">
        <v>31</v>
      </c>
      <c r="S459" s="30" t="s">
        <v>42</v>
      </c>
      <c r="T459" s="30" t="s">
        <v>93</v>
      </c>
      <c r="U459" s="30">
        <v>9423719975</v>
      </c>
      <c r="V459" s="38" t="s">
        <v>53</v>
      </c>
      <c r="W459" s="40" t="str">
        <f t="shared" si="21"/>
        <v>Priya Patel</v>
      </c>
      <c r="X459" s="93" t="str">
        <f t="shared" si="22"/>
        <v>Stationery</v>
      </c>
      <c r="Y459" s="94" t="str">
        <f t="shared" si="23"/>
        <v>West</v>
      </c>
    </row>
    <row r="460" spans="1:25" ht="15" thickBot="1" x14ac:dyDescent="0.4">
      <c r="A460" s="90" t="s">
        <v>592</v>
      </c>
      <c r="B460" s="27" t="s">
        <v>124</v>
      </c>
      <c r="C460" s="27" t="s">
        <v>24</v>
      </c>
      <c r="D460" s="28">
        <v>45892</v>
      </c>
      <c r="E460" s="28">
        <v>45900</v>
      </c>
      <c r="F460" s="27" t="s">
        <v>126</v>
      </c>
      <c r="G460" s="27" t="s">
        <v>58</v>
      </c>
      <c r="H460" s="28">
        <v>34586</v>
      </c>
      <c r="I460" s="27" t="s">
        <v>74</v>
      </c>
      <c r="J460" s="27" t="s">
        <v>75</v>
      </c>
      <c r="K460" s="27" t="s">
        <v>29</v>
      </c>
      <c r="L460" s="27" t="s">
        <v>30</v>
      </c>
      <c r="M460" s="95">
        <v>17</v>
      </c>
      <c r="N460" s="27">
        <v>2200</v>
      </c>
      <c r="O460" s="27">
        <v>15</v>
      </c>
      <c r="P460" s="27">
        <v>31790</v>
      </c>
      <c r="Q460" s="27">
        <v>3</v>
      </c>
      <c r="R460" s="90" t="s">
        <v>65</v>
      </c>
      <c r="S460" s="27" t="s">
        <v>96</v>
      </c>
      <c r="T460" s="27" t="s">
        <v>128</v>
      </c>
      <c r="U460" s="27">
        <v>9270746961</v>
      </c>
      <c r="V460" s="37" t="s">
        <v>52</v>
      </c>
      <c r="W460" s="40" t="str">
        <f t="shared" si="21"/>
        <v>Vikas Mehta</v>
      </c>
      <c r="X460" s="93" t="str">
        <f t="shared" si="22"/>
        <v>Home Appliances</v>
      </c>
      <c r="Y460" s="94" t="str">
        <f t="shared" si="23"/>
        <v>West</v>
      </c>
    </row>
    <row r="461" spans="1:25" ht="15" thickBot="1" x14ac:dyDescent="0.4">
      <c r="A461" s="90" t="s">
        <v>593</v>
      </c>
      <c r="B461" s="30" t="s">
        <v>156</v>
      </c>
      <c r="C461" s="30" t="s">
        <v>112</v>
      </c>
      <c r="D461" s="31">
        <v>45988</v>
      </c>
      <c r="E461" s="31">
        <v>45997</v>
      </c>
      <c r="F461" s="30" t="s">
        <v>106</v>
      </c>
      <c r="G461" s="30" t="s">
        <v>58</v>
      </c>
      <c r="H461" s="31">
        <v>33884</v>
      </c>
      <c r="I461" s="30" t="s">
        <v>48</v>
      </c>
      <c r="J461" s="30" t="s">
        <v>28</v>
      </c>
      <c r="K461" s="30" t="s">
        <v>39</v>
      </c>
      <c r="L461" s="30" t="s">
        <v>114</v>
      </c>
      <c r="M461" s="95">
        <v>17</v>
      </c>
      <c r="N461" s="30">
        <v>700</v>
      </c>
      <c r="O461" s="30">
        <v>10</v>
      </c>
      <c r="P461" s="30">
        <v>10710</v>
      </c>
      <c r="Q461" s="30">
        <v>2</v>
      </c>
      <c r="R461" s="90" t="s">
        <v>31</v>
      </c>
      <c r="S461" s="30" t="s">
        <v>50</v>
      </c>
      <c r="T461" s="30" t="s">
        <v>158</v>
      </c>
      <c r="U461" s="30">
        <v>9333162025</v>
      </c>
      <c r="V461" s="38" t="s">
        <v>52</v>
      </c>
      <c r="W461" s="40" t="str">
        <f t="shared" si="21"/>
        <v>Amit Sharma</v>
      </c>
      <c r="X461" s="93" t="str">
        <f t="shared" si="22"/>
        <v>Electronics</v>
      </c>
      <c r="Y461" s="94" t="str">
        <f t="shared" si="23"/>
        <v>South</v>
      </c>
    </row>
    <row r="462" spans="1:25" ht="15" thickBot="1" x14ac:dyDescent="0.4">
      <c r="A462" s="90" t="s">
        <v>595</v>
      </c>
      <c r="B462" s="27" t="s">
        <v>156</v>
      </c>
      <c r="C462" s="27" t="s">
        <v>46</v>
      </c>
      <c r="D462" s="28">
        <v>45806</v>
      </c>
      <c r="E462" s="28">
        <v>45809</v>
      </c>
      <c r="F462" s="27" t="s">
        <v>106</v>
      </c>
      <c r="G462" s="27" t="s">
        <v>58</v>
      </c>
      <c r="H462" s="28">
        <v>37454</v>
      </c>
      <c r="I462" s="27" t="s">
        <v>37</v>
      </c>
      <c r="J462" s="27" t="s">
        <v>38</v>
      </c>
      <c r="K462" s="27" t="s">
        <v>39</v>
      </c>
      <c r="L462" s="27" t="s">
        <v>49</v>
      </c>
      <c r="M462" s="95">
        <v>19</v>
      </c>
      <c r="N462" s="27">
        <v>55000</v>
      </c>
      <c r="O462" s="27">
        <v>20</v>
      </c>
      <c r="P462" s="27">
        <v>836000</v>
      </c>
      <c r="Q462" s="27">
        <v>5</v>
      </c>
      <c r="R462" s="90" t="s">
        <v>41</v>
      </c>
      <c r="S462" s="27" t="s">
        <v>50</v>
      </c>
      <c r="T462" s="27" t="s">
        <v>158</v>
      </c>
      <c r="U462" s="27">
        <v>9247023285</v>
      </c>
      <c r="V462" s="35" t="s">
        <v>34</v>
      </c>
      <c r="W462" s="40" t="str">
        <f t="shared" si="21"/>
        <v>Amit Sharma</v>
      </c>
      <c r="X462" s="93" t="str">
        <f t="shared" si="22"/>
        <v>Electronics</v>
      </c>
      <c r="Y462" s="94" t="str">
        <f t="shared" si="23"/>
        <v>North</v>
      </c>
    </row>
    <row r="463" spans="1:25" ht="15" thickBot="1" x14ac:dyDescent="0.4">
      <c r="A463" s="90" t="s">
        <v>596</v>
      </c>
      <c r="B463" s="30" t="s">
        <v>87</v>
      </c>
      <c r="C463" s="30" t="s">
        <v>82</v>
      </c>
      <c r="D463" s="31">
        <v>45912</v>
      </c>
      <c r="E463" s="31">
        <v>45919</v>
      </c>
      <c r="F463" s="30" t="s">
        <v>88</v>
      </c>
      <c r="G463" s="30" t="s">
        <v>58</v>
      </c>
      <c r="H463" s="31">
        <v>36925</v>
      </c>
      <c r="I463" s="30" t="s">
        <v>37</v>
      </c>
      <c r="J463" s="30" t="s">
        <v>38</v>
      </c>
      <c r="K463" s="30" t="s">
        <v>83</v>
      </c>
      <c r="L463" s="30" t="s">
        <v>84</v>
      </c>
      <c r="M463" s="95">
        <v>1</v>
      </c>
      <c r="N463" s="30">
        <v>60</v>
      </c>
      <c r="O463" s="30">
        <v>10</v>
      </c>
      <c r="P463" s="30">
        <v>54</v>
      </c>
      <c r="Q463" s="30">
        <v>4</v>
      </c>
      <c r="R463" s="97" t="s">
        <v>41</v>
      </c>
      <c r="S463" s="92" t="s">
        <v>684</v>
      </c>
      <c r="T463" s="32" t="s">
        <v>594</v>
      </c>
      <c r="U463" s="30">
        <v>9448658297</v>
      </c>
      <c r="V463" s="38" t="s">
        <v>53</v>
      </c>
      <c r="W463" s="40" t="str">
        <f t="shared" si="21"/>
        <v>Rohit Singh</v>
      </c>
      <c r="X463" s="93" t="str">
        <f t="shared" si="22"/>
        <v>Stationery</v>
      </c>
      <c r="Y463" s="94" t="str">
        <f t="shared" si="23"/>
        <v>North</v>
      </c>
    </row>
    <row r="464" spans="1:25" ht="15" thickBot="1" x14ac:dyDescent="0.4">
      <c r="A464" s="90" t="s">
        <v>597</v>
      </c>
      <c r="B464" s="27" t="s">
        <v>55</v>
      </c>
      <c r="C464" s="27" t="s">
        <v>68</v>
      </c>
      <c r="D464" s="28">
        <v>46085</v>
      </c>
      <c r="E464" s="28">
        <v>46092</v>
      </c>
      <c r="F464" s="27" t="s">
        <v>57</v>
      </c>
      <c r="G464" s="27" t="s">
        <v>58</v>
      </c>
      <c r="H464" s="28">
        <v>33047</v>
      </c>
      <c r="I464" s="27" t="s">
        <v>27</v>
      </c>
      <c r="J464" s="27" t="s">
        <v>28</v>
      </c>
      <c r="K464" s="27" t="s">
        <v>29</v>
      </c>
      <c r="L464" s="27" t="s">
        <v>70</v>
      </c>
      <c r="M464" s="95">
        <v>16</v>
      </c>
      <c r="N464" s="27">
        <v>3500</v>
      </c>
      <c r="O464" s="27">
        <v>0</v>
      </c>
      <c r="P464" s="27">
        <v>56000</v>
      </c>
      <c r="Q464" s="27">
        <v>4</v>
      </c>
      <c r="R464" s="90" t="s">
        <v>41</v>
      </c>
      <c r="S464" s="27" t="s">
        <v>32</v>
      </c>
      <c r="T464" s="27" t="s">
        <v>61</v>
      </c>
      <c r="U464" s="27">
        <v>9906748486</v>
      </c>
      <c r="V464" s="37" t="s">
        <v>52</v>
      </c>
      <c r="W464" s="40" t="str">
        <f t="shared" si="21"/>
        <v>Mohit Verma</v>
      </c>
      <c r="X464" s="93" t="str">
        <f t="shared" si="22"/>
        <v>Home Appliances</v>
      </c>
      <c r="Y464" s="94" t="str">
        <f t="shared" si="23"/>
        <v>South</v>
      </c>
    </row>
    <row r="465" spans="1:25" ht="15" thickBot="1" x14ac:dyDescent="0.4">
      <c r="A465" s="90" t="s">
        <v>598</v>
      </c>
      <c r="B465" s="30" t="s">
        <v>87</v>
      </c>
      <c r="C465" s="30" t="s">
        <v>125</v>
      </c>
      <c r="D465" s="31">
        <v>45681</v>
      </c>
      <c r="E465" s="31">
        <v>45693</v>
      </c>
      <c r="F465" s="30" t="s">
        <v>88</v>
      </c>
      <c r="G465" s="30" t="s">
        <v>58</v>
      </c>
      <c r="H465" s="31">
        <v>28623</v>
      </c>
      <c r="I465" s="30" t="s">
        <v>79</v>
      </c>
      <c r="J465" s="30" t="s">
        <v>75</v>
      </c>
      <c r="K465" s="30" t="s">
        <v>83</v>
      </c>
      <c r="L465" s="30" t="s">
        <v>127</v>
      </c>
      <c r="M465" s="95">
        <v>14</v>
      </c>
      <c r="N465" s="30">
        <v>20</v>
      </c>
      <c r="O465" s="30">
        <v>10</v>
      </c>
      <c r="P465" s="30">
        <v>252</v>
      </c>
      <c r="Q465" s="30">
        <v>1</v>
      </c>
      <c r="R465" s="90" t="s">
        <v>41</v>
      </c>
      <c r="S465" s="30" t="s">
        <v>50</v>
      </c>
      <c r="T465" s="30" t="s">
        <v>89</v>
      </c>
      <c r="U465" s="30">
        <v>9365182725</v>
      </c>
      <c r="V465" s="38" t="s">
        <v>52</v>
      </c>
      <c r="W465" s="40" t="str">
        <f t="shared" si="21"/>
        <v>Rohit Singh</v>
      </c>
      <c r="X465" s="93" t="str">
        <f t="shared" si="22"/>
        <v>Stationery</v>
      </c>
      <c r="Y465" s="94" t="str">
        <f t="shared" si="23"/>
        <v>West</v>
      </c>
    </row>
    <row r="466" spans="1:25" ht="15" thickBot="1" x14ac:dyDescent="0.4">
      <c r="A466" s="90" t="s">
        <v>599</v>
      </c>
      <c r="B466" s="27" t="s">
        <v>55</v>
      </c>
      <c r="C466" s="27" t="s">
        <v>24</v>
      </c>
      <c r="D466" s="28">
        <v>46004</v>
      </c>
      <c r="E466" s="28">
        <v>46005</v>
      </c>
      <c r="F466" s="27" t="s">
        <v>57</v>
      </c>
      <c r="G466" s="27" t="s">
        <v>58</v>
      </c>
      <c r="H466" s="28">
        <v>36729</v>
      </c>
      <c r="I466" s="27" t="s">
        <v>48</v>
      </c>
      <c r="J466" s="27" t="s">
        <v>28</v>
      </c>
      <c r="K466" s="27" t="s">
        <v>29</v>
      </c>
      <c r="L466" s="27" t="s">
        <v>30</v>
      </c>
      <c r="M466" s="95">
        <v>11</v>
      </c>
      <c r="N466" s="27">
        <v>2200</v>
      </c>
      <c r="O466" s="27">
        <v>15</v>
      </c>
      <c r="P466" s="27">
        <v>20570</v>
      </c>
      <c r="Q466" s="27">
        <v>4</v>
      </c>
      <c r="R466" s="90" t="s">
        <v>41</v>
      </c>
      <c r="S466" s="27" t="s">
        <v>42</v>
      </c>
      <c r="T466" s="27" t="s">
        <v>61</v>
      </c>
      <c r="U466" s="27">
        <v>9937119494</v>
      </c>
      <c r="V466" s="37" t="s">
        <v>53</v>
      </c>
      <c r="W466" s="40" t="str">
        <f t="shared" si="21"/>
        <v>Mohit Verma</v>
      </c>
      <c r="X466" s="93" t="str">
        <f t="shared" si="22"/>
        <v>Home Appliances</v>
      </c>
      <c r="Y466" s="94" t="str">
        <f t="shared" si="23"/>
        <v>South</v>
      </c>
    </row>
    <row r="467" spans="1:25" ht="15" thickBot="1" x14ac:dyDescent="0.4">
      <c r="A467" s="90" t="s">
        <v>600</v>
      </c>
      <c r="B467" s="30" t="s">
        <v>63</v>
      </c>
      <c r="C467" s="30" t="s">
        <v>46</v>
      </c>
      <c r="D467" s="31">
        <v>45870</v>
      </c>
      <c r="E467" s="31">
        <v>45878</v>
      </c>
      <c r="F467" s="30" t="s">
        <v>110</v>
      </c>
      <c r="G467" s="30" t="s">
        <v>58</v>
      </c>
      <c r="H467" s="31">
        <v>31126</v>
      </c>
      <c r="I467" s="30" t="s">
        <v>121</v>
      </c>
      <c r="J467" s="30" t="s">
        <v>38</v>
      </c>
      <c r="K467" s="30" t="s">
        <v>39</v>
      </c>
      <c r="L467" s="30" t="s">
        <v>49</v>
      </c>
      <c r="M467" s="95">
        <v>2</v>
      </c>
      <c r="N467" s="30">
        <v>55000</v>
      </c>
      <c r="O467" s="30">
        <v>0</v>
      </c>
      <c r="P467" s="30">
        <v>110000</v>
      </c>
      <c r="Q467" s="30">
        <v>4</v>
      </c>
      <c r="R467" s="90" t="s">
        <v>41</v>
      </c>
      <c r="S467" s="30" t="s">
        <v>42</v>
      </c>
      <c r="T467" s="30" t="s">
        <v>66</v>
      </c>
      <c r="U467" s="30">
        <v>9828015293</v>
      </c>
      <c r="V467" s="38" t="s">
        <v>53</v>
      </c>
      <c r="W467" s="40" t="str">
        <f t="shared" si="21"/>
        <v>Arjun Rao</v>
      </c>
      <c r="X467" s="93" t="str">
        <f t="shared" si="22"/>
        <v>Electronics</v>
      </c>
      <c r="Y467" s="94" t="str">
        <f t="shared" si="23"/>
        <v>North</v>
      </c>
    </row>
    <row r="468" spans="1:25" ht="15" thickBot="1" x14ac:dyDescent="0.4">
      <c r="A468" s="90" t="s">
        <v>601</v>
      </c>
      <c r="B468" s="27" t="s">
        <v>45</v>
      </c>
      <c r="C468" s="27" t="s">
        <v>24</v>
      </c>
      <c r="D468" s="28">
        <v>45658</v>
      </c>
      <c r="E468" s="28">
        <v>45664</v>
      </c>
      <c r="F468" s="27" t="s">
        <v>101</v>
      </c>
      <c r="G468" s="27" t="s">
        <v>26</v>
      </c>
      <c r="H468" s="28">
        <v>32181</v>
      </c>
      <c r="I468" s="27" t="s">
        <v>79</v>
      </c>
      <c r="J468" s="27" t="s">
        <v>75</v>
      </c>
      <c r="K468" s="27" t="s">
        <v>29</v>
      </c>
      <c r="L468" s="27" t="s">
        <v>30</v>
      </c>
      <c r="M468" s="95">
        <v>7</v>
      </c>
      <c r="N468" s="27">
        <v>2200</v>
      </c>
      <c r="O468" s="27">
        <v>5</v>
      </c>
      <c r="P468" s="27">
        <v>14630</v>
      </c>
      <c r="Q468" s="27">
        <v>4</v>
      </c>
      <c r="R468" s="90" t="s">
        <v>60</v>
      </c>
      <c r="S468" s="27" t="s">
        <v>80</v>
      </c>
      <c r="T468" s="27" t="s">
        <v>51</v>
      </c>
      <c r="U468" s="27">
        <v>9864206250</v>
      </c>
      <c r="V468" s="37" t="s">
        <v>53</v>
      </c>
      <c r="W468" s="40" t="str">
        <f t="shared" si="21"/>
        <v>Pooja Shah</v>
      </c>
      <c r="X468" s="93" t="str">
        <f t="shared" si="22"/>
        <v>Home Appliances</v>
      </c>
      <c r="Y468" s="94" t="str">
        <f t="shared" si="23"/>
        <v>West</v>
      </c>
    </row>
    <row r="469" spans="1:25" ht="15" thickBot="1" x14ac:dyDescent="0.4">
      <c r="A469" s="90" t="s">
        <v>602</v>
      </c>
      <c r="B469" s="30" t="s">
        <v>23</v>
      </c>
      <c r="C469" s="30" t="s">
        <v>138</v>
      </c>
      <c r="D469" s="31">
        <v>45755</v>
      </c>
      <c r="E469" s="31">
        <v>45759</v>
      </c>
      <c r="F469" s="30" t="s">
        <v>25</v>
      </c>
      <c r="G469" s="30" t="s">
        <v>26</v>
      </c>
      <c r="H469" s="31">
        <v>35546</v>
      </c>
      <c r="I469" s="30" t="s">
        <v>91</v>
      </c>
      <c r="J469" s="30" t="s">
        <v>75</v>
      </c>
      <c r="K469" s="30" t="s">
        <v>83</v>
      </c>
      <c r="L469" s="30" t="s">
        <v>139</v>
      </c>
      <c r="M469" s="95">
        <v>11</v>
      </c>
      <c r="N469" s="30">
        <v>45</v>
      </c>
      <c r="O469" s="30">
        <v>15</v>
      </c>
      <c r="P469" s="30">
        <v>420.75</v>
      </c>
      <c r="Q469" s="30">
        <v>4</v>
      </c>
      <c r="R469" s="90" t="s">
        <v>60</v>
      </c>
      <c r="S469" s="30" t="s">
        <v>50</v>
      </c>
      <c r="T469" s="30" t="s">
        <v>43</v>
      </c>
      <c r="U469" s="30">
        <v>9519293104</v>
      </c>
      <c r="V469" s="38" t="s">
        <v>52</v>
      </c>
      <c r="W469" s="40" t="str">
        <f t="shared" si="21"/>
        <v>Kavya Nair</v>
      </c>
      <c r="X469" s="93" t="str">
        <f t="shared" si="22"/>
        <v>Stationery</v>
      </c>
      <c r="Y469" s="94" t="str">
        <f t="shared" si="23"/>
        <v>West</v>
      </c>
    </row>
    <row r="470" spans="1:25" ht="15" thickBot="1" x14ac:dyDescent="0.4">
      <c r="A470" s="90" t="s">
        <v>603</v>
      </c>
      <c r="B470" s="27" t="s">
        <v>72</v>
      </c>
      <c r="C470" s="27" t="s">
        <v>82</v>
      </c>
      <c r="D470" s="28">
        <v>45767</v>
      </c>
      <c r="E470" s="28">
        <v>45777</v>
      </c>
      <c r="F470" s="27" t="s">
        <v>73</v>
      </c>
      <c r="G470" s="27" t="s">
        <v>26</v>
      </c>
      <c r="H470" s="28">
        <v>37033</v>
      </c>
      <c r="I470" s="27" t="s">
        <v>74</v>
      </c>
      <c r="J470" s="27" t="s">
        <v>75</v>
      </c>
      <c r="K470" s="27" t="s">
        <v>83</v>
      </c>
      <c r="L470" s="27" t="s">
        <v>84</v>
      </c>
      <c r="M470" s="95">
        <v>16</v>
      </c>
      <c r="N470" s="27">
        <v>60</v>
      </c>
      <c r="O470" s="27">
        <v>5</v>
      </c>
      <c r="P470" s="27">
        <v>912</v>
      </c>
      <c r="Q470" s="27">
        <v>2</v>
      </c>
      <c r="R470" s="90" t="s">
        <v>31</v>
      </c>
      <c r="S470" s="27" t="s">
        <v>80</v>
      </c>
      <c r="T470" s="27" t="s">
        <v>93</v>
      </c>
      <c r="U470" s="27">
        <v>9296075245</v>
      </c>
      <c r="V470" s="37" t="s">
        <v>53</v>
      </c>
      <c r="W470" s="40" t="str">
        <f t="shared" si="21"/>
        <v>Priya Patel</v>
      </c>
      <c r="X470" s="93" t="str">
        <f t="shared" si="22"/>
        <v>Stationery</v>
      </c>
      <c r="Y470" s="94" t="str">
        <f t="shared" si="23"/>
        <v>West</v>
      </c>
    </row>
    <row r="471" spans="1:25" ht="15" thickBot="1" x14ac:dyDescent="0.4">
      <c r="A471" s="90" t="s">
        <v>604</v>
      </c>
      <c r="B471" s="30" t="s">
        <v>156</v>
      </c>
      <c r="C471" s="30" t="s">
        <v>46</v>
      </c>
      <c r="D471" s="31">
        <v>45963</v>
      </c>
      <c r="E471" s="31">
        <v>45965</v>
      </c>
      <c r="F471" s="30" t="s">
        <v>106</v>
      </c>
      <c r="G471" s="30" t="s">
        <v>58</v>
      </c>
      <c r="H471" s="31">
        <v>30121</v>
      </c>
      <c r="I471" s="30" t="s">
        <v>79</v>
      </c>
      <c r="J471" s="30" t="s">
        <v>75</v>
      </c>
      <c r="K471" s="30" t="s">
        <v>39</v>
      </c>
      <c r="L471" s="30" t="s">
        <v>49</v>
      </c>
      <c r="M471" s="95">
        <v>18</v>
      </c>
      <c r="N471" s="30">
        <v>55000</v>
      </c>
      <c r="O471" s="30">
        <v>0</v>
      </c>
      <c r="P471" s="30">
        <v>990000</v>
      </c>
      <c r="Q471" s="30">
        <v>5</v>
      </c>
      <c r="R471" s="90" t="s">
        <v>41</v>
      </c>
      <c r="S471" s="30" t="s">
        <v>42</v>
      </c>
      <c r="T471" s="30" t="s">
        <v>158</v>
      </c>
      <c r="U471" s="30">
        <v>9316770206</v>
      </c>
      <c r="V471" s="38" t="s">
        <v>52</v>
      </c>
      <c r="W471" s="40" t="str">
        <f t="shared" si="21"/>
        <v>Amit Sharma</v>
      </c>
      <c r="X471" s="93" t="str">
        <f t="shared" si="22"/>
        <v>Electronics</v>
      </c>
      <c r="Y471" s="94" t="str">
        <f t="shared" si="23"/>
        <v>West</v>
      </c>
    </row>
    <row r="472" spans="1:25" ht="15" thickBot="1" x14ac:dyDescent="0.4">
      <c r="A472" s="90" t="s">
        <v>605</v>
      </c>
      <c r="B472" s="27" t="s">
        <v>23</v>
      </c>
      <c r="C472" s="27" t="s">
        <v>56</v>
      </c>
      <c r="D472" s="28">
        <v>45948</v>
      </c>
      <c r="E472" s="28">
        <v>45952</v>
      </c>
      <c r="F472" s="27" t="s">
        <v>25</v>
      </c>
      <c r="G472" s="27" t="s">
        <v>26</v>
      </c>
      <c r="H472" s="28">
        <v>36334</v>
      </c>
      <c r="I472" s="27" t="s">
        <v>48</v>
      </c>
      <c r="J472" s="27" t="s">
        <v>28</v>
      </c>
      <c r="K472" s="27" t="s">
        <v>39</v>
      </c>
      <c r="L472" s="27" t="s">
        <v>59</v>
      </c>
      <c r="M472" s="95">
        <v>17</v>
      </c>
      <c r="N472" s="27">
        <v>1200</v>
      </c>
      <c r="O472" s="27">
        <v>5</v>
      </c>
      <c r="P472" s="27">
        <v>19380</v>
      </c>
      <c r="Q472" s="27">
        <v>1</v>
      </c>
      <c r="R472" s="90" t="s">
        <v>41</v>
      </c>
      <c r="S472" s="27" t="s">
        <v>32</v>
      </c>
      <c r="T472" s="27" t="s">
        <v>43</v>
      </c>
      <c r="U472" s="27">
        <v>9706553861</v>
      </c>
      <c r="V472" s="37" t="s">
        <v>52</v>
      </c>
      <c r="W472" s="40" t="str">
        <f t="shared" si="21"/>
        <v>Kavya Nair</v>
      </c>
      <c r="X472" s="93" t="str">
        <f t="shared" si="22"/>
        <v>Electronics</v>
      </c>
      <c r="Y472" s="94" t="str">
        <f t="shared" si="23"/>
        <v>South</v>
      </c>
    </row>
    <row r="473" spans="1:25" ht="15" thickBot="1" x14ac:dyDescent="0.4">
      <c r="A473" s="90" t="s">
        <v>606</v>
      </c>
      <c r="B473" s="30" t="s">
        <v>45</v>
      </c>
      <c r="C473" s="30" t="s">
        <v>46</v>
      </c>
      <c r="D473" s="31">
        <v>45774</v>
      </c>
      <c r="E473" s="31">
        <v>45782</v>
      </c>
      <c r="F473" s="30" t="s">
        <v>101</v>
      </c>
      <c r="G473" s="30" t="s">
        <v>26</v>
      </c>
      <c r="H473" s="31">
        <v>36924</v>
      </c>
      <c r="I473" s="30" t="s">
        <v>79</v>
      </c>
      <c r="J473" s="30" t="s">
        <v>75</v>
      </c>
      <c r="K473" s="30" t="s">
        <v>39</v>
      </c>
      <c r="L473" s="30" t="s">
        <v>49</v>
      </c>
      <c r="M473" s="95">
        <v>11</v>
      </c>
      <c r="N473" s="30">
        <v>55000</v>
      </c>
      <c r="O473" s="30">
        <v>0</v>
      </c>
      <c r="P473" s="30">
        <v>605000</v>
      </c>
      <c r="Q473" s="30">
        <v>2</v>
      </c>
      <c r="R473" s="90" t="s">
        <v>31</v>
      </c>
      <c r="S473" s="30" t="s">
        <v>50</v>
      </c>
      <c r="T473" s="30" t="s">
        <v>51</v>
      </c>
      <c r="U473" s="30">
        <v>9524904662</v>
      </c>
      <c r="V473" s="38" t="s">
        <v>52</v>
      </c>
      <c r="W473" s="40" t="str">
        <f t="shared" si="21"/>
        <v>Pooja Shah</v>
      </c>
      <c r="X473" s="93" t="str">
        <f t="shared" si="22"/>
        <v>Electronics</v>
      </c>
      <c r="Y473" s="94" t="str">
        <f t="shared" si="23"/>
        <v>West</v>
      </c>
    </row>
    <row r="474" spans="1:25" ht="15" thickBot="1" x14ac:dyDescent="0.4">
      <c r="A474" s="90" t="s">
        <v>607</v>
      </c>
      <c r="B474" s="27" t="s">
        <v>134</v>
      </c>
      <c r="C474" s="27" t="s">
        <v>112</v>
      </c>
      <c r="D474" s="28">
        <v>45799</v>
      </c>
      <c r="E474" s="28">
        <v>45808</v>
      </c>
      <c r="F474" s="27" t="s">
        <v>135</v>
      </c>
      <c r="G474" s="27" t="s">
        <v>26</v>
      </c>
      <c r="H474" s="28">
        <v>36200</v>
      </c>
      <c r="I474" s="27" t="s">
        <v>37</v>
      </c>
      <c r="J474" s="27" t="s">
        <v>38</v>
      </c>
      <c r="K474" s="27" t="s">
        <v>39</v>
      </c>
      <c r="L474" s="27" t="s">
        <v>114</v>
      </c>
      <c r="M474" s="95">
        <v>20</v>
      </c>
      <c r="N474" s="27">
        <v>700</v>
      </c>
      <c r="O474" s="27">
        <v>20</v>
      </c>
      <c r="P474" s="27">
        <v>11200</v>
      </c>
      <c r="Q474" s="27">
        <v>5</v>
      </c>
      <c r="R474" s="90" t="s">
        <v>41</v>
      </c>
      <c r="S474" s="27" t="s">
        <v>50</v>
      </c>
      <c r="T474" s="27" t="s">
        <v>136</v>
      </c>
      <c r="U474" s="27">
        <v>9577624596</v>
      </c>
      <c r="V474" s="35" t="s">
        <v>34</v>
      </c>
      <c r="W474" s="40" t="str">
        <f t="shared" si="21"/>
        <v>Sneha Joshi</v>
      </c>
      <c r="X474" s="93" t="str">
        <f t="shared" si="22"/>
        <v>Electronics</v>
      </c>
      <c r="Y474" s="94" t="str">
        <f t="shared" si="23"/>
        <v>North</v>
      </c>
    </row>
    <row r="475" spans="1:25" ht="15" thickBot="1" x14ac:dyDescent="0.4">
      <c r="A475" s="90" t="s">
        <v>608</v>
      </c>
      <c r="B475" s="30" t="s">
        <v>55</v>
      </c>
      <c r="C475" s="30" t="s">
        <v>125</v>
      </c>
      <c r="D475" s="31">
        <v>46050</v>
      </c>
      <c r="E475" s="31">
        <v>46061</v>
      </c>
      <c r="F475" s="30" t="s">
        <v>57</v>
      </c>
      <c r="G475" s="30" t="s">
        <v>58</v>
      </c>
      <c r="H475" s="31">
        <v>32269</v>
      </c>
      <c r="I475" s="30" t="s">
        <v>37</v>
      </c>
      <c r="J475" s="30" t="s">
        <v>38</v>
      </c>
      <c r="K475" s="30" t="s">
        <v>83</v>
      </c>
      <c r="L475" s="30" t="s">
        <v>127</v>
      </c>
      <c r="M475" s="95">
        <v>5</v>
      </c>
      <c r="N475" s="30">
        <v>20</v>
      </c>
      <c r="O475" s="30">
        <v>5</v>
      </c>
      <c r="P475" s="30">
        <v>95</v>
      </c>
      <c r="Q475" s="30">
        <v>4</v>
      </c>
      <c r="R475" s="90" t="s">
        <v>31</v>
      </c>
      <c r="S475" s="30" t="s">
        <v>42</v>
      </c>
      <c r="T475" s="30" t="s">
        <v>61</v>
      </c>
      <c r="U475" s="30">
        <v>9898452436</v>
      </c>
      <c r="V475" s="38" t="s">
        <v>53</v>
      </c>
      <c r="W475" s="40" t="str">
        <f t="shared" si="21"/>
        <v>Mohit Verma</v>
      </c>
      <c r="X475" s="93" t="str">
        <f t="shared" si="22"/>
        <v>Stationery</v>
      </c>
      <c r="Y475" s="94" t="str">
        <f t="shared" si="23"/>
        <v>North</v>
      </c>
    </row>
    <row r="476" spans="1:25" ht="15" thickBot="1" x14ac:dyDescent="0.4">
      <c r="A476" s="90" t="s">
        <v>609</v>
      </c>
      <c r="B476" s="27" t="s">
        <v>156</v>
      </c>
      <c r="C476" s="27" t="s">
        <v>46</v>
      </c>
      <c r="D476" s="28">
        <v>45692</v>
      </c>
      <c r="E476" s="28">
        <v>45699</v>
      </c>
      <c r="F476" s="27" t="s">
        <v>106</v>
      </c>
      <c r="G476" s="27" t="s">
        <v>58</v>
      </c>
      <c r="H476" s="28">
        <v>27437</v>
      </c>
      <c r="I476" s="27" t="s">
        <v>74</v>
      </c>
      <c r="J476" s="27" t="s">
        <v>75</v>
      </c>
      <c r="K476" s="27" t="s">
        <v>39</v>
      </c>
      <c r="L476" s="27" t="s">
        <v>49</v>
      </c>
      <c r="M476" s="95">
        <v>13</v>
      </c>
      <c r="N476" s="27">
        <v>55000</v>
      </c>
      <c r="O476" s="27">
        <v>5</v>
      </c>
      <c r="P476" s="27">
        <v>679250</v>
      </c>
      <c r="Q476" s="27">
        <v>1</v>
      </c>
      <c r="R476" s="90" t="s">
        <v>41</v>
      </c>
      <c r="S476" s="27" t="s">
        <v>42</v>
      </c>
      <c r="T476" s="27" t="s">
        <v>158</v>
      </c>
      <c r="U476" s="27">
        <v>9960757012</v>
      </c>
      <c r="V476" s="37" t="s">
        <v>52</v>
      </c>
      <c r="W476" s="40" t="str">
        <f t="shared" si="21"/>
        <v>Amit Sharma</v>
      </c>
      <c r="X476" s="93" t="str">
        <f t="shared" si="22"/>
        <v>Electronics</v>
      </c>
      <c r="Y476" s="94" t="str">
        <f t="shared" si="23"/>
        <v>West</v>
      </c>
    </row>
    <row r="477" spans="1:25" ht="15" thickBot="1" x14ac:dyDescent="0.4">
      <c r="A477" s="90" t="s">
        <v>610</v>
      </c>
      <c r="B477" s="30" t="s">
        <v>87</v>
      </c>
      <c r="C477" s="30" t="s">
        <v>46</v>
      </c>
      <c r="D477" s="31">
        <v>45766</v>
      </c>
      <c r="E477" s="31">
        <v>45767</v>
      </c>
      <c r="F477" s="30" t="s">
        <v>88</v>
      </c>
      <c r="G477" s="30" t="s">
        <v>58</v>
      </c>
      <c r="H477" s="31">
        <v>37987</v>
      </c>
      <c r="I477" s="30" t="s">
        <v>147</v>
      </c>
      <c r="J477" s="30" t="s">
        <v>148</v>
      </c>
      <c r="K477" s="30" t="s">
        <v>39</v>
      </c>
      <c r="L477" s="30" t="s">
        <v>49</v>
      </c>
      <c r="M477" s="95">
        <v>12</v>
      </c>
      <c r="N477" s="30">
        <v>55000</v>
      </c>
      <c r="O477" s="30">
        <v>5</v>
      </c>
      <c r="P477" s="30">
        <v>627000</v>
      </c>
      <c r="Q477" s="30">
        <v>1</v>
      </c>
      <c r="R477" s="90" t="s">
        <v>41</v>
      </c>
      <c r="S477" s="30" t="s">
        <v>80</v>
      </c>
      <c r="T477" s="30" t="s">
        <v>89</v>
      </c>
      <c r="U477" s="30">
        <v>9331268182</v>
      </c>
      <c r="V477" s="38" t="s">
        <v>53</v>
      </c>
      <c r="W477" s="40" t="str">
        <f t="shared" si="21"/>
        <v>Rohit Singh</v>
      </c>
      <c r="X477" s="93" t="str">
        <f t="shared" si="22"/>
        <v>Electronics</v>
      </c>
      <c r="Y477" s="94" t="str">
        <f t="shared" si="23"/>
        <v>East</v>
      </c>
    </row>
    <row r="478" spans="1:25" ht="15" thickBot="1" x14ac:dyDescent="0.4">
      <c r="A478" s="90" t="s">
        <v>612</v>
      </c>
      <c r="B478" s="27" t="s">
        <v>45</v>
      </c>
      <c r="C478" s="27" t="s">
        <v>138</v>
      </c>
      <c r="D478" s="28">
        <v>45678</v>
      </c>
      <c r="E478" s="28">
        <v>45685</v>
      </c>
      <c r="F478" s="27" t="s">
        <v>101</v>
      </c>
      <c r="G478" s="27" t="s">
        <v>26</v>
      </c>
      <c r="H478" s="28">
        <v>37126</v>
      </c>
      <c r="I478" s="27" t="s">
        <v>74</v>
      </c>
      <c r="J478" s="27" t="s">
        <v>75</v>
      </c>
      <c r="K478" s="27" t="s">
        <v>83</v>
      </c>
      <c r="L478" s="27" t="s">
        <v>139</v>
      </c>
      <c r="M478" s="95">
        <v>16</v>
      </c>
      <c r="N478" s="27">
        <v>45</v>
      </c>
      <c r="O478" s="27">
        <v>20</v>
      </c>
      <c r="P478" s="27">
        <v>576</v>
      </c>
      <c r="Q478" s="27">
        <v>2</v>
      </c>
      <c r="R478" s="90" t="s">
        <v>31</v>
      </c>
      <c r="S478" s="27" t="s">
        <v>42</v>
      </c>
      <c r="T478" s="27" t="s">
        <v>51</v>
      </c>
      <c r="U478" s="27">
        <v>9135996862</v>
      </c>
      <c r="V478" s="37" t="s">
        <v>52</v>
      </c>
      <c r="W478" s="40" t="str">
        <f t="shared" si="21"/>
        <v>Pooja Shah</v>
      </c>
      <c r="X478" s="93" t="str">
        <f t="shared" si="22"/>
        <v>Stationery</v>
      </c>
      <c r="Y478" s="94" t="str">
        <f t="shared" si="23"/>
        <v>West</v>
      </c>
    </row>
    <row r="479" spans="1:25" ht="15" thickBot="1" x14ac:dyDescent="0.4">
      <c r="A479" s="90" t="s">
        <v>613</v>
      </c>
      <c r="B479" s="30" t="s">
        <v>23</v>
      </c>
      <c r="C479" s="30" t="s">
        <v>56</v>
      </c>
      <c r="D479" s="31">
        <v>45918</v>
      </c>
      <c r="E479" s="31">
        <v>45927</v>
      </c>
      <c r="F479" s="30" t="s">
        <v>25</v>
      </c>
      <c r="G479" s="30" t="s">
        <v>26</v>
      </c>
      <c r="H479" s="31">
        <v>35818</v>
      </c>
      <c r="I479" s="30" t="s">
        <v>48</v>
      </c>
      <c r="J479" s="30" t="s">
        <v>28</v>
      </c>
      <c r="K479" s="30" t="s">
        <v>39</v>
      </c>
      <c r="L479" s="30" t="s">
        <v>59</v>
      </c>
      <c r="M479" s="95">
        <v>5</v>
      </c>
      <c r="N479" s="30">
        <v>1200</v>
      </c>
      <c r="O479" s="30">
        <v>10</v>
      </c>
      <c r="P479" s="30">
        <v>5400</v>
      </c>
      <c r="Q479" s="30">
        <v>1</v>
      </c>
      <c r="R479" s="90" t="s">
        <v>31</v>
      </c>
      <c r="S479" s="92" t="s">
        <v>684</v>
      </c>
      <c r="T479" s="32" t="s">
        <v>611</v>
      </c>
      <c r="U479" s="30">
        <v>9540813143</v>
      </c>
      <c r="V479" s="36" t="s">
        <v>34</v>
      </c>
      <c r="W479" s="40" t="str">
        <f t="shared" si="21"/>
        <v>Kavya Nair</v>
      </c>
      <c r="X479" s="93" t="str">
        <f t="shared" si="22"/>
        <v>Electronics</v>
      </c>
      <c r="Y479" s="94" t="str">
        <f t="shared" si="23"/>
        <v>South</v>
      </c>
    </row>
    <row r="480" spans="1:25" ht="15" thickBot="1" x14ac:dyDescent="0.4">
      <c r="A480" s="90" t="s">
        <v>614</v>
      </c>
      <c r="B480" s="27" t="s">
        <v>104</v>
      </c>
      <c r="C480" s="27" t="s">
        <v>138</v>
      </c>
      <c r="D480" s="28">
        <v>45949</v>
      </c>
      <c r="E480" s="28">
        <v>45950</v>
      </c>
      <c r="F480" s="27" t="s">
        <v>166</v>
      </c>
      <c r="G480" s="27" t="s">
        <v>26</v>
      </c>
      <c r="H480" s="28">
        <v>38135</v>
      </c>
      <c r="I480" s="27" t="s">
        <v>147</v>
      </c>
      <c r="J480" s="27" t="s">
        <v>148</v>
      </c>
      <c r="K480" s="27" t="s">
        <v>83</v>
      </c>
      <c r="L480" s="27" t="s">
        <v>139</v>
      </c>
      <c r="M480" s="95">
        <v>2</v>
      </c>
      <c r="N480" s="27">
        <v>45</v>
      </c>
      <c r="O480" s="27">
        <v>10</v>
      </c>
      <c r="P480" s="27">
        <v>81</v>
      </c>
      <c r="Q480" s="27">
        <v>4</v>
      </c>
      <c r="R480" s="90" t="s">
        <v>65</v>
      </c>
      <c r="S480" s="27" t="s">
        <v>42</v>
      </c>
      <c r="T480" s="27" t="s">
        <v>108</v>
      </c>
      <c r="U480" s="27">
        <v>9910913552</v>
      </c>
      <c r="V480" s="37" t="s">
        <v>52</v>
      </c>
      <c r="W480" s="40" t="str">
        <f t="shared" si="21"/>
        <v>Anita Gupta</v>
      </c>
      <c r="X480" s="93" t="str">
        <f t="shared" si="22"/>
        <v>Stationery</v>
      </c>
      <c r="Y480" s="94" t="str">
        <f t="shared" si="23"/>
        <v>East</v>
      </c>
    </row>
    <row r="481" spans="1:25" ht="15" thickBot="1" x14ac:dyDescent="0.4">
      <c r="A481" s="90" t="s">
        <v>615</v>
      </c>
      <c r="B481" s="30" t="s">
        <v>87</v>
      </c>
      <c r="C481" s="30" t="s">
        <v>36</v>
      </c>
      <c r="D481" s="31">
        <v>46034</v>
      </c>
      <c r="E481" s="31">
        <v>46040</v>
      </c>
      <c r="F481" s="30" t="s">
        <v>88</v>
      </c>
      <c r="G481" s="30" t="s">
        <v>58</v>
      </c>
      <c r="H481" s="31">
        <v>31112</v>
      </c>
      <c r="I481" s="30" t="s">
        <v>91</v>
      </c>
      <c r="J481" s="30" t="s">
        <v>75</v>
      </c>
      <c r="K481" s="30" t="s">
        <v>39</v>
      </c>
      <c r="L481" s="30" t="s">
        <v>40</v>
      </c>
      <c r="M481" s="95">
        <v>3</v>
      </c>
      <c r="N481" s="30">
        <v>12000</v>
      </c>
      <c r="O481" s="30">
        <v>0</v>
      </c>
      <c r="P481" s="30">
        <v>36000</v>
      </c>
      <c r="Q481" s="30">
        <v>2</v>
      </c>
      <c r="R481" s="90" t="s">
        <v>65</v>
      </c>
      <c r="S481" s="30" t="s">
        <v>96</v>
      </c>
      <c r="T481" s="30" t="s">
        <v>89</v>
      </c>
      <c r="U481" s="30">
        <v>9282751683</v>
      </c>
      <c r="V481" s="38" t="s">
        <v>52</v>
      </c>
      <c r="W481" s="40" t="str">
        <f t="shared" si="21"/>
        <v>Rohit Singh</v>
      </c>
      <c r="X481" s="93" t="str">
        <f t="shared" si="22"/>
        <v>Electronics</v>
      </c>
      <c r="Y481" s="94" t="str">
        <f t="shared" si="23"/>
        <v>West</v>
      </c>
    </row>
    <row r="482" spans="1:25" ht="15" thickBot="1" x14ac:dyDescent="0.4">
      <c r="A482" s="90" t="s">
        <v>616</v>
      </c>
      <c r="B482" s="27" t="s">
        <v>23</v>
      </c>
      <c r="C482" s="27" t="s">
        <v>36</v>
      </c>
      <c r="D482" s="28">
        <v>45683</v>
      </c>
      <c r="E482" s="28">
        <v>45689</v>
      </c>
      <c r="F482" s="27" t="s">
        <v>25</v>
      </c>
      <c r="G482" s="27" t="s">
        <v>26</v>
      </c>
      <c r="H482" s="28">
        <v>31661</v>
      </c>
      <c r="I482" s="27" t="s">
        <v>48</v>
      </c>
      <c r="J482" s="27" t="s">
        <v>28</v>
      </c>
      <c r="K482" s="27" t="s">
        <v>39</v>
      </c>
      <c r="L482" s="27" t="s">
        <v>40</v>
      </c>
      <c r="M482" s="95">
        <v>3</v>
      </c>
      <c r="N482" s="27">
        <v>12000</v>
      </c>
      <c r="O482" s="27">
        <v>20</v>
      </c>
      <c r="P482" s="27">
        <v>28800</v>
      </c>
      <c r="Q482" s="27">
        <v>3</v>
      </c>
      <c r="R482" s="90" t="s">
        <v>65</v>
      </c>
      <c r="S482" s="27" t="s">
        <v>80</v>
      </c>
      <c r="T482" s="27" t="s">
        <v>43</v>
      </c>
      <c r="U482" s="27">
        <v>9939332058</v>
      </c>
      <c r="V482" s="35" t="s">
        <v>34</v>
      </c>
      <c r="W482" s="40" t="str">
        <f t="shared" si="21"/>
        <v>Kavya Nair</v>
      </c>
      <c r="X482" s="93" t="str">
        <f t="shared" si="22"/>
        <v>Electronics</v>
      </c>
      <c r="Y482" s="94" t="str">
        <f t="shared" si="23"/>
        <v>South</v>
      </c>
    </row>
    <row r="483" spans="1:25" ht="15" thickBot="1" x14ac:dyDescent="0.4">
      <c r="A483" s="90" t="s">
        <v>618</v>
      </c>
      <c r="B483" s="30" t="s">
        <v>87</v>
      </c>
      <c r="C483" s="30" t="s">
        <v>105</v>
      </c>
      <c r="D483" s="31">
        <v>46119</v>
      </c>
      <c r="E483" s="31">
        <v>46120</v>
      </c>
      <c r="F483" s="30" t="s">
        <v>88</v>
      </c>
      <c r="G483" s="30" t="s">
        <v>58</v>
      </c>
      <c r="H483" s="31">
        <v>29819</v>
      </c>
      <c r="I483" s="30" t="s">
        <v>147</v>
      </c>
      <c r="J483" s="30" t="s">
        <v>148</v>
      </c>
      <c r="K483" s="30" t="s">
        <v>29</v>
      </c>
      <c r="L483" s="30" t="s">
        <v>107</v>
      </c>
      <c r="M483" s="95">
        <v>9</v>
      </c>
      <c r="N483" s="30">
        <v>8500</v>
      </c>
      <c r="O483" s="30">
        <v>15</v>
      </c>
      <c r="P483" s="30">
        <v>65025</v>
      </c>
      <c r="Q483" s="30">
        <v>5</v>
      </c>
      <c r="R483" s="90" t="s">
        <v>31</v>
      </c>
      <c r="S483" s="30" t="s">
        <v>42</v>
      </c>
      <c r="T483" s="30" t="s">
        <v>89</v>
      </c>
      <c r="U483" s="30">
        <v>9780626473</v>
      </c>
      <c r="V483" s="38" t="s">
        <v>52</v>
      </c>
      <c r="W483" s="40" t="str">
        <f t="shared" si="21"/>
        <v>Rohit Singh</v>
      </c>
      <c r="X483" s="93" t="str">
        <f t="shared" si="22"/>
        <v>Home Appliances</v>
      </c>
      <c r="Y483" s="94" t="str">
        <f t="shared" si="23"/>
        <v>East</v>
      </c>
    </row>
    <row r="484" spans="1:25" ht="15" thickBot="1" x14ac:dyDescent="0.4">
      <c r="A484" s="90" t="s">
        <v>619</v>
      </c>
      <c r="B484" s="27" t="s">
        <v>55</v>
      </c>
      <c r="C484" s="27" t="s">
        <v>112</v>
      </c>
      <c r="D484" s="28">
        <v>45834</v>
      </c>
      <c r="E484" s="28">
        <v>45844</v>
      </c>
      <c r="F484" s="27" t="s">
        <v>617</v>
      </c>
      <c r="G484" s="27" t="s">
        <v>58</v>
      </c>
      <c r="H484" s="28">
        <v>33717</v>
      </c>
      <c r="I484" s="27" t="s">
        <v>147</v>
      </c>
      <c r="J484" s="27" t="s">
        <v>148</v>
      </c>
      <c r="K484" s="27" t="s">
        <v>39</v>
      </c>
      <c r="L484" s="27" t="s">
        <v>114</v>
      </c>
      <c r="M484" s="95">
        <v>17</v>
      </c>
      <c r="N484" s="27">
        <v>700</v>
      </c>
      <c r="O484" s="27">
        <v>0</v>
      </c>
      <c r="P484" s="27">
        <v>11900</v>
      </c>
      <c r="Q484" s="27">
        <v>2</v>
      </c>
      <c r="R484" s="90" t="s">
        <v>31</v>
      </c>
      <c r="S484" s="27" t="s">
        <v>50</v>
      </c>
      <c r="T484" s="27" t="s">
        <v>61</v>
      </c>
      <c r="U484" s="27">
        <v>9347298020</v>
      </c>
      <c r="V484" s="37" t="s">
        <v>53</v>
      </c>
      <c r="W484" s="40" t="str">
        <f t="shared" si="21"/>
        <v>Mohit Verma</v>
      </c>
      <c r="X484" s="93" t="str">
        <f t="shared" si="22"/>
        <v>Electronics</v>
      </c>
      <c r="Y484" s="94" t="str">
        <f t="shared" si="23"/>
        <v>East</v>
      </c>
    </row>
    <row r="485" spans="1:25" ht="15" thickBot="1" x14ac:dyDescent="0.4">
      <c r="A485" s="90" t="s">
        <v>620</v>
      </c>
      <c r="B485" s="30" t="s">
        <v>23</v>
      </c>
      <c r="C485" s="30" t="s">
        <v>112</v>
      </c>
      <c r="D485" s="31">
        <v>45846</v>
      </c>
      <c r="E485" s="31">
        <v>45856</v>
      </c>
      <c r="F485" s="30" t="s">
        <v>25</v>
      </c>
      <c r="G485" s="30" t="s">
        <v>26</v>
      </c>
      <c r="H485" s="31">
        <v>33422</v>
      </c>
      <c r="I485" s="30" t="s">
        <v>27</v>
      </c>
      <c r="J485" s="30" t="s">
        <v>28</v>
      </c>
      <c r="K485" s="30" t="s">
        <v>39</v>
      </c>
      <c r="L485" s="30" t="s">
        <v>114</v>
      </c>
      <c r="M485" s="95">
        <v>20</v>
      </c>
      <c r="N485" s="30">
        <v>700</v>
      </c>
      <c r="O485" s="30">
        <v>5</v>
      </c>
      <c r="P485" s="30">
        <v>13300</v>
      </c>
      <c r="Q485" s="30">
        <v>2</v>
      </c>
      <c r="R485" s="90" t="s">
        <v>65</v>
      </c>
      <c r="S485" s="30" t="s">
        <v>32</v>
      </c>
      <c r="T485" s="30" t="s">
        <v>43</v>
      </c>
      <c r="U485" s="30">
        <v>9345328522</v>
      </c>
      <c r="V485" s="36" t="s">
        <v>34</v>
      </c>
      <c r="W485" s="40" t="str">
        <f t="shared" si="21"/>
        <v>Kavya Nair</v>
      </c>
      <c r="X485" s="93" t="str">
        <f t="shared" si="22"/>
        <v>Electronics</v>
      </c>
      <c r="Y485" s="94" t="str">
        <f t="shared" si="23"/>
        <v>South</v>
      </c>
    </row>
    <row r="486" spans="1:25" ht="15" thickBot="1" x14ac:dyDescent="0.4">
      <c r="A486" s="90" t="s">
        <v>621</v>
      </c>
      <c r="B486" s="27" t="s">
        <v>156</v>
      </c>
      <c r="C486" s="27" t="s">
        <v>56</v>
      </c>
      <c r="D486" s="28">
        <v>46092</v>
      </c>
      <c r="E486" s="28">
        <v>46102</v>
      </c>
      <c r="F486" s="27" t="s">
        <v>106</v>
      </c>
      <c r="G486" s="27" t="s">
        <v>58</v>
      </c>
      <c r="H486" s="28">
        <v>28526</v>
      </c>
      <c r="I486" s="27" t="s">
        <v>91</v>
      </c>
      <c r="J486" s="27" t="s">
        <v>75</v>
      </c>
      <c r="K486" s="27" t="s">
        <v>39</v>
      </c>
      <c r="L486" s="27" t="s">
        <v>59</v>
      </c>
      <c r="M486" s="95">
        <v>13</v>
      </c>
      <c r="N486" s="27">
        <v>1200</v>
      </c>
      <c r="O486" s="27">
        <v>20</v>
      </c>
      <c r="P486" s="27">
        <v>12480</v>
      </c>
      <c r="Q486" s="27">
        <v>5</v>
      </c>
      <c r="R486" s="90" t="s">
        <v>60</v>
      </c>
      <c r="S486" s="27" t="s">
        <v>80</v>
      </c>
      <c r="T486" s="27" t="s">
        <v>158</v>
      </c>
      <c r="U486" s="27">
        <v>9160310438</v>
      </c>
      <c r="V486" s="35" t="s">
        <v>34</v>
      </c>
      <c r="W486" s="40" t="str">
        <f t="shared" si="21"/>
        <v>Amit Sharma</v>
      </c>
      <c r="X486" s="93" t="str">
        <f t="shared" si="22"/>
        <v>Electronics</v>
      </c>
      <c r="Y486" s="94" t="str">
        <f t="shared" si="23"/>
        <v>West</v>
      </c>
    </row>
    <row r="487" spans="1:25" ht="15" thickBot="1" x14ac:dyDescent="0.4">
      <c r="A487" s="90" t="s">
        <v>622</v>
      </c>
      <c r="B487" s="30" t="s">
        <v>72</v>
      </c>
      <c r="C487" s="30" t="s">
        <v>46</v>
      </c>
      <c r="D487" s="31">
        <v>46104</v>
      </c>
      <c r="E487" s="31">
        <v>46110</v>
      </c>
      <c r="F487" s="30" t="s">
        <v>73</v>
      </c>
      <c r="G487" s="30" t="s">
        <v>26</v>
      </c>
      <c r="H487" s="31">
        <v>36359</v>
      </c>
      <c r="I487" s="30" t="s">
        <v>121</v>
      </c>
      <c r="J487" s="30" t="s">
        <v>38</v>
      </c>
      <c r="K487" s="30" t="s">
        <v>39</v>
      </c>
      <c r="L487" s="30" t="s">
        <v>49</v>
      </c>
      <c r="M487" s="95">
        <v>20</v>
      </c>
      <c r="N487" s="30">
        <v>55000</v>
      </c>
      <c r="O487" s="30">
        <v>10</v>
      </c>
      <c r="P487" s="30">
        <v>990000</v>
      </c>
      <c r="Q487" s="30">
        <v>1</v>
      </c>
      <c r="R487" s="90" t="s">
        <v>65</v>
      </c>
      <c r="S487" s="30" t="s">
        <v>32</v>
      </c>
      <c r="T487" s="30" t="s">
        <v>93</v>
      </c>
      <c r="U487" s="30">
        <v>9343776153</v>
      </c>
      <c r="V487" s="38" t="s">
        <v>52</v>
      </c>
      <c r="W487" s="40" t="str">
        <f t="shared" si="21"/>
        <v>Priya Patel</v>
      </c>
      <c r="X487" s="93" t="str">
        <f t="shared" si="22"/>
        <v>Electronics</v>
      </c>
      <c r="Y487" s="94" t="str">
        <f t="shared" si="23"/>
        <v>North</v>
      </c>
    </row>
    <row r="488" spans="1:25" ht="15" thickBot="1" x14ac:dyDescent="0.4">
      <c r="A488" s="90" t="s">
        <v>624</v>
      </c>
      <c r="B488" s="27" t="s">
        <v>134</v>
      </c>
      <c r="C488" s="27" t="s">
        <v>56</v>
      </c>
      <c r="D488" s="28">
        <v>45961</v>
      </c>
      <c r="E488" s="28">
        <v>45966</v>
      </c>
      <c r="F488" s="27" t="s">
        <v>135</v>
      </c>
      <c r="G488" s="27" t="s">
        <v>26</v>
      </c>
      <c r="H488" s="28">
        <v>32236</v>
      </c>
      <c r="I488" s="27" t="s">
        <v>147</v>
      </c>
      <c r="J488" s="27" t="s">
        <v>148</v>
      </c>
      <c r="K488" s="27" t="s">
        <v>39</v>
      </c>
      <c r="L488" s="27" t="s">
        <v>59</v>
      </c>
      <c r="M488" s="95">
        <v>8</v>
      </c>
      <c r="N488" s="27">
        <v>1200</v>
      </c>
      <c r="O488" s="27">
        <v>0</v>
      </c>
      <c r="P488" s="27">
        <v>9600</v>
      </c>
      <c r="Q488" s="27">
        <v>2</v>
      </c>
      <c r="R488" s="90" t="s">
        <v>41</v>
      </c>
      <c r="S488" s="27" t="s">
        <v>96</v>
      </c>
      <c r="T488" s="27" t="s">
        <v>136</v>
      </c>
      <c r="U488" s="27">
        <v>9458599727</v>
      </c>
      <c r="V488" s="35" t="s">
        <v>34</v>
      </c>
      <c r="W488" s="40" t="str">
        <f t="shared" si="21"/>
        <v>Sneha Joshi</v>
      </c>
      <c r="X488" s="93" t="str">
        <f t="shared" si="22"/>
        <v>Electronics</v>
      </c>
      <c r="Y488" s="94" t="str">
        <f t="shared" si="23"/>
        <v>East</v>
      </c>
    </row>
    <row r="489" spans="1:25" ht="15" thickBot="1" x14ac:dyDescent="0.4">
      <c r="A489" s="90" t="s">
        <v>625</v>
      </c>
      <c r="B489" s="30" t="s">
        <v>45</v>
      </c>
      <c r="C489" s="30" t="s">
        <v>125</v>
      </c>
      <c r="D489" s="31">
        <v>46147</v>
      </c>
      <c r="E489" s="31">
        <v>46151</v>
      </c>
      <c r="F489" s="30" t="s">
        <v>101</v>
      </c>
      <c r="G489" s="30" t="s">
        <v>26</v>
      </c>
      <c r="H489" s="31">
        <v>28805</v>
      </c>
      <c r="I489" s="30" t="s">
        <v>147</v>
      </c>
      <c r="J489" s="30" t="s">
        <v>148</v>
      </c>
      <c r="K489" s="30" t="s">
        <v>83</v>
      </c>
      <c r="L489" s="30" t="s">
        <v>127</v>
      </c>
      <c r="M489" s="95">
        <v>18</v>
      </c>
      <c r="N489" s="30">
        <v>20</v>
      </c>
      <c r="O489" s="30">
        <v>10</v>
      </c>
      <c r="P489" s="30">
        <v>324</v>
      </c>
      <c r="Q489" s="30">
        <v>5</v>
      </c>
      <c r="R489" s="90" t="s">
        <v>60</v>
      </c>
      <c r="S489" s="92" t="s">
        <v>684</v>
      </c>
      <c r="T489" s="32" t="s">
        <v>623</v>
      </c>
      <c r="U489" s="30">
        <v>9218660140</v>
      </c>
      <c r="V489" s="38" t="s">
        <v>52</v>
      </c>
      <c r="W489" s="40" t="str">
        <f t="shared" si="21"/>
        <v>Pooja Shah</v>
      </c>
      <c r="X489" s="93" t="str">
        <f t="shared" si="22"/>
        <v>Stationery</v>
      </c>
      <c r="Y489" s="94" t="str">
        <f t="shared" si="23"/>
        <v>East</v>
      </c>
    </row>
    <row r="490" spans="1:25" ht="15" thickBot="1" x14ac:dyDescent="0.4">
      <c r="A490" s="90" t="s">
        <v>626</v>
      </c>
      <c r="B490" s="27" t="s">
        <v>104</v>
      </c>
      <c r="C490" s="27" t="s">
        <v>36</v>
      </c>
      <c r="D490" s="28">
        <v>45711</v>
      </c>
      <c r="E490" s="28">
        <v>45723</v>
      </c>
      <c r="F490" s="27" t="s">
        <v>166</v>
      </c>
      <c r="G490" s="27" t="s">
        <v>26</v>
      </c>
      <c r="H490" s="28">
        <v>34426</v>
      </c>
      <c r="I490" s="27" t="s">
        <v>79</v>
      </c>
      <c r="J490" s="27" t="s">
        <v>75</v>
      </c>
      <c r="K490" s="27" t="s">
        <v>39</v>
      </c>
      <c r="L490" s="27" t="s">
        <v>40</v>
      </c>
      <c r="M490" s="95">
        <v>11</v>
      </c>
      <c r="N490" s="27">
        <v>12000</v>
      </c>
      <c r="O490" s="27">
        <v>10</v>
      </c>
      <c r="P490" s="27">
        <v>118800</v>
      </c>
      <c r="Q490" s="27">
        <v>1</v>
      </c>
      <c r="R490" s="90" t="s">
        <v>60</v>
      </c>
      <c r="S490" s="27" t="s">
        <v>42</v>
      </c>
      <c r="T490" s="27" t="s">
        <v>108</v>
      </c>
      <c r="U490" s="27">
        <v>9341979199</v>
      </c>
      <c r="V490" s="37" t="s">
        <v>53</v>
      </c>
      <c r="W490" s="40" t="str">
        <f t="shared" si="21"/>
        <v>Anita Gupta</v>
      </c>
      <c r="X490" s="93" t="str">
        <f t="shared" si="22"/>
        <v>Electronics</v>
      </c>
      <c r="Y490" s="94" t="str">
        <f t="shared" si="23"/>
        <v>West</v>
      </c>
    </row>
    <row r="491" spans="1:25" ht="15" thickBot="1" x14ac:dyDescent="0.4">
      <c r="A491" s="90" t="s">
        <v>627</v>
      </c>
      <c r="B491" s="30" t="s">
        <v>156</v>
      </c>
      <c r="C491" s="30" t="s">
        <v>105</v>
      </c>
      <c r="D491" s="31">
        <v>45672</v>
      </c>
      <c r="E491" s="31">
        <v>45674</v>
      </c>
      <c r="F491" s="30" t="s">
        <v>106</v>
      </c>
      <c r="G491" s="30" t="s">
        <v>58</v>
      </c>
      <c r="H491" s="31">
        <v>34098</v>
      </c>
      <c r="I491" s="30" t="s">
        <v>27</v>
      </c>
      <c r="J491" s="30" t="s">
        <v>28</v>
      </c>
      <c r="K491" s="30" t="s">
        <v>29</v>
      </c>
      <c r="L491" s="30" t="s">
        <v>107</v>
      </c>
      <c r="M491" s="95">
        <v>2</v>
      </c>
      <c r="N491" s="30">
        <v>8500</v>
      </c>
      <c r="O491" s="30">
        <v>5</v>
      </c>
      <c r="P491" s="30">
        <v>16150</v>
      </c>
      <c r="Q491" s="30">
        <v>1</v>
      </c>
      <c r="R491" s="90" t="s">
        <v>60</v>
      </c>
      <c r="S491" s="30" t="s">
        <v>50</v>
      </c>
      <c r="T491" s="30" t="s">
        <v>158</v>
      </c>
      <c r="U491" s="30">
        <v>9823080381</v>
      </c>
      <c r="V491" s="36" t="s">
        <v>34</v>
      </c>
      <c r="W491" s="40" t="str">
        <f t="shared" si="21"/>
        <v>Amit Sharma</v>
      </c>
      <c r="X491" s="93" t="str">
        <f t="shared" si="22"/>
        <v>Home Appliances</v>
      </c>
      <c r="Y491" s="94" t="str">
        <f t="shared" si="23"/>
        <v>South</v>
      </c>
    </row>
    <row r="492" spans="1:25" ht="15" thickBot="1" x14ac:dyDescent="0.4">
      <c r="A492" s="90" t="s">
        <v>628</v>
      </c>
      <c r="B492" s="27" t="s">
        <v>72</v>
      </c>
      <c r="C492" s="27" t="s">
        <v>24</v>
      </c>
      <c r="D492" s="28">
        <v>45746</v>
      </c>
      <c r="E492" s="28">
        <v>45755</v>
      </c>
      <c r="F492" s="27" t="s">
        <v>73</v>
      </c>
      <c r="G492" s="27" t="s">
        <v>26</v>
      </c>
      <c r="H492" s="28">
        <v>34526</v>
      </c>
      <c r="I492" s="27" t="s">
        <v>79</v>
      </c>
      <c r="J492" s="27" t="s">
        <v>75</v>
      </c>
      <c r="K492" s="27" t="s">
        <v>29</v>
      </c>
      <c r="L492" s="27" t="s">
        <v>30</v>
      </c>
      <c r="M492" s="95">
        <v>7</v>
      </c>
      <c r="N492" s="27">
        <v>2200</v>
      </c>
      <c r="O492" s="27">
        <v>0</v>
      </c>
      <c r="P492" s="27">
        <v>15400</v>
      </c>
      <c r="Q492" s="27">
        <v>5</v>
      </c>
      <c r="R492" s="90" t="s">
        <v>41</v>
      </c>
      <c r="S492" s="27" t="s">
        <v>32</v>
      </c>
      <c r="T492" s="27" t="s">
        <v>93</v>
      </c>
      <c r="U492" s="27">
        <v>9981183477</v>
      </c>
      <c r="V492" s="37" t="s">
        <v>52</v>
      </c>
      <c r="W492" s="40" t="str">
        <f t="shared" si="21"/>
        <v>Priya Patel</v>
      </c>
      <c r="X492" s="93" t="str">
        <f t="shared" si="22"/>
        <v>Home Appliances</v>
      </c>
      <c r="Y492" s="94" t="str">
        <f t="shared" si="23"/>
        <v>West</v>
      </c>
    </row>
    <row r="493" spans="1:25" ht="15" thickBot="1" x14ac:dyDescent="0.4">
      <c r="A493" s="90" t="s">
        <v>629</v>
      </c>
      <c r="B493" s="30" t="s">
        <v>63</v>
      </c>
      <c r="C493" s="30" t="s">
        <v>105</v>
      </c>
      <c r="D493" s="31">
        <v>46136</v>
      </c>
      <c r="E493" s="31">
        <v>46144</v>
      </c>
      <c r="F493" s="30" t="s">
        <v>110</v>
      </c>
      <c r="G493" s="30" t="s">
        <v>58</v>
      </c>
      <c r="H493" s="31">
        <v>30304</v>
      </c>
      <c r="I493" s="30" t="s">
        <v>37</v>
      </c>
      <c r="J493" s="30" t="s">
        <v>38</v>
      </c>
      <c r="K493" s="30" t="s">
        <v>29</v>
      </c>
      <c r="L493" s="30" t="s">
        <v>107</v>
      </c>
      <c r="M493" s="95">
        <v>20</v>
      </c>
      <c r="N493" s="30">
        <v>8500</v>
      </c>
      <c r="O493" s="30">
        <v>0</v>
      </c>
      <c r="P493" s="30">
        <v>170000</v>
      </c>
      <c r="Q493" s="30">
        <v>3</v>
      </c>
      <c r="R493" s="90" t="s">
        <v>41</v>
      </c>
      <c r="S493" s="30" t="s">
        <v>42</v>
      </c>
      <c r="T493" s="30" t="s">
        <v>66</v>
      </c>
      <c r="U493" s="30">
        <v>9281596011</v>
      </c>
      <c r="V493" s="36" t="s">
        <v>34</v>
      </c>
      <c r="W493" s="40" t="str">
        <f t="shared" si="21"/>
        <v>Arjun Rao</v>
      </c>
      <c r="X493" s="93" t="str">
        <f t="shared" si="22"/>
        <v>Home Appliances</v>
      </c>
      <c r="Y493" s="94" t="str">
        <f t="shared" si="23"/>
        <v>North</v>
      </c>
    </row>
    <row r="494" spans="1:25" ht="15" thickBot="1" x14ac:dyDescent="0.4">
      <c r="A494" s="90" t="s">
        <v>630</v>
      </c>
      <c r="B494" s="27" t="s">
        <v>87</v>
      </c>
      <c r="C494" s="27" t="s">
        <v>56</v>
      </c>
      <c r="D494" s="28">
        <v>45858</v>
      </c>
      <c r="E494" s="28">
        <v>45867</v>
      </c>
      <c r="F494" s="27" t="s">
        <v>88</v>
      </c>
      <c r="G494" s="27" t="s">
        <v>58</v>
      </c>
      <c r="H494" s="28">
        <v>37197</v>
      </c>
      <c r="I494" s="27" t="s">
        <v>27</v>
      </c>
      <c r="J494" s="27" t="s">
        <v>28</v>
      </c>
      <c r="K494" s="27" t="s">
        <v>39</v>
      </c>
      <c r="L494" s="27" t="s">
        <v>59</v>
      </c>
      <c r="M494" s="95">
        <v>11</v>
      </c>
      <c r="N494" s="27">
        <v>1200</v>
      </c>
      <c r="O494" s="27">
        <v>5</v>
      </c>
      <c r="P494" s="27">
        <v>12540</v>
      </c>
      <c r="Q494" s="27">
        <v>2</v>
      </c>
      <c r="R494" s="90" t="s">
        <v>31</v>
      </c>
      <c r="S494" s="27" t="s">
        <v>32</v>
      </c>
      <c r="T494" s="27" t="s">
        <v>89</v>
      </c>
      <c r="U494" s="27">
        <v>9211734022</v>
      </c>
      <c r="V494" s="37" t="s">
        <v>52</v>
      </c>
      <c r="W494" s="40" t="str">
        <f t="shared" si="21"/>
        <v>Rohit Singh</v>
      </c>
      <c r="X494" s="93" t="str">
        <f t="shared" si="22"/>
        <v>Electronics</v>
      </c>
      <c r="Y494" s="94" t="str">
        <f t="shared" si="23"/>
        <v>South</v>
      </c>
    </row>
    <row r="495" spans="1:25" ht="15" thickBot="1" x14ac:dyDescent="0.4">
      <c r="A495" s="90" t="s">
        <v>631</v>
      </c>
      <c r="B495" s="30" t="s">
        <v>63</v>
      </c>
      <c r="C495" s="30" t="s">
        <v>112</v>
      </c>
      <c r="D495" s="31">
        <v>45867</v>
      </c>
      <c r="E495" s="31">
        <v>45870</v>
      </c>
      <c r="F495" s="30" t="s">
        <v>110</v>
      </c>
      <c r="G495" s="30" t="s">
        <v>58</v>
      </c>
      <c r="H495" s="31">
        <v>37182</v>
      </c>
      <c r="I495" s="30" t="s">
        <v>91</v>
      </c>
      <c r="J495" s="30" t="s">
        <v>75</v>
      </c>
      <c r="K495" s="30" t="s">
        <v>39</v>
      </c>
      <c r="L495" s="30" t="s">
        <v>114</v>
      </c>
      <c r="M495" s="95">
        <v>14</v>
      </c>
      <c r="N495" s="30">
        <v>700</v>
      </c>
      <c r="O495" s="30">
        <v>0</v>
      </c>
      <c r="P495" s="30">
        <v>9800</v>
      </c>
      <c r="Q495" s="30">
        <v>2</v>
      </c>
      <c r="R495" s="90" t="s">
        <v>60</v>
      </c>
      <c r="S495" s="30" t="s">
        <v>96</v>
      </c>
      <c r="T495" s="30" t="s">
        <v>66</v>
      </c>
      <c r="U495" s="30">
        <v>9447151666</v>
      </c>
      <c r="V495" s="38" t="s">
        <v>53</v>
      </c>
      <c r="W495" s="40" t="str">
        <f t="shared" si="21"/>
        <v>Arjun Rao</v>
      </c>
      <c r="X495" s="93" t="str">
        <f t="shared" si="22"/>
        <v>Electronics</v>
      </c>
      <c r="Y495" s="94" t="str">
        <f t="shared" si="23"/>
        <v>West</v>
      </c>
    </row>
    <row r="496" spans="1:25" ht="15" thickBot="1" x14ac:dyDescent="0.4">
      <c r="A496" s="90" t="s">
        <v>632</v>
      </c>
      <c r="B496" s="27" t="s">
        <v>55</v>
      </c>
      <c r="C496" s="27" t="s">
        <v>56</v>
      </c>
      <c r="D496" s="28">
        <v>45951</v>
      </c>
      <c r="E496" s="28">
        <v>45962</v>
      </c>
      <c r="F496" s="27" t="s">
        <v>57</v>
      </c>
      <c r="G496" s="27" t="s">
        <v>58</v>
      </c>
      <c r="H496" s="28">
        <v>36881</v>
      </c>
      <c r="I496" s="27" t="s">
        <v>79</v>
      </c>
      <c r="J496" s="27" t="s">
        <v>75</v>
      </c>
      <c r="K496" s="27" t="s">
        <v>39</v>
      </c>
      <c r="L496" s="27" t="s">
        <v>59</v>
      </c>
      <c r="M496" s="95">
        <v>16</v>
      </c>
      <c r="N496" s="27">
        <v>1200</v>
      </c>
      <c r="O496" s="27">
        <v>15</v>
      </c>
      <c r="P496" s="27">
        <v>16320</v>
      </c>
      <c r="Q496" s="27">
        <v>4</v>
      </c>
      <c r="R496" s="90" t="s">
        <v>31</v>
      </c>
      <c r="S496" s="27" t="s">
        <v>96</v>
      </c>
      <c r="T496" s="27" t="s">
        <v>61</v>
      </c>
      <c r="U496" s="27">
        <v>9345342793</v>
      </c>
      <c r="V496" s="37" t="s">
        <v>52</v>
      </c>
      <c r="W496" s="40" t="str">
        <f t="shared" si="21"/>
        <v>Mohit Verma</v>
      </c>
      <c r="X496" s="93" t="str">
        <f t="shared" si="22"/>
        <v>Electronics</v>
      </c>
      <c r="Y496" s="94" t="str">
        <f t="shared" si="23"/>
        <v>West</v>
      </c>
    </row>
    <row r="497" spans="1:25" ht="15" thickBot="1" x14ac:dyDescent="0.4">
      <c r="A497" s="90" t="s">
        <v>633</v>
      </c>
      <c r="B497" s="30" t="s">
        <v>104</v>
      </c>
      <c r="C497" s="30" t="s">
        <v>24</v>
      </c>
      <c r="D497" s="31">
        <v>46098</v>
      </c>
      <c r="E497" s="31">
        <v>46110</v>
      </c>
      <c r="F497" s="30" t="s">
        <v>166</v>
      </c>
      <c r="G497" s="30" t="s">
        <v>26</v>
      </c>
      <c r="H497" s="31">
        <v>30367</v>
      </c>
      <c r="I497" s="30" t="s">
        <v>121</v>
      </c>
      <c r="J497" s="30" t="s">
        <v>38</v>
      </c>
      <c r="K497" s="30" t="s">
        <v>29</v>
      </c>
      <c r="L497" s="30" t="s">
        <v>30</v>
      </c>
      <c r="M497" s="95">
        <v>20</v>
      </c>
      <c r="N497" s="30">
        <v>2200</v>
      </c>
      <c r="O497" s="30">
        <v>0</v>
      </c>
      <c r="P497" s="30">
        <v>44000</v>
      </c>
      <c r="Q497" s="30">
        <v>5</v>
      </c>
      <c r="R497" s="90" t="s">
        <v>31</v>
      </c>
      <c r="S497" s="30" t="s">
        <v>32</v>
      </c>
      <c r="T497" s="30" t="s">
        <v>108</v>
      </c>
      <c r="U497" s="30">
        <v>9329668173</v>
      </c>
      <c r="V497" s="38" t="s">
        <v>53</v>
      </c>
      <c r="W497" s="40" t="str">
        <f t="shared" si="21"/>
        <v>Anita Gupta</v>
      </c>
      <c r="X497" s="93" t="str">
        <f t="shared" si="22"/>
        <v>Home Appliances</v>
      </c>
      <c r="Y497" s="94" t="str">
        <f t="shared" si="23"/>
        <v>North</v>
      </c>
    </row>
    <row r="498" spans="1:25" ht="15" thickBot="1" x14ac:dyDescent="0.4">
      <c r="A498" s="90" t="s">
        <v>634</v>
      </c>
      <c r="B498" s="27" t="s">
        <v>63</v>
      </c>
      <c r="C498" s="27" t="s">
        <v>36</v>
      </c>
      <c r="D498" s="28">
        <v>45711</v>
      </c>
      <c r="E498" s="28">
        <v>45723</v>
      </c>
      <c r="F498" s="27" t="s">
        <v>110</v>
      </c>
      <c r="G498" s="27" t="s">
        <v>58</v>
      </c>
      <c r="H498" s="28">
        <v>32307</v>
      </c>
      <c r="I498" s="27" t="s">
        <v>121</v>
      </c>
      <c r="J498" s="27" t="s">
        <v>38</v>
      </c>
      <c r="K498" s="27" t="s">
        <v>39</v>
      </c>
      <c r="L498" s="27" t="s">
        <v>40</v>
      </c>
      <c r="M498" s="95">
        <v>12</v>
      </c>
      <c r="N498" s="27">
        <v>12000</v>
      </c>
      <c r="O498" s="27">
        <v>15</v>
      </c>
      <c r="P498" s="27">
        <v>122400</v>
      </c>
      <c r="Q498" s="27">
        <v>5</v>
      </c>
      <c r="R498" s="90" t="s">
        <v>31</v>
      </c>
      <c r="S498" s="27" t="s">
        <v>96</v>
      </c>
      <c r="T498" s="27" t="s">
        <v>66</v>
      </c>
      <c r="U498" s="27">
        <v>9294740227</v>
      </c>
      <c r="V498" s="35" t="s">
        <v>34</v>
      </c>
      <c r="W498" s="40" t="str">
        <f t="shared" si="21"/>
        <v>Arjun Rao</v>
      </c>
      <c r="X498" s="93" t="str">
        <f t="shared" si="22"/>
        <v>Electronics</v>
      </c>
      <c r="Y498" s="94" t="str">
        <f t="shared" si="23"/>
        <v>North</v>
      </c>
    </row>
    <row r="499" spans="1:25" ht="15" thickBot="1" x14ac:dyDescent="0.4">
      <c r="A499" s="90" t="s">
        <v>636</v>
      </c>
      <c r="B499" s="30" t="s">
        <v>124</v>
      </c>
      <c r="C499" s="30" t="s">
        <v>56</v>
      </c>
      <c r="D499" s="31">
        <v>46002</v>
      </c>
      <c r="E499" s="31">
        <v>46011</v>
      </c>
      <c r="F499" s="30" t="s">
        <v>126</v>
      </c>
      <c r="G499" s="30" t="s">
        <v>58</v>
      </c>
      <c r="H499" s="31">
        <v>33807</v>
      </c>
      <c r="I499" s="30" t="s">
        <v>37</v>
      </c>
      <c r="J499" s="30" t="s">
        <v>38</v>
      </c>
      <c r="K499" s="30" t="s">
        <v>39</v>
      </c>
      <c r="L499" s="30" t="s">
        <v>59</v>
      </c>
      <c r="M499" s="95">
        <v>3</v>
      </c>
      <c r="N499" s="30">
        <v>1200</v>
      </c>
      <c r="O499" s="30">
        <v>20</v>
      </c>
      <c r="P499" s="30">
        <v>2880</v>
      </c>
      <c r="Q499" s="30">
        <v>2</v>
      </c>
      <c r="R499" s="90" t="s">
        <v>41</v>
      </c>
      <c r="S499" s="30" t="s">
        <v>80</v>
      </c>
      <c r="T499" s="30" t="s">
        <v>298</v>
      </c>
      <c r="U499" s="30">
        <v>9549426303</v>
      </c>
      <c r="V499" s="38" t="s">
        <v>52</v>
      </c>
      <c r="W499" s="40" t="str">
        <f t="shared" si="21"/>
        <v>Vikas Mehta</v>
      </c>
      <c r="X499" s="93" t="str">
        <f t="shared" si="22"/>
        <v>Electronics</v>
      </c>
      <c r="Y499" s="94" t="str">
        <f t="shared" si="23"/>
        <v>North</v>
      </c>
    </row>
    <row r="500" spans="1:25" ht="15" thickBot="1" x14ac:dyDescent="0.4">
      <c r="A500" s="91"/>
      <c r="B500" s="27" t="s">
        <v>72</v>
      </c>
      <c r="C500" s="27" t="s">
        <v>46</v>
      </c>
      <c r="D500" s="28">
        <v>45842</v>
      </c>
      <c r="E500" s="28">
        <v>45843</v>
      </c>
      <c r="F500" s="27" t="s">
        <v>73</v>
      </c>
      <c r="G500" s="27" t="s">
        <v>26</v>
      </c>
      <c r="H500" s="28">
        <v>29079</v>
      </c>
      <c r="I500" s="27" t="s">
        <v>74</v>
      </c>
      <c r="J500" s="27" t="s">
        <v>75</v>
      </c>
      <c r="K500" s="27" t="s">
        <v>39</v>
      </c>
      <c r="L500" s="27" t="s">
        <v>635</v>
      </c>
      <c r="M500" s="95">
        <v>6</v>
      </c>
      <c r="N500" s="27">
        <v>55000</v>
      </c>
      <c r="O500" s="27">
        <v>20</v>
      </c>
      <c r="P500" s="27">
        <v>264000</v>
      </c>
      <c r="Q500" s="27">
        <v>3</v>
      </c>
      <c r="R500" s="90" t="s">
        <v>31</v>
      </c>
      <c r="S500" s="27" t="s">
        <v>96</v>
      </c>
      <c r="T500" s="27" t="s">
        <v>93</v>
      </c>
      <c r="U500" s="27">
        <v>9374249303</v>
      </c>
      <c r="V500" s="35" t="s">
        <v>34</v>
      </c>
      <c r="W500" s="40" t="str">
        <f t="shared" si="21"/>
        <v>Priya Patel</v>
      </c>
      <c r="X500" s="93" t="str">
        <f t="shared" si="22"/>
        <v>Electronics</v>
      </c>
      <c r="Y500" s="94" t="str">
        <f t="shared" si="23"/>
        <v>West</v>
      </c>
    </row>
    <row r="501" spans="1:25" ht="15" thickBot="1" x14ac:dyDescent="0.4">
      <c r="A501" s="91"/>
      <c r="B501" s="33" t="s">
        <v>72</v>
      </c>
      <c r="C501" s="33" t="s">
        <v>68</v>
      </c>
      <c r="D501" s="34">
        <v>45916</v>
      </c>
      <c r="E501" s="34">
        <v>45923</v>
      </c>
      <c r="F501" s="33" t="s">
        <v>73</v>
      </c>
      <c r="G501" s="33" t="s">
        <v>26</v>
      </c>
      <c r="H501" s="34">
        <v>28088</v>
      </c>
      <c r="I501" s="33" t="s">
        <v>48</v>
      </c>
      <c r="J501" s="33" t="s">
        <v>28</v>
      </c>
      <c r="K501" s="33" t="s">
        <v>29</v>
      </c>
      <c r="L501" s="33" t="s">
        <v>70</v>
      </c>
      <c r="M501" s="96">
        <v>20</v>
      </c>
      <c r="N501" s="33">
        <v>3500</v>
      </c>
      <c r="O501" s="33">
        <v>0</v>
      </c>
      <c r="P501" s="33">
        <v>70000</v>
      </c>
      <c r="Q501" s="33">
        <v>1</v>
      </c>
      <c r="R501" s="98" t="s">
        <v>41</v>
      </c>
      <c r="S501" s="33" t="s">
        <v>96</v>
      </c>
      <c r="T501" s="33" t="s">
        <v>93</v>
      </c>
      <c r="U501" s="33">
        <v>9810334941</v>
      </c>
      <c r="V501" s="39" t="s">
        <v>52</v>
      </c>
      <c r="W501" s="40" t="str">
        <f t="shared" si="21"/>
        <v>Priya Patel</v>
      </c>
      <c r="X501" s="93" t="str">
        <f t="shared" si="22"/>
        <v>Home Appliances</v>
      </c>
      <c r="Y501" s="94" t="str">
        <f t="shared" si="23"/>
        <v>South</v>
      </c>
    </row>
  </sheetData>
  <conditionalFormatting sqref="A2:V501">
    <cfRule type="expression" dxfId="0" priority="1">
      <formula>$O2&gt;20</formula>
    </cfRule>
    <cfRule type="expression" priority="2">
      <formula>$O2&gt;20</formula>
    </cfRule>
  </conditionalFormatting>
  <dataValidations count="2">
    <dataValidation type="whole" allowBlank="1" showInputMessage="1" showErrorMessage="1" sqref="M2:M501" xr:uid="{340311E1-E960-4D8E-9057-D1D5EFCCA4CA}">
      <formula1>1</formula1>
      <formula2>20</formula2>
    </dataValidation>
    <dataValidation type="list" allowBlank="1" showInputMessage="1" showErrorMessage="1" sqref="R1:R501" xr:uid="{92CEF034-4159-4EE9-95F5-6A3F5C8BA4D2}">
      <formula1>"Cash,UPI,Card,NetBanking"</formula1>
    </dataValidation>
  </dataValidations>
  <hyperlinks>
    <hyperlink ref="T2" r:id="rId1" display="mailto:KAvya.nair@company.com" xr:uid="{5E439F07-1A2C-4155-9B68-38A9DA1D6811}"/>
    <hyperlink ref="T5" r:id="rId2" display="mailto:kavya.nair@company.com" xr:uid="{6FB1559F-D917-4D6C-8200-E675E4BEF87E}"/>
    <hyperlink ref="T9" r:id="rId3" display="mailto:priYa.patel@company.com" xr:uid="{01F44338-3B67-4D99-B8F8-320BF7031B29}"/>
    <hyperlink ref="T11" r:id="rId4" display="mailto:PRiya.patel@company.com" xr:uid="{0F461E6D-BAF1-48E5-A5B5-34B4FA5ACA23}"/>
    <hyperlink ref="T15" r:id="rId5" display="mailto:rOhit.singh@company.com" xr:uid="{2FA4E60A-4286-42B6-8887-0777B5B740CD}"/>
    <hyperlink ref="T16" r:id="rId6" display="mailto:kavya.nair@company.com" xr:uid="{2A8BBC05-50E1-437D-AF7E-ADD6C3A9B7A1}"/>
    <hyperlink ref="T20" r:id="rId7" display="mailto:arjun.Rao@company.com" xr:uid="{65CC56D6-2952-4A2C-AA44-9A226AEC5F6F}"/>
    <hyperlink ref="T61" r:id="rId8" display="mailto:Vikas.mehta@company.com" xr:uid="{5ACDB847-414F-4E11-A8AE-B6ACDED8754B}"/>
    <hyperlink ref="T72" r:id="rId9" display="mailto:Anita.gupta@company.com" xr:uid="{DA9D7CAD-BC4D-4333-8325-4C1E3CBC2F6C}"/>
    <hyperlink ref="T294" r:id="rId10" display="mailto:Pooja.shah@company.com" xr:uid="{CB052F2E-278A-4A12-BE70-D85B838BEE8C}"/>
    <hyperlink ref="T450" r:id="rId11" display="mailto:amit.SHarma@company.com" xr:uid="{0A20FC52-BDED-42C2-9418-B0F92E23143D}"/>
    <hyperlink ref="T463" r:id="rId12" display="mailto:rohit.sinGh@company.com" xr:uid="{B6A87FB0-670E-4B70-BA27-515614C81B92}"/>
    <hyperlink ref="T479" r:id="rId13" display="mailto:kavya.Nair@company.com" xr:uid="{E54803D7-0B08-4C1C-A75A-5981035CAA67}"/>
    <hyperlink ref="T489" r:id="rId14" display="mailto:pOOja.shah@company.com" xr:uid="{A3D23162-E789-48B7-BC2D-A5BCD026012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F0AA9-B51D-4937-BDBB-6BB093745B97}">
  <dimension ref="B1:AC536"/>
  <sheetViews>
    <sheetView tabSelected="1" topLeftCell="E1" zoomScale="66" zoomScaleNormal="66" workbookViewId="0">
      <selection activeCell="P7" sqref="P7"/>
    </sheetView>
  </sheetViews>
  <sheetFormatPr defaultRowHeight="14.5" x14ac:dyDescent="0.35"/>
  <cols>
    <col min="2" max="2" width="10.08984375" customWidth="1"/>
    <col min="3" max="3" width="13.6328125" customWidth="1"/>
    <col min="4" max="4" width="12" customWidth="1"/>
    <col min="5" max="5" width="12.1796875" customWidth="1"/>
    <col min="6" max="6" width="14.36328125" customWidth="1"/>
    <col min="7" max="7" width="16.7265625" customWidth="1"/>
    <col min="8" max="8" width="8.90625" customWidth="1"/>
    <col min="9" max="9" width="10.08984375" bestFit="1" customWidth="1"/>
    <col min="10" max="10" width="10.453125" bestFit="1" customWidth="1"/>
    <col min="11" max="11" width="8.54296875" customWidth="1"/>
    <col min="12" max="12" width="15" bestFit="1" customWidth="1"/>
    <col min="13" max="13" width="15.08984375" customWidth="1"/>
    <col min="14" max="14" width="10" customWidth="1"/>
    <col min="15" max="15" width="11.453125" customWidth="1"/>
    <col min="16" max="16" width="15.1796875" bestFit="1" customWidth="1"/>
    <col min="17" max="17" width="11.08984375" bestFit="1" customWidth="1"/>
    <col min="18" max="18" width="11.54296875" bestFit="1" customWidth="1"/>
    <col min="19" max="19" width="15.1796875" bestFit="1" customWidth="1"/>
    <col min="20" max="20" width="11.54296875" bestFit="1" customWidth="1"/>
    <col min="21" max="21" width="24.453125" bestFit="1" customWidth="1"/>
    <col min="22" max="22" width="10.81640625" bestFit="1" customWidth="1"/>
    <col min="23" max="23" width="10.54296875" bestFit="1" customWidth="1"/>
    <col min="24" max="24" width="11.54296875" bestFit="1" customWidth="1"/>
    <col min="25" max="25" width="10.54296875" bestFit="1" customWidth="1"/>
    <col min="26" max="26" width="11.08984375" bestFit="1" customWidth="1"/>
    <col min="27" max="27" width="21.90625" customWidth="1"/>
    <col min="28" max="28" width="14.453125" customWidth="1"/>
  </cols>
  <sheetData>
    <row r="1" spans="2:29" x14ac:dyDescent="0.35">
      <c r="B1" s="150"/>
      <c r="C1" s="151"/>
      <c r="D1" s="151"/>
      <c r="E1" s="151"/>
      <c r="F1" s="151"/>
      <c r="G1" s="151"/>
      <c r="H1" s="151"/>
      <c r="I1" s="151"/>
      <c r="J1" s="151"/>
      <c r="K1" s="151"/>
      <c r="L1" s="151"/>
      <c r="M1" s="151"/>
      <c r="N1" s="151"/>
      <c r="O1" s="151"/>
      <c r="P1" s="151"/>
      <c r="Q1" s="151"/>
      <c r="R1" s="151"/>
      <c r="S1" s="151"/>
      <c r="T1" s="151"/>
      <c r="U1" s="153"/>
      <c r="V1" s="151"/>
      <c r="W1" s="151"/>
      <c r="X1" s="151"/>
      <c r="Y1" s="151"/>
      <c r="Z1" s="152"/>
    </row>
    <row r="2" spans="2:29" ht="28.5" x14ac:dyDescent="0.65">
      <c r="B2" s="159" t="s">
        <v>689</v>
      </c>
      <c r="C2" s="160"/>
      <c r="D2" s="160"/>
      <c r="E2" s="160"/>
      <c r="F2" s="160"/>
      <c r="G2" s="160"/>
      <c r="H2" s="160"/>
      <c r="I2" s="160"/>
      <c r="J2" s="160"/>
      <c r="K2" s="160"/>
      <c r="L2" s="160"/>
      <c r="M2" s="160"/>
      <c r="N2" s="160"/>
      <c r="O2" s="160"/>
      <c r="P2" s="160"/>
      <c r="Q2" s="160"/>
      <c r="R2" s="160"/>
      <c r="S2" s="153"/>
      <c r="T2" s="153"/>
      <c r="U2" s="153"/>
      <c r="V2" s="153"/>
      <c r="W2" s="153"/>
      <c r="X2" s="153"/>
      <c r="Y2" s="153"/>
      <c r="Z2" s="154"/>
    </row>
    <row r="3" spans="2:29" x14ac:dyDescent="0.35">
      <c r="B3" s="155"/>
      <c r="C3" s="153"/>
      <c r="D3" s="153"/>
      <c r="E3" s="153"/>
      <c r="F3" s="153"/>
      <c r="G3" s="153"/>
      <c r="H3" s="153"/>
      <c r="I3" s="153"/>
      <c r="J3" s="153"/>
      <c r="K3" s="153"/>
      <c r="L3" s="153"/>
      <c r="M3" s="153"/>
      <c r="N3" s="153"/>
      <c r="O3" s="153"/>
      <c r="P3" s="153"/>
      <c r="Q3" s="153"/>
      <c r="R3" s="153"/>
      <c r="S3" s="153"/>
      <c r="T3" s="153"/>
      <c r="U3" s="153"/>
      <c r="V3" s="153"/>
      <c r="W3" s="153"/>
      <c r="X3" s="153"/>
      <c r="Y3" s="153"/>
      <c r="Z3" s="154"/>
    </row>
    <row r="4" spans="2:29" x14ac:dyDescent="0.35">
      <c r="B4" s="155"/>
      <c r="C4" s="153"/>
      <c r="D4" s="153"/>
      <c r="E4" s="153"/>
      <c r="F4" s="153"/>
      <c r="G4" s="153"/>
      <c r="H4" s="153"/>
      <c r="I4" s="153"/>
      <c r="J4" s="153"/>
      <c r="K4" s="153"/>
      <c r="L4" s="153"/>
      <c r="M4" s="153"/>
      <c r="N4" s="153"/>
      <c r="O4" s="153"/>
      <c r="P4" s="153"/>
      <c r="Q4" s="153"/>
      <c r="R4" s="153"/>
      <c r="S4" s="153"/>
      <c r="T4" s="153"/>
      <c r="U4" s="153"/>
      <c r="V4" s="153"/>
      <c r="W4" s="153"/>
      <c r="X4" s="153"/>
      <c r="Y4" s="153"/>
      <c r="Z4" s="154"/>
    </row>
    <row r="5" spans="2:29" x14ac:dyDescent="0.35">
      <c r="B5" s="155"/>
      <c r="C5" s="153"/>
      <c r="D5" s="153"/>
      <c r="E5" s="153"/>
      <c r="F5" s="153"/>
      <c r="G5" s="153"/>
      <c r="H5" s="153"/>
      <c r="I5" s="153"/>
      <c r="J5" s="153"/>
      <c r="K5" s="153"/>
      <c r="L5" s="153"/>
      <c r="M5" s="153"/>
      <c r="N5" s="153"/>
      <c r="O5" s="153"/>
      <c r="P5" s="153"/>
      <c r="Q5" s="153"/>
      <c r="R5" s="153"/>
      <c r="S5" s="153"/>
      <c r="T5" s="153"/>
      <c r="U5" s="153"/>
      <c r="V5" s="153"/>
      <c r="W5" s="153"/>
      <c r="X5" s="153"/>
      <c r="Y5" s="153"/>
      <c r="Z5" s="154"/>
    </row>
    <row r="6" spans="2:29" x14ac:dyDescent="0.35">
      <c r="B6" s="155"/>
      <c r="C6" s="153"/>
      <c r="D6" s="153"/>
      <c r="E6" s="153"/>
      <c r="F6" s="153"/>
      <c r="G6" s="153"/>
      <c r="H6" s="153"/>
      <c r="I6" s="153"/>
      <c r="J6" s="153"/>
      <c r="K6" s="153"/>
      <c r="L6" s="153"/>
      <c r="M6" s="153"/>
      <c r="N6" s="153"/>
      <c r="O6" s="153"/>
      <c r="P6" s="153"/>
      <c r="Q6" s="153"/>
      <c r="R6" s="153"/>
      <c r="S6" s="153"/>
      <c r="T6" s="153"/>
      <c r="U6" s="153"/>
      <c r="V6" s="153"/>
      <c r="W6" s="153"/>
      <c r="X6" s="153"/>
      <c r="Y6" s="153"/>
      <c r="Z6" s="154"/>
    </row>
    <row r="7" spans="2:29" x14ac:dyDescent="0.35">
      <c r="B7" s="155"/>
      <c r="C7" s="153"/>
      <c r="D7" s="153"/>
      <c r="E7" s="153"/>
      <c r="F7" s="153"/>
      <c r="G7" s="153"/>
      <c r="H7" s="153"/>
      <c r="I7" s="153"/>
      <c r="J7" s="153"/>
      <c r="K7" s="153"/>
      <c r="L7" s="153"/>
      <c r="M7" s="153"/>
      <c r="N7" s="153"/>
      <c r="O7" s="153"/>
      <c r="P7" s="153"/>
      <c r="Q7" s="153"/>
      <c r="R7" s="153"/>
      <c r="S7" s="153"/>
      <c r="T7" s="153"/>
      <c r="U7" s="153"/>
      <c r="V7" s="153"/>
      <c r="W7" s="153"/>
      <c r="X7" s="153"/>
      <c r="Y7" s="153"/>
      <c r="Z7" s="154"/>
    </row>
    <row r="8" spans="2:29" x14ac:dyDescent="0.35">
      <c r="B8" s="155"/>
      <c r="C8" s="153"/>
      <c r="D8" s="153"/>
      <c r="E8" s="153"/>
      <c r="F8" s="153"/>
      <c r="G8" s="153"/>
      <c r="H8" s="153"/>
      <c r="I8" s="153"/>
      <c r="J8" s="153"/>
      <c r="K8" s="153"/>
      <c r="L8" s="153"/>
      <c r="M8" s="153"/>
      <c r="N8" s="153"/>
      <c r="O8" s="153"/>
      <c r="P8" s="153"/>
      <c r="Q8" s="153"/>
      <c r="R8" s="153"/>
      <c r="S8" s="153"/>
      <c r="T8" s="153"/>
      <c r="U8" s="153"/>
      <c r="V8" s="153"/>
      <c r="W8" s="153"/>
      <c r="X8" s="153"/>
      <c r="Y8" s="153"/>
      <c r="Z8" s="154"/>
    </row>
    <row r="9" spans="2:29" x14ac:dyDescent="0.35">
      <c r="B9" s="155"/>
      <c r="C9" s="153"/>
      <c r="D9" s="153"/>
      <c r="E9" s="153"/>
      <c r="F9" s="153"/>
      <c r="G9" s="153"/>
      <c r="H9" s="153"/>
      <c r="I9" s="153"/>
      <c r="J9" s="153"/>
      <c r="K9" s="153"/>
      <c r="L9" s="153"/>
      <c r="M9" s="153"/>
      <c r="N9" s="153"/>
      <c r="O9" s="153"/>
      <c r="P9" s="153"/>
      <c r="Q9" s="153"/>
      <c r="R9" s="153"/>
      <c r="S9" s="153"/>
      <c r="T9" s="153"/>
      <c r="U9" s="153"/>
      <c r="V9" s="153"/>
      <c r="W9" s="153"/>
      <c r="X9" s="153"/>
      <c r="Y9" s="153"/>
      <c r="Z9" s="154"/>
    </row>
    <row r="10" spans="2:29" x14ac:dyDescent="0.35">
      <c r="B10" s="155"/>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4"/>
    </row>
    <row r="11" spans="2:29" x14ac:dyDescent="0.35">
      <c r="B11" s="155"/>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4"/>
    </row>
    <row r="12" spans="2:29" x14ac:dyDescent="0.35">
      <c r="B12" s="155"/>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4"/>
      <c r="AA12" s="162"/>
      <c r="AB12" s="142"/>
      <c r="AC12" s="143"/>
    </row>
    <row r="13" spans="2:29" x14ac:dyDescent="0.35">
      <c r="B13" s="155"/>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4"/>
      <c r="AA13" s="163"/>
      <c r="AB13" s="144"/>
      <c r="AC13" s="145"/>
    </row>
    <row r="14" spans="2:29" x14ac:dyDescent="0.35">
      <c r="B14" s="155"/>
      <c r="C14" s="153"/>
      <c r="D14" s="153"/>
      <c r="E14" s="153"/>
      <c r="F14" s="153"/>
      <c r="G14" s="153"/>
      <c r="H14" s="153"/>
      <c r="I14" s="153"/>
      <c r="J14" s="153"/>
      <c r="K14" s="153"/>
      <c r="L14" s="153"/>
      <c r="M14" s="153"/>
      <c r="N14" s="153"/>
      <c r="O14" s="153"/>
      <c r="P14" s="153"/>
      <c r="Q14" s="153"/>
      <c r="R14" s="153"/>
      <c r="S14" s="153"/>
      <c r="U14" t="s">
        <v>690</v>
      </c>
      <c r="V14" s="153"/>
      <c r="W14" s="153"/>
      <c r="X14" s="153"/>
      <c r="Y14" s="153"/>
      <c r="Z14" s="154"/>
      <c r="AA14" s="163"/>
      <c r="AB14" s="144"/>
      <c r="AC14" s="145"/>
    </row>
    <row r="15" spans="2:29" x14ac:dyDescent="0.35">
      <c r="B15" s="155"/>
      <c r="C15" s="153"/>
      <c r="D15" s="153"/>
      <c r="E15" s="153"/>
      <c r="F15" s="153"/>
      <c r="G15" s="153"/>
      <c r="H15" s="153"/>
      <c r="I15" s="153"/>
      <c r="J15" s="153"/>
      <c r="K15" s="153"/>
      <c r="L15" s="153"/>
      <c r="M15" s="153"/>
      <c r="N15" s="153"/>
      <c r="O15" s="153"/>
      <c r="P15" s="153"/>
      <c r="Q15" s="153"/>
      <c r="R15" s="153"/>
      <c r="S15" s="153"/>
      <c r="T15" s="105" t="s">
        <v>148</v>
      </c>
      <c r="U15" s="141">
        <v>4041922</v>
      </c>
      <c r="V15" s="153"/>
      <c r="W15" s="153"/>
      <c r="X15" s="153"/>
      <c r="Y15" s="153"/>
      <c r="Z15" s="154"/>
      <c r="AA15" s="163"/>
      <c r="AB15" s="144"/>
      <c r="AC15" s="145"/>
    </row>
    <row r="16" spans="2:29" x14ac:dyDescent="0.35">
      <c r="B16" s="155"/>
      <c r="C16" s="153"/>
      <c r="D16" s="153"/>
      <c r="E16" s="153"/>
      <c r="F16" s="153"/>
      <c r="G16" s="153"/>
      <c r="H16" s="153"/>
      <c r="I16" s="153"/>
      <c r="J16" s="153"/>
      <c r="K16" s="153"/>
      <c r="L16" s="153"/>
      <c r="M16" s="153"/>
      <c r="N16" s="153"/>
      <c r="O16" s="153"/>
      <c r="P16" s="153"/>
      <c r="Q16" s="153"/>
      <c r="R16" s="153"/>
      <c r="S16" s="153"/>
      <c r="T16" s="105" t="s">
        <v>28</v>
      </c>
      <c r="U16" s="141">
        <v>7497631.5</v>
      </c>
      <c r="V16" s="153"/>
      <c r="W16" s="153"/>
      <c r="X16" s="153"/>
      <c r="Y16" s="153"/>
      <c r="Z16" s="154"/>
      <c r="AA16" s="163"/>
      <c r="AB16" s="144"/>
      <c r="AC16" s="145"/>
    </row>
    <row r="17" spans="2:29" x14ac:dyDescent="0.35">
      <c r="B17" s="155"/>
      <c r="C17" s="153"/>
      <c r="D17" s="153"/>
      <c r="E17" s="153"/>
      <c r="F17" s="153"/>
      <c r="G17" s="153"/>
      <c r="H17" s="153"/>
      <c r="I17" s="153"/>
      <c r="J17" s="153"/>
      <c r="K17" s="153"/>
      <c r="L17" s="153"/>
      <c r="M17" s="153"/>
      <c r="N17" s="153"/>
      <c r="O17" s="153"/>
      <c r="P17" s="153"/>
      <c r="Q17" s="153"/>
      <c r="R17" s="153"/>
      <c r="S17" s="153"/>
      <c r="T17" s="105" t="s">
        <v>38</v>
      </c>
      <c r="U17" s="141">
        <v>10022852.5</v>
      </c>
      <c r="V17" s="153"/>
      <c r="W17" s="153"/>
      <c r="X17" s="153"/>
      <c r="Y17" s="153"/>
      <c r="Z17" s="154"/>
      <c r="AA17" s="163"/>
      <c r="AB17" s="144"/>
      <c r="AC17" s="145"/>
    </row>
    <row r="18" spans="2:29" x14ac:dyDescent="0.35">
      <c r="B18" s="155"/>
      <c r="C18" s="153"/>
      <c r="D18" s="153"/>
      <c r="E18" s="153"/>
      <c r="F18" s="153"/>
      <c r="G18" s="153"/>
      <c r="H18" s="153"/>
      <c r="I18" s="153"/>
      <c r="J18" s="153"/>
      <c r="K18" s="153"/>
      <c r="L18" s="153"/>
      <c r="M18" s="153"/>
      <c r="N18" s="153"/>
      <c r="O18" s="153"/>
      <c r="P18" s="153"/>
      <c r="Q18" s="153"/>
      <c r="R18" s="153"/>
      <c r="S18" s="153"/>
      <c r="T18" s="105" t="s">
        <v>75</v>
      </c>
      <c r="U18" s="141">
        <v>13203531.5</v>
      </c>
      <c r="V18" s="153"/>
      <c r="W18" s="153"/>
      <c r="X18" s="153"/>
      <c r="Y18" s="153"/>
      <c r="Z18" s="154"/>
      <c r="AA18" s="163"/>
      <c r="AB18" s="144"/>
      <c r="AC18" s="145"/>
    </row>
    <row r="19" spans="2:29" x14ac:dyDescent="0.35">
      <c r="B19" s="155"/>
      <c r="C19" s="153"/>
      <c r="D19" s="153"/>
      <c r="E19" s="153"/>
      <c r="F19" s="153"/>
      <c r="G19" s="153"/>
      <c r="H19" s="153"/>
      <c r="I19" s="153"/>
      <c r="J19" s="153"/>
      <c r="K19" s="153"/>
      <c r="L19" s="153"/>
      <c r="M19" s="153"/>
      <c r="N19" s="153"/>
      <c r="O19" s="153"/>
      <c r="P19" s="153"/>
      <c r="Q19" s="153"/>
      <c r="R19" s="153"/>
      <c r="S19" s="153"/>
      <c r="T19" s="105" t="s">
        <v>691</v>
      </c>
      <c r="U19" s="141">
        <v>34765937.5</v>
      </c>
      <c r="V19" s="153"/>
      <c r="W19" s="153"/>
      <c r="X19" s="153"/>
      <c r="Y19" s="153"/>
      <c r="Z19" s="154"/>
      <c r="AA19" s="163"/>
      <c r="AB19" s="144"/>
      <c r="AC19" s="145"/>
    </row>
    <row r="20" spans="2:29" x14ac:dyDescent="0.35">
      <c r="B20" s="155"/>
      <c r="C20" s="153"/>
      <c r="D20" s="153"/>
      <c r="E20" s="153"/>
      <c r="F20" s="153"/>
      <c r="G20" s="153"/>
      <c r="H20" s="153"/>
      <c r="I20" s="153"/>
      <c r="J20" s="153"/>
      <c r="K20" s="153"/>
      <c r="L20" s="153"/>
      <c r="M20" s="153"/>
      <c r="N20" s="153"/>
      <c r="O20" s="153"/>
      <c r="P20" s="153"/>
      <c r="Q20" s="153"/>
      <c r="R20" s="153"/>
      <c r="S20" s="153"/>
      <c r="T20" s="161"/>
      <c r="U20" s="161"/>
      <c r="V20" s="153"/>
      <c r="W20" s="153"/>
      <c r="X20" s="153"/>
      <c r="Y20" s="153"/>
      <c r="Z20" s="154"/>
      <c r="AA20" s="163"/>
      <c r="AB20" s="144"/>
      <c r="AC20" s="145"/>
    </row>
    <row r="21" spans="2:29" x14ac:dyDescent="0.35">
      <c r="B21" s="155"/>
      <c r="C21" s="153"/>
      <c r="D21" s="153"/>
      <c r="E21" s="153"/>
      <c r="F21" s="153"/>
      <c r="G21" s="153"/>
      <c r="H21" s="153"/>
      <c r="I21" s="153"/>
      <c r="J21" s="153"/>
      <c r="K21" s="153"/>
      <c r="L21" s="153"/>
      <c r="M21" s="153"/>
      <c r="N21" s="153"/>
      <c r="O21" s="153"/>
      <c r="P21" s="153"/>
      <c r="Q21" s="153"/>
      <c r="R21" s="153"/>
      <c r="S21" s="153"/>
      <c r="U21" t="s">
        <v>690</v>
      </c>
      <c r="V21" s="153"/>
      <c r="W21" s="153"/>
      <c r="X21" s="153"/>
      <c r="Y21" s="153"/>
      <c r="Z21" s="154"/>
      <c r="AA21" s="163"/>
      <c r="AB21" s="144"/>
      <c r="AC21" s="145"/>
    </row>
    <row r="22" spans="2:29" x14ac:dyDescent="0.35">
      <c r="B22" s="155"/>
      <c r="C22" s="153"/>
      <c r="D22" s="153"/>
      <c r="E22" s="153"/>
      <c r="F22" s="153"/>
      <c r="G22" s="153"/>
      <c r="H22" s="153"/>
      <c r="I22" s="153"/>
      <c r="J22" s="153"/>
      <c r="K22" s="153"/>
      <c r="L22" s="153"/>
      <c r="M22" s="153"/>
      <c r="N22" s="153"/>
      <c r="O22" s="153"/>
      <c r="P22" s="153"/>
      <c r="Q22" s="153"/>
      <c r="R22" s="153"/>
      <c r="S22" s="153"/>
      <c r="T22" s="105" t="s">
        <v>83</v>
      </c>
      <c r="U22" s="141">
        <v>55653.5</v>
      </c>
      <c r="V22" s="153"/>
      <c r="W22" s="153"/>
      <c r="X22" s="153"/>
      <c r="Y22" s="153"/>
      <c r="Z22" s="154"/>
      <c r="AA22" s="163"/>
      <c r="AB22" s="144"/>
      <c r="AC22" s="145"/>
    </row>
    <row r="23" spans="2:29" x14ac:dyDescent="0.35">
      <c r="B23" s="155"/>
      <c r="C23" s="153"/>
      <c r="D23" s="153"/>
      <c r="E23" s="153"/>
      <c r="F23" s="153"/>
      <c r="G23" s="153"/>
      <c r="H23" s="153"/>
      <c r="I23" s="153"/>
      <c r="J23" s="153"/>
      <c r="K23" s="153"/>
      <c r="L23" s="153"/>
      <c r="M23" s="153"/>
      <c r="N23" s="153"/>
      <c r="O23" s="153"/>
      <c r="P23" s="153"/>
      <c r="Q23" s="153"/>
      <c r="R23" s="153"/>
      <c r="S23" s="153"/>
      <c r="T23" s="105" t="s">
        <v>324</v>
      </c>
      <c r="U23" s="141">
        <v>59850</v>
      </c>
      <c r="V23" s="153"/>
      <c r="W23" s="153"/>
      <c r="X23" s="153"/>
      <c r="Y23" s="153"/>
      <c r="Z23" s="154"/>
      <c r="AA23" s="163"/>
      <c r="AB23" s="144"/>
      <c r="AC23" s="145"/>
    </row>
    <row r="24" spans="2:29" x14ac:dyDescent="0.35">
      <c r="B24" s="155"/>
      <c r="C24" s="153"/>
      <c r="D24" s="153"/>
      <c r="E24" s="153"/>
      <c r="F24" s="153"/>
      <c r="G24" s="153"/>
      <c r="H24" s="153"/>
      <c r="I24" s="153"/>
      <c r="J24" s="153"/>
      <c r="K24" s="153"/>
      <c r="L24" s="153"/>
      <c r="M24" s="153"/>
      <c r="N24" s="153"/>
      <c r="O24" s="153"/>
      <c r="P24" s="153"/>
      <c r="Q24" s="153"/>
      <c r="R24" s="153"/>
      <c r="S24" s="153"/>
      <c r="T24" s="105" t="s">
        <v>29</v>
      </c>
      <c r="U24" s="141">
        <v>6816975</v>
      </c>
      <c r="V24" s="153"/>
      <c r="W24" s="153"/>
      <c r="X24" s="153"/>
      <c r="Y24" s="153"/>
      <c r="Z24" s="154"/>
      <c r="AA24" s="163"/>
      <c r="AB24" s="144"/>
      <c r="AC24" s="145"/>
    </row>
    <row r="25" spans="2:29" x14ac:dyDescent="0.35">
      <c r="B25" s="155"/>
      <c r="C25" s="153"/>
      <c r="D25" s="153"/>
      <c r="E25" s="153"/>
      <c r="F25" s="153"/>
      <c r="G25" s="153"/>
      <c r="H25" s="153"/>
      <c r="I25" s="153"/>
      <c r="J25" s="153"/>
      <c r="K25" s="153"/>
      <c r="L25" s="153"/>
      <c r="M25" s="153"/>
      <c r="N25" s="153"/>
      <c r="O25" s="153"/>
      <c r="P25" s="153"/>
      <c r="Q25" s="153"/>
      <c r="R25" s="153"/>
      <c r="S25" s="153"/>
      <c r="T25" s="105" t="s">
        <v>39</v>
      </c>
      <c r="U25" s="141">
        <v>27833459</v>
      </c>
      <c r="V25" s="153"/>
      <c r="W25" s="153"/>
      <c r="X25" s="153"/>
      <c r="Y25" s="153"/>
      <c r="Z25" s="154"/>
      <c r="AA25" s="163"/>
      <c r="AB25" s="144"/>
      <c r="AC25" s="145"/>
    </row>
    <row r="26" spans="2:29" x14ac:dyDescent="0.35">
      <c r="B26" s="155"/>
      <c r="C26" s="153"/>
      <c r="D26" s="153"/>
      <c r="E26" s="153"/>
      <c r="F26" s="153"/>
      <c r="G26" s="153"/>
      <c r="H26" s="153"/>
      <c r="I26" s="153"/>
      <c r="J26" s="153"/>
      <c r="K26" s="153"/>
      <c r="L26" s="153"/>
      <c r="M26" s="153"/>
      <c r="N26" s="153"/>
      <c r="O26" s="153"/>
      <c r="P26" s="153"/>
      <c r="Q26" s="153"/>
      <c r="R26" s="153"/>
      <c r="S26" s="153"/>
      <c r="T26" s="105" t="s">
        <v>691</v>
      </c>
      <c r="U26" s="141">
        <v>34765937.5</v>
      </c>
      <c r="V26" s="153"/>
      <c r="W26" s="153"/>
      <c r="X26" s="153"/>
      <c r="Y26" s="153"/>
      <c r="Z26" s="154"/>
      <c r="AA26" s="163"/>
      <c r="AB26" s="144"/>
      <c r="AC26" s="145"/>
    </row>
    <row r="27" spans="2:29" x14ac:dyDescent="0.35">
      <c r="B27" s="155"/>
      <c r="C27" s="153"/>
      <c r="D27" s="153"/>
      <c r="E27" s="153"/>
      <c r="F27" s="153"/>
      <c r="G27" s="153"/>
      <c r="H27" s="153"/>
      <c r="I27" s="153"/>
      <c r="J27" s="153"/>
      <c r="K27" s="153"/>
      <c r="L27" s="153"/>
      <c r="M27" s="153"/>
      <c r="N27" s="153"/>
      <c r="O27" s="153"/>
      <c r="P27" s="153"/>
      <c r="Q27" s="153"/>
      <c r="R27" s="153"/>
      <c r="S27" s="153"/>
      <c r="T27" s="153"/>
      <c r="U27" s="154"/>
      <c r="V27" s="153"/>
      <c r="W27" s="153"/>
      <c r="X27" s="153"/>
      <c r="Y27" s="153"/>
      <c r="Z27" s="154"/>
      <c r="AA27" s="163"/>
      <c r="AB27" s="144"/>
      <c r="AC27" s="145"/>
    </row>
    <row r="28" spans="2:29" x14ac:dyDescent="0.35">
      <c r="B28" s="155"/>
      <c r="C28" s="153"/>
      <c r="D28" s="153"/>
      <c r="E28" s="153"/>
      <c r="F28" s="153"/>
      <c r="G28" s="153"/>
      <c r="H28" s="153"/>
      <c r="I28" s="153"/>
      <c r="J28" s="153"/>
      <c r="K28" s="153"/>
      <c r="L28" s="153"/>
      <c r="M28" s="153"/>
      <c r="N28" s="153"/>
      <c r="O28" s="153"/>
      <c r="P28" s="153"/>
      <c r="Q28" s="153"/>
      <c r="R28" s="153"/>
      <c r="S28" s="153"/>
      <c r="U28" t="s">
        <v>690</v>
      </c>
      <c r="V28" s="153"/>
      <c r="W28" s="153"/>
      <c r="X28" s="153"/>
      <c r="Y28" s="153"/>
      <c r="Z28" s="154"/>
      <c r="AA28" s="163"/>
      <c r="AB28" s="144"/>
      <c r="AC28" s="145"/>
    </row>
    <row r="29" spans="2:29" x14ac:dyDescent="0.35">
      <c r="B29" s="155"/>
      <c r="C29" s="153"/>
      <c r="D29" s="153"/>
      <c r="E29" s="153"/>
      <c r="F29" s="153"/>
      <c r="G29" s="153"/>
      <c r="H29" s="153"/>
      <c r="I29" s="153"/>
      <c r="J29" s="153"/>
      <c r="K29" s="153"/>
      <c r="L29" s="153"/>
      <c r="M29" s="153"/>
      <c r="N29" s="153"/>
      <c r="O29" s="153"/>
      <c r="P29" s="153"/>
      <c r="Q29" s="153"/>
      <c r="R29" s="153"/>
      <c r="S29" s="153"/>
      <c r="T29" s="105" t="s">
        <v>692</v>
      </c>
      <c r="U29" s="141">
        <v>26264122</v>
      </c>
      <c r="V29" s="153"/>
      <c r="W29" s="153"/>
      <c r="X29" s="153"/>
      <c r="Y29" s="153"/>
      <c r="Z29" s="154"/>
      <c r="AA29" s="164"/>
      <c r="AB29" s="146"/>
      <c r="AC29" s="147"/>
    </row>
    <row r="30" spans="2:29" x14ac:dyDescent="0.35">
      <c r="B30" s="155"/>
      <c r="C30" s="153"/>
      <c r="D30" s="153"/>
      <c r="E30" s="153"/>
      <c r="F30" s="153"/>
      <c r="G30" s="153"/>
      <c r="H30" s="153"/>
      <c r="I30" s="153"/>
      <c r="J30" s="153"/>
      <c r="K30" s="153"/>
      <c r="L30" s="153"/>
      <c r="M30" s="153"/>
      <c r="N30" s="153"/>
      <c r="O30" s="153"/>
      <c r="P30" s="153"/>
      <c r="Q30" s="153"/>
      <c r="R30" s="153"/>
      <c r="S30" s="153"/>
      <c r="T30" s="105" t="s">
        <v>693</v>
      </c>
      <c r="U30" s="141">
        <v>8501815.5</v>
      </c>
      <c r="V30" s="153"/>
      <c r="W30" s="153"/>
      <c r="X30" s="153"/>
      <c r="Y30" s="153"/>
      <c r="Z30" s="154"/>
      <c r="AA30" s="149"/>
      <c r="AB30" s="149"/>
      <c r="AC30" s="149"/>
    </row>
    <row r="31" spans="2:29" x14ac:dyDescent="0.35">
      <c r="B31" s="155"/>
      <c r="C31" s="153"/>
      <c r="D31" s="153"/>
      <c r="E31" s="153"/>
      <c r="F31" s="153"/>
      <c r="G31" s="153"/>
      <c r="H31" s="153"/>
      <c r="I31" s="153"/>
      <c r="J31" s="153"/>
      <c r="K31" s="153"/>
      <c r="L31" s="153"/>
      <c r="M31" s="153"/>
      <c r="N31" s="153"/>
      <c r="O31" s="153"/>
      <c r="P31" s="153"/>
      <c r="Q31" s="153"/>
      <c r="R31" s="153"/>
      <c r="S31" s="153"/>
      <c r="T31" s="105" t="s">
        <v>691</v>
      </c>
      <c r="U31" s="141">
        <v>34765937.5</v>
      </c>
      <c r="V31" s="153"/>
      <c r="W31" s="153"/>
      <c r="X31" s="153"/>
      <c r="Y31" s="153"/>
      <c r="Z31" s="154"/>
      <c r="AA31" s="149"/>
      <c r="AB31" s="149"/>
      <c r="AC31" s="149"/>
    </row>
    <row r="32" spans="2:29" ht="15" thickBot="1" x14ac:dyDescent="0.4">
      <c r="B32" s="156"/>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8"/>
      <c r="AA32" s="149"/>
      <c r="AB32" s="149"/>
      <c r="AC32" s="149"/>
    </row>
    <row r="34" spans="2:23" ht="15" thickBot="1" x14ac:dyDescent="0.4">
      <c r="B34" s="103" t="s">
        <v>0</v>
      </c>
      <c r="C34" s="103" t="s">
        <v>1</v>
      </c>
      <c r="D34" s="103" t="s">
        <v>2</v>
      </c>
      <c r="E34" s="148" t="s">
        <v>3</v>
      </c>
      <c r="F34" s="103" t="s">
        <v>4</v>
      </c>
      <c r="G34" s="103" t="s">
        <v>5</v>
      </c>
      <c r="H34" s="103" t="s">
        <v>6</v>
      </c>
      <c r="I34" s="103" t="s">
        <v>7</v>
      </c>
      <c r="J34" s="103" t="s">
        <v>8</v>
      </c>
      <c r="K34" s="103" t="s">
        <v>9</v>
      </c>
      <c r="L34" s="103" t="s">
        <v>10</v>
      </c>
      <c r="M34" s="103" t="s">
        <v>11</v>
      </c>
      <c r="N34" s="103" t="s">
        <v>12</v>
      </c>
      <c r="O34" s="103" t="s">
        <v>13</v>
      </c>
      <c r="P34" s="103" t="s">
        <v>14</v>
      </c>
      <c r="Q34" s="103" t="s">
        <v>15</v>
      </c>
      <c r="R34" s="103" t="s">
        <v>16</v>
      </c>
      <c r="S34" s="103" t="s">
        <v>17</v>
      </c>
      <c r="T34" s="103" t="s">
        <v>18</v>
      </c>
      <c r="U34" s="103" t="s">
        <v>19</v>
      </c>
      <c r="V34" s="103" t="s">
        <v>20</v>
      </c>
      <c r="W34" s="104" t="s">
        <v>21</v>
      </c>
    </row>
    <row r="35" spans="2:23" ht="15.5" thickTop="1" thickBot="1" x14ac:dyDescent="0.4">
      <c r="B35" s="27" t="s">
        <v>22</v>
      </c>
      <c r="C35" s="27" t="s">
        <v>23</v>
      </c>
      <c r="D35" s="27" t="s">
        <v>24</v>
      </c>
      <c r="E35" s="28">
        <v>45918</v>
      </c>
      <c r="F35" s="28">
        <v>45922</v>
      </c>
      <c r="G35" s="27" t="s">
        <v>25</v>
      </c>
      <c r="H35" s="27" t="s">
        <v>26</v>
      </c>
      <c r="I35" s="28">
        <v>27973</v>
      </c>
      <c r="J35" s="27" t="s">
        <v>27</v>
      </c>
      <c r="K35" s="27" t="s">
        <v>28</v>
      </c>
      <c r="L35" s="27" t="s">
        <v>29</v>
      </c>
      <c r="M35" s="27" t="s">
        <v>30</v>
      </c>
      <c r="N35" s="27">
        <v>4</v>
      </c>
      <c r="O35" s="27">
        <v>2200</v>
      </c>
      <c r="P35" s="27">
        <v>10</v>
      </c>
      <c r="Q35" s="27">
        <v>7920</v>
      </c>
      <c r="R35" s="27">
        <v>4</v>
      </c>
      <c r="S35" s="27" t="s">
        <v>31</v>
      </c>
      <c r="T35" s="27" t="s">
        <v>32</v>
      </c>
      <c r="U35" s="29" t="s">
        <v>33</v>
      </c>
      <c r="V35" s="27">
        <v>9431429797</v>
      </c>
      <c r="W35" s="21" t="s">
        <v>34</v>
      </c>
    </row>
    <row r="36" spans="2:23" ht="15" thickBot="1" x14ac:dyDescent="0.4">
      <c r="B36" s="30" t="s">
        <v>35</v>
      </c>
      <c r="C36" s="30" t="s">
        <v>23</v>
      </c>
      <c r="D36" s="30" t="s">
        <v>36</v>
      </c>
      <c r="E36" s="31">
        <v>45774</v>
      </c>
      <c r="F36" s="31">
        <v>45781</v>
      </c>
      <c r="G36" s="30" t="s">
        <v>25</v>
      </c>
      <c r="H36" s="30" t="s">
        <v>26</v>
      </c>
      <c r="I36" s="31">
        <v>36815</v>
      </c>
      <c r="J36" s="30" t="s">
        <v>37</v>
      </c>
      <c r="K36" s="30" t="s">
        <v>38</v>
      </c>
      <c r="L36" s="30" t="s">
        <v>39</v>
      </c>
      <c r="M36" s="30" t="s">
        <v>40</v>
      </c>
      <c r="N36" s="30">
        <v>17</v>
      </c>
      <c r="O36" s="30">
        <v>12000</v>
      </c>
      <c r="P36" s="30">
        <v>10</v>
      </c>
      <c r="Q36" s="30">
        <v>183600</v>
      </c>
      <c r="R36" s="30">
        <v>1</v>
      </c>
      <c r="S36" s="30" t="s">
        <v>41</v>
      </c>
      <c r="T36" s="30" t="s">
        <v>42</v>
      </c>
      <c r="U36" s="30" t="s">
        <v>43</v>
      </c>
      <c r="V36" s="30">
        <v>9129865339</v>
      </c>
      <c r="W36" s="22" t="s">
        <v>34</v>
      </c>
    </row>
    <row r="37" spans="2:23" ht="15" thickBot="1" x14ac:dyDescent="0.4">
      <c r="B37" s="27" t="s">
        <v>44</v>
      </c>
      <c r="C37" s="27" t="s">
        <v>45</v>
      </c>
      <c r="D37" s="27" t="s">
        <v>46</v>
      </c>
      <c r="E37" s="28">
        <v>45903</v>
      </c>
      <c r="F37" s="28">
        <v>45914</v>
      </c>
      <c r="G37" s="27" t="s">
        <v>47</v>
      </c>
      <c r="H37" s="27" t="s">
        <v>26</v>
      </c>
      <c r="I37" s="28">
        <v>34593</v>
      </c>
      <c r="J37" s="27" t="s">
        <v>48</v>
      </c>
      <c r="K37" s="27" t="s">
        <v>28</v>
      </c>
      <c r="L37" s="27" t="s">
        <v>39</v>
      </c>
      <c r="M37" s="27" t="s">
        <v>49</v>
      </c>
      <c r="N37" s="27">
        <v>5</v>
      </c>
      <c r="O37" s="27">
        <v>55000</v>
      </c>
      <c r="P37" s="27">
        <v>5</v>
      </c>
      <c r="Q37" s="27">
        <v>261250</v>
      </c>
      <c r="R37" s="27">
        <v>3</v>
      </c>
      <c r="S37" s="27" t="s">
        <v>41</v>
      </c>
      <c r="T37" s="27" t="s">
        <v>50</v>
      </c>
      <c r="U37" s="27" t="s">
        <v>51</v>
      </c>
      <c r="V37" s="27">
        <v>9380975626</v>
      </c>
      <c r="W37" s="27" t="s">
        <v>52</v>
      </c>
    </row>
    <row r="38" spans="2:23" ht="15" thickBot="1" x14ac:dyDescent="0.4">
      <c r="B38" s="27" t="s">
        <v>54</v>
      </c>
      <c r="C38" s="30" t="s">
        <v>23</v>
      </c>
      <c r="D38" s="30" t="s">
        <v>24</v>
      </c>
      <c r="E38" s="31">
        <v>46102</v>
      </c>
      <c r="F38" s="31">
        <v>46114</v>
      </c>
      <c r="G38" s="30" t="s">
        <v>25</v>
      </c>
      <c r="H38" s="30" t="s">
        <v>26</v>
      </c>
      <c r="I38" s="31">
        <v>38053</v>
      </c>
      <c r="J38" s="30" t="s">
        <v>48</v>
      </c>
      <c r="K38" s="30" t="s">
        <v>28</v>
      </c>
      <c r="L38" s="30" t="s">
        <v>29</v>
      </c>
      <c r="M38" s="30" t="s">
        <v>30</v>
      </c>
      <c r="N38" s="30">
        <v>5</v>
      </c>
      <c r="O38" s="30">
        <v>2200</v>
      </c>
      <c r="P38" s="30">
        <v>5</v>
      </c>
      <c r="Q38" s="30">
        <v>10450</v>
      </c>
      <c r="R38" s="30">
        <v>5</v>
      </c>
      <c r="S38" s="30" t="s">
        <v>41</v>
      </c>
      <c r="T38" s="30" t="s">
        <v>50</v>
      </c>
      <c r="U38" s="32" t="s">
        <v>43</v>
      </c>
      <c r="V38" s="30">
        <v>9600261125</v>
      </c>
      <c r="W38" s="30" t="s">
        <v>53</v>
      </c>
    </row>
    <row r="39" spans="2:23" ht="15" thickBot="1" x14ac:dyDescent="0.4">
      <c r="B39" s="30" t="s">
        <v>62</v>
      </c>
      <c r="C39" s="27" t="s">
        <v>55</v>
      </c>
      <c r="D39" s="27" t="s">
        <v>56</v>
      </c>
      <c r="E39" s="28">
        <v>45927</v>
      </c>
      <c r="F39" s="28">
        <v>45937</v>
      </c>
      <c r="G39" s="27" t="s">
        <v>57</v>
      </c>
      <c r="H39" s="27" t="s">
        <v>58</v>
      </c>
      <c r="I39" s="28">
        <v>27863</v>
      </c>
      <c r="J39" s="27" t="s">
        <v>37</v>
      </c>
      <c r="K39" s="27" t="s">
        <v>38</v>
      </c>
      <c r="L39" s="27" t="s">
        <v>39</v>
      </c>
      <c r="M39" s="27" t="s">
        <v>59</v>
      </c>
      <c r="N39" s="27">
        <v>8</v>
      </c>
      <c r="O39" s="27">
        <v>1200</v>
      </c>
      <c r="P39" s="27">
        <v>5</v>
      </c>
      <c r="Q39" s="27">
        <v>9120</v>
      </c>
      <c r="R39" s="27">
        <v>2</v>
      </c>
      <c r="S39" s="27" t="s">
        <v>60</v>
      </c>
      <c r="T39" s="27" t="s">
        <v>50</v>
      </c>
      <c r="U39" s="27" t="s">
        <v>61</v>
      </c>
      <c r="V39" s="27">
        <v>9724635978</v>
      </c>
      <c r="W39" s="27" t="s">
        <v>52</v>
      </c>
    </row>
    <row r="40" spans="2:23" ht="15" thickBot="1" x14ac:dyDescent="0.4">
      <c r="B40" s="27" t="s">
        <v>67</v>
      </c>
      <c r="C40" s="30" t="s">
        <v>63</v>
      </c>
      <c r="D40" s="30" t="s">
        <v>24</v>
      </c>
      <c r="E40" s="31">
        <v>46026</v>
      </c>
      <c r="F40" s="31">
        <v>46034</v>
      </c>
      <c r="G40" s="30" t="s">
        <v>64</v>
      </c>
      <c r="H40" s="30" t="s">
        <v>58</v>
      </c>
      <c r="I40" s="31">
        <v>32180</v>
      </c>
      <c r="J40" s="30" t="s">
        <v>27</v>
      </c>
      <c r="K40" s="30" t="s">
        <v>28</v>
      </c>
      <c r="L40" s="30" t="s">
        <v>29</v>
      </c>
      <c r="M40" s="30" t="s">
        <v>30</v>
      </c>
      <c r="N40" s="30">
        <v>4</v>
      </c>
      <c r="O40" s="30">
        <v>2200</v>
      </c>
      <c r="P40" s="30">
        <v>0</v>
      </c>
      <c r="Q40" s="30">
        <v>8800</v>
      </c>
      <c r="R40" s="30">
        <v>1</v>
      </c>
      <c r="S40" s="30" t="s">
        <v>65</v>
      </c>
      <c r="T40" s="30" t="s">
        <v>32</v>
      </c>
      <c r="U40" s="30" t="s">
        <v>66</v>
      </c>
      <c r="V40" s="30">
        <v>9780584905</v>
      </c>
      <c r="W40" s="22" t="s">
        <v>34</v>
      </c>
    </row>
    <row r="41" spans="2:23" ht="15" thickBot="1" x14ac:dyDescent="0.4">
      <c r="B41" s="30" t="s">
        <v>71</v>
      </c>
      <c r="C41" s="27" t="s">
        <v>23</v>
      </c>
      <c r="D41" s="27" t="s">
        <v>68</v>
      </c>
      <c r="E41" s="28">
        <v>45712</v>
      </c>
      <c r="F41" s="28">
        <v>46078</v>
      </c>
      <c r="G41" s="27" t="s">
        <v>25</v>
      </c>
      <c r="H41" s="27" t="s">
        <v>26</v>
      </c>
      <c r="I41" s="28">
        <v>37700</v>
      </c>
      <c r="J41" s="27" t="s">
        <v>27</v>
      </c>
      <c r="K41" s="27" t="s">
        <v>28</v>
      </c>
      <c r="L41" s="27" t="s">
        <v>29</v>
      </c>
      <c r="M41" s="27" t="s">
        <v>70</v>
      </c>
      <c r="N41" s="27">
        <v>2</v>
      </c>
      <c r="O41" s="27">
        <v>3500</v>
      </c>
      <c r="P41" s="27">
        <v>5</v>
      </c>
      <c r="Q41" s="27">
        <v>6650</v>
      </c>
      <c r="R41" s="27">
        <v>1</v>
      </c>
      <c r="S41" s="27" t="s">
        <v>65</v>
      </c>
      <c r="T41" s="27" t="s">
        <v>32</v>
      </c>
      <c r="U41" s="27" t="s">
        <v>43</v>
      </c>
      <c r="V41" s="27">
        <v>9958252176</v>
      </c>
      <c r="W41" s="21" t="s">
        <v>34</v>
      </c>
    </row>
    <row r="42" spans="2:23" ht="15" thickBot="1" x14ac:dyDescent="0.4">
      <c r="B42" s="27" t="s">
        <v>77</v>
      </c>
      <c r="C42" s="30" t="s">
        <v>72</v>
      </c>
      <c r="D42" s="30" t="s">
        <v>36</v>
      </c>
      <c r="E42" s="31">
        <v>45760</v>
      </c>
      <c r="F42" s="31">
        <v>45766</v>
      </c>
      <c r="G42" s="30" t="s">
        <v>73</v>
      </c>
      <c r="H42" s="30" t="s">
        <v>26</v>
      </c>
      <c r="I42" s="31">
        <v>34765</v>
      </c>
      <c r="J42" s="30" t="s">
        <v>74</v>
      </c>
      <c r="K42" s="30" t="s">
        <v>75</v>
      </c>
      <c r="L42" s="30" t="s">
        <v>39</v>
      </c>
      <c r="M42" s="30" t="s">
        <v>40</v>
      </c>
      <c r="N42" s="30">
        <v>14</v>
      </c>
      <c r="O42" s="30">
        <v>12000</v>
      </c>
      <c r="P42" s="30">
        <v>15</v>
      </c>
      <c r="Q42" s="30">
        <v>142800</v>
      </c>
      <c r="R42" s="30">
        <v>4</v>
      </c>
      <c r="S42" s="30" t="s">
        <v>41</v>
      </c>
      <c r="T42" s="30" t="s">
        <v>32</v>
      </c>
      <c r="U42" s="32" t="s">
        <v>76</v>
      </c>
      <c r="V42" s="30">
        <v>9705521654</v>
      </c>
      <c r="W42" s="22" t="s">
        <v>34</v>
      </c>
    </row>
    <row r="43" spans="2:23" ht="15" thickBot="1" x14ac:dyDescent="0.4">
      <c r="B43" s="30" t="s">
        <v>81</v>
      </c>
      <c r="C43" s="27" t="s">
        <v>23</v>
      </c>
      <c r="D43" s="27" t="s">
        <v>36</v>
      </c>
      <c r="E43" s="28">
        <v>46053</v>
      </c>
      <c r="F43" s="28">
        <v>46055</v>
      </c>
      <c r="G43" s="27" t="s">
        <v>78</v>
      </c>
      <c r="H43" s="27" t="s">
        <v>26</v>
      </c>
      <c r="I43" s="28">
        <v>35526</v>
      </c>
      <c r="J43" s="27" t="s">
        <v>79</v>
      </c>
      <c r="K43" s="27" t="s">
        <v>75</v>
      </c>
      <c r="L43" s="27" t="s">
        <v>39</v>
      </c>
      <c r="M43" s="27" t="s">
        <v>40</v>
      </c>
      <c r="N43" s="27">
        <v>4</v>
      </c>
      <c r="O43" s="27">
        <v>12000</v>
      </c>
      <c r="P43" s="27">
        <v>15</v>
      </c>
      <c r="Q43" s="27">
        <v>40800</v>
      </c>
      <c r="R43" s="27">
        <v>4</v>
      </c>
      <c r="S43" s="27" t="s">
        <v>65</v>
      </c>
      <c r="T43" s="27" t="s">
        <v>80</v>
      </c>
      <c r="U43" s="27" t="s">
        <v>43</v>
      </c>
      <c r="V43" s="27">
        <v>9588041011</v>
      </c>
      <c r="W43" s="21" t="s">
        <v>34</v>
      </c>
    </row>
    <row r="44" spans="2:23" ht="15" thickBot="1" x14ac:dyDescent="0.4">
      <c r="B44" s="27" t="s">
        <v>86</v>
      </c>
      <c r="C44" s="30" t="s">
        <v>72</v>
      </c>
      <c r="D44" s="30" t="s">
        <v>82</v>
      </c>
      <c r="E44" s="31">
        <v>45741</v>
      </c>
      <c r="F44" s="31">
        <v>45743</v>
      </c>
      <c r="G44" s="30" t="s">
        <v>73</v>
      </c>
      <c r="H44" s="30" t="s">
        <v>26</v>
      </c>
      <c r="I44" s="31">
        <v>32880</v>
      </c>
      <c r="J44" s="30" t="s">
        <v>74</v>
      </c>
      <c r="K44" s="30" t="s">
        <v>75</v>
      </c>
      <c r="L44" s="30" t="s">
        <v>83</v>
      </c>
      <c r="M44" s="30" t="s">
        <v>84</v>
      </c>
      <c r="N44" s="30">
        <v>6</v>
      </c>
      <c r="O44" s="30">
        <v>60</v>
      </c>
      <c r="P44" s="30">
        <v>0</v>
      </c>
      <c r="Q44" s="30">
        <v>360</v>
      </c>
      <c r="R44" s="30">
        <v>4</v>
      </c>
      <c r="S44" s="30" t="s">
        <v>60</v>
      </c>
      <c r="T44" s="30" t="s">
        <v>80</v>
      </c>
      <c r="U44" s="32" t="s">
        <v>85</v>
      </c>
      <c r="V44" s="30">
        <v>9340540608</v>
      </c>
      <c r="W44" s="22" t="s">
        <v>34</v>
      </c>
    </row>
    <row r="45" spans="2:23" ht="15" thickBot="1" x14ac:dyDescent="0.4">
      <c r="B45" s="30" t="s">
        <v>90</v>
      </c>
      <c r="C45" s="27" t="s">
        <v>87</v>
      </c>
      <c r="D45" s="27" t="s">
        <v>24</v>
      </c>
      <c r="E45" s="28">
        <v>45919</v>
      </c>
      <c r="F45" s="28">
        <v>45923</v>
      </c>
      <c r="G45" s="27" t="s">
        <v>88</v>
      </c>
      <c r="H45" s="27" t="s">
        <v>58</v>
      </c>
      <c r="I45" s="28">
        <v>30081</v>
      </c>
      <c r="J45" s="27" t="s">
        <v>37</v>
      </c>
      <c r="K45" s="27" t="s">
        <v>38</v>
      </c>
      <c r="L45" s="27" t="s">
        <v>29</v>
      </c>
      <c r="M45" s="27" t="s">
        <v>30</v>
      </c>
      <c r="N45" s="27">
        <v>-3</v>
      </c>
      <c r="O45" s="27">
        <v>2200</v>
      </c>
      <c r="P45" s="27">
        <v>0</v>
      </c>
      <c r="Q45" s="27">
        <v>35200</v>
      </c>
      <c r="R45" s="27">
        <v>2</v>
      </c>
      <c r="S45" s="27" t="s">
        <v>60</v>
      </c>
      <c r="T45" s="27" t="s">
        <v>42</v>
      </c>
      <c r="U45" s="27" t="s">
        <v>89</v>
      </c>
      <c r="V45" s="27">
        <v>9521710321</v>
      </c>
      <c r="W45" s="27" t="s">
        <v>52</v>
      </c>
    </row>
    <row r="46" spans="2:23" ht="15" thickBot="1" x14ac:dyDescent="0.4">
      <c r="B46" s="27" t="s">
        <v>92</v>
      </c>
      <c r="C46" s="30" t="s">
        <v>23</v>
      </c>
      <c r="D46" s="30" t="s">
        <v>68</v>
      </c>
      <c r="E46" s="31">
        <v>45724</v>
      </c>
      <c r="F46" s="31">
        <v>45731</v>
      </c>
      <c r="G46" s="30" t="s">
        <v>25</v>
      </c>
      <c r="H46" s="30" t="s">
        <v>26</v>
      </c>
      <c r="I46" s="31">
        <v>29974</v>
      </c>
      <c r="J46" s="30" t="s">
        <v>91</v>
      </c>
      <c r="K46" s="30" t="s">
        <v>75</v>
      </c>
      <c r="L46" s="30" t="s">
        <v>29</v>
      </c>
      <c r="M46" s="30" t="s">
        <v>70</v>
      </c>
      <c r="N46" s="30">
        <v>10</v>
      </c>
      <c r="O46" s="30">
        <v>3500</v>
      </c>
      <c r="P46" s="30">
        <v>5</v>
      </c>
      <c r="Q46" s="30">
        <v>33250</v>
      </c>
      <c r="R46" s="30">
        <v>5</v>
      </c>
      <c r="S46" s="30" t="s">
        <v>60</v>
      </c>
      <c r="T46" s="30" t="s">
        <v>50</v>
      </c>
      <c r="U46" s="30" t="s">
        <v>43</v>
      </c>
      <c r="V46" s="30">
        <v>9123535241</v>
      </c>
      <c r="W46" s="30" t="s">
        <v>53</v>
      </c>
    </row>
    <row r="47" spans="2:23" ht="15" thickBot="1" x14ac:dyDescent="0.4">
      <c r="B47" s="30" t="s">
        <v>94</v>
      </c>
      <c r="C47" s="27" t="s">
        <v>72</v>
      </c>
      <c r="D47" s="27" t="s">
        <v>24</v>
      </c>
      <c r="E47" s="28">
        <v>45667</v>
      </c>
      <c r="F47" s="28">
        <v>45672</v>
      </c>
      <c r="G47" s="27" t="s">
        <v>73</v>
      </c>
      <c r="H47" s="27" t="s">
        <v>26</v>
      </c>
      <c r="I47" s="28">
        <v>33791</v>
      </c>
      <c r="J47" s="27" t="s">
        <v>79</v>
      </c>
      <c r="K47" s="27" t="s">
        <v>75</v>
      </c>
      <c r="L47" s="27" t="s">
        <v>29</v>
      </c>
      <c r="M47" s="27" t="s">
        <v>30</v>
      </c>
      <c r="N47" s="27">
        <v>15</v>
      </c>
      <c r="O47" s="27">
        <v>2200</v>
      </c>
      <c r="P47" s="27">
        <v>10</v>
      </c>
      <c r="Q47" s="27">
        <v>29700</v>
      </c>
      <c r="R47" s="27">
        <v>1</v>
      </c>
      <c r="S47" s="27" t="s">
        <v>65</v>
      </c>
      <c r="T47" s="27" t="s">
        <v>80</v>
      </c>
      <c r="U47" s="27" t="s">
        <v>93</v>
      </c>
      <c r="V47" s="27">
        <v>9367316892</v>
      </c>
      <c r="W47" s="27" t="s">
        <v>52</v>
      </c>
    </row>
    <row r="48" spans="2:23" ht="15" thickBot="1" x14ac:dyDescent="0.4">
      <c r="B48" s="27" t="s">
        <v>98</v>
      </c>
      <c r="C48" s="30" t="s">
        <v>87</v>
      </c>
      <c r="D48" s="30" t="s">
        <v>24</v>
      </c>
      <c r="E48" s="31">
        <v>45725</v>
      </c>
      <c r="F48" s="31">
        <v>45729</v>
      </c>
      <c r="G48" s="30" t="s">
        <v>95</v>
      </c>
      <c r="H48" s="30" t="s">
        <v>58</v>
      </c>
      <c r="I48" s="31">
        <v>37334</v>
      </c>
      <c r="J48" s="30" t="s">
        <v>74</v>
      </c>
      <c r="K48" s="30" t="s">
        <v>75</v>
      </c>
      <c r="L48" s="30" t="s">
        <v>29</v>
      </c>
      <c r="M48" s="30" t="s">
        <v>30</v>
      </c>
      <c r="N48" s="30">
        <v>17</v>
      </c>
      <c r="O48" s="30">
        <v>2200</v>
      </c>
      <c r="P48" s="30">
        <v>5</v>
      </c>
      <c r="Q48" s="30">
        <v>35530</v>
      </c>
      <c r="R48" s="30">
        <v>1</v>
      </c>
      <c r="S48" s="30" t="s">
        <v>31</v>
      </c>
      <c r="T48" s="30" t="s">
        <v>96</v>
      </c>
      <c r="U48" s="32" t="s">
        <v>97</v>
      </c>
      <c r="V48" s="30">
        <v>9778489803</v>
      </c>
      <c r="W48" s="22" t="s">
        <v>34</v>
      </c>
    </row>
    <row r="49" spans="2:23" ht="15" thickBot="1" x14ac:dyDescent="0.4">
      <c r="B49" s="30" t="s">
        <v>100</v>
      </c>
      <c r="C49" s="27" t="s">
        <v>23</v>
      </c>
      <c r="D49" s="27" t="s">
        <v>68</v>
      </c>
      <c r="E49" s="28">
        <v>45864</v>
      </c>
      <c r="F49" s="28">
        <v>45876</v>
      </c>
      <c r="G49" s="27" t="s">
        <v>99</v>
      </c>
      <c r="H49" s="27" t="s">
        <v>26</v>
      </c>
      <c r="I49" s="28">
        <v>36908</v>
      </c>
      <c r="J49" s="27" t="s">
        <v>74</v>
      </c>
      <c r="K49" s="27" t="s">
        <v>75</v>
      </c>
      <c r="L49" s="27" t="s">
        <v>29</v>
      </c>
      <c r="M49" s="27" t="s">
        <v>70</v>
      </c>
      <c r="N49" s="27">
        <v>15</v>
      </c>
      <c r="O49" s="27">
        <v>3500</v>
      </c>
      <c r="P49" s="27">
        <v>15</v>
      </c>
      <c r="Q49" s="27">
        <v>44625</v>
      </c>
      <c r="R49" s="27">
        <v>2</v>
      </c>
      <c r="S49" s="27" t="s">
        <v>31</v>
      </c>
      <c r="T49" s="27" t="s">
        <v>80</v>
      </c>
      <c r="U49" s="29" t="s">
        <v>43</v>
      </c>
      <c r="V49" s="27">
        <v>9582960180</v>
      </c>
      <c r="W49" s="27" t="s">
        <v>53</v>
      </c>
    </row>
    <row r="50" spans="2:23" ht="15" thickBot="1" x14ac:dyDescent="0.4">
      <c r="B50" s="27" t="s">
        <v>103</v>
      </c>
      <c r="C50" s="30" t="s">
        <v>45</v>
      </c>
      <c r="D50" s="30" t="s">
        <v>56</v>
      </c>
      <c r="E50" s="31">
        <v>46120</v>
      </c>
      <c r="F50" s="31">
        <v>46123</v>
      </c>
      <c r="G50" s="30" t="s">
        <v>101</v>
      </c>
      <c r="H50" s="30" t="s">
        <v>26</v>
      </c>
      <c r="I50" s="31">
        <v>37357</v>
      </c>
      <c r="J50" s="30" t="s">
        <v>27</v>
      </c>
      <c r="K50" s="30" t="s">
        <v>28</v>
      </c>
      <c r="L50" s="30" t="s">
        <v>39</v>
      </c>
      <c r="M50" s="30" t="s">
        <v>59</v>
      </c>
      <c r="N50" s="30">
        <v>3</v>
      </c>
      <c r="O50" s="30">
        <v>1200</v>
      </c>
      <c r="P50" s="30">
        <v>5</v>
      </c>
      <c r="Q50" s="30">
        <v>3420</v>
      </c>
      <c r="R50" s="30">
        <v>5</v>
      </c>
      <c r="S50" s="30" t="s">
        <v>65</v>
      </c>
      <c r="T50" s="30" t="s">
        <v>32</v>
      </c>
      <c r="U50" s="30" t="s">
        <v>102</v>
      </c>
      <c r="V50" s="30">
        <v>9611394005</v>
      </c>
      <c r="W50" s="22" t="s">
        <v>34</v>
      </c>
    </row>
    <row r="51" spans="2:23" ht="15" thickBot="1" x14ac:dyDescent="0.4">
      <c r="B51" s="30" t="s">
        <v>109</v>
      </c>
      <c r="C51" s="27" t="s">
        <v>104</v>
      </c>
      <c r="D51" s="27" t="s">
        <v>105</v>
      </c>
      <c r="E51" s="28">
        <v>46075</v>
      </c>
      <c r="F51" s="28">
        <v>46084</v>
      </c>
      <c r="G51" s="27" t="s">
        <v>106</v>
      </c>
      <c r="H51" s="27" t="s">
        <v>26</v>
      </c>
      <c r="I51" s="28">
        <v>37272</v>
      </c>
      <c r="J51" s="27" t="s">
        <v>79</v>
      </c>
      <c r="K51" s="27" t="s">
        <v>75</v>
      </c>
      <c r="L51" s="27" t="s">
        <v>29</v>
      </c>
      <c r="M51" s="27" t="s">
        <v>107</v>
      </c>
      <c r="N51" s="27">
        <v>13</v>
      </c>
      <c r="O51" s="27">
        <v>8500</v>
      </c>
      <c r="P51" s="27">
        <v>20</v>
      </c>
      <c r="Q51" s="27">
        <v>88400</v>
      </c>
      <c r="R51" s="27">
        <v>4</v>
      </c>
      <c r="S51" s="27" t="s">
        <v>60</v>
      </c>
      <c r="T51" s="27" t="s">
        <v>42</v>
      </c>
      <c r="U51" s="27" t="s">
        <v>108</v>
      </c>
      <c r="V51" s="27">
        <v>9692599404</v>
      </c>
      <c r="W51" s="27" t="s">
        <v>52</v>
      </c>
    </row>
    <row r="52" spans="2:23" ht="15" thickBot="1" x14ac:dyDescent="0.4">
      <c r="B52" s="27" t="s">
        <v>111</v>
      </c>
      <c r="C52" s="30" t="s">
        <v>63</v>
      </c>
      <c r="D52" s="30" t="s">
        <v>105</v>
      </c>
      <c r="E52" s="31">
        <v>46081</v>
      </c>
      <c r="F52" s="31">
        <v>46086</v>
      </c>
      <c r="G52" s="30" t="s">
        <v>110</v>
      </c>
      <c r="H52" s="30" t="s">
        <v>58</v>
      </c>
      <c r="I52" s="31">
        <v>32790</v>
      </c>
      <c r="J52" s="30" t="s">
        <v>91</v>
      </c>
      <c r="K52" s="30" t="s">
        <v>75</v>
      </c>
      <c r="L52" s="30" t="s">
        <v>29</v>
      </c>
      <c r="M52" s="30" t="s">
        <v>107</v>
      </c>
      <c r="N52" s="30">
        <v>4</v>
      </c>
      <c r="O52" s="30">
        <v>8500</v>
      </c>
      <c r="P52" s="30">
        <v>20</v>
      </c>
      <c r="Q52" s="30">
        <v>27200</v>
      </c>
      <c r="R52" s="30">
        <v>5</v>
      </c>
      <c r="S52" s="30" t="s">
        <v>60</v>
      </c>
      <c r="T52" s="30" t="s">
        <v>50</v>
      </c>
      <c r="U52" s="30" t="s">
        <v>66</v>
      </c>
      <c r="V52" s="30">
        <v>9426119622</v>
      </c>
      <c r="W52" s="30" t="s">
        <v>52</v>
      </c>
    </row>
    <row r="53" spans="2:23" ht="15" thickBot="1" x14ac:dyDescent="0.4">
      <c r="B53" s="30" t="s">
        <v>116</v>
      </c>
      <c r="C53" s="27" t="s">
        <v>63</v>
      </c>
      <c r="D53" s="27" t="s">
        <v>112</v>
      </c>
      <c r="E53" s="28">
        <v>45992</v>
      </c>
      <c r="F53" s="28">
        <v>45995</v>
      </c>
      <c r="G53" s="27" t="s">
        <v>113</v>
      </c>
      <c r="H53" s="27" t="s">
        <v>58</v>
      </c>
      <c r="I53" s="28">
        <v>33539</v>
      </c>
      <c r="J53" s="27" t="s">
        <v>74</v>
      </c>
      <c r="K53" s="27" t="s">
        <v>75</v>
      </c>
      <c r="L53" s="27" t="s">
        <v>39</v>
      </c>
      <c r="M53" s="27" t="s">
        <v>114</v>
      </c>
      <c r="N53" s="27">
        <v>9</v>
      </c>
      <c r="O53" s="27">
        <v>700</v>
      </c>
      <c r="P53" s="27">
        <v>5</v>
      </c>
      <c r="Q53" s="27">
        <v>5985</v>
      </c>
      <c r="R53" s="27">
        <v>3</v>
      </c>
      <c r="S53" s="27" t="s">
        <v>65</v>
      </c>
      <c r="T53" s="27" t="s">
        <v>32</v>
      </c>
      <c r="U53" s="29" t="s">
        <v>115</v>
      </c>
      <c r="V53" s="27">
        <v>9184436009</v>
      </c>
      <c r="W53" s="27" t="s">
        <v>52</v>
      </c>
    </row>
    <row r="54" spans="2:23" ht="15" thickBot="1" x14ac:dyDescent="0.4">
      <c r="B54" s="27" t="s">
        <v>117</v>
      </c>
      <c r="C54" s="30" t="s">
        <v>23</v>
      </c>
      <c r="D54" s="30" t="s">
        <v>46</v>
      </c>
      <c r="E54" s="31">
        <v>45833</v>
      </c>
      <c r="F54" s="31">
        <v>45841</v>
      </c>
      <c r="G54" s="30" t="s">
        <v>25</v>
      </c>
      <c r="H54" s="30" t="s">
        <v>26</v>
      </c>
      <c r="I54" s="31">
        <v>32933</v>
      </c>
      <c r="J54" s="30" t="s">
        <v>91</v>
      </c>
      <c r="K54" s="30" t="s">
        <v>75</v>
      </c>
      <c r="L54" s="30" t="s">
        <v>39</v>
      </c>
      <c r="M54" s="30" t="s">
        <v>49</v>
      </c>
      <c r="N54" s="30">
        <v>8</v>
      </c>
      <c r="O54" s="30">
        <v>55000</v>
      </c>
      <c r="P54" s="30">
        <v>20</v>
      </c>
      <c r="Q54" s="30">
        <v>352000</v>
      </c>
      <c r="R54" s="30">
        <v>1</v>
      </c>
      <c r="S54" s="30" t="s">
        <v>31</v>
      </c>
      <c r="T54" s="30" t="s">
        <v>96</v>
      </c>
      <c r="U54" s="30" t="s">
        <v>43</v>
      </c>
      <c r="V54" s="30">
        <v>9263774934</v>
      </c>
      <c r="W54" s="22" t="s">
        <v>34</v>
      </c>
    </row>
    <row r="55" spans="2:23" ht="15" thickBot="1" x14ac:dyDescent="0.4">
      <c r="B55" s="30" t="s">
        <v>119</v>
      </c>
      <c r="C55" s="27" t="s">
        <v>87</v>
      </c>
      <c r="D55" s="27" t="s">
        <v>112</v>
      </c>
      <c r="E55" s="28">
        <v>45773</v>
      </c>
      <c r="F55" s="28">
        <v>45782</v>
      </c>
      <c r="G55" s="27" t="s">
        <v>88</v>
      </c>
      <c r="H55" s="27" t="s">
        <v>58</v>
      </c>
      <c r="I55" s="28">
        <v>37455</v>
      </c>
      <c r="J55" s="27" t="s">
        <v>37</v>
      </c>
      <c r="K55" s="27" t="s">
        <v>38</v>
      </c>
      <c r="L55" s="27" t="s">
        <v>118</v>
      </c>
      <c r="M55" s="27" t="s">
        <v>114</v>
      </c>
      <c r="N55" s="27">
        <v>10</v>
      </c>
      <c r="O55" s="27">
        <v>700</v>
      </c>
      <c r="P55" s="27">
        <v>20</v>
      </c>
      <c r="Q55" s="27">
        <v>5600</v>
      </c>
      <c r="R55" s="27">
        <v>4</v>
      </c>
      <c r="S55" s="27" t="s">
        <v>60</v>
      </c>
      <c r="T55" s="27" t="s">
        <v>50</v>
      </c>
      <c r="U55" s="27" t="s">
        <v>89</v>
      </c>
      <c r="V55" s="27">
        <v>9473159572</v>
      </c>
      <c r="W55" s="27" t="s">
        <v>53</v>
      </c>
    </row>
    <row r="56" spans="2:23" ht="15" thickBot="1" x14ac:dyDescent="0.4">
      <c r="B56" s="27" t="s">
        <v>120</v>
      </c>
      <c r="C56" s="30" t="s">
        <v>23</v>
      </c>
      <c r="D56" s="30" t="s">
        <v>68</v>
      </c>
      <c r="E56" s="31">
        <v>45660</v>
      </c>
      <c r="F56" s="31">
        <v>45665</v>
      </c>
      <c r="G56" s="30" t="s">
        <v>78</v>
      </c>
      <c r="H56" s="30" t="s">
        <v>26</v>
      </c>
      <c r="I56" s="31">
        <v>38336</v>
      </c>
      <c r="J56" s="30" t="s">
        <v>48</v>
      </c>
      <c r="K56" s="30" t="s">
        <v>28</v>
      </c>
      <c r="L56" s="30" t="s">
        <v>29</v>
      </c>
      <c r="M56" s="30" t="s">
        <v>70</v>
      </c>
      <c r="N56" s="30">
        <v>1</v>
      </c>
      <c r="O56" s="30">
        <v>3500</v>
      </c>
      <c r="P56" s="30">
        <v>5</v>
      </c>
      <c r="Q56" s="30">
        <v>3325</v>
      </c>
      <c r="R56" s="30">
        <v>3</v>
      </c>
      <c r="S56" s="30" t="s">
        <v>65</v>
      </c>
      <c r="T56" s="30" t="s">
        <v>80</v>
      </c>
      <c r="U56" s="30" t="s">
        <v>43</v>
      </c>
      <c r="V56" s="30">
        <v>9660493688</v>
      </c>
      <c r="W56" s="30" t="s">
        <v>53</v>
      </c>
    </row>
    <row r="57" spans="2:23" ht="15" thickBot="1" x14ac:dyDescent="0.4">
      <c r="B57" s="30" t="s">
        <v>122</v>
      </c>
      <c r="C57" s="27" t="s">
        <v>72</v>
      </c>
      <c r="D57" s="27" t="s">
        <v>112</v>
      </c>
      <c r="E57" s="28">
        <v>45766</v>
      </c>
      <c r="F57" s="28">
        <v>45777</v>
      </c>
      <c r="G57" s="27" t="s">
        <v>73</v>
      </c>
      <c r="H57" s="27" t="s">
        <v>26</v>
      </c>
      <c r="I57" s="28">
        <v>30867</v>
      </c>
      <c r="J57" s="27" t="s">
        <v>121</v>
      </c>
      <c r="K57" s="27" t="s">
        <v>38</v>
      </c>
      <c r="L57" s="27" t="s">
        <v>39</v>
      </c>
      <c r="M57" s="27" t="s">
        <v>114</v>
      </c>
      <c r="N57" s="27">
        <v>19</v>
      </c>
      <c r="O57" s="27">
        <v>700</v>
      </c>
      <c r="P57" s="27">
        <v>15</v>
      </c>
      <c r="Q57" s="27">
        <v>11305</v>
      </c>
      <c r="R57" s="27">
        <v>3</v>
      </c>
      <c r="S57" s="27" t="s">
        <v>41</v>
      </c>
      <c r="T57" s="27" t="s">
        <v>96</v>
      </c>
      <c r="U57" s="27" t="s">
        <v>93</v>
      </c>
      <c r="V57" s="27">
        <v>9513325819</v>
      </c>
      <c r="W57" s="27" t="s">
        <v>52</v>
      </c>
    </row>
    <row r="58" spans="2:23" ht="15" thickBot="1" x14ac:dyDescent="0.4">
      <c r="B58" s="27" t="s">
        <v>123</v>
      </c>
      <c r="C58" s="30" t="s">
        <v>55</v>
      </c>
      <c r="D58" s="30" t="s">
        <v>46</v>
      </c>
      <c r="E58" s="31">
        <v>46013</v>
      </c>
      <c r="F58" s="31">
        <v>46023</v>
      </c>
      <c r="G58" s="30" t="s">
        <v>57</v>
      </c>
      <c r="H58" s="30" t="s">
        <v>58</v>
      </c>
      <c r="I58" s="31">
        <v>28546</v>
      </c>
      <c r="J58" s="30" t="s">
        <v>48</v>
      </c>
      <c r="K58" s="30" t="s">
        <v>28</v>
      </c>
      <c r="L58" s="30" t="s">
        <v>39</v>
      </c>
      <c r="M58" s="30" t="s">
        <v>49</v>
      </c>
      <c r="N58" s="30">
        <v>12</v>
      </c>
      <c r="O58" s="30">
        <v>55000</v>
      </c>
      <c r="P58" s="30">
        <v>0</v>
      </c>
      <c r="Q58" s="30">
        <v>660000</v>
      </c>
      <c r="R58" s="30">
        <v>1</v>
      </c>
      <c r="S58" s="30" t="s">
        <v>60</v>
      </c>
      <c r="T58" s="30" t="s">
        <v>42</v>
      </c>
      <c r="U58" s="30" t="s">
        <v>61</v>
      </c>
      <c r="V58" s="30">
        <v>9641063242</v>
      </c>
      <c r="W58" s="30" t="s">
        <v>52</v>
      </c>
    </row>
    <row r="59" spans="2:23" ht="15" thickBot="1" x14ac:dyDescent="0.4">
      <c r="B59" s="30" t="s">
        <v>129</v>
      </c>
      <c r="C59" s="27" t="s">
        <v>124</v>
      </c>
      <c r="D59" s="27" t="s">
        <v>125</v>
      </c>
      <c r="E59" s="28">
        <v>46121</v>
      </c>
      <c r="F59" s="28">
        <v>46132</v>
      </c>
      <c r="G59" s="27" t="s">
        <v>126</v>
      </c>
      <c r="H59" s="27" t="s">
        <v>58</v>
      </c>
      <c r="I59" s="28">
        <v>33453</v>
      </c>
      <c r="J59" s="27" t="s">
        <v>74</v>
      </c>
      <c r="K59" s="27" t="s">
        <v>75</v>
      </c>
      <c r="L59" s="27" t="s">
        <v>83</v>
      </c>
      <c r="M59" s="27" t="s">
        <v>127</v>
      </c>
      <c r="N59" s="27">
        <v>1</v>
      </c>
      <c r="O59" s="27">
        <v>20</v>
      </c>
      <c r="P59" s="27">
        <v>5</v>
      </c>
      <c r="Q59" s="27">
        <v>19</v>
      </c>
      <c r="R59" s="27">
        <v>5</v>
      </c>
      <c r="S59" s="27" t="s">
        <v>60</v>
      </c>
      <c r="T59" s="27" t="s">
        <v>32</v>
      </c>
      <c r="U59" s="27" t="s">
        <v>128</v>
      </c>
      <c r="V59" s="27">
        <v>9277372518</v>
      </c>
      <c r="W59" s="27" t="s">
        <v>53</v>
      </c>
    </row>
    <row r="60" spans="2:23" ht="15" thickBot="1" x14ac:dyDescent="0.4">
      <c r="B60" s="27" t="s">
        <v>130</v>
      </c>
      <c r="C60" s="30" t="s">
        <v>63</v>
      </c>
      <c r="D60" s="30" t="s">
        <v>125</v>
      </c>
      <c r="E60" s="31">
        <v>45832</v>
      </c>
      <c r="F60" s="31">
        <v>45840</v>
      </c>
      <c r="G60" s="30" t="s">
        <v>110</v>
      </c>
      <c r="H60" s="30" t="s">
        <v>58</v>
      </c>
      <c r="I60" s="31">
        <v>28470</v>
      </c>
      <c r="J60" s="30" t="s">
        <v>74</v>
      </c>
      <c r="K60" s="30" t="s">
        <v>75</v>
      </c>
      <c r="L60" s="30" t="s">
        <v>83</v>
      </c>
      <c r="M60" s="30" t="s">
        <v>127</v>
      </c>
      <c r="N60" s="30">
        <v>2</v>
      </c>
      <c r="O60" s="30">
        <v>20</v>
      </c>
      <c r="P60" s="30">
        <v>15</v>
      </c>
      <c r="Q60" s="30">
        <v>34</v>
      </c>
      <c r="R60" s="30">
        <v>1</v>
      </c>
      <c r="S60" s="30" t="s">
        <v>65</v>
      </c>
      <c r="T60" s="30" t="s">
        <v>32</v>
      </c>
      <c r="U60" s="30" t="s">
        <v>66</v>
      </c>
      <c r="V60" s="30">
        <v>9193154372</v>
      </c>
      <c r="W60" s="30" t="s">
        <v>52</v>
      </c>
    </row>
    <row r="61" spans="2:23" ht="15" thickBot="1" x14ac:dyDescent="0.4">
      <c r="B61" s="30" t="s">
        <v>131</v>
      </c>
      <c r="C61" s="27" t="s">
        <v>55</v>
      </c>
      <c r="D61" s="27" t="s">
        <v>68</v>
      </c>
      <c r="E61" s="28">
        <v>45799</v>
      </c>
      <c r="F61" s="28">
        <v>45802</v>
      </c>
      <c r="G61" s="27" t="s">
        <v>57</v>
      </c>
      <c r="H61" s="27" t="s">
        <v>58</v>
      </c>
      <c r="I61" s="28">
        <v>33642</v>
      </c>
      <c r="J61" s="27" t="s">
        <v>91</v>
      </c>
      <c r="K61" s="27" t="s">
        <v>75</v>
      </c>
      <c r="L61" s="27" t="s">
        <v>29</v>
      </c>
      <c r="M61" s="27" t="s">
        <v>70</v>
      </c>
      <c r="N61" s="27">
        <v>12</v>
      </c>
      <c r="O61" s="27">
        <v>3500</v>
      </c>
      <c r="P61" s="27">
        <v>15</v>
      </c>
      <c r="Q61" s="27">
        <v>35700</v>
      </c>
      <c r="R61" s="27">
        <v>4</v>
      </c>
      <c r="S61" s="27" t="s">
        <v>31</v>
      </c>
      <c r="T61" s="27" t="s">
        <v>42</v>
      </c>
      <c r="U61" s="27" t="s">
        <v>61</v>
      </c>
      <c r="V61" s="27">
        <v>9400073244</v>
      </c>
      <c r="W61" s="27" t="s">
        <v>53</v>
      </c>
    </row>
    <row r="62" spans="2:23" ht="15" thickBot="1" x14ac:dyDescent="0.4">
      <c r="B62" s="27" t="s">
        <v>132</v>
      </c>
      <c r="C62" s="30" t="s">
        <v>23</v>
      </c>
      <c r="D62" s="30" t="s">
        <v>56</v>
      </c>
      <c r="E62" s="31">
        <v>46094</v>
      </c>
      <c r="F62" s="31">
        <v>46101</v>
      </c>
      <c r="G62" s="30" t="s">
        <v>25</v>
      </c>
      <c r="H62" s="30" t="s">
        <v>26</v>
      </c>
      <c r="I62" s="31">
        <v>38143</v>
      </c>
      <c r="J62" s="30" t="s">
        <v>91</v>
      </c>
      <c r="K62" s="30" t="s">
        <v>75</v>
      </c>
      <c r="L62" s="30" t="s">
        <v>39</v>
      </c>
      <c r="M62" s="30" t="s">
        <v>59</v>
      </c>
      <c r="N62" s="30">
        <v>11</v>
      </c>
      <c r="O62" s="30">
        <v>1200</v>
      </c>
      <c r="P62" s="30">
        <v>0</v>
      </c>
      <c r="Q62" s="30">
        <v>13200</v>
      </c>
      <c r="R62" s="30">
        <v>2</v>
      </c>
      <c r="S62" s="30" t="s">
        <v>65</v>
      </c>
      <c r="T62" s="30" t="s">
        <v>96</v>
      </c>
      <c r="U62" s="30" t="s">
        <v>43</v>
      </c>
      <c r="V62" s="30">
        <v>9771556720</v>
      </c>
      <c r="W62" s="22" t="s">
        <v>34</v>
      </c>
    </row>
    <row r="63" spans="2:23" ht="15" thickBot="1" x14ac:dyDescent="0.4">
      <c r="B63" s="30" t="s">
        <v>133</v>
      </c>
      <c r="C63" s="27" t="s">
        <v>87</v>
      </c>
      <c r="D63" s="27" t="s">
        <v>105</v>
      </c>
      <c r="E63" s="28">
        <v>45908</v>
      </c>
      <c r="F63" s="28">
        <v>45920</v>
      </c>
      <c r="G63" s="27" t="s">
        <v>88</v>
      </c>
      <c r="H63" s="27" t="s">
        <v>58</v>
      </c>
      <c r="I63" s="28">
        <v>37114</v>
      </c>
      <c r="J63" s="27" t="s">
        <v>79</v>
      </c>
      <c r="K63" s="27" t="s">
        <v>75</v>
      </c>
      <c r="L63" s="27" t="s">
        <v>29</v>
      </c>
      <c r="M63" s="27" t="s">
        <v>107</v>
      </c>
      <c r="N63" s="27">
        <v>6</v>
      </c>
      <c r="O63" s="27">
        <v>8500</v>
      </c>
      <c r="P63" s="27">
        <v>65</v>
      </c>
      <c r="Q63" s="27">
        <v>51000</v>
      </c>
      <c r="R63" s="27">
        <v>1</v>
      </c>
      <c r="S63" s="27" t="s">
        <v>60</v>
      </c>
      <c r="T63" s="27" t="s">
        <v>50</v>
      </c>
      <c r="U63" s="27" t="s">
        <v>89</v>
      </c>
      <c r="V63" s="27">
        <v>9127480734</v>
      </c>
      <c r="W63" s="21" t="s">
        <v>34</v>
      </c>
    </row>
    <row r="64" spans="2:23" ht="15" thickBot="1" x14ac:dyDescent="0.4">
      <c r="B64" s="27" t="s">
        <v>137</v>
      </c>
      <c r="C64" s="30" t="s">
        <v>134</v>
      </c>
      <c r="D64" s="30" t="s">
        <v>82</v>
      </c>
      <c r="E64" s="31">
        <v>46033</v>
      </c>
      <c r="F64" s="31">
        <v>46038</v>
      </c>
      <c r="G64" s="30" t="s">
        <v>135</v>
      </c>
      <c r="H64" s="30" t="s">
        <v>26</v>
      </c>
      <c r="I64" s="31">
        <v>29680</v>
      </c>
      <c r="J64" s="30" t="s">
        <v>79</v>
      </c>
      <c r="K64" s="30" t="s">
        <v>75</v>
      </c>
      <c r="L64" s="30" t="s">
        <v>83</v>
      </c>
      <c r="M64" s="30" t="s">
        <v>84</v>
      </c>
      <c r="N64" s="30">
        <v>2</v>
      </c>
      <c r="O64" s="30">
        <v>60</v>
      </c>
      <c r="P64" s="30">
        <v>5</v>
      </c>
      <c r="Q64" s="30">
        <v>114</v>
      </c>
      <c r="R64" s="30">
        <v>3</v>
      </c>
      <c r="S64" s="30" t="s">
        <v>31</v>
      </c>
      <c r="T64" s="30" t="s">
        <v>96</v>
      </c>
      <c r="U64" s="30" t="s">
        <v>136</v>
      </c>
      <c r="V64" s="30">
        <v>9512997042</v>
      </c>
      <c r="W64" s="30" t="s">
        <v>53</v>
      </c>
    </row>
    <row r="65" spans="2:23" ht="15" thickBot="1" x14ac:dyDescent="0.4">
      <c r="B65" s="30" t="s">
        <v>140</v>
      </c>
      <c r="C65" s="27" t="s">
        <v>23</v>
      </c>
      <c r="D65" s="27" t="s">
        <v>138</v>
      </c>
      <c r="E65" s="28">
        <v>45824</v>
      </c>
      <c r="F65" s="28">
        <v>45834</v>
      </c>
      <c r="G65" s="27" t="s">
        <v>25</v>
      </c>
      <c r="H65" s="27" t="s">
        <v>26</v>
      </c>
      <c r="I65" s="28">
        <v>35248</v>
      </c>
      <c r="J65" s="27" t="s">
        <v>48</v>
      </c>
      <c r="K65" s="27" t="s">
        <v>28</v>
      </c>
      <c r="L65" s="27" t="s">
        <v>83</v>
      </c>
      <c r="M65" s="27" t="s">
        <v>139</v>
      </c>
      <c r="N65" s="27">
        <v>19</v>
      </c>
      <c r="O65" s="27">
        <v>45</v>
      </c>
      <c r="P65" s="27">
        <v>20</v>
      </c>
      <c r="Q65" s="27">
        <v>684</v>
      </c>
      <c r="R65" s="27">
        <v>4</v>
      </c>
      <c r="S65" s="27" t="s">
        <v>41</v>
      </c>
      <c r="T65" s="27" t="s">
        <v>50</v>
      </c>
      <c r="U65" s="27" t="s">
        <v>43</v>
      </c>
      <c r="V65" s="27">
        <v>9372748661</v>
      </c>
      <c r="W65" s="27" t="s">
        <v>53</v>
      </c>
    </row>
    <row r="66" spans="2:23" ht="15" thickBot="1" x14ac:dyDescent="0.4">
      <c r="B66" s="27" t="s">
        <v>141</v>
      </c>
      <c r="C66" s="30" t="s">
        <v>72</v>
      </c>
      <c r="D66" s="30" t="s">
        <v>36</v>
      </c>
      <c r="E66" s="31">
        <v>45839</v>
      </c>
      <c r="F66" s="31">
        <v>45851</v>
      </c>
      <c r="G66" s="30" t="s">
        <v>73</v>
      </c>
      <c r="H66" s="30" t="s">
        <v>26</v>
      </c>
      <c r="I66" s="31">
        <v>28079</v>
      </c>
      <c r="J66" s="30" t="s">
        <v>91</v>
      </c>
      <c r="K66" s="30" t="s">
        <v>75</v>
      </c>
      <c r="L66" s="30" t="s">
        <v>39</v>
      </c>
      <c r="M66" s="30" t="s">
        <v>40</v>
      </c>
      <c r="N66" s="30">
        <v>11</v>
      </c>
      <c r="O66" s="30">
        <v>12000</v>
      </c>
      <c r="P66" s="30">
        <v>0</v>
      </c>
      <c r="Q66" s="30">
        <v>132000</v>
      </c>
      <c r="R66" s="30">
        <v>3</v>
      </c>
      <c r="S66" s="30" t="s">
        <v>65</v>
      </c>
      <c r="T66" s="30" t="s">
        <v>32</v>
      </c>
      <c r="U66" s="30" t="s">
        <v>93</v>
      </c>
      <c r="V66" s="30">
        <v>9570437805</v>
      </c>
      <c r="W66" s="30" t="s">
        <v>52</v>
      </c>
    </row>
    <row r="67" spans="2:23" ht="15" thickBot="1" x14ac:dyDescent="0.4">
      <c r="B67" s="30" t="s">
        <v>142</v>
      </c>
      <c r="C67" s="27" t="s">
        <v>134</v>
      </c>
      <c r="D67" s="27" t="s">
        <v>24</v>
      </c>
      <c r="E67" s="28">
        <v>45723</v>
      </c>
      <c r="F67" s="28">
        <v>45731</v>
      </c>
      <c r="G67" s="27" t="s">
        <v>135</v>
      </c>
      <c r="H67" s="27" t="s">
        <v>26</v>
      </c>
      <c r="I67" s="28">
        <v>32444</v>
      </c>
      <c r="J67" s="27" t="s">
        <v>48</v>
      </c>
      <c r="K67" s="27" t="s">
        <v>28</v>
      </c>
      <c r="L67" s="27" t="s">
        <v>29</v>
      </c>
      <c r="M67" s="27" t="s">
        <v>30</v>
      </c>
      <c r="N67" s="27">
        <v>20</v>
      </c>
      <c r="O67" s="27">
        <v>2200</v>
      </c>
      <c r="P67" s="27">
        <v>5</v>
      </c>
      <c r="Q67" s="27">
        <v>41800</v>
      </c>
      <c r="R67" s="27">
        <v>1</v>
      </c>
      <c r="S67" s="27" t="s">
        <v>31</v>
      </c>
      <c r="T67" s="27" t="s">
        <v>42</v>
      </c>
      <c r="U67" s="27" t="s">
        <v>136</v>
      </c>
      <c r="V67" s="27">
        <v>9310669113</v>
      </c>
      <c r="W67" s="27" t="s">
        <v>52</v>
      </c>
    </row>
    <row r="68" spans="2:23" ht="15" thickBot="1" x14ac:dyDescent="0.4">
      <c r="B68" s="27" t="s">
        <v>144</v>
      </c>
      <c r="C68" s="30" t="s">
        <v>63</v>
      </c>
      <c r="D68" s="30" t="s">
        <v>125</v>
      </c>
      <c r="E68" s="31">
        <v>45832</v>
      </c>
      <c r="F68" s="31">
        <v>45842</v>
      </c>
      <c r="G68" s="30" t="s">
        <v>110</v>
      </c>
      <c r="H68" s="30" t="s">
        <v>58</v>
      </c>
      <c r="I68" s="31">
        <v>38161</v>
      </c>
      <c r="J68" s="30" t="s">
        <v>91</v>
      </c>
      <c r="K68" s="30" t="s">
        <v>75</v>
      </c>
      <c r="L68" s="30" t="s">
        <v>83</v>
      </c>
      <c r="M68" s="30" t="s">
        <v>127</v>
      </c>
      <c r="N68" s="30">
        <v>3</v>
      </c>
      <c r="O68" s="30">
        <v>20</v>
      </c>
      <c r="P68" s="30">
        <v>0</v>
      </c>
      <c r="Q68" s="30">
        <v>60</v>
      </c>
      <c r="R68" s="30">
        <v>2</v>
      </c>
      <c r="S68" s="30" t="s">
        <v>60</v>
      </c>
      <c r="T68" s="30" t="s">
        <v>32</v>
      </c>
      <c r="U68" s="30" t="s">
        <v>143</v>
      </c>
      <c r="V68" s="30">
        <v>9437132894</v>
      </c>
      <c r="W68" s="30" t="s">
        <v>53</v>
      </c>
    </row>
    <row r="69" spans="2:23" ht="15" thickBot="1" x14ac:dyDescent="0.4">
      <c r="B69" s="30" t="s">
        <v>145</v>
      </c>
      <c r="C69" s="27" t="s">
        <v>87</v>
      </c>
      <c r="D69" s="27" t="s">
        <v>138</v>
      </c>
      <c r="E69" s="28">
        <v>45939</v>
      </c>
      <c r="F69" s="28">
        <v>45949</v>
      </c>
      <c r="G69" s="27" t="s">
        <v>88</v>
      </c>
      <c r="H69" s="27" t="s">
        <v>58</v>
      </c>
      <c r="I69" s="28">
        <v>35177</v>
      </c>
      <c r="J69" s="27" t="s">
        <v>79</v>
      </c>
      <c r="K69" s="27" t="s">
        <v>75</v>
      </c>
      <c r="L69" s="27" t="s">
        <v>83</v>
      </c>
      <c r="M69" s="27" t="s">
        <v>139</v>
      </c>
      <c r="N69" s="27">
        <v>18</v>
      </c>
      <c r="O69" s="27">
        <v>45</v>
      </c>
      <c r="P69" s="27">
        <v>20</v>
      </c>
      <c r="Q69" s="27">
        <v>648</v>
      </c>
      <c r="R69" s="27">
        <v>4</v>
      </c>
      <c r="S69" s="27" t="s">
        <v>41</v>
      </c>
      <c r="T69" s="27" t="s">
        <v>32</v>
      </c>
      <c r="U69" s="27" t="s">
        <v>89</v>
      </c>
      <c r="V69" s="27">
        <v>9762437243</v>
      </c>
      <c r="W69" s="27" t="s">
        <v>53</v>
      </c>
    </row>
    <row r="70" spans="2:23" ht="15" thickBot="1" x14ac:dyDescent="0.4">
      <c r="B70" s="27" t="s">
        <v>146</v>
      </c>
      <c r="C70" s="30" t="s">
        <v>87</v>
      </c>
      <c r="D70" s="30" t="s">
        <v>56</v>
      </c>
      <c r="E70" s="31">
        <v>45980</v>
      </c>
      <c r="F70" s="31">
        <v>45987</v>
      </c>
      <c r="G70" s="30" t="s">
        <v>88</v>
      </c>
      <c r="H70" s="30" t="s">
        <v>58</v>
      </c>
      <c r="I70" s="31">
        <v>29043</v>
      </c>
      <c r="J70" s="30" t="s">
        <v>48</v>
      </c>
      <c r="K70" s="30" t="s">
        <v>28</v>
      </c>
      <c r="L70" s="30" t="s">
        <v>39</v>
      </c>
      <c r="M70" s="30" t="s">
        <v>59</v>
      </c>
      <c r="N70" s="30">
        <v>4</v>
      </c>
      <c r="O70" s="30">
        <v>1200</v>
      </c>
      <c r="P70" s="30">
        <v>20</v>
      </c>
      <c r="Q70" s="30">
        <v>3840</v>
      </c>
      <c r="R70" s="30">
        <v>3</v>
      </c>
      <c r="S70" s="30" t="s">
        <v>41</v>
      </c>
      <c r="T70" s="30" t="s">
        <v>50</v>
      </c>
      <c r="U70" s="30" t="s">
        <v>89</v>
      </c>
      <c r="V70" s="30">
        <v>9149046970</v>
      </c>
      <c r="W70" s="22" t="s">
        <v>34</v>
      </c>
    </row>
    <row r="71" spans="2:23" ht="15" thickBot="1" x14ac:dyDescent="0.4">
      <c r="B71" s="30" t="s">
        <v>149</v>
      </c>
      <c r="C71" s="27" t="s">
        <v>55</v>
      </c>
      <c r="D71" s="27" t="s">
        <v>46</v>
      </c>
      <c r="E71" s="28">
        <v>45966</v>
      </c>
      <c r="F71" s="28">
        <v>45975</v>
      </c>
      <c r="G71" s="27" t="s">
        <v>57</v>
      </c>
      <c r="H71" s="27" t="s">
        <v>58</v>
      </c>
      <c r="I71" s="28">
        <v>29491</v>
      </c>
      <c r="J71" s="27" t="s">
        <v>147</v>
      </c>
      <c r="K71" s="27" t="s">
        <v>148</v>
      </c>
      <c r="L71" s="27" t="s">
        <v>39</v>
      </c>
      <c r="M71" s="27" t="s">
        <v>49</v>
      </c>
      <c r="N71" s="27">
        <v>10</v>
      </c>
      <c r="O71" s="27">
        <v>55000</v>
      </c>
      <c r="P71" s="27">
        <v>0</v>
      </c>
      <c r="Q71" s="27">
        <v>550000</v>
      </c>
      <c r="R71" s="27">
        <v>1</v>
      </c>
      <c r="S71" s="27" t="s">
        <v>65</v>
      </c>
      <c r="T71" s="27" t="s">
        <v>42</v>
      </c>
      <c r="U71" s="27" t="s">
        <v>61</v>
      </c>
      <c r="V71" s="27">
        <v>9869182901</v>
      </c>
      <c r="W71" s="27" t="s">
        <v>53</v>
      </c>
    </row>
    <row r="72" spans="2:23" ht="15" thickBot="1" x14ac:dyDescent="0.4">
      <c r="B72" s="27" t="s">
        <v>150</v>
      </c>
      <c r="C72" s="30" t="s">
        <v>134</v>
      </c>
      <c r="D72" s="30" t="s">
        <v>68</v>
      </c>
      <c r="E72" s="31">
        <v>46089</v>
      </c>
      <c r="F72" s="31">
        <v>46101</v>
      </c>
      <c r="G72" s="30" t="s">
        <v>135</v>
      </c>
      <c r="H72" s="30" t="s">
        <v>26</v>
      </c>
      <c r="I72" s="31">
        <v>29393</v>
      </c>
      <c r="J72" s="30" t="s">
        <v>37</v>
      </c>
      <c r="K72" s="30" t="s">
        <v>38</v>
      </c>
      <c r="L72" s="30" t="s">
        <v>29</v>
      </c>
      <c r="M72" s="30" t="s">
        <v>70</v>
      </c>
      <c r="N72" s="30">
        <v>20</v>
      </c>
      <c r="O72" s="30">
        <v>3500</v>
      </c>
      <c r="P72" s="30">
        <v>10</v>
      </c>
      <c r="Q72" s="30">
        <v>63000</v>
      </c>
      <c r="R72" s="30">
        <v>3</v>
      </c>
      <c r="S72" s="30" t="s">
        <v>60</v>
      </c>
      <c r="T72" s="30" t="s">
        <v>42</v>
      </c>
      <c r="U72" s="30" t="s">
        <v>136</v>
      </c>
      <c r="V72" s="30">
        <v>9283578533</v>
      </c>
      <c r="W72" s="30" t="s">
        <v>53</v>
      </c>
    </row>
    <row r="73" spans="2:23" ht="15" thickBot="1" x14ac:dyDescent="0.4">
      <c r="B73" s="30" t="s">
        <v>151</v>
      </c>
      <c r="C73" s="27" t="s">
        <v>23</v>
      </c>
      <c r="D73" s="27" t="s">
        <v>125</v>
      </c>
      <c r="E73" s="28">
        <v>45701</v>
      </c>
      <c r="F73" s="28">
        <v>45707</v>
      </c>
      <c r="G73" s="27" t="s">
        <v>25</v>
      </c>
      <c r="H73" s="27" t="s">
        <v>26</v>
      </c>
      <c r="I73" s="28">
        <v>29023</v>
      </c>
      <c r="J73" s="27" t="s">
        <v>79</v>
      </c>
      <c r="K73" s="27" t="s">
        <v>75</v>
      </c>
      <c r="L73" s="27" t="s">
        <v>83</v>
      </c>
      <c r="M73" s="27" t="s">
        <v>127</v>
      </c>
      <c r="N73" s="27">
        <v>5</v>
      </c>
      <c r="O73" s="27">
        <v>1200</v>
      </c>
      <c r="P73" s="27">
        <v>0</v>
      </c>
      <c r="Q73" s="27">
        <v>100</v>
      </c>
      <c r="R73" s="27">
        <v>1</v>
      </c>
      <c r="S73" s="27" t="s">
        <v>31</v>
      </c>
      <c r="T73" s="27" t="s">
        <v>42</v>
      </c>
      <c r="U73" s="27" t="s">
        <v>43</v>
      </c>
      <c r="V73" s="27">
        <v>9963005771</v>
      </c>
      <c r="W73" s="27" t="s">
        <v>53</v>
      </c>
    </row>
    <row r="74" spans="2:23" ht="15" thickBot="1" x14ac:dyDescent="0.4">
      <c r="B74" s="27" t="s">
        <v>152</v>
      </c>
      <c r="C74" s="30" t="s">
        <v>45</v>
      </c>
      <c r="D74" s="30" t="s">
        <v>105</v>
      </c>
      <c r="E74" s="31">
        <v>45935</v>
      </c>
      <c r="F74" s="31">
        <v>45945</v>
      </c>
      <c r="G74" s="30" t="s">
        <v>101</v>
      </c>
      <c r="H74" s="30" t="s">
        <v>26</v>
      </c>
      <c r="I74" s="31">
        <v>33773</v>
      </c>
      <c r="J74" s="30" t="s">
        <v>74</v>
      </c>
      <c r="K74" s="30" t="s">
        <v>75</v>
      </c>
      <c r="L74" s="30" t="s">
        <v>29</v>
      </c>
      <c r="M74" s="30" t="s">
        <v>107</v>
      </c>
      <c r="N74" s="30">
        <v>20</v>
      </c>
      <c r="O74" s="30">
        <v>8500</v>
      </c>
      <c r="P74" s="30">
        <v>0</v>
      </c>
      <c r="Q74" s="30">
        <v>170000</v>
      </c>
      <c r="R74" s="30">
        <v>1</v>
      </c>
      <c r="S74" s="30" t="s">
        <v>65</v>
      </c>
      <c r="T74" s="30" t="s">
        <v>80</v>
      </c>
      <c r="U74" s="30" t="s">
        <v>51</v>
      </c>
      <c r="V74" s="30">
        <v>9484632635</v>
      </c>
      <c r="W74" s="30" t="s">
        <v>53</v>
      </c>
    </row>
    <row r="75" spans="2:23" ht="15" thickBot="1" x14ac:dyDescent="0.4">
      <c r="B75" s="30" t="s">
        <v>153</v>
      </c>
      <c r="C75" s="27" t="s">
        <v>63</v>
      </c>
      <c r="D75" s="27" t="s">
        <v>82</v>
      </c>
      <c r="E75" s="28">
        <v>46063</v>
      </c>
      <c r="F75" s="28">
        <v>46065</v>
      </c>
      <c r="G75" s="27" t="s">
        <v>110</v>
      </c>
      <c r="H75" s="27" t="s">
        <v>58</v>
      </c>
      <c r="I75" s="28">
        <v>34491</v>
      </c>
      <c r="J75" s="27" t="s">
        <v>48</v>
      </c>
      <c r="K75" s="27" t="s">
        <v>28</v>
      </c>
      <c r="L75" s="27" t="s">
        <v>83</v>
      </c>
      <c r="M75" s="27" t="s">
        <v>84</v>
      </c>
      <c r="N75" s="27">
        <v>8</v>
      </c>
      <c r="O75" s="27">
        <v>60</v>
      </c>
      <c r="P75" s="27">
        <v>15</v>
      </c>
      <c r="Q75" s="27">
        <v>408</v>
      </c>
      <c r="R75" s="27">
        <v>5</v>
      </c>
      <c r="S75" s="27" t="s">
        <v>65</v>
      </c>
      <c r="T75" s="27" t="s">
        <v>42</v>
      </c>
      <c r="U75" s="27" t="s">
        <v>66</v>
      </c>
      <c r="V75" s="27">
        <v>9276319484</v>
      </c>
      <c r="W75" s="27" t="s">
        <v>52</v>
      </c>
    </row>
    <row r="76" spans="2:23" ht="15" thickBot="1" x14ac:dyDescent="0.4">
      <c r="B76" s="27" t="s">
        <v>154</v>
      </c>
      <c r="C76" s="30" t="s">
        <v>45</v>
      </c>
      <c r="D76" s="30" t="s">
        <v>68</v>
      </c>
      <c r="E76" s="31">
        <v>45812</v>
      </c>
      <c r="F76" s="31">
        <v>45824</v>
      </c>
      <c r="G76" s="30" t="s">
        <v>101</v>
      </c>
      <c r="H76" s="30" t="s">
        <v>26</v>
      </c>
      <c r="I76" s="31">
        <v>32408</v>
      </c>
      <c r="J76" s="30" t="s">
        <v>79</v>
      </c>
      <c r="K76" s="30" t="s">
        <v>75</v>
      </c>
      <c r="L76" s="30" t="s">
        <v>29</v>
      </c>
      <c r="M76" s="30" t="s">
        <v>70</v>
      </c>
      <c r="N76" s="30">
        <v>8</v>
      </c>
      <c r="O76" s="30">
        <v>3500</v>
      </c>
      <c r="P76" s="30">
        <v>5</v>
      </c>
      <c r="Q76" s="30">
        <v>26600</v>
      </c>
      <c r="R76" s="30">
        <v>1</v>
      </c>
      <c r="S76" s="30" t="s">
        <v>60</v>
      </c>
      <c r="T76" s="30" t="s">
        <v>80</v>
      </c>
      <c r="U76" s="30" t="s">
        <v>51</v>
      </c>
      <c r="V76" s="30">
        <v>9619034852</v>
      </c>
      <c r="W76" s="30" t="s">
        <v>52</v>
      </c>
    </row>
    <row r="77" spans="2:23" ht="15" thickBot="1" x14ac:dyDescent="0.4">
      <c r="B77" s="30" t="s">
        <v>155</v>
      </c>
      <c r="C77" s="27" t="s">
        <v>55</v>
      </c>
      <c r="D77" s="27" t="s">
        <v>105</v>
      </c>
      <c r="E77" s="28">
        <v>46061</v>
      </c>
      <c r="F77" s="28">
        <v>46067</v>
      </c>
      <c r="G77" s="27" t="s">
        <v>57</v>
      </c>
      <c r="H77" s="27" t="s">
        <v>58</v>
      </c>
      <c r="I77" s="28">
        <v>37086</v>
      </c>
      <c r="J77" s="27" t="s">
        <v>121</v>
      </c>
      <c r="K77" s="27" t="s">
        <v>38</v>
      </c>
      <c r="L77" s="27" t="s">
        <v>29</v>
      </c>
      <c r="M77" s="27" t="s">
        <v>107</v>
      </c>
      <c r="N77" s="27">
        <v>1</v>
      </c>
      <c r="O77" s="27">
        <v>8500</v>
      </c>
      <c r="P77" s="27">
        <v>0</v>
      </c>
      <c r="Q77" s="27">
        <v>8500</v>
      </c>
      <c r="R77" s="27">
        <v>2</v>
      </c>
      <c r="S77" s="27" t="s">
        <v>60</v>
      </c>
      <c r="T77" s="27" t="s">
        <v>80</v>
      </c>
      <c r="U77" s="27" t="s">
        <v>61</v>
      </c>
      <c r="V77" s="27">
        <v>9636416962</v>
      </c>
      <c r="W77" s="27" t="s">
        <v>52</v>
      </c>
    </row>
    <row r="78" spans="2:23" ht="15" thickBot="1" x14ac:dyDescent="0.4">
      <c r="B78" s="27" t="s">
        <v>159</v>
      </c>
      <c r="C78" s="30" t="s">
        <v>156</v>
      </c>
      <c r="D78" s="30" t="s">
        <v>138</v>
      </c>
      <c r="E78" s="31">
        <v>45746</v>
      </c>
      <c r="F78" s="31">
        <v>45747</v>
      </c>
      <c r="G78" s="30" t="s">
        <v>157</v>
      </c>
      <c r="H78" s="30" t="s">
        <v>58</v>
      </c>
      <c r="I78" s="31">
        <v>33459</v>
      </c>
      <c r="J78" s="30" t="s">
        <v>79</v>
      </c>
      <c r="K78" s="30" t="s">
        <v>75</v>
      </c>
      <c r="L78" s="30" t="s">
        <v>83</v>
      </c>
      <c r="M78" s="30" t="s">
        <v>139</v>
      </c>
      <c r="N78" s="30">
        <v>8</v>
      </c>
      <c r="O78" s="30">
        <v>45</v>
      </c>
      <c r="P78" s="30">
        <v>15</v>
      </c>
      <c r="Q78" s="30">
        <v>306</v>
      </c>
      <c r="R78" s="30">
        <v>2</v>
      </c>
      <c r="S78" s="30" t="s">
        <v>60</v>
      </c>
      <c r="T78" s="30" t="s">
        <v>50</v>
      </c>
      <c r="U78" s="30" t="s">
        <v>158</v>
      </c>
      <c r="V78" s="30">
        <v>9357133880</v>
      </c>
      <c r="W78" s="22" t="s">
        <v>34</v>
      </c>
    </row>
    <row r="79" spans="2:23" ht="15" thickBot="1" x14ac:dyDescent="0.4">
      <c r="B79" s="30" t="s">
        <v>160</v>
      </c>
      <c r="C79" s="27" t="s">
        <v>134</v>
      </c>
      <c r="D79" s="27" t="s">
        <v>24</v>
      </c>
      <c r="E79" s="28">
        <v>45772</v>
      </c>
      <c r="F79" s="28">
        <v>45775</v>
      </c>
      <c r="G79" s="27" t="s">
        <v>135</v>
      </c>
      <c r="H79" s="27" t="s">
        <v>26</v>
      </c>
      <c r="I79" s="28">
        <v>32437</v>
      </c>
      <c r="J79" s="27" t="s">
        <v>79</v>
      </c>
      <c r="K79" s="27" t="s">
        <v>75</v>
      </c>
      <c r="L79" s="27" t="s">
        <v>29</v>
      </c>
      <c r="M79" s="27" t="s">
        <v>30</v>
      </c>
      <c r="N79" s="27">
        <v>16</v>
      </c>
      <c r="O79" s="27">
        <v>2200</v>
      </c>
      <c r="P79" s="27">
        <v>5</v>
      </c>
      <c r="Q79" s="27">
        <v>33440</v>
      </c>
      <c r="R79" s="27">
        <v>5</v>
      </c>
      <c r="S79" s="27" t="s">
        <v>60</v>
      </c>
      <c r="T79" s="27" t="s">
        <v>50</v>
      </c>
      <c r="U79" s="27" t="s">
        <v>136</v>
      </c>
      <c r="V79" s="27">
        <v>9575210324</v>
      </c>
      <c r="W79" s="27" t="s">
        <v>53</v>
      </c>
    </row>
    <row r="80" spans="2:23" ht="15" thickBot="1" x14ac:dyDescent="0.4">
      <c r="B80" s="27" t="s">
        <v>161</v>
      </c>
      <c r="C80" s="30" t="s">
        <v>55</v>
      </c>
      <c r="D80" s="30" t="s">
        <v>68</v>
      </c>
      <c r="E80" s="31">
        <v>45943</v>
      </c>
      <c r="F80" s="31">
        <v>45953</v>
      </c>
      <c r="G80" s="30" t="s">
        <v>57</v>
      </c>
      <c r="H80" s="30" t="s">
        <v>58</v>
      </c>
      <c r="I80" s="31">
        <v>37579</v>
      </c>
      <c r="J80" s="30" t="s">
        <v>48</v>
      </c>
      <c r="K80" s="30" t="s">
        <v>28</v>
      </c>
      <c r="L80" s="30" t="s">
        <v>29</v>
      </c>
      <c r="M80" s="30" t="s">
        <v>70</v>
      </c>
      <c r="N80" s="30">
        <v>19</v>
      </c>
      <c r="O80" s="30">
        <v>3500</v>
      </c>
      <c r="P80" s="30">
        <v>20</v>
      </c>
      <c r="Q80" s="30">
        <v>53200</v>
      </c>
      <c r="R80" s="30">
        <v>3</v>
      </c>
      <c r="S80" s="30" t="s">
        <v>31</v>
      </c>
      <c r="T80" s="30" t="s">
        <v>96</v>
      </c>
      <c r="U80" s="30" t="s">
        <v>61</v>
      </c>
      <c r="V80" s="30">
        <v>9276080204</v>
      </c>
      <c r="W80" s="30" t="s">
        <v>53</v>
      </c>
    </row>
    <row r="81" spans="2:23" ht="15" thickBot="1" x14ac:dyDescent="0.4">
      <c r="B81" s="30" t="s">
        <v>163</v>
      </c>
      <c r="C81" s="27" t="s">
        <v>134</v>
      </c>
      <c r="D81" s="27" t="s">
        <v>112</v>
      </c>
      <c r="E81" s="28">
        <v>45941</v>
      </c>
      <c r="F81" s="28">
        <v>45944</v>
      </c>
      <c r="G81" s="27" t="s">
        <v>135</v>
      </c>
      <c r="H81" s="27" t="s">
        <v>26</v>
      </c>
      <c r="I81" s="28">
        <v>36713</v>
      </c>
      <c r="J81" s="27" t="s">
        <v>79</v>
      </c>
      <c r="K81" s="27" t="s">
        <v>75</v>
      </c>
      <c r="L81" s="27" t="s">
        <v>39</v>
      </c>
      <c r="M81" s="27" t="s">
        <v>114</v>
      </c>
      <c r="N81" s="27">
        <v>15</v>
      </c>
      <c r="O81" s="27">
        <v>700</v>
      </c>
      <c r="P81" s="27">
        <v>15</v>
      </c>
      <c r="Q81" s="27">
        <v>8925</v>
      </c>
      <c r="R81" s="27">
        <v>4</v>
      </c>
      <c r="S81" s="27" t="s">
        <v>65</v>
      </c>
      <c r="T81" s="27" t="s">
        <v>80</v>
      </c>
      <c r="U81" s="27" t="s">
        <v>162</v>
      </c>
      <c r="V81" s="27">
        <v>9856624471</v>
      </c>
      <c r="W81" s="21" t="s">
        <v>34</v>
      </c>
    </row>
    <row r="82" spans="2:23" ht="15" thickBot="1" x14ac:dyDescent="0.4">
      <c r="B82" s="27" t="s">
        <v>164</v>
      </c>
      <c r="C82" s="30" t="s">
        <v>134</v>
      </c>
      <c r="D82" s="30" t="s">
        <v>112</v>
      </c>
      <c r="E82" s="31">
        <v>45988</v>
      </c>
      <c r="F82" s="31">
        <v>45994</v>
      </c>
      <c r="G82" s="30" t="s">
        <v>135</v>
      </c>
      <c r="H82" s="30" t="s">
        <v>26</v>
      </c>
      <c r="I82" s="31">
        <v>36125</v>
      </c>
      <c r="J82" s="30" t="s">
        <v>121</v>
      </c>
      <c r="K82" s="30" t="s">
        <v>38</v>
      </c>
      <c r="L82" s="30" t="s">
        <v>39</v>
      </c>
      <c r="M82" s="30" t="s">
        <v>114</v>
      </c>
      <c r="N82" s="30">
        <v>19</v>
      </c>
      <c r="O82" s="30">
        <v>700</v>
      </c>
      <c r="P82" s="30">
        <v>20</v>
      </c>
      <c r="Q82" s="30">
        <v>10640</v>
      </c>
      <c r="R82" s="30">
        <v>1</v>
      </c>
      <c r="S82" s="30" t="s">
        <v>31</v>
      </c>
      <c r="T82" s="30" t="s">
        <v>80</v>
      </c>
      <c r="U82" s="30" t="s">
        <v>136</v>
      </c>
      <c r="V82" s="30">
        <v>9238141322</v>
      </c>
      <c r="W82" s="22" t="s">
        <v>34</v>
      </c>
    </row>
    <row r="83" spans="2:23" ht="15" thickBot="1" x14ac:dyDescent="0.4">
      <c r="B83" s="30" t="s">
        <v>165</v>
      </c>
      <c r="C83" s="27" t="s">
        <v>55</v>
      </c>
      <c r="D83" s="27" t="s">
        <v>36</v>
      </c>
      <c r="E83" s="23">
        <v>46131</v>
      </c>
      <c r="F83" s="27"/>
      <c r="G83" s="27" t="s">
        <v>57</v>
      </c>
      <c r="H83" s="27" t="s">
        <v>58</v>
      </c>
      <c r="I83" s="28">
        <v>35219</v>
      </c>
      <c r="J83" s="27" t="s">
        <v>37</v>
      </c>
      <c r="K83" s="27" t="s">
        <v>38</v>
      </c>
      <c r="L83" s="27" t="s">
        <v>39</v>
      </c>
      <c r="M83" s="27" t="s">
        <v>40</v>
      </c>
      <c r="N83" s="27">
        <v>19</v>
      </c>
      <c r="O83" s="27">
        <v>12000</v>
      </c>
      <c r="P83" s="27">
        <v>0</v>
      </c>
      <c r="Q83" s="27">
        <v>228000</v>
      </c>
      <c r="R83" s="27">
        <v>1</v>
      </c>
      <c r="S83" s="27" t="s">
        <v>41</v>
      </c>
      <c r="T83" s="27" t="s">
        <v>50</v>
      </c>
      <c r="U83" s="27" t="s">
        <v>61</v>
      </c>
      <c r="V83" s="27">
        <v>9890380030</v>
      </c>
      <c r="W83" s="21" t="s">
        <v>34</v>
      </c>
    </row>
    <row r="84" spans="2:23" ht="15" thickBot="1" x14ac:dyDescent="0.4">
      <c r="B84" s="27" t="s">
        <v>167</v>
      </c>
      <c r="C84" s="30" t="s">
        <v>104</v>
      </c>
      <c r="D84" s="30" t="s">
        <v>56</v>
      </c>
      <c r="E84" s="31">
        <v>46131</v>
      </c>
      <c r="F84" s="31">
        <v>46133</v>
      </c>
      <c r="G84" s="30" t="s">
        <v>166</v>
      </c>
      <c r="H84" s="30" t="s">
        <v>26</v>
      </c>
      <c r="I84" s="31">
        <v>31851</v>
      </c>
      <c r="J84" s="30" t="s">
        <v>79</v>
      </c>
      <c r="K84" s="30" t="s">
        <v>75</v>
      </c>
      <c r="L84" s="30" t="s">
        <v>39</v>
      </c>
      <c r="M84" s="30" t="s">
        <v>59</v>
      </c>
      <c r="N84" s="30">
        <v>6</v>
      </c>
      <c r="O84" s="30">
        <v>1200</v>
      </c>
      <c r="P84" s="30">
        <v>5</v>
      </c>
      <c r="Q84" s="30">
        <v>6840</v>
      </c>
      <c r="R84" s="30">
        <v>2</v>
      </c>
      <c r="S84" s="30" t="s">
        <v>31</v>
      </c>
      <c r="T84" s="30" t="s">
        <v>32</v>
      </c>
      <c r="U84" s="30" t="s">
        <v>108</v>
      </c>
      <c r="V84" s="30">
        <v>9495893170</v>
      </c>
      <c r="W84" s="30" t="s">
        <v>52</v>
      </c>
    </row>
    <row r="85" spans="2:23" ht="15" thickBot="1" x14ac:dyDescent="0.4">
      <c r="B85" s="30" t="s">
        <v>169</v>
      </c>
      <c r="C85" s="27" t="s">
        <v>45</v>
      </c>
      <c r="D85" s="27" t="s">
        <v>24</v>
      </c>
      <c r="E85" s="28">
        <v>45744</v>
      </c>
      <c r="F85" s="28">
        <v>45754</v>
      </c>
      <c r="G85" s="27" t="s">
        <v>168</v>
      </c>
      <c r="H85" s="27" t="s">
        <v>26</v>
      </c>
      <c r="I85" s="28">
        <v>28906</v>
      </c>
      <c r="J85" s="27" t="s">
        <v>48</v>
      </c>
      <c r="K85" s="27" t="s">
        <v>28</v>
      </c>
      <c r="L85" s="27" t="s">
        <v>29</v>
      </c>
      <c r="M85" s="27" t="s">
        <v>30</v>
      </c>
      <c r="N85" s="27">
        <v>7</v>
      </c>
      <c r="O85" s="27">
        <v>2200</v>
      </c>
      <c r="P85" s="27">
        <v>15</v>
      </c>
      <c r="Q85" s="27">
        <v>13090</v>
      </c>
      <c r="R85" s="27">
        <v>1</v>
      </c>
      <c r="S85" s="27" t="s">
        <v>65</v>
      </c>
      <c r="T85" s="27" t="s">
        <v>50</v>
      </c>
      <c r="U85" s="27" t="s">
        <v>51</v>
      </c>
      <c r="V85" s="27">
        <v>9485166307</v>
      </c>
      <c r="W85" s="21" t="s">
        <v>34</v>
      </c>
    </row>
    <row r="86" spans="2:23" ht="15" thickBot="1" x14ac:dyDescent="0.4">
      <c r="B86" s="27" t="s">
        <v>170</v>
      </c>
      <c r="C86" s="30" t="s">
        <v>72</v>
      </c>
      <c r="D86" s="30" t="s">
        <v>82</v>
      </c>
      <c r="E86" s="31">
        <v>45894</v>
      </c>
      <c r="F86" s="31">
        <v>45897</v>
      </c>
      <c r="G86" s="30" t="s">
        <v>73</v>
      </c>
      <c r="H86" s="30" t="s">
        <v>26</v>
      </c>
      <c r="I86" s="31">
        <v>36747</v>
      </c>
      <c r="J86" s="30" t="s">
        <v>121</v>
      </c>
      <c r="K86" s="30" t="s">
        <v>38</v>
      </c>
      <c r="L86" s="30" t="s">
        <v>83</v>
      </c>
      <c r="M86" s="30" t="s">
        <v>84</v>
      </c>
      <c r="N86" s="30">
        <v>8</v>
      </c>
      <c r="O86" s="30">
        <v>60</v>
      </c>
      <c r="P86" s="30">
        <v>10</v>
      </c>
      <c r="Q86" s="30">
        <v>432</v>
      </c>
      <c r="R86" s="30">
        <v>5</v>
      </c>
      <c r="S86" s="30" t="s">
        <v>60</v>
      </c>
      <c r="T86" s="30" t="s">
        <v>50</v>
      </c>
      <c r="U86" s="30" t="s">
        <v>93</v>
      </c>
      <c r="V86" s="30">
        <v>9924709648</v>
      </c>
      <c r="W86" s="30" t="s">
        <v>53</v>
      </c>
    </row>
    <row r="87" spans="2:23" ht="15" thickBot="1" x14ac:dyDescent="0.4">
      <c r="B87" s="30" t="s">
        <v>171</v>
      </c>
      <c r="C87" s="27" t="s">
        <v>124</v>
      </c>
      <c r="D87" s="27" t="s">
        <v>46</v>
      </c>
      <c r="E87" s="28">
        <v>45888</v>
      </c>
      <c r="F87" s="28">
        <v>45892</v>
      </c>
      <c r="G87" s="27" t="s">
        <v>126</v>
      </c>
      <c r="H87" s="27" t="s">
        <v>58</v>
      </c>
      <c r="I87" s="28">
        <v>27776</v>
      </c>
      <c r="J87" s="27" t="s">
        <v>147</v>
      </c>
      <c r="K87" s="27" t="s">
        <v>148</v>
      </c>
      <c r="L87" s="27" t="s">
        <v>39</v>
      </c>
      <c r="M87" s="27" t="s">
        <v>49</v>
      </c>
      <c r="N87" s="27">
        <v>12</v>
      </c>
      <c r="O87" s="27">
        <v>55000</v>
      </c>
      <c r="P87" s="27">
        <v>5</v>
      </c>
      <c r="Q87" s="27">
        <v>627000</v>
      </c>
      <c r="R87" s="27">
        <v>2</v>
      </c>
      <c r="S87" s="27" t="s">
        <v>65</v>
      </c>
      <c r="T87" s="27" t="s">
        <v>42</v>
      </c>
      <c r="U87" s="27" t="s">
        <v>128</v>
      </c>
      <c r="V87" s="27">
        <v>9350554626</v>
      </c>
      <c r="W87" s="27" t="s">
        <v>52</v>
      </c>
    </row>
    <row r="88" spans="2:23" ht="15" thickBot="1" x14ac:dyDescent="0.4">
      <c r="B88" s="27" t="s">
        <v>172</v>
      </c>
      <c r="C88" s="30" t="s">
        <v>23</v>
      </c>
      <c r="D88" s="30" t="s">
        <v>112</v>
      </c>
      <c r="E88" s="31">
        <v>45865</v>
      </c>
      <c r="F88" s="31">
        <v>45874</v>
      </c>
      <c r="G88" s="30" t="s">
        <v>25</v>
      </c>
      <c r="H88" s="30" t="s">
        <v>26</v>
      </c>
      <c r="I88" s="31">
        <v>27488</v>
      </c>
      <c r="J88" s="30" t="s">
        <v>121</v>
      </c>
      <c r="K88" s="30" t="s">
        <v>38</v>
      </c>
      <c r="L88" s="30" t="s">
        <v>39</v>
      </c>
      <c r="M88" s="30" t="s">
        <v>114</v>
      </c>
      <c r="N88" s="30">
        <v>3</v>
      </c>
      <c r="O88" s="30">
        <v>700</v>
      </c>
      <c r="P88" s="30">
        <v>0</v>
      </c>
      <c r="Q88" s="30">
        <v>2100</v>
      </c>
      <c r="R88" s="30">
        <v>3</v>
      </c>
      <c r="S88" s="30" t="s">
        <v>60</v>
      </c>
      <c r="T88" s="30" t="s">
        <v>96</v>
      </c>
      <c r="U88" s="30" t="s">
        <v>43</v>
      </c>
      <c r="V88" s="30">
        <v>9743295580</v>
      </c>
      <c r="W88" s="30" t="s">
        <v>53</v>
      </c>
    </row>
    <row r="89" spans="2:23" ht="15" thickBot="1" x14ac:dyDescent="0.4">
      <c r="B89" s="30" t="s">
        <v>174</v>
      </c>
      <c r="C89" s="27" t="s">
        <v>87</v>
      </c>
      <c r="D89" s="27" t="s">
        <v>82</v>
      </c>
      <c r="E89" s="28">
        <v>45709</v>
      </c>
      <c r="F89" s="28">
        <v>45714</v>
      </c>
      <c r="G89" s="27" t="s">
        <v>173</v>
      </c>
      <c r="H89" s="27" t="s">
        <v>58</v>
      </c>
      <c r="I89" s="28">
        <v>28105</v>
      </c>
      <c r="J89" s="27" t="s">
        <v>91</v>
      </c>
      <c r="K89" s="27" t="s">
        <v>75</v>
      </c>
      <c r="L89" s="27" t="s">
        <v>83</v>
      </c>
      <c r="M89" s="27" t="s">
        <v>84</v>
      </c>
      <c r="N89" s="27">
        <v>19</v>
      </c>
      <c r="O89" s="27">
        <v>60</v>
      </c>
      <c r="P89" s="27">
        <v>15</v>
      </c>
      <c r="Q89" s="27">
        <v>969</v>
      </c>
      <c r="R89" s="27">
        <v>4</v>
      </c>
      <c r="S89" s="27" t="s">
        <v>60</v>
      </c>
      <c r="T89" s="27" t="s">
        <v>42</v>
      </c>
      <c r="U89" s="27" t="s">
        <v>89</v>
      </c>
      <c r="V89" s="27">
        <v>9822926495</v>
      </c>
      <c r="W89" s="27" t="s">
        <v>53</v>
      </c>
    </row>
    <row r="90" spans="2:23" ht="15" thickBot="1" x14ac:dyDescent="0.4">
      <c r="B90" s="27" t="s">
        <v>175</v>
      </c>
      <c r="C90" s="30" t="s">
        <v>156</v>
      </c>
      <c r="D90" s="30" t="s">
        <v>82</v>
      </c>
      <c r="E90" s="31">
        <v>45879</v>
      </c>
      <c r="F90" s="31">
        <v>45880</v>
      </c>
      <c r="G90" s="30" t="s">
        <v>106</v>
      </c>
      <c r="H90" s="30" t="s">
        <v>58</v>
      </c>
      <c r="I90" s="31">
        <v>29192</v>
      </c>
      <c r="J90" s="30" t="s">
        <v>121</v>
      </c>
      <c r="K90" s="30" t="s">
        <v>38</v>
      </c>
      <c r="L90" s="30" t="s">
        <v>83</v>
      </c>
      <c r="M90" s="30" t="s">
        <v>84</v>
      </c>
      <c r="N90" s="30">
        <v>9</v>
      </c>
      <c r="O90" s="30">
        <v>60</v>
      </c>
      <c r="P90" s="30">
        <v>20</v>
      </c>
      <c r="Q90" s="30">
        <v>432</v>
      </c>
      <c r="R90" s="30">
        <v>1</v>
      </c>
      <c r="S90" s="30" t="s">
        <v>41</v>
      </c>
      <c r="T90" s="30" t="s">
        <v>80</v>
      </c>
      <c r="U90" s="30" t="s">
        <v>158</v>
      </c>
      <c r="V90" s="30">
        <v>9518298190</v>
      </c>
      <c r="W90" s="30" t="s">
        <v>52</v>
      </c>
    </row>
    <row r="91" spans="2:23" ht="15" thickBot="1" x14ac:dyDescent="0.4">
      <c r="B91" s="30" t="s">
        <v>177</v>
      </c>
      <c r="C91" s="27" t="s">
        <v>156</v>
      </c>
      <c r="D91" s="27" t="s">
        <v>112</v>
      </c>
      <c r="E91" s="28">
        <v>46105</v>
      </c>
      <c r="F91" s="28">
        <v>46111</v>
      </c>
      <c r="G91" s="27" t="s">
        <v>106</v>
      </c>
      <c r="H91" s="27" t="s">
        <v>58</v>
      </c>
      <c r="I91" s="28">
        <v>28851</v>
      </c>
      <c r="J91" s="27" t="s">
        <v>48</v>
      </c>
      <c r="K91" s="27" t="s">
        <v>28</v>
      </c>
      <c r="L91" s="27" t="s">
        <v>39</v>
      </c>
      <c r="M91" s="27" t="s">
        <v>114</v>
      </c>
      <c r="N91" s="27">
        <v>6</v>
      </c>
      <c r="O91" s="27">
        <v>700</v>
      </c>
      <c r="P91" s="27">
        <v>0</v>
      </c>
      <c r="Q91" s="27">
        <v>4200</v>
      </c>
      <c r="R91" s="27">
        <v>4</v>
      </c>
      <c r="S91" s="27" t="s">
        <v>65</v>
      </c>
      <c r="T91" s="27" t="s">
        <v>42</v>
      </c>
      <c r="U91" s="27" t="s">
        <v>176</v>
      </c>
      <c r="V91" s="27">
        <v>9366223547</v>
      </c>
      <c r="W91" s="27" t="s">
        <v>53</v>
      </c>
    </row>
    <row r="92" spans="2:23" ht="15" thickBot="1" x14ac:dyDescent="0.4">
      <c r="B92" s="27" t="s">
        <v>178</v>
      </c>
      <c r="C92" s="30" t="s">
        <v>87</v>
      </c>
      <c r="D92" s="30" t="s">
        <v>138</v>
      </c>
      <c r="E92" s="31">
        <v>46094</v>
      </c>
      <c r="F92" s="31">
        <v>46100</v>
      </c>
      <c r="G92" s="30" t="s">
        <v>88</v>
      </c>
      <c r="H92" s="30" t="s">
        <v>58</v>
      </c>
      <c r="I92" s="31">
        <v>27499</v>
      </c>
      <c r="J92" s="30" t="s">
        <v>37</v>
      </c>
      <c r="K92" s="30" t="s">
        <v>38</v>
      </c>
      <c r="L92" s="30" t="s">
        <v>83</v>
      </c>
      <c r="M92" s="30" t="s">
        <v>139</v>
      </c>
      <c r="N92" s="30">
        <v>18</v>
      </c>
      <c r="O92" s="30">
        <v>45</v>
      </c>
      <c r="P92" s="30">
        <v>5</v>
      </c>
      <c r="Q92" s="30">
        <v>769.5</v>
      </c>
      <c r="R92" s="30">
        <v>1</v>
      </c>
      <c r="S92" s="30" t="s">
        <v>60</v>
      </c>
      <c r="T92" s="30" t="s">
        <v>50</v>
      </c>
      <c r="U92" s="30" t="s">
        <v>89</v>
      </c>
      <c r="V92" s="30">
        <v>9701988524</v>
      </c>
      <c r="W92" s="30" t="s">
        <v>52</v>
      </c>
    </row>
    <row r="93" spans="2:23" ht="15" thickBot="1" x14ac:dyDescent="0.4">
      <c r="B93" s="30" t="s">
        <v>180</v>
      </c>
      <c r="C93" s="27" t="s">
        <v>63</v>
      </c>
      <c r="D93" s="27" t="s">
        <v>125</v>
      </c>
      <c r="E93" s="28">
        <v>45823</v>
      </c>
      <c r="F93" s="28">
        <v>45834</v>
      </c>
      <c r="G93" s="27" t="s">
        <v>110</v>
      </c>
      <c r="H93" s="27" t="s">
        <v>58</v>
      </c>
      <c r="I93" s="28">
        <v>32496</v>
      </c>
      <c r="J93" s="27" t="s">
        <v>121</v>
      </c>
      <c r="K93" s="27" t="s">
        <v>38</v>
      </c>
      <c r="L93" s="27" t="s">
        <v>83</v>
      </c>
      <c r="M93" s="27" t="s">
        <v>127</v>
      </c>
      <c r="N93" s="27">
        <v>8</v>
      </c>
      <c r="O93" s="27">
        <v>20</v>
      </c>
      <c r="P93" s="27">
        <v>5</v>
      </c>
      <c r="Q93" s="27">
        <v>152</v>
      </c>
      <c r="R93" s="27">
        <v>1</v>
      </c>
      <c r="S93" s="27" t="s">
        <v>60</v>
      </c>
      <c r="T93" s="27" t="s">
        <v>32</v>
      </c>
      <c r="U93" s="27" t="s">
        <v>66</v>
      </c>
      <c r="V93" s="27">
        <v>9836327649</v>
      </c>
      <c r="W93" s="21" t="s">
        <v>179</v>
      </c>
    </row>
    <row r="94" spans="2:23" ht="15" thickBot="1" x14ac:dyDescent="0.4">
      <c r="B94" s="27" t="s">
        <v>182</v>
      </c>
      <c r="C94" s="30" t="s">
        <v>124</v>
      </c>
      <c r="D94" s="30" t="s">
        <v>112</v>
      </c>
      <c r="E94" s="31">
        <v>45721</v>
      </c>
      <c r="F94" s="31">
        <v>45722</v>
      </c>
      <c r="G94" s="30" t="s">
        <v>126</v>
      </c>
      <c r="H94" s="30" t="s">
        <v>58</v>
      </c>
      <c r="I94" s="31">
        <v>28921</v>
      </c>
      <c r="J94" s="30" t="s">
        <v>121</v>
      </c>
      <c r="K94" s="30" t="s">
        <v>38</v>
      </c>
      <c r="L94" s="30" t="s">
        <v>39</v>
      </c>
      <c r="M94" s="30" t="s">
        <v>114</v>
      </c>
      <c r="N94" s="30">
        <v>8</v>
      </c>
      <c r="O94" s="30">
        <v>700</v>
      </c>
      <c r="P94" s="30">
        <v>10</v>
      </c>
      <c r="Q94" s="30">
        <v>5040</v>
      </c>
      <c r="R94" s="30">
        <v>1</v>
      </c>
      <c r="S94" s="30" t="s">
        <v>41</v>
      </c>
      <c r="T94" s="30" t="s">
        <v>50</v>
      </c>
      <c r="U94" s="32" t="s">
        <v>181</v>
      </c>
      <c r="V94" s="30">
        <v>9261800516</v>
      </c>
      <c r="W94" s="30" t="s">
        <v>53</v>
      </c>
    </row>
    <row r="95" spans="2:23" ht="15" thickBot="1" x14ac:dyDescent="0.4">
      <c r="B95" s="30" t="s">
        <v>183</v>
      </c>
      <c r="C95" s="27" t="s">
        <v>23</v>
      </c>
      <c r="D95" s="27" t="s">
        <v>125</v>
      </c>
      <c r="E95" s="28">
        <v>46121</v>
      </c>
      <c r="F95" s="28">
        <v>46131</v>
      </c>
      <c r="G95" s="27" t="s">
        <v>25</v>
      </c>
      <c r="H95" s="27" t="s">
        <v>26</v>
      </c>
      <c r="I95" s="28">
        <v>37972</v>
      </c>
      <c r="J95" s="27" t="s">
        <v>37</v>
      </c>
      <c r="K95" s="27" t="s">
        <v>38</v>
      </c>
      <c r="L95" s="27" t="s">
        <v>83</v>
      </c>
      <c r="M95" s="27" t="s">
        <v>127</v>
      </c>
      <c r="N95" s="27">
        <v>7</v>
      </c>
      <c r="O95" s="27">
        <v>20</v>
      </c>
      <c r="P95" s="27">
        <v>15</v>
      </c>
      <c r="Q95" s="27">
        <v>119</v>
      </c>
      <c r="R95" s="27">
        <v>5</v>
      </c>
      <c r="S95" s="27" t="s">
        <v>60</v>
      </c>
      <c r="T95" s="27" t="s">
        <v>42</v>
      </c>
      <c r="U95" s="27" t="s">
        <v>43</v>
      </c>
      <c r="V95" s="27">
        <v>9950802015</v>
      </c>
      <c r="W95" s="21" t="s">
        <v>34</v>
      </c>
    </row>
    <row r="96" spans="2:23" ht="15" thickBot="1" x14ac:dyDescent="0.4">
      <c r="B96" s="27" t="s">
        <v>184</v>
      </c>
      <c r="C96" s="30" t="s">
        <v>72</v>
      </c>
      <c r="D96" s="30" t="s">
        <v>125</v>
      </c>
      <c r="E96" s="31">
        <v>45885</v>
      </c>
      <c r="F96" s="31">
        <v>45894</v>
      </c>
      <c r="G96" s="30" t="s">
        <v>73</v>
      </c>
      <c r="H96" s="30" t="s">
        <v>26</v>
      </c>
      <c r="I96" s="31">
        <v>30777</v>
      </c>
      <c r="J96" s="30" t="s">
        <v>79</v>
      </c>
      <c r="K96" s="30" t="s">
        <v>75</v>
      </c>
      <c r="L96" s="30" t="s">
        <v>83</v>
      </c>
      <c r="M96" s="30" t="s">
        <v>127</v>
      </c>
      <c r="N96" s="30">
        <v>16</v>
      </c>
      <c r="O96" s="30">
        <v>20</v>
      </c>
      <c r="P96" s="30">
        <v>0</v>
      </c>
      <c r="Q96" s="30">
        <v>320</v>
      </c>
      <c r="R96" s="30">
        <v>5</v>
      </c>
      <c r="S96" s="30" t="s">
        <v>41</v>
      </c>
      <c r="T96" s="30" t="s">
        <v>50</v>
      </c>
      <c r="U96" s="30" t="s">
        <v>93</v>
      </c>
      <c r="V96" s="30">
        <v>9595183767</v>
      </c>
      <c r="W96" s="30" t="s">
        <v>52</v>
      </c>
    </row>
    <row r="97" spans="2:23" ht="15" thickBot="1" x14ac:dyDescent="0.4">
      <c r="B97" s="30" t="s">
        <v>185</v>
      </c>
      <c r="C97" s="27" t="s">
        <v>45</v>
      </c>
      <c r="D97" s="27" t="s">
        <v>138</v>
      </c>
      <c r="E97" s="28">
        <v>46155</v>
      </c>
      <c r="F97" s="28">
        <v>46162</v>
      </c>
      <c r="G97" s="27" t="s">
        <v>101</v>
      </c>
      <c r="H97" s="27" t="s">
        <v>26</v>
      </c>
      <c r="I97" s="28">
        <v>35168</v>
      </c>
      <c r="J97" s="27" t="s">
        <v>74</v>
      </c>
      <c r="K97" s="27" t="s">
        <v>75</v>
      </c>
      <c r="L97" s="27" t="s">
        <v>83</v>
      </c>
      <c r="M97" s="27" t="s">
        <v>139</v>
      </c>
      <c r="N97" s="27">
        <v>15</v>
      </c>
      <c r="O97" s="27">
        <v>45</v>
      </c>
      <c r="P97" s="27">
        <v>0</v>
      </c>
      <c r="Q97" s="27">
        <v>675</v>
      </c>
      <c r="R97" s="27">
        <v>4</v>
      </c>
      <c r="S97" s="27" t="s">
        <v>31</v>
      </c>
      <c r="T97" s="27" t="s">
        <v>50</v>
      </c>
      <c r="U97" s="27" t="s">
        <v>51</v>
      </c>
      <c r="V97" s="27">
        <v>9560201307</v>
      </c>
      <c r="W97" s="27" t="s">
        <v>53</v>
      </c>
    </row>
    <row r="98" spans="2:23" ht="15" thickBot="1" x14ac:dyDescent="0.4">
      <c r="B98" s="27" t="s">
        <v>186</v>
      </c>
      <c r="C98" s="30" t="s">
        <v>134</v>
      </c>
      <c r="D98" s="30" t="s">
        <v>112</v>
      </c>
      <c r="E98" s="31">
        <v>45717</v>
      </c>
      <c r="F98" s="31">
        <v>45721</v>
      </c>
      <c r="G98" s="30" t="s">
        <v>135</v>
      </c>
      <c r="H98" s="30" t="s">
        <v>26</v>
      </c>
      <c r="I98" s="31">
        <v>37872</v>
      </c>
      <c r="J98" s="30" t="s">
        <v>91</v>
      </c>
      <c r="K98" s="30" t="s">
        <v>75</v>
      </c>
      <c r="L98" s="30" t="s">
        <v>39</v>
      </c>
      <c r="M98" s="30" t="s">
        <v>114</v>
      </c>
      <c r="N98" s="30">
        <v>15</v>
      </c>
      <c r="O98" s="30">
        <v>700</v>
      </c>
      <c r="P98" s="30">
        <v>10</v>
      </c>
      <c r="Q98" s="30">
        <v>9450</v>
      </c>
      <c r="R98" s="30">
        <v>3</v>
      </c>
      <c r="S98" s="30" t="s">
        <v>41</v>
      </c>
      <c r="T98" s="30" t="s">
        <v>96</v>
      </c>
      <c r="U98" s="30" t="s">
        <v>136</v>
      </c>
      <c r="V98" s="30">
        <v>9826484650</v>
      </c>
      <c r="W98" s="22" t="s">
        <v>34</v>
      </c>
    </row>
    <row r="99" spans="2:23" ht="15" thickBot="1" x14ac:dyDescent="0.4">
      <c r="B99" s="30" t="s">
        <v>187</v>
      </c>
      <c r="C99" s="27" t="s">
        <v>45</v>
      </c>
      <c r="D99" s="27" t="s">
        <v>138</v>
      </c>
      <c r="E99" s="28">
        <v>45697</v>
      </c>
      <c r="F99" s="28">
        <v>45700</v>
      </c>
      <c r="G99" s="27" t="s">
        <v>101</v>
      </c>
      <c r="H99" s="27" t="s">
        <v>26</v>
      </c>
      <c r="I99" s="28">
        <v>33871</v>
      </c>
      <c r="J99" s="27" t="s">
        <v>147</v>
      </c>
      <c r="K99" s="27" t="s">
        <v>148</v>
      </c>
      <c r="L99" s="27" t="s">
        <v>83</v>
      </c>
      <c r="M99" s="27" t="s">
        <v>139</v>
      </c>
      <c r="N99" s="27">
        <v>3</v>
      </c>
      <c r="O99" s="27">
        <v>45</v>
      </c>
      <c r="P99" s="27">
        <v>15</v>
      </c>
      <c r="Q99" s="27">
        <v>114.75</v>
      </c>
      <c r="R99" s="27">
        <v>2</v>
      </c>
      <c r="S99" s="27" t="s">
        <v>65</v>
      </c>
      <c r="T99" s="27" t="s">
        <v>80</v>
      </c>
      <c r="U99" s="27" t="s">
        <v>51</v>
      </c>
      <c r="V99" s="27">
        <v>9219978007</v>
      </c>
      <c r="W99" s="27" t="s">
        <v>52</v>
      </c>
    </row>
    <row r="100" spans="2:23" ht="15" thickBot="1" x14ac:dyDescent="0.4">
      <c r="B100" s="27" t="s">
        <v>188</v>
      </c>
      <c r="C100" s="30" t="s">
        <v>72</v>
      </c>
      <c r="D100" s="30" t="s">
        <v>24</v>
      </c>
      <c r="E100" s="31">
        <v>46031</v>
      </c>
      <c r="F100" s="31">
        <v>46032</v>
      </c>
      <c r="G100" s="30" t="s">
        <v>73</v>
      </c>
      <c r="H100" s="30" t="s">
        <v>26</v>
      </c>
      <c r="I100" s="31">
        <v>31674</v>
      </c>
      <c r="J100" s="30" t="s">
        <v>147</v>
      </c>
      <c r="K100" s="30" t="s">
        <v>148</v>
      </c>
      <c r="L100" s="30" t="s">
        <v>29</v>
      </c>
      <c r="M100" s="30" t="s">
        <v>30</v>
      </c>
      <c r="N100" s="30">
        <v>7</v>
      </c>
      <c r="O100" s="30">
        <v>2200</v>
      </c>
      <c r="P100" s="30">
        <v>15</v>
      </c>
      <c r="Q100" s="30">
        <v>13090</v>
      </c>
      <c r="R100" s="30">
        <v>5</v>
      </c>
      <c r="S100" s="30" t="s">
        <v>65</v>
      </c>
      <c r="T100" s="30" t="s">
        <v>80</v>
      </c>
      <c r="U100" s="30" t="s">
        <v>93</v>
      </c>
      <c r="V100" s="30">
        <v>9662063276</v>
      </c>
      <c r="W100" s="22" t="s">
        <v>34</v>
      </c>
    </row>
    <row r="101" spans="2:23" ht="15" thickBot="1" x14ac:dyDescent="0.4">
      <c r="B101" s="30" t="s">
        <v>189</v>
      </c>
      <c r="C101" s="27" t="s">
        <v>23</v>
      </c>
      <c r="D101" s="27" t="s">
        <v>138</v>
      </c>
      <c r="E101" s="28">
        <v>45901</v>
      </c>
      <c r="F101" s="28">
        <v>45905</v>
      </c>
      <c r="G101" s="27" t="s">
        <v>25</v>
      </c>
      <c r="H101" s="27" t="s">
        <v>26</v>
      </c>
      <c r="I101" s="28">
        <v>31195</v>
      </c>
      <c r="J101" s="27" t="s">
        <v>37</v>
      </c>
      <c r="K101" s="27" t="s">
        <v>38</v>
      </c>
      <c r="L101" s="27" t="s">
        <v>83</v>
      </c>
      <c r="M101" s="27" t="s">
        <v>139</v>
      </c>
      <c r="N101" s="27">
        <v>19</v>
      </c>
      <c r="O101" s="27">
        <v>45</v>
      </c>
      <c r="P101" s="27">
        <v>10</v>
      </c>
      <c r="Q101" s="27">
        <v>769.5</v>
      </c>
      <c r="R101" s="27">
        <v>5</v>
      </c>
      <c r="S101" s="27" t="s">
        <v>60</v>
      </c>
      <c r="T101" s="27" t="s">
        <v>80</v>
      </c>
      <c r="U101" s="27" t="s">
        <v>43</v>
      </c>
      <c r="V101" s="27">
        <v>9190393639</v>
      </c>
      <c r="W101" s="27" t="s">
        <v>53</v>
      </c>
    </row>
    <row r="102" spans="2:23" ht="15" thickBot="1" x14ac:dyDescent="0.4">
      <c r="B102" s="27" t="s">
        <v>190</v>
      </c>
      <c r="C102" s="30" t="s">
        <v>134</v>
      </c>
      <c r="D102" s="30" t="s">
        <v>68</v>
      </c>
      <c r="E102" s="31">
        <v>46062</v>
      </c>
      <c r="F102" s="31">
        <v>46067</v>
      </c>
      <c r="G102" s="30" t="s">
        <v>135</v>
      </c>
      <c r="H102" s="30" t="s">
        <v>26</v>
      </c>
      <c r="I102" s="31">
        <v>29094</v>
      </c>
      <c r="J102" s="30" t="s">
        <v>27</v>
      </c>
      <c r="K102" s="30" t="s">
        <v>28</v>
      </c>
      <c r="L102" s="30" t="s">
        <v>29</v>
      </c>
      <c r="M102" s="30" t="s">
        <v>70</v>
      </c>
      <c r="N102" s="30">
        <v>7</v>
      </c>
      <c r="O102" s="30">
        <v>3500</v>
      </c>
      <c r="P102" s="30">
        <v>15</v>
      </c>
      <c r="Q102" s="30">
        <v>20825</v>
      </c>
      <c r="R102" s="30">
        <v>1</v>
      </c>
      <c r="S102" s="30" t="s">
        <v>31</v>
      </c>
      <c r="T102" s="30" t="s">
        <v>96</v>
      </c>
      <c r="U102" s="30" t="s">
        <v>136</v>
      </c>
      <c r="V102" s="30">
        <v>9106328582</v>
      </c>
      <c r="W102" s="30" t="s">
        <v>52</v>
      </c>
    </row>
    <row r="103" spans="2:23" ht="15" thickBot="1" x14ac:dyDescent="0.4">
      <c r="B103" s="30" t="s">
        <v>191</v>
      </c>
      <c r="C103" s="27" t="s">
        <v>45</v>
      </c>
      <c r="D103" s="27" t="s">
        <v>105</v>
      </c>
      <c r="E103" s="28">
        <v>46005</v>
      </c>
      <c r="F103" s="28">
        <v>46010</v>
      </c>
      <c r="G103" s="27" t="s">
        <v>101</v>
      </c>
      <c r="H103" s="27" t="s">
        <v>26</v>
      </c>
      <c r="I103" s="28">
        <v>28116</v>
      </c>
      <c r="J103" s="27" t="s">
        <v>121</v>
      </c>
      <c r="K103" s="27" t="s">
        <v>38</v>
      </c>
      <c r="L103" s="27" t="s">
        <v>29</v>
      </c>
      <c r="M103" s="27" t="s">
        <v>107</v>
      </c>
      <c r="N103" s="27">
        <v>7</v>
      </c>
      <c r="O103" s="27">
        <v>8500</v>
      </c>
      <c r="P103" s="27">
        <v>20</v>
      </c>
      <c r="Q103" s="27">
        <v>47600</v>
      </c>
      <c r="R103" s="27">
        <v>4</v>
      </c>
      <c r="S103" s="27" t="s">
        <v>41</v>
      </c>
      <c r="T103" s="27" t="s">
        <v>80</v>
      </c>
      <c r="U103" s="27" t="s">
        <v>51</v>
      </c>
      <c r="V103" s="27">
        <v>9264401015</v>
      </c>
      <c r="W103" s="21" t="s">
        <v>34</v>
      </c>
    </row>
    <row r="104" spans="2:23" ht="15" thickBot="1" x14ac:dyDescent="0.4">
      <c r="B104" s="27" t="s">
        <v>192</v>
      </c>
      <c r="C104" s="30" t="s">
        <v>23</v>
      </c>
      <c r="D104" s="30" t="s">
        <v>46</v>
      </c>
      <c r="E104" s="31">
        <v>45754</v>
      </c>
      <c r="F104" s="31">
        <v>45757</v>
      </c>
      <c r="G104" s="30" t="s">
        <v>25</v>
      </c>
      <c r="H104" s="30" t="s">
        <v>26</v>
      </c>
      <c r="I104" s="31">
        <v>36561</v>
      </c>
      <c r="J104" s="30" t="s">
        <v>48</v>
      </c>
      <c r="K104" s="30" t="s">
        <v>28</v>
      </c>
      <c r="L104" s="30" t="s">
        <v>39</v>
      </c>
      <c r="M104" s="30" t="s">
        <v>49</v>
      </c>
      <c r="N104" s="30">
        <v>16</v>
      </c>
      <c r="O104" s="30">
        <v>55000</v>
      </c>
      <c r="P104" s="30">
        <v>10</v>
      </c>
      <c r="Q104" s="30">
        <v>792000</v>
      </c>
      <c r="R104" s="30">
        <v>1</v>
      </c>
      <c r="S104" s="30" t="s">
        <v>60</v>
      </c>
      <c r="T104" s="30" t="s">
        <v>50</v>
      </c>
      <c r="U104" s="30" t="s">
        <v>43</v>
      </c>
      <c r="V104" s="30">
        <v>9959237375</v>
      </c>
      <c r="W104" s="22" t="s">
        <v>34</v>
      </c>
    </row>
    <row r="105" spans="2:23" ht="15" thickBot="1" x14ac:dyDescent="0.4">
      <c r="B105" s="30" t="s">
        <v>194</v>
      </c>
      <c r="C105" s="27" t="s">
        <v>104</v>
      </c>
      <c r="D105" s="27" t="s">
        <v>36</v>
      </c>
      <c r="E105" s="28">
        <v>46015</v>
      </c>
      <c r="F105" s="28">
        <v>46025</v>
      </c>
      <c r="G105" s="27" t="s">
        <v>166</v>
      </c>
      <c r="H105" s="27" t="s">
        <v>26</v>
      </c>
      <c r="I105" s="28">
        <v>31832</v>
      </c>
      <c r="J105" s="27" t="s">
        <v>74</v>
      </c>
      <c r="K105" s="27" t="s">
        <v>75</v>
      </c>
      <c r="L105" s="27" t="s">
        <v>39</v>
      </c>
      <c r="M105" s="27" t="s">
        <v>40</v>
      </c>
      <c r="N105" s="27">
        <v>2</v>
      </c>
      <c r="O105" s="27">
        <v>12000</v>
      </c>
      <c r="P105" s="27">
        <v>20</v>
      </c>
      <c r="Q105" s="27">
        <v>19200</v>
      </c>
      <c r="R105" s="27">
        <v>1</v>
      </c>
      <c r="S105" s="27" t="s">
        <v>31</v>
      </c>
      <c r="T105" s="27" t="s">
        <v>96</v>
      </c>
      <c r="U105" s="29" t="s">
        <v>193</v>
      </c>
      <c r="V105" s="27">
        <v>9561836580</v>
      </c>
      <c r="W105" s="27" t="s">
        <v>52</v>
      </c>
    </row>
    <row r="106" spans="2:23" ht="15" thickBot="1" x14ac:dyDescent="0.4">
      <c r="B106" s="27" t="s">
        <v>195</v>
      </c>
      <c r="C106" s="30" t="s">
        <v>87</v>
      </c>
      <c r="D106" s="30" t="s">
        <v>138</v>
      </c>
      <c r="E106" s="31">
        <v>45899</v>
      </c>
      <c r="F106" s="31">
        <v>45905</v>
      </c>
      <c r="G106" s="30" t="s">
        <v>88</v>
      </c>
      <c r="H106" s="30" t="s">
        <v>58</v>
      </c>
      <c r="I106" s="31">
        <v>30887</v>
      </c>
      <c r="J106" s="30" t="s">
        <v>48</v>
      </c>
      <c r="K106" s="30" t="s">
        <v>28</v>
      </c>
      <c r="L106" s="30" t="s">
        <v>83</v>
      </c>
      <c r="M106" s="30" t="s">
        <v>139</v>
      </c>
      <c r="N106" s="30">
        <v>4</v>
      </c>
      <c r="O106" s="30">
        <v>45</v>
      </c>
      <c r="P106" s="30">
        <v>5</v>
      </c>
      <c r="Q106" s="30">
        <v>171</v>
      </c>
      <c r="R106" s="30">
        <v>1</v>
      </c>
      <c r="S106" s="30" t="s">
        <v>60</v>
      </c>
      <c r="T106" s="30" t="s">
        <v>42</v>
      </c>
      <c r="U106" s="30" t="s">
        <v>89</v>
      </c>
      <c r="V106" s="30">
        <v>9512666401</v>
      </c>
      <c r="W106" s="30" t="s">
        <v>52</v>
      </c>
    </row>
    <row r="107" spans="2:23" ht="15" thickBot="1" x14ac:dyDescent="0.4">
      <c r="B107" s="30" t="s">
        <v>196</v>
      </c>
      <c r="C107" s="27" t="s">
        <v>23</v>
      </c>
      <c r="D107" s="27" t="s">
        <v>56</v>
      </c>
      <c r="E107" s="28">
        <v>46004</v>
      </c>
      <c r="F107" s="28">
        <v>46014</v>
      </c>
      <c r="G107" s="27" t="s">
        <v>25</v>
      </c>
      <c r="H107" s="27" t="s">
        <v>26</v>
      </c>
      <c r="I107" s="28">
        <v>29851</v>
      </c>
      <c r="J107" s="27" t="s">
        <v>121</v>
      </c>
      <c r="K107" s="27" t="s">
        <v>38</v>
      </c>
      <c r="L107" s="27" t="s">
        <v>39</v>
      </c>
      <c r="M107" s="27" t="s">
        <v>59</v>
      </c>
      <c r="N107" s="27">
        <v>1</v>
      </c>
      <c r="O107" s="27">
        <v>1200</v>
      </c>
      <c r="P107" s="27">
        <v>5</v>
      </c>
      <c r="Q107" s="27">
        <v>1140</v>
      </c>
      <c r="R107" s="27">
        <v>3</v>
      </c>
      <c r="S107" s="27" t="s">
        <v>65</v>
      </c>
      <c r="T107" s="27" t="s">
        <v>50</v>
      </c>
      <c r="U107" s="27" t="s">
        <v>43</v>
      </c>
      <c r="V107" s="27">
        <v>9808988530</v>
      </c>
      <c r="W107" s="27" t="s">
        <v>53</v>
      </c>
    </row>
    <row r="108" spans="2:23" ht="15" thickBot="1" x14ac:dyDescent="0.4">
      <c r="B108" s="27" t="s">
        <v>197</v>
      </c>
      <c r="C108" s="30" t="s">
        <v>45</v>
      </c>
      <c r="D108" s="30" t="s">
        <v>24</v>
      </c>
      <c r="E108" s="31">
        <v>46057</v>
      </c>
      <c r="F108" s="31">
        <v>46069</v>
      </c>
      <c r="G108" s="30" t="s">
        <v>101</v>
      </c>
      <c r="H108" s="30" t="s">
        <v>26</v>
      </c>
      <c r="I108" s="24">
        <v>29392</v>
      </c>
      <c r="J108" s="30"/>
      <c r="K108" s="30" t="s">
        <v>28</v>
      </c>
      <c r="L108" s="30" t="s">
        <v>29</v>
      </c>
      <c r="M108" s="30" t="s">
        <v>30</v>
      </c>
      <c r="N108" s="30">
        <v>1</v>
      </c>
      <c r="O108" s="30">
        <v>2200</v>
      </c>
      <c r="P108" s="30">
        <v>15</v>
      </c>
      <c r="Q108" s="30">
        <v>1870</v>
      </c>
      <c r="R108" s="30">
        <v>4</v>
      </c>
      <c r="S108" s="30" t="s">
        <v>60</v>
      </c>
      <c r="T108" s="30" t="s">
        <v>50</v>
      </c>
      <c r="U108" s="30" t="s">
        <v>51</v>
      </c>
      <c r="V108" s="30">
        <v>9286410494</v>
      </c>
      <c r="W108" s="22" t="s">
        <v>34</v>
      </c>
    </row>
    <row r="109" spans="2:23" ht="15" thickBot="1" x14ac:dyDescent="0.4">
      <c r="B109" s="30" t="s">
        <v>198</v>
      </c>
      <c r="C109" s="27" t="s">
        <v>87</v>
      </c>
      <c r="D109" s="27" t="s">
        <v>56</v>
      </c>
      <c r="E109" s="28">
        <v>46048</v>
      </c>
      <c r="F109" s="28">
        <v>46050</v>
      </c>
      <c r="G109" s="27" t="s">
        <v>88</v>
      </c>
      <c r="H109" s="27" t="s">
        <v>58</v>
      </c>
      <c r="I109" s="28">
        <v>30257</v>
      </c>
      <c r="J109" s="27" t="s">
        <v>79</v>
      </c>
      <c r="K109" s="27" t="s">
        <v>75</v>
      </c>
      <c r="L109" s="27" t="s">
        <v>39</v>
      </c>
      <c r="M109" s="27" t="s">
        <v>59</v>
      </c>
      <c r="N109" s="27">
        <v>3</v>
      </c>
      <c r="O109" s="27">
        <v>1200</v>
      </c>
      <c r="P109" s="27">
        <v>10</v>
      </c>
      <c r="Q109" s="27">
        <v>3240</v>
      </c>
      <c r="R109" s="27">
        <v>5</v>
      </c>
      <c r="S109" s="27" t="s">
        <v>31</v>
      </c>
      <c r="T109" s="27" t="s">
        <v>42</v>
      </c>
      <c r="U109" s="27" t="s">
        <v>89</v>
      </c>
      <c r="V109" s="27">
        <v>9311555196</v>
      </c>
      <c r="W109" s="21" t="s">
        <v>34</v>
      </c>
    </row>
    <row r="110" spans="2:23" ht="15" thickBot="1" x14ac:dyDescent="0.4">
      <c r="B110" s="27" t="s">
        <v>199</v>
      </c>
      <c r="C110" s="30" t="s">
        <v>23</v>
      </c>
      <c r="D110" s="30" t="s">
        <v>68</v>
      </c>
      <c r="E110" s="31">
        <v>45835</v>
      </c>
      <c r="F110" s="31">
        <v>45845</v>
      </c>
      <c r="G110" s="30" t="s">
        <v>25</v>
      </c>
      <c r="H110" s="30" t="s">
        <v>26</v>
      </c>
      <c r="I110" s="31">
        <v>29230</v>
      </c>
      <c r="J110" s="30" t="s">
        <v>48</v>
      </c>
      <c r="K110" s="30" t="s">
        <v>28</v>
      </c>
      <c r="L110" s="30" t="s">
        <v>29</v>
      </c>
      <c r="M110" s="30" t="s">
        <v>70</v>
      </c>
      <c r="N110" s="30">
        <v>10</v>
      </c>
      <c r="O110" s="30">
        <v>3500</v>
      </c>
      <c r="P110" s="30">
        <v>20</v>
      </c>
      <c r="Q110" s="30">
        <v>28000</v>
      </c>
      <c r="R110" s="30">
        <v>5</v>
      </c>
      <c r="S110" s="30" t="s">
        <v>60</v>
      </c>
      <c r="T110" s="30" t="s">
        <v>32</v>
      </c>
      <c r="U110" s="30" t="s">
        <v>43</v>
      </c>
      <c r="V110" s="30">
        <v>9101810266</v>
      </c>
      <c r="W110" s="22" t="s">
        <v>34</v>
      </c>
    </row>
    <row r="111" spans="2:23" ht="15" thickBot="1" x14ac:dyDescent="0.4">
      <c r="B111" s="30" t="s">
        <v>200</v>
      </c>
      <c r="C111" s="27" t="s">
        <v>63</v>
      </c>
      <c r="D111" s="27" t="s">
        <v>112</v>
      </c>
      <c r="E111" s="28">
        <v>46098</v>
      </c>
      <c r="F111" s="28">
        <v>46100</v>
      </c>
      <c r="G111" s="27" t="s">
        <v>110</v>
      </c>
      <c r="H111" s="27" t="s">
        <v>58</v>
      </c>
      <c r="I111" s="28">
        <v>29703</v>
      </c>
      <c r="J111" s="27" t="s">
        <v>37</v>
      </c>
      <c r="K111" s="27" t="s">
        <v>38</v>
      </c>
      <c r="L111" s="27" t="s">
        <v>39</v>
      </c>
      <c r="M111" s="27" t="s">
        <v>114</v>
      </c>
      <c r="N111" s="27">
        <v>18</v>
      </c>
      <c r="O111" s="27">
        <v>700</v>
      </c>
      <c r="P111" s="27">
        <v>5</v>
      </c>
      <c r="Q111" s="27">
        <v>11970</v>
      </c>
      <c r="R111" s="27">
        <v>3</v>
      </c>
      <c r="S111" s="27" t="s">
        <v>60</v>
      </c>
      <c r="T111" s="27" t="s">
        <v>80</v>
      </c>
      <c r="U111" s="27" t="s">
        <v>66</v>
      </c>
      <c r="V111" s="27">
        <v>9464556593</v>
      </c>
      <c r="W111" s="27" t="s">
        <v>53</v>
      </c>
    </row>
    <row r="112" spans="2:23" ht="15" thickBot="1" x14ac:dyDescent="0.4">
      <c r="B112" s="27" t="s">
        <v>201</v>
      </c>
      <c r="C112" s="30" t="s">
        <v>124</v>
      </c>
      <c r="D112" s="30" t="s">
        <v>112</v>
      </c>
      <c r="E112" s="31">
        <v>45817</v>
      </c>
      <c r="F112" s="31">
        <v>45826</v>
      </c>
      <c r="G112" s="30" t="s">
        <v>126</v>
      </c>
      <c r="H112" s="30" t="s">
        <v>58</v>
      </c>
      <c r="I112" s="31">
        <v>31118</v>
      </c>
      <c r="J112" s="30" t="s">
        <v>48</v>
      </c>
      <c r="K112" s="30" t="s">
        <v>28</v>
      </c>
      <c r="L112" s="30" t="s">
        <v>39</v>
      </c>
      <c r="M112" s="30" t="s">
        <v>114</v>
      </c>
      <c r="N112" s="30">
        <v>12</v>
      </c>
      <c r="O112" s="30">
        <v>700</v>
      </c>
      <c r="P112" s="30">
        <v>15</v>
      </c>
      <c r="Q112" s="30">
        <v>7140</v>
      </c>
      <c r="R112" s="30">
        <v>2</v>
      </c>
      <c r="S112" s="30" t="s">
        <v>65</v>
      </c>
      <c r="T112" s="30" t="s">
        <v>42</v>
      </c>
      <c r="U112" s="30" t="s">
        <v>128</v>
      </c>
      <c r="V112" s="30">
        <v>9338278358</v>
      </c>
      <c r="W112" s="22" t="s">
        <v>34</v>
      </c>
    </row>
    <row r="113" spans="2:23" ht="15" thickBot="1" x14ac:dyDescent="0.4">
      <c r="B113" s="30" t="s">
        <v>202</v>
      </c>
      <c r="C113" s="27" t="s">
        <v>55</v>
      </c>
      <c r="D113" s="27" t="s">
        <v>56</v>
      </c>
      <c r="E113" s="28">
        <v>45976</v>
      </c>
      <c r="F113" s="28">
        <v>45977</v>
      </c>
      <c r="G113" s="27" t="s">
        <v>57</v>
      </c>
      <c r="H113" s="27" t="s">
        <v>58</v>
      </c>
      <c r="I113" s="28">
        <v>36234</v>
      </c>
      <c r="J113" s="27" t="s">
        <v>74</v>
      </c>
      <c r="K113" s="27" t="s">
        <v>75</v>
      </c>
      <c r="L113" s="27" t="s">
        <v>39</v>
      </c>
      <c r="M113" s="27" t="s">
        <v>59</v>
      </c>
      <c r="N113" s="27">
        <v>8</v>
      </c>
      <c r="O113" s="27">
        <v>1200</v>
      </c>
      <c r="P113" s="27">
        <v>0</v>
      </c>
      <c r="Q113" s="27">
        <v>9600</v>
      </c>
      <c r="R113" s="27">
        <v>4</v>
      </c>
      <c r="S113" s="27" t="s">
        <v>60</v>
      </c>
      <c r="T113" s="27" t="s">
        <v>42</v>
      </c>
      <c r="U113" s="27" t="s">
        <v>61</v>
      </c>
      <c r="V113" s="27">
        <v>9621410770</v>
      </c>
      <c r="W113" s="27" t="s">
        <v>52</v>
      </c>
    </row>
    <row r="114" spans="2:23" ht="15" thickBot="1" x14ac:dyDescent="0.4">
      <c r="B114" s="27" t="s">
        <v>203</v>
      </c>
      <c r="C114" s="30" t="s">
        <v>87</v>
      </c>
      <c r="D114" s="30" t="s">
        <v>82</v>
      </c>
      <c r="E114" s="31">
        <v>45967</v>
      </c>
      <c r="F114" s="31">
        <v>45971</v>
      </c>
      <c r="G114" s="30" t="s">
        <v>88</v>
      </c>
      <c r="H114" s="30" t="s">
        <v>58</v>
      </c>
      <c r="I114" s="31">
        <v>30504</v>
      </c>
      <c r="J114" s="30" t="s">
        <v>79</v>
      </c>
      <c r="K114" s="30" t="s">
        <v>75</v>
      </c>
      <c r="L114" s="30" t="s">
        <v>83</v>
      </c>
      <c r="M114" s="30" t="s">
        <v>84</v>
      </c>
      <c r="N114" s="30">
        <v>2</v>
      </c>
      <c r="O114" s="30">
        <v>60</v>
      </c>
      <c r="P114" s="30">
        <v>0</v>
      </c>
      <c r="Q114" s="30">
        <v>120</v>
      </c>
      <c r="R114" s="30">
        <v>2</v>
      </c>
      <c r="S114" s="30" t="s">
        <v>65</v>
      </c>
      <c r="T114" s="30" t="s">
        <v>42</v>
      </c>
      <c r="U114" s="30" t="s">
        <v>89</v>
      </c>
      <c r="V114" s="30">
        <v>9981333189</v>
      </c>
      <c r="W114" s="22" t="s">
        <v>34</v>
      </c>
    </row>
    <row r="115" spans="2:23" ht="15" thickBot="1" x14ac:dyDescent="0.4">
      <c r="B115" s="30" t="s">
        <v>204</v>
      </c>
      <c r="C115" s="27" t="s">
        <v>156</v>
      </c>
      <c r="D115" s="27" t="s">
        <v>138</v>
      </c>
      <c r="E115" s="28">
        <v>45658</v>
      </c>
      <c r="F115" s="28">
        <v>45664</v>
      </c>
      <c r="G115" s="27" t="s">
        <v>106</v>
      </c>
      <c r="H115" s="27" t="s">
        <v>58</v>
      </c>
      <c r="I115" s="28">
        <v>32573</v>
      </c>
      <c r="J115" s="27" t="s">
        <v>79</v>
      </c>
      <c r="K115" s="27" t="s">
        <v>75</v>
      </c>
      <c r="L115" s="27" t="s">
        <v>83</v>
      </c>
      <c r="M115" s="27" t="s">
        <v>139</v>
      </c>
      <c r="N115" s="27">
        <v>10</v>
      </c>
      <c r="O115" s="27">
        <v>45</v>
      </c>
      <c r="P115" s="27">
        <v>15</v>
      </c>
      <c r="Q115" s="27">
        <v>382.5</v>
      </c>
      <c r="R115" s="27">
        <v>3</v>
      </c>
      <c r="S115" s="27" t="s">
        <v>41</v>
      </c>
      <c r="T115" s="27" t="s">
        <v>32</v>
      </c>
      <c r="U115" s="27" t="s">
        <v>158</v>
      </c>
      <c r="V115" s="27">
        <v>9723450355</v>
      </c>
      <c r="W115" s="27" t="s">
        <v>53</v>
      </c>
    </row>
    <row r="116" spans="2:23" ht="15" thickBot="1" x14ac:dyDescent="0.4">
      <c r="B116" s="27" t="s">
        <v>205</v>
      </c>
      <c r="C116" s="30" t="s">
        <v>124</v>
      </c>
      <c r="D116" s="30" t="s">
        <v>68</v>
      </c>
      <c r="E116" s="31">
        <v>46137</v>
      </c>
      <c r="F116" s="31">
        <v>46145</v>
      </c>
      <c r="G116" s="30" t="s">
        <v>126</v>
      </c>
      <c r="H116" s="30" t="s">
        <v>58</v>
      </c>
      <c r="I116" s="31">
        <v>30122</v>
      </c>
      <c r="J116" s="30" t="s">
        <v>147</v>
      </c>
      <c r="K116" s="30" t="s">
        <v>148</v>
      </c>
      <c r="L116" s="30" t="s">
        <v>29</v>
      </c>
      <c r="M116" s="30" t="s">
        <v>70</v>
      </c>
      <c r="N116" s="30">
        <v>12</v>
      </c>
      <c r="O116" s="30">
        <v>3500</v>
      </c>
      <c r="P116" s="30">
        <v>5</v>
      </c>
      <c r="Q116" s="30">
        <v>39900</v>
      </c>
      <c r="R116" s="30">
        <v>3</v>
      </c>
      <c r="S116" s="30" t="s">
        <v>41</v>
      </c>
      <c r="T116" s="30" t="s">
        <v>50</v>
      </c>
      <c r="U116" s="30" t="s">
        <v>128</v>
      </c>
      <c r="V116" s="30">
        <v>9886243907</v>
      </c>
      <c r="W116" s="30" t="s">
        <v>52</v>
      </c>
    </row>
    <row r="117" spans="2:23" ht="15" thickBot="1" x14ac:dyDescent="0.4">
      <c r="B117" s="30" t="s">
        <v>206</v>
      </c>
      <c r="C117" s="27" t="s">
        <v>87</v>
      </c>
      <c r="D117" s="27" t="s">
        <v>82</v>
      </c>
      <c r="E117" s="28">
        <v>45919</v>
      </c>
      <c r="F117" s="28">
        <v>45927</v>
      </c>
      <c r="G117" s="27" t="s">
        <v>88</v>
      </c>
      <c r="H117" s="27" t="s">
        <v>58</v>
      </c>
      <c r="I117" s="28">
        <v>37065</v>
      </c>
      <c r="J117" s="27" t="s">
        <v>74</v>
      </c>
      <c r="K117" s="27" t="s">
        <v>75</v>
      </c>
      <c r="L117" s="27" t="s">
        <v>83</v>
      </c>
      <c r="M117" s="27" t="s">
        <v>84</v>
      </c>
      <c r="N117" s="27">
        <v>2</v>
      </c>
      <c r="O117" s="27">
        <v>60</v>
      </c>
      <c r="P117" s="27">
        <v>15</v>
      </c>
      <c r="Q117" s="27">
        <v>102</v>
      </c>
      <c r="R117" s="27">
        <v>1</v>
      </c>
      <c r="S117" s="27" t="s">
        <v>65</v>
      </c>
      <c r="T117" s="27" t="s">
        <v>80</v>
      </c>
      <c r="U117" s="27" t="s">
        <v>89</v>
      </c>
      <c r="V117" s="27">
        <v>9473931904</v>
      </c>
      <c r="W117" s="21" t="s">
        <v>34</v>
      </c>
    </row>
    <row r="118" spans="2:23" ht="15" thickBot="1" x14ac:dyDescent="0.4">
      <c r="B118" s="27" t="s">
        <v>207</v>
      </c>
      <c r="C118" s="30" t="s">
        <v>87</v>
      </c>
      <c r="D118" s="30" t="s">
        <v>56</v>
      </c>
      <c r="E118" s="31">
        <v>45734</v>
      </c>
      <c r="F118" s="31">
        <v>45737</v>
      </c>
      <c r="G118" s="30" t="s">
        <v>88</v>
      </c>
      <c r="H118" s="30" t="s">
        <v>58</v>
      </c>
      <c r="I118" s="31">
        <v>30516</v>
      </c>
      <c r="J118" s="30" t="s">
        <v>27</v>
      </c>
      <c r="K118" s="30" t="s">
        <v>28</v>
      </c>
      <c r="L118" s="30" t="s">
        <v>39</v>
      </c>
      <c r="M118" s="30" t="s">
        <v>59</v>
      </c>
      <c r="N118" s="30">
        <v>18</v>
      </c>
      <c r="O118" s="30">
        <v>1200</v>
      </c>
      <c r="P118" s="30">
        <v>15</v>
      </c>
      <c r="Q118" s="30">
        <v>18360</v>
      </c>
      <c r="R118" s="30">
        <v>3</v>
      </c>
      <c r="S118" s="30" t="s">
        <v>60</v>
      </c>
      <c r="T118" s="30" t="s">
        <v>80</v>
      </c>
      <c r="U118" s="30" t="s">
        <v>89</v>
      </c>
      <c r="V118" s="30">
        <v>9287159610</v>
      </c>
      <c r="W118" s="30" t="s">
        <v>52</v>
      </c>
    </row>
    <row r="119" spans="2:23" ht="15" thickBot="1" x14ac:dyDescent="0.4">
      <c r="B119" s="30" t="s">
        <v>208</v>
      </c>
      <c r="C119" s="27" t="s">
        <v>23</v>
      </c>
      <c r="D119" s="27" t="s">
        <v>36</v>
      </c>
      <c r="E119" s="28">
        <v>45960</v>
      </c>
      <c r="F119" s="28">
        <v>45961</v>
      </c>
      <c r="G119" s="27" t="s">
        <v>25</v>
      </c>
      <c r="H119" s="27" t="s">
        <v>26</v>
      </c>
      <c r="I119" s="28">
        <v>34052</v>
      </c>
      <c r="J119" s="27" t="s">
        <v>74</v>
      </c>
      <c r="K119" s="27" t="s">
        <v>75</v>
      </c>
      <c r="L119" s="27" t="s">
        <v>39</v>
      </c>
      <c r="M119" s="27" t="s">
        <v>40</v>
      </c>
      <c r="N119" s="27">
        <v>18</v>
      </c>
      <c r="O119" s="27">
        <v>12000</v>
      </c>
      <c r="P119" s="27">
        <v>15</v>
      </c>
      <c r="Q119" s="27">
        <v>183600</v>
      </c>
      <c r="R119" s="27">
        <v>2</v>
      </c>
      <c r="S119" s="27" t="s">
        <v>31</v>
      </c>
      <c r="T119" s="27" t="s">
        <v>42</v>
      </c>
      <c r="U119" s="27" t="s">
        <v>43</v>
      </c>
      <c r="V119" s="27">
        <v>9876513858</v>
      </c>
      <c r="W119" s="21" t="s">
        <v>34</v>
      </c>
    </row>
    <row r="120" spans="2:23" ht="15" thickBot="1" x14ac:dyDescent="0.4">
      <c r="B120" s="27" t="s">
        <v>209</v>
      </c>
      <c r="C120" s="30" t="s">
        <v>63</v>
      </c>
      <c r="D120" s="30" t="s">
        <v>125</v>
      </c>
      <c r="E120" s="31">
        <v>45961</v>
      </c>
      <c r="F120" s="31">
        <v>45972</v>
      </c>
      <c r="G120" s="30" t="s">
        <v>110</v>
      </c>
      <c r="H120" s="30" t="s">
        <v>58</v>
      </c>
      <c r="I120" s="31">
        <v>34829</v>
      </c>
      <c r="J120" s="30" t="s">
        <v>91</v>
      </c>
      <c r="K120" s="30" t="s">
        <v>75</v>
      </c>
      <c r="L120" s="30" t="s">
        <v>83</v>
      </c>
      <c r="M120" s="30" t="s">
        <v>127</v>
      </c>
      <c r="N120" s="30">
        <v>7</v>
      </c>
      <c r="O120" s="30">
        <v>20</v>
      </c>
      <c r="P120" s="30">
        <v>0</v>
      </c>
      <c r="Q120" s="30">
        <v>140</v>
      </c>
      <c r="R120" s="30">
        <v>2</v>
      </c>
      <c r="S120" s="30" t="s">
        <v>60</v>
      </c>
      <c r="T120" s="30" t="s">
        <v>32</v>
      </c>
      <c r="U120" s="30" t="s">
        <v>66</v>
      </c>
      <c r="V120" s="30">
        <v>9237400853</v>
      </c>
      <c r="W120" s="30" t="s">
        <v>53</v>
      </c>
    </row>
    <row r="121" spans="2:23" ht="15" thickBot="1" x14ac:dyDescent="0.4">
      <c r="B121" s="30" t="s">
        <v>210</v>
      </c>
      <c r="C121" s="27" t="s">
        <v>134</v>
      </c>
      <c r="D121" s="27" t="s">
        <v>68</v>
      </c>
      <c r="E121" s="28">
        <v>45757</v>
      </c>
      <c r="F121" s="28">
        <v>45765</v>
      </c>
      <c r="G121" s="27" t="s">
        <v>135</v>
      </c>
      <c r="H121" s="27" t="s">
        <v>26</v>
      </c>
      <c r="I121" s="28">
        <v>36937</v>
      </c>
      <c r="J121" s="27" t="s">
        <v>79</v>
      </c>
      <c r="K121" s="27" t="s">
        <v>75</v>
      </c>
      <c r="L121" s="27" t="s">
        <v>29</v>
      </c>
      <c r="M121" s="27" t="s">
        <v>70</v>
      </c>
      <c r="N121" s="27">
        <v>20</v>
      </c>
      <c r="O121" s="27">
        <v>3500</v>
      </c>
      <c r="P121" s="27">
        <v>20</v>
      </c>
      <c r="Q121" s="27">
        <v>56000</v>
      </c>
      <c r="R121" s="27">
        <v>4</v>
      </c>
      <c r="S121" s="27" t="s">
        <v>60</v>
      </c>
      <c r="T121" s="27" t="s">
        <v>80</v>
      </c>
      <c r="U121" s="27" t="s">
        <v>136</v>
      </c>
      <c r="V121" s="27">
        <v>9599597595</v>
      </c>
      <c r="W121" s="27" t="s">
        <v>52</v>
      </c>
    </row>
    <row r="122" spans="2:23" ht="15" thickBot="1" x14ac:dyDescent="0.4">
      <c r="B122" s="27" t="s">
        <v>211</v>
      </c>
      <c r="C122" s="30" t="s">
        <v>72</v>
      </c>
      <c r="D122" s="30" t="s">
        <v>105</v>
      </c>
      <c r="E122" s="31">
        <v>46097</v>
      </c>
      <c r="F122" s="31">
        <v>46107</v>
      </c>
      <c r="G122" s="30" t="s">
        <v>73</v>
      </c>
      <c r="H122" s="30" t="s">
        <v>26</v>
      </c>
      <c r="I122" s="31">
        <v>36386</v>
      </c>
      <c r="J122" s="30" t="s">
        <v>91</v>
      </c>
      <c r="K122" s="30" t="s">
        <v>75</v>
      </c>
      <c r="L122" s="30" t="s">
        <v>29</v>
      </c>
      <c r="M122" s="30" t="s">
        <v>107</v>
      </c>
      <c r="N122" s="30">
        <v>8</v>
      </c>
      <c r="O122" s="30">
        <v>8500</v>
      </c>
      <c r="P122" s="30">
        <v>20</v>
      </c>
      <c r="Q122" s="30">
        <v>54400</v>
      </c>
      <c r="R122" s="30">
        <v>3</v>
      </c>
      <c r="S122" s="30" t="s">
        <v>60</v>
      </c>
      <c r="T122" s="30" t="s">
        <v>80</v>
      </c>
      <c r="U122" s="30" t="s">
        <v>93</v>
      </c>
      <c r="V122" s="30">
        <v>9230007509</v>
      </c>
      <c r="W122" s="30" t="s">
        <v>52</v>
      </c>
    </row>
    <row r="123" spans="2:23" ht="15" thickBot="1" x14ac:dyDescent="0.4">
      <c r="B123" s="30" t="s">
        <v>213</v>
      </c>
      <c r="C123" s="27" t="s">
        <v>156</v>
      </c>
      <c r="D123" s="27" t="s">
        <v>36</v>
      </c>
      <c r="E123" s="28">
        <v>45915</v>
      </c>
      <c r="F123" s="28">
        <v>45924</v>
      </c>
      <c r="G123" s="27" t="s">
        <v>106</v>
      </c>
      <c r="H123" s="27" t="s">
        <v>58</v>
      </c>
      <c r="I123" s="28">
        <v>37335</v>
      </c>
      <c r="J123" s="27" t="s">
        <v>91</v>
      </c>
      <c r="K123" s="27" t="s">
        <v>212</v>
      </c>
      <c r="L123" s="27" t="s">
        <v>39</v>
      </c>
      <c r="M123" s="27" t="s">
        <v>40</v>
      </c>
      <c r="N123" s="27">
        <v>6</v>
      </c>
      <c r="O123" s="27">
        <v>12000</v>
      </c>
      <c r="P123" s="27">
        <v>5</v>
      </c>
      <c r="Q123" s="27">
        <v>68400</v>
      </c>
      <c r="R123" s="27">
        <v>4</v>
      </c>
      <c r="S123" s="27" t="s">
        <v>41</v>
      </c>
      <c r="T123" s="27" t="s">
        <v>32</v>
      </c>
      <c r="U123" s="27" t="s">
        <v>158</v>
      </c>
      <c r="V123" s="27">
        <v>9823428025</v>
      </c>
      <c r="W123" s="21" t="s">
        <v>34</v>
      </c>
    </row>
    <row r="124" spans="2:23" ht="15" thickBot="1" x14ac:dyDescent="0.4">
      <c r="B124" s="27" t="s">
        <v>214</v>
      </c>
      <c r="C124" s="30" t="s">
        <v>23</v>
      </c>
      <c r="D124" s="30" t="s">
        <v>105</v>
      </c>
      <c r="E124" s="31">
        <v>46092</v>
      </c>
      <c r="F124" s="31">
        <v>46100</v>
      </c>
      <c r="G124" s="30" t="s">
        <v>25</v>
      </c>
      <c r="H124" s="30" t="s">
        <v>26</v>
      </c>
      <c r="I124" s="31">
        <v>33768</v>
      </c>
      <c r="J124" s="30" t="s">
        <v>79</v>
      </c>
      <c r="K124" s="30" t="s">
        <v>75</v>
      </c>
      <c r="L124" s="30" t="s">
        <v>29</v>
      </c>
      <c r="M124" s="30" t="s">
        <v>107</v>
      </c>
      <c r="N124" s="30">
        <v>15</v>
      </c>
      <c r="O124" s="30">
        <v>8500</v>
      </c>
      <c r="P124" s="30">
        <v>0</v>
      </c>
      <c r="Q124" s="30">
        <v>127500</v>
      </c>
      <c r="R124" s="30">
        <v>4</v>
      </c>
      <c r="S124" s="30" t="s">
        <v>41</v>
      </c>
      <c r="T124" s="30" t="s">
        <v>32</v>
      </c>
      <c r="U124" s="30" t="s">
        <v>43</v>
      </c>
      <c r="V124" s="30">
        <v>9505048912</v>
      </c>
      <c r="W124" s="30" t="s">
        <v>53</v>
      </c>
    </row>
    <row r="125" spans="2:23" ht="15" thickBot="1" x14ac:dyDescent="0.4">
      <c r="B125" s="30" t="s">
        <v>215</v>
      </c>
      <c r="C125" s="27" t="s">
        <v>45</v>
      </c>
      <c r="D125" s="27" t="s">
        <v>56</v>
      </c>
      <c r="E125" s="28">
        <v>45889</v>
      </c>
      <c r="F125" s="28">
        <v>45892</v>
      </c>
      <c r="G125" s="27" t="s">
        <v>101</v>
      </c>
      <c r="H125" s="27" t="s">
        <v>26</v>
      </c>
      <c r="I125" s="28">
        <v>35234</v>
      </c>
      <c r="J125" s="27" t="s">
        <v>121</v>
      </c>
      <c r="K125" s="27" t="s">
        <v>38</v>
      </c>
      <c r="L125" s="27" t="s">
        <v>39</v>
      </c>
      <c r="M125" s="27" t="s">
        <v>59</v>
      </c>
      <c r="N125" s="27">
        <v>5</v>
      </c>
      <c r="O125" s="27">
        <v>1200</v>
      </c>
      <c r="P125" s="27">
        <v>15</v>
      </c>
      <c r="Q125" s="27">
        <v>5100</v>
      </c>
      <c r="R125" s="27">
        <v>1</v>
      </c>
      <c r="S125" s="27" t="s">
        <v>41</v>
      </c>
      <c r="T125" s="27" t="s">
        <v>32</v>
      </c>
      <c r="U125" s="27" t="s">
        <v>51</v>
      </c>
      <c r="V125" s="27">
        <v>9508068393</v>
      </c>
      <c r="W125" s="27" t="s">
        <v>53</v>
      </c>
    </row>
    <row r="126" spans="2:23" ht="15" thickBot="1" x14ac:dyDescent="0.4">
      <c r="B126" s="27" t="s">
        <v>216</v>
      </c>
      <c r="C126" s="30" t="s">
        <v>45</v>
      </c>
      <c r="D126" s="30" t="s">
        <v>125</v>
      </c>
      <c r="E126" s="31">
        <v>45882</v>
      </c>
      <c r="F126" s="31">
        <v>45883</v>
      </c>
      <c r="G126" s="30" t="s">
        <v>101</v>
      </c>
      <c r="H126" s="30" t="s">
        <v>26</v>
      </c>
      <c r="I126" s="31">
        <v>30263</v>
      </c>
      <c r="J126" s="30" t="s">
        <v>27</v>
      </c>
      <c r="K126" s="30" t="s">
        <v>28</v>
      </c>
      <c r="L126" s="30" t="s">
        <v>83</v>
      </c>
      <c r="M126" s="30" t="s">
        <v>127</v>
      </c>
      <c r="N126" s="30">
        <v>4</v>
      </c>
      <c r="O126" s="30">
        <v>20</v>
      </c>
      <c r="P126" s="30">
        <v>0</v>
      </c>
      <c r="Q126" s="30">
        <v>80</v>
      </c>
      <c r="R126" s="30">
        <v>4</v>
      </c>
      <c r="S126" s="30" t="s">
        <v>41</v>
      </c>
      <c r="T126" s="30" t="s">
        <v>42</v>
      </c>
      <c r="U126" s="30" t="s">
        <v>51</v>
      </c>
      <c r="V126" s="30">
        <v>9785807771</v>
      </c>
      <c r="W126" s="22" t="s">
        <v>34</v>
      </c>
    </row>
    <row r="127" spans="2:23" ht="15" thickBot="1" x14ac:dyDescent="0.4">
      <c r="B127" s="30" t="s">
        <v>217</v>
      </c>
      <c r="C127" s="27" t="s">
        <v>23</v>
      </c>
      <c r="D127" s="27" t="s">
        <v>125</v>
      </c>
      <c r="E127" s="28">
        <v>45732</v>
      </c>
      <c r="F127" s="28">
        <v>45736</v>
      </c>
      <c r="G127" s="27" t="s">
        <v>25</v>
      </c>
      <c r="H127" s="27" t="s">
        <v>26</v>
      </c>
      <c r="I127" s="28">
        <v>30858</v>
      </c>
      <c r="J127" s="27" t="s">
        <v>48</v>
      </c>
      <c r="K127" s="27" t="s">
        <v>28</v>
      </c>
      <c r="L127" s="27" t="s">
        <v>83</v>
      </c>
      <c r="M127" s="27" t="s">
        <v>127</v>
      </c>
      <c r="N127" s="27">
        <v>10</v>
      </c>
      <c r="O127" s="27">
        <v>20</v>
      </c>
      <c r="P127" s="27">
        <v>0</v>
      </c>
      <c r="Q127" s="27">
        <v>200</v>
      </c>
      <c r="R127" s="27">
        <v>3</v>
      </c>
      <c r="S127" s="27" t="s">
        <v>31</v>
      </c>
      <c r="T127" s="27" t="s">
        <v>96</v>
      </c>
      <c r="U127" s="27" t="s">
        <v>43</v>
      </c>
      <c r="V127" s="27">
        <v>9215250979</v>
      </c>
      <c r="W127" s="27" t="s">
        <v>52</v>
      </c>
    </row>
    <row r="128" spans="2:23" ht="15" thickBot="1" x14ac:dyDescent="0.4">
      <c r="B128" s="27" t="s">
        <v>218</v>
      </c>
      <c r="C128" s="30" t="s">
        <v>104</v>
      </c>
      <c r="D128" s="30" t="s">
        <v>24</v>
      </c>
      <c r="E128" s="31">
        <v>45904</v>
      </c>
      <c r="F128" s="31">
        <v>45910</v>
      </c>
      <c r="G128" s="30" t="s">
        <v>166</v>
      </c>
      <c r="H128" s="30" t="s">
        <v>26</v>
      </c>
      <c r="I128" s="31">
        <v>34506</v>
      </c>
      <c r="J128" s="30" t="s">
        <v>37</v>
      </c>
      <c r="K128" s="30" t="s">
        <v>38</v>
      </c>
      <c r="L128" s="30" t="s">
        <v>29</v>
      </c>
      <c r="M128" s="30" t="s">
        <v>30</v>
      </c>
      <c r="N128" s="30">
        <v>18</v>
      </c>
      <c r="O128" s="30">
        <v>2200</v>
      </c>
      <c r="P128" s="30">
        <v>10</v>
      </c>
      <c r="Q128" s="30">
        <v>35640</v>
      </c>
      <c r="R128" s="30">
        <v>3</v>
      </c>
      <c r="S128" s="30" t="s">
        <v>31</v>
      </c>
      <c r="T128" s="30" t="s">
        <v>32</v>
      </c>
      <c r="U128" s="30" t="s">
        <v>108</v>
      </c>
      <c r="V128" s="30">
        <v>9845884906</v>
      </c>
      <c r="W128" s="30" t="s">
        <v>53</v>
      </c>
    </row>
    <row r="129" spans="2:23" ht="15" thickBot="1" x14ac:dyDescent="0.4">
      <c r="B129" s="30" t="s">
        <v>219</v>
      </c>
      <c r="C129" s="27" t="s">
        <v>156</v>
      </c>
      <c r="D129" s="27" t="s">
        <v>68</v>
      </c>
      <c r="E129" s="28">
        <v>45759</v>
      </c>
      <c r="F129" s="28">
        <v>45762</v>
      </c>
      <c r="G129" s="27" t="s">
        <v>106</v>
      </c>
      <c r="H129" s="27" t="s">
        <v>58</v>
      </c>
      <c r="I129" s="28">
        <v>33163</v>
      </c>
      <c r="J129" s="27" t="s">
        <v>37</v>
      </c>
      <c r="K129" s="27" t="s">
        <v>38</v>
      </c>
      <c r="L129" s="27" t="s">
        <v>29</v>
      </c>
      <c r="M129" s="27" t="s">
        <v>70</v>
      </c>
      <c r="N129" s="27">
        <v>7</v>
      </c>
      <c r="O129" s="27">
        <v>3500</v>
      </c>
      <c r="P129" s="27">
        <v>15</v>
      </c>
      <c r="Q129" s="27">
        <v>20825</v>
      </c>
      <c r="R129" s="27">
        <v>3</v>
      </c>
      <c r="S129" s="27" t="s">
        <v>41</v>
      </c>
      <c r="T129" s="27" t="s">
        <v>42</v>
      </c>
      <c r="U129" s="27" t="s">
        <v>158</v>
      </c>
      <c r="V129" s="27">
        <v>9393097397</v>
      </c>
      <c r="W129" s="21" t="s">
        <v>34</v>
      </c>
    </row>
    <row r="130" spans="2:23" ht="15" thickBot="1" x14ac:dyDescent="0.4">
      <c r="B130" s="27" t="s">
        <v>220</v>
      </c>
      <c r="C130" s="30" t="s">
        <v>72</v>
      </c>
      <c r="D130" s="30" t="s">
        <v>105</v>
      </c>
      <c r="E130" s="31">
        <v>46146</v>
      </c>
      <c r="F130" s="31">
        <v>46149</v>
      </c>
      <c r="G130" s="30" t="s">
        <v>73</v>
      </c>
      <c r="H130" s="30" t="s">
        <v>26</v>
      </c>
      <c r="I130" s="31">
        <v>31805</v>
      </c>
      <c r="J130" s="30" t="s">
        <v>147</v>
      </c>
      <c r="K130" s="30" t="s">
        <v>148</v>
      </c>
      <c r="L130" s="30" t="s">
        <v>29</v>
      </c>
      <c r="M130" s="30" t="s">
        <v>107</v>
      </c>
      <c r="N130" s="30">
        <v>19</v>
      </c>
      <c r="O130" s="30">
        <v>8500</v>
      </c>
      <c r="P130" s="30">
        <v>15</v>
      </c>
      <c r="Q130" s="30">
        <v>137275</v>
      </c>
      <c r="R130" s="30">
        <v>4</v>
      </c>
      <c r="S130" s="30" t="s">
        <v>60</v>
      </c>
      <c r="T130" s="30" t="s">
        <v>96</v>
      </c>
      <c r="U130" s="30" t="s">
        <v>93</v>
      </c>
      <c r="V130" s="30">
        <v>9958032109</v>
      </c>
      <c r="W130" s="30" t="s">
        <v>52</v>
      </c>
    </row>
    <row r="131" spans="2:23" ht="15" thickBot="1" x14ac:dyDescent="0.4">
      <c r="B131" s="30" t="s">
        <v>221</v>
      </c>
      <c r="C131" s="27" t="s">
        <v>134</v>
      </c>
      <c r="D131" s="27" t="s">
        <v>36</v>
      </c>
      <c r="E131" s="28">
        <v>46040</v>
      </c>
      <c r="F131" s="28">
        <v>46049</v>
      </c>
      <c r="G131" s="27" t="s">
        <v>135</v>
      </c>
      <c r="H131" s="27" t="s">
        <v>26</v>
      </c>
      <c r="I131" s="28">
        <v>30580</v>
      </c>
      <c r="J131" s="27" t="s">
        <v>91</v>
      </c>
      <c r="K131" s="27" t="s">
        <v>75</v>
      </c>
      <c r="L131" s="27" t="s">
        <v>39</v>
      </c>
      <c r="M131" s="27" t="s">
        <v>40</v>
      </c>
      <c r="N131" s="27">
        <v>13</v>
      </c>
      <c r="O131" s="27">
        <v>12000</v>
      </c>
      <c r="P131" s="27">
        <v>15</v>
      </c>
      <c r="Q131" s="27">
        <v>132600</v>
      </c>
      <c r="R131" s="27">
        <v>4</v>
      </c>
      <c r="S131" s="27" t="s">
        <v>31</v>
      </c>
      <c r="T131" s="27" t="s">
        <v>42</v>
      </c>
      <c r="U131" s="27" t="s">
        <v>136</v>
      </c>
      <c r="V131" s="27">
        <v>9755082957</v>
      </c>
      <c r="W131" s="21" t="s">
        <v>34</v>
      </c>
    </row>
    <row r="132" spans="2:23" ht="15" thickBot="1" x14ac:dyDescent="0.4">
      <c r="B132" s="27" t="s">
        <v>222</v>
      </c>
      <c r="C132" s="30" t="s">
        <v>156</v>
      </c>
      <c r="D132" s="30" t="s">
        <v>125</v>
      </c>
      <c r="E132" s="31">
        <v>46095</v>
      </c>
      <c r="F132" s="31">
        <v>46105</v>
      </c>
      <c r="G132" s="30" t="s">
        <v>106</v>
      </c>
      <c r="H132" s="30" t="s">
        <v>58</v>
      </c>
      <c r="I132" s="31">
        <v>32602</v>
      </c>
      <c r="J132" s="30" t="s">
        <v>79</v>
      </c>
      <c r="K132" s="30" t="s">
        <v>75</v>
      </c>
      <c r="L132" s="30" t="s">
        <v>83</v>
      </c>
      <c r="M132" s="30" t="s">
        <v>127</v>
      </c>
      <c r="N132" s="30">
        <v>7</v>
      </c>
      <c r="O132" s="30">
        <v>20</v>
      </c>
      <c r="P132" s="30">
        <v>0</v>
      </c>
      <c r="Q132" s="30">
        <v>140</v>
      </c>
      <c r="R132" s="30">
        <v>1</v>
      </c>
      <c r="S132" s="30" t="s">
        <v>60</v>
      </c>
      <c r="T132" s="30" t="s">
        <v>96</v>
      </c>
      <c r="U132" s="30" t="s">
        <v>158</v>
      </c>
      <c r="V132" s="30">
        <v>9872235856</v>
      </c>
      <c r="W132" s="30" t="s">
        <v>53</v>
      </c>
    </row>
    <row r="133" spans="2:23" ht="15" thickBot="1" x14ac:dyDescent="0.4">
      <c r="B133" s="30" t="s">
        <v>223</v>
      </c>
      <c r="C133" s="27" t="s">
        <v>104</v>
      </c>
      <c r="D133" s="27" t="s">
        <v>112</v>
      </c>
      <c r="E133" s="28">
        <v>45786</v>
      </c>
      <c r="F133" s="28">
        <v>45788</v>
      </c>
      <c r="G133" s="27" t="s">
        <v>166</v>
      </c>
      <c r="H133" s="27" t="s">
        <v>26</v>
      </c>
      <c r="I133" s="28">
        <v>32045</v>
      </c>
      <c r="J133" s="27" t="s">
        <v>37</v>
      </c>
      <c r="K133" s="27" t="s">
        <v>38</v>
      </c>
      <c r="L133" s="27" t="s">
        <v>39</v>
      </c>
      <c r="M133" s="27" t="s">
        <v>114</v>
      </c>
      <c r="N133" s="27">
        <v>5</v>
      </c>
      <c r="O133" s="27">
        <v>700</v>
      </c>
      <c r="P133" s="27">
        <v>15</v>
      </c>
      <c r="Q133" s="27">
        <v>999999</v>
      </c>
      <c r="R133" s="27">
        <v>4</v>
      </c>
      <c r="S133" s="27" t="s">
        <v>60</v>
      </c>
      <c r="T133" s="27" t="s">
        <v>32</v>
      </c>
      <c r="U133" s="27" t="s">
        <v>108</v>
      </c>
      <c r="V133" s="27">
        <v>9335138816</v>
      </c>
      <c r="W133" s="27" t="s">
        <v>52</v>
      </c>
    </row>
    <row r="134" spans="2:23" ht="15" thickBot="1" x14ac:dyDescent="0.4">
      <c r="B134" s="27" t="s">
        <v>224</v>
      </c>
      <c r="C134" s="30" t="s">
        <v>63</v>
      </c>
      <c r="D134" s="30" t="s">
        <v>138</v>
      </c>
      <c r="E134" s="31">
        <v>46149</v>
      </c>
      <c r="F134" s="31">
        <v>46152</v>
      </c>
      <c r="G134" s="30" t="s">
        <v>110</v>
      </c>
      <c r="H134" s="30" t="s">
        <v>58</v>
      </c>
      <c r="I134" s="31">
        <v>30170</v>
      </c>
      <c r="J134" s="30" t="s">
        <v>48</v>
      </c>
      <c r="K134" s="30" t="s">
        <v>28</v>
      </c>
      <c r="L134" s="30" t="s">
        <v>83</v>
      </c>
      <c r="M134" s="30" t="s">
        <v>139</v>
      </c>
      <c r="N134" s="30">
        <v>9</v>
      </c>
      <c r="O134" s="30">
        <v>45</v>
      </c>
      <c r="P134" s="30">
        <v>5</v>
      </c>
      <c r="Q134" s="30">
        <v>384.75</v>
      </c>
      <c r="R134" s="30">
        <v>3</v>
      </c>
      <c r="S134" s="30" t="s">
        <v>31</v>
      </c>
      <c r="T134" s="30" t="s">
        <v>32</v>
      </c>
      <c r="U134" s="30" t="s">
        <v>66</v>
      </c>
      <c r="V134" s="30">
        <v>9750365609</v>
      </c>
      <c r="W134" s="22" t="s">
        <v>34</v>
      </c>
    </row>
    <row r="135" spans="2:23" ht="15" thickBot="1" x14ac:dyDescent="0.4">
      <c r="B135" s="30" t="s">
        <v>225</v>
      </c>
      <c r="C135" s="27" t="s">
        <v>87</v>
      </c>
      <c r="D135" s="27" t="s">
        <v>82</v>
      </c>
      <c r="E135" s="28">
        <v>45768</v>
      </c>
      <c r="F135" s="28">
        <v>45776</v>
      </c>
      <c r="G135" s="27" t="s">
        <v>88</v>
      </c>
      <c r="H135" s="27" t="s">
        <v>58</v>
      </c>
      <c r="I135" s="28">
        <v>31610</v>
      </c>
      <c r="J135" s="27" t="s">
        <v>147</v>
      </c>
      <c r="K135" s="27" t="s">
        <v>148</v>
      </c>
      <c r="L135" s="27" t="s">
        <v>83</v>
      </c>
      <c r="M135" s="27" t="s">
        <v>84</v>
      </c>
      <c r="N135" s="27">
        <v>19</v>
      </c>
      <c r="O135" s="27">
        <v>60</v>
      </c>
      <c r="P135" s="27">
        <v>10</v>
      </c>
      <c r="Q135" s="27">
        <v>1026</v>
      </c>
      <c r="R135" s="27">
        <v>5</v>
      </c>
      <c r="S135" s="27" t="s">
        <v>41</v>
      </c>
      <c r="T135" s="27" t="s">
        <v>80</v>
      </c>
      <c r="U135" s="27" t="s">
        <v>89</v>
      </c>
      <c r="V135" s="27">
        <v>9736812737</v>
      </c>
      <c r="W135" s="21" t="s">
        <v>34</v>
      </c>
    </row>
    <row r="136" spans="2:23" ht="15" thickBot="1" x14ac:dyDescent="0.4">
      <c r="B136" s="27" t="s">
        <v>226</v>
      </c>
      <c r="C136" s="30" t="s">
        <v>156</v>
      </c>
      <c r="D136" s="30" t="s">
        <v>112</v>
      </c>
      <c r="E136" s="31">
        <v>46002</v>
      </c>
      <c r="F136" s="31">
        <v>46011</v>
      </c>
      <c r="G136" s="30" t="s">
        <v>106</v>
      </c>
      <c r="H136" s="30" t="s">
        <v>58</v>
      </c>
      <c r="I136" s="31">
        <v>31873</v>
      </c>
      <c r="J136" s="30" t="s">
        <v>91</v>
      </c>
      <c r="K136" s="30" t="s">
        <v>75</v>
      </c>
      <c r="L136" s="30" t="s">
        <v>39</v>
      </c>
      <c r="M136" s="30" t="s">
        <v>114</v>
      </c>
      <c r="N136" s="30">
        <v>4</v>
      </c>
      <c r="O136" s="30">
        <v>700</v>
      </c>
      <c r="P136" s="30">
        <v>5</v>
      </c>
      <c r="Q136" s="30">
        <v>2660</v>
      </c>
      <c r="R136" s="30">
        <v>3</v>
      </c>
      <c r="S136" s="30" t="s">
        <v>41</v>
      </c>
      <c r="T136" s="30" t="s">
        <v>50</v>
      </c>
      <c r="U136" s="30" t="s">
        <v>158</v>
      </c>
      <c r="V136" s="30">
        <v>9271420931</v>
      </c>
      <c r="W136" s="22" t="s">
        <v>34</v>
      </c>
    </row>
    <row r="137" spans="2:23" ht="15" thickBot="1" x14ac:dyDescent="0.4">
      <c r="B137" s="30" t="s">
        <v>227</v>
      </c>
      <c r="C137" s="27" t="s">
        <v>156</v>
      </c>
      <c r="D137" s="27" t="s">
        <v>68</v>
      </c>
      <c r="E137" s="28">
        <v>46149</v>
      </c>
      <c r="F137" s="28">
        <v>46157</v>
      </c>
      <c r="G137" s="27" t="s">
        <v>106</v>
      </c>
      <c r="H137" s="27" t="s">
        <v>58</v>
      </c>
      <c r="I137" s="28">
        <v>38042</v>
      </c>
      <c r="J137" s="27" t="s">
        <v>79</v>
      </c>
      <c r="K137" s="27" t="s">
        <v>75</v>
      </c>
      <c r="L137" s="27" t="s">
        <v>29</v>
      </c>
      <c r="M137" s="27" t="s">
        <v>70</v>
      </c>
      <c r="N137" s="27">
        <v>16</v>
      </c>
      <c r="O137" s="27">
        <v>3500</v>
      </c>
      <c r="P137" s="27">
        <v>0</v>
      </c>
      <c r="Q137" s="27">
        <v>56000</v>
      </c>
      <c r="R137" s="27">
        <v>2</v>
      </c>
      <c r="S137" s="27" t="s">
        <v>60</v>
      </c>
      <c r="T137" s="27" t="s">
        <v>42</v>
      </c>
      <c r="U137" s="27" t="s">
        <v>158</v>
      </c>
      <c r="V137" s="27">
        <v>9781411370</v>
      </c>
      <c r="W137" s="21" t="s">
        <v>34</v>
      </c>
    </row>
    <row r="138" spans="2:23" ht="15" thickBot="1" x14ac:dyDescent="0.4">
      <c r="B138" s="27" t="s">
        <v>228</v>
      </c>
      <c r="C138" s="30" t="s">
        <v>134</v>
      </c>
      <c r="D138" s="30" t="s">
        <v>138</v>
      </c>
      <c r="E138" s="31">
        <v>45670</v>
      </c>
      <c r="F138" s="31">
        <v>45677</v>
      </c>
      <c r="G138" s="30" t="s">
        <v>135</v>
      </c>
      <c r="H138" s="30" t="s">
        <v>26</v>
      </c>
      <c r="I138" s="31">
        <v>37005</v>
      </c>
      <c r="J138" s="30" t="s">
        <v>48</v>
      </c>
      <c r="K138" s="30" t="s">
        <v>28</v>
      </c>
      <c r="L138" s="30" t="s">
        <v>83</v>
      </c>
      <c r="M138" s="30" t="s">
        <v>139</v>
      </c>
      <c r="N138" s="30">
        <v>5</v>
      </c>
      <c r="O138" s="30">
        <v>45</v>
      </c>
      <c r="P138" s="30">
        <v>20</v>
      </c>
      <c r="Q138" s="30">
        <v>180</v>
      </c>
      <c r="R138" s="30">
        <v>3</v>
      </c>
      <c r="S138" s="30" t="s">
        <v>60</v>
      </c>
      <c r="T138" s="30" t="s">
        <v>32</v>
      </c>
      <c r="U138" s="30" t="s">
        <v>136</v>
      </c>
      <c r="V138" s="30">
        <v>9584152818</v>
      </c>
      <c r="W138" s="22" t="s">
        <v>34</v>
      </c>
    </row>
    <row r="139" spans="2:23" ht="15" thickBot="1" x14ac:dyDescent="0.4">
      <c r="B139" s="30" t="s">
        <v>229</v>
      </c>
      <c r="C139" s="27" t="s">
        <v>63</v>
      </c>
      <c r="D139" s="27" t="s">
        <v>125</v>
      </c>
      <c r="E139" s="28">
        <v>45733</v>
      </c>
      <c r="F139" s="28">
        <v>45734</v>
      </c>
      <c r="G139" s="27" t="s">
        <v>110</v>
      </c>
      <c r="H139" s="27" t="s">
        <v>58</v>
      </c>
      <c r="I139" s="28">
        <v>35247</v>
      </c>
      <c r="J139" s="27" t="s">
        <v>74</v>
      </c>
      <c r="K139" s="27" t="s">
        <v>75</v>
      </c>
      <c r="L139" s="27" t="s">
        <v>83</v>
      </c>
      <c r="M139" s="27" t="s">
        <v>127</v>
      </c>
      <c r="N139" s="27">
        <v>9</v>
      </c>
      <c r="O139" s="27">
        <v>20</v>
      </c>
      <c r="P139" s="27">
        <v>10</v>
      </c>
      <c r="Q139" s="27">
        <v>162</v>
      </c>
      <c r="R139" s="27">
        <v>4</v>
      </c>
      <c r="S139" s="27" t="s">
        <v>60</v>
      </c>
      <c r="T139" s="27" t="s">
        <v>32</v>
      </c>
      <c r="U139" s="27" t="s">
        <v>66</v>
      </c>
      <c r="V139" s="27">
        <v>9507986836</v>
      </c>
      <c r="W139" s="27" t="s">
        <v>52</v>
      </c>
    </row>
    <row r="140" spans="2:23" ht="15" thickBot="1" x14ac:dyDescent="0.4">
      <c r="B140" s="27" t="s">
        <v>230</v>
      </c>
      <c r="C140" s="30" t="s">
        <v>45</v>
      </c>
      <c r="D140" s="30" t="s">
        <v>56</v>
      </c>
      <c r="E140" s="31">
        <v>45713</v>
      </c>
      <c r="F140" s="31">
        <v>45717</v>
      </c>
      <c r="G140" s="30" t="s">
        <v>101</v>
      </c>
      <c r="H140" s="30" t="s">
        <v>26</v>
      </c>
      <c r="I140" s="31">
        <v>28892</v>
      </c>
      <c r="J140" s="30" t="s">
        <v>37</v>
      </c>
      <c r="K140" s="30" t="s">
        <v>38</v>
      </c>
      <c r="L140" s="30" t="s">
        <v>39</v>
      </c>
      <c r="M140" s="30" t="s">
        <v>59</v>
      </c>
      <c r="N140" s="30">
        <v>9</v>
      </c>
      <c r="O140" s="30">
        <v>1200</v>
      </c>
      <c r="P140" s="30">
        <v>5</v>
      </c>
      <c r="Q140" s="30">
        <v>10260</v>
      </c>
      <c r="R140" s="30">
        <v>3</v>
      </c>
      <c r="S140" s="30" t="s">
        <v>65</v>
      </c>
      <c r="T140" s="30" t="s">
        <v>32</v>
      </c>
      <c r="U140" s="30" t="s">
        <v>51</v>
      </c>
      <c r="V140" s="30">
        <v>9518249687</v>
      </c>
      <c r="W140" s="30" t="s">
        <v>52</v>
      </c>
    </row>
    <row r="141" spans="2:23" ht="15" thickBot="1" x14ac:dyDescent="0.4">
      <c r="B141" s="30" t="s">
        <v>231</v>
      </c>
      <c r="C141" s="27" t="s">
        <v>72</v>
      </c>
      <c r="D141" s="27" t="s">
        <v>68</v>
      </c>
      <c r="E141" s="28">
        <v>45714</v>
      </c>
      <c r="F141" s="28">
        <v>45715</v>
      </c>
      <c r="G141" s="27" t="s">
        <v>73</v>
      </c>
      <c r="H141" s="27" t="s">
        <v>26</v>
      </c>
      <c r="I141" s="28">
        <v>31393</v>
      </c>
      <c r="J141" s="27" t="s">
        <v>37</v>
      </c>
      <c r="K141" s="27" t="s">
        <v>38</v>
      </c>
      <c r="L141" s="27" t="s">
        <v>29</v>
      </c>
      <c r="M141" s="27" t="s">
        <v>70</v>
      </c>
      <c r="N141" s="27">
        <v>3</v>
      </c>
      <c r="O141" s="27">
        <v>3500</v>
      </c>
      <c r="P141" s="27">
        <v>10</v>
      </c>
      <c r="Q141" s="27">
        <v>9450</v>
      </c>
      <c r="R141" s="27">
        <v>2</v>
      </c>
      <c r="S141" s="27" t="s">
        <v>60</v>
      </c>
      <c r="T141" s="27" t="s">
        <v>96</v>
      </c>
      <c r="U141" s="27" t="s">
        <v>93</v>
      </c>
      <c r="V141" s="27">
        <v>9179328207</v>
      </c>
      <c r="W141" s="27" t="s">
        <v>53</v>
      </c>
    </row>
    <row r="142" spans="2:23" ht="15" thickBot="1" x14ac:dyDescent="0.4">
      <c r="B142" s="27" t="s">
        <v>232</v>
      </c>
      <c r="C142" s="30" t="s">
        <v>124</v>
      </c>
      <c r="D142" s="30" t="s">
        <v>56</v>
      </c>
      <c r="E142" s="31">
        <v>46094</v>
      </c>
      <c r="F142" s="31">
        <v>46099</v>
      </c>
      <c r="G142" s="30" t="s">
        <v>126</v>
      </c>
      <c r="H142" s="30" t="s">
        <v>58</v>
      </c>
      <c r="I142" s="31">
        <v>33631</v>
      </c>
      <c r="J142" s="30" t="s">
        <v>74</v>
      </c>
      <c r="K142" s="30" t="s">
        <v>75</v>
      </c>
      <c r="L142" s="30" t="s">
        <v>39</v>
      </c>
      <c r="M142" s="30" t="s">
        <v>59</v>
      </c>
      <c r="N142" s="30">
        <v>6</v>
      </c>
      <c r="O142" s="30">
        <v>1200</v>
      </c>
      <c r="P142" s="30">
        <v>15</v>
      </c>
      <c r="Q142" s="30">
        <v>6120</v>
      </c>
      <c r="R142" s="30">
        <v>4</v>
      </c>
      <c r="S142" s="30" t="s">
        <v>65</v>
      </c>
      <c r="T142" s="30" t="s">
        <v>32</v>
      </c>
      <c r="U142" s="30" t="s">
        <v>128</v>
      </c>
      <c r="V142" s="30">
        <v>9778490728</v>
      </c>
      <c r="W142" s="30" t="s">
        <v>53</v>
      </c>
    </row>
    <row r="143" spans="2:23" ht="15" thickBot="1" x14ac:dyDescent="0.4">
      <c r="B143" s="30" t="s">
        <v>233</v>
      </c>
      <c r="C143" s="27" t="s">
        <v>63</v>
      </c>
      <c r="D143" s="27" t="s">
        <v>56</v>
      </c>
      <c r="E143" s="28">
        <v>45848</v>
      </c>
      <c r="F143" s="28">
        <v>45850</v>
      </c>
      <c r="G143" s="27" t="s">
        <v>110</v>
      </c>
      <c r="H143" s="27" t="s">
        <v>58</v>
      </c>
      <c r="I143" s="28">
        <v>34155</v>
      </c>
      <c r="J143" s="27" t="s">
        <v>121</v>
      </c>
      <c r="K143" s="27" t="s">
        <v>38</v>
      </c>
      <c r="L143" s="27" t="s">
        <v>39</v>
      </c>
      <c r="M143" s="27" t="s">
        <v>59</v>
      </c>
      <c r="N143" s="27">
        <v>17</v>
      </c>
      <c r="O143" s="27">
        <v>1200</v>
      </c>
      <c r="P143" s="27">
        <v>15</v>
      </c>
      <c r="Q143" s="27">
        <v>17340</v>
      </c>
      <c r="R143" s="27">
        <v>1</v>
      </c>
      <c r="S143" s="27" t="s">
        <v>31</v>
      </c>
      <c r="T143" s="27" t="s">
        <v>50</v>
      </c>
      <c r="U143" s="27" t="s">
        <v>66</v>
      </c>
      <c r="V143" s="27">
        <v>9223058722</v>
      </c>
      <c r="W143" s="21" t="s">
        <v>34</v>
      </c>
    </row>
    <row r="144" spans="2:23" ht="15" thickBot="1" x14ac:dyDescent="0.4">
      <c r="B144" s="27" t="s">
        <v>234</v>
      </c>
      <c r="C144" s="30" t="s">
        <v>124</v>
      </c>
      <c r="D144" s="30" t="s">
        <v>105</v>
      </c>
      <c r="E144" s="31">
        <v>45979</v>
      </c>
      <c r="F144" s="31">
        <v>45987</v>
      </c>
      <c r="G144" s="30" t="s">
        <v>126</v>
      </c>
      <c r="H144" s="30" t="s">
        <v>58</v>
      </c>
      <c r="I144" s="31">
        <v>28381</v>
      </c>
      <c r="J144" s="30" t="s">
        <v>48</v>
      </c>
      <c r="K144" s="30" t="s">
        <v>28</v>
      </c>
      <c r="L144" s="30" t="s">
        <v>29</v>
      </c>
      <c r="M144" s="30" t="s">
        <v>107</v>
      </c>
      <c r="N144" s="30">
        <v>15</v>
      </c>
      <c r="O144" s="30">
        <v>8500</v>
      </c>
      <c r="P144" s="30">
        <v>0</v>
      </c>
      <c r="Q144" s="30">
        <v>127500</v>
      </c>
      <c r="R144" s="30">
        <v>3</v>
      </c>
      <c r="S144" s="30" t="s">
        <v>31</v>
      </c>
      <c r="T144" s="30" t="s">
        <v>80</v>
      </c>
      <c r="U144" s="30" t="s">
        <v>128</v>
      </c>
      <c r="V144" s="30">
        <v>9999889465</v>
      </c>
      <c r="W144" s="30" t="s">
        <v>52</v>
      </c>
    </row>
    <row r="145" spans="2:23" ht="15" thickBot="1" x14ac:dyDescent="0.4">
      <c r="B145" s="30" t="s">
        <v>235</v>
      </c>
      <c r="C145" s="27" t="s">
        <v>87</v>
      </c>
      <c r="D145" s="27" t="s">
        <v>56</v>
      </c>
      <c r="E145" s="28">
        <v>45760</v>
      </c>
      <c r="F145" s="28">
        <v>45766</v>
      </c>
      <c r="G145" s="27" t="s">
        <v>88</v>
      </c>
      <c r="H145" s="27" t="s">
        <v>58</v>
      </c>
      <c r="I145" s="28">
        <v>31331</v>
      </c>
      <c r="J145" s="27" t="s">
        <v>27</v>
      </c>
      <c r="K145" s="27" t="s">
        <v>28</v>
      </c>
      <c r="L145" s="27" t="s">
        <v>39</v>
      </c>
      <c r="M145" s="27" t="s">
        <v>59</v>
      </c>
      <c r="N145" s="27">
        <v>1</v>
      </c>
      <c r="O145" s="27">
        <v>1200</v>
      </c>
      <c r="P145" s="27">
        <v>20</v>
      </c>
      <c r="Q145" s="27">
        <v>960</v>
      </c>
      <c r="R145" s="27">
        <v>1</v>
      </c>
      <c r="S145" s="27" t="s">
        <v>65</v>
      </c>
      <c r="T145" s="27" t="s">
        <v>80</v>
      </c>
      <c r="U145" s="27" t="s">
        <v>89</v>
      </c>
      <c r="V145" s="27">
        <v>9489687402</v>
      </c>
      <c r="W145" s="27" t="s">
        <v>52</v>
      </c>
    </row>
    <row r="146" spans="2:23" ht="15" thickBot="1" x14ac:dyDescent="0.4">
      <c r="B146" s="27" t="s">
        <v>236</v>
      </c>
      <c r="C146" s="30" t="s">
        <v>87</v>
      </c>
      <c r="D146" s="30" t="s">
        <v>105</v>
      </c>
      <c r="E146" s="31">
        <v>45756</v>
      </c>
      <c r="F146" s="31">
        <v>45765</v>
      </c>
      <c r="G146" s="30" t="s">
        <v>88</v>
      </c>
      <c r="H146" s="30" t="s">
        <v>58</v>
      </c>
      <c r="I146" s="31">
        <v>37166</v>
      </c>
      <c r="J146" s="30" t="s">
        <v>147</v>
      </c>
      <c r="K146" s="30" t="s">
        <v>148</v>
      </c>
      <c r="L146" s="30" t="s">
        <v>29</v>
      </c>
      <c r="M146" s="30" t="s">
        <v>107</v>
      </c>
      <c r="N146" s="30">
        <v>5</v>
      </c>
      <c r="O146" s="30">
        <v>8500</v>
      </c>
      <c r="P146" s="30">
        <v>10</v>
      </c>
      <c r="Q146" s="30">
        <v>38250</v>
      </c>
      <c r="R146" s="30">
        <v>1</v>
      </c>
      <c r="S146" s="30" t="s">
        <v>60</v>
      </c>
      <c r="T146" s="30" t="s">
        <v>50</v>
      </c>
      <c r="U146" s="30" t="s">
        <v>89</v>
      </c>
      <c r="V146" s="30">
        <v>9236963301</v>
      </c>
      <c r="W146" s="22" t="s">
        <v>34</v>
      </c>
    </row>
    <row r="147" spans="2:23" ht="15" thickBot="1" x14ac:dyDescent="0.4">
      <c r="B147" s="30" t="s">
        <v>237</v>
      </c>
      <c r="C147" s="27" t="s">
        <v>45</v>
      </c>
      <c r="D147" s="27" t="s">
        <v>138</v>
      </c>
      <c r="E147" s="28">
        <v>46115</v>
      </c>
      <c r="F147" s="28">
        <v>46122</v>
      </c>
      <c r="G147" s="27" t="s">
        <v>101</v>
      </c>
      <c r="H147" s="27" t="s">
        <v>26</v>
      </c>
      <c r="I147" s="28">
        <v>31510</v>
      </c>
      <c r="J147" s="27" t="s">
        <v>27</v>
      </c>
      <c r="K147" s="27" t="s">
        <v>28</v>
      </c>
      <c r="L147" s="27" t="s">
        <v>83</v>
      </c>
      <c r="M147" s="27" t="s">
        <v>139</v>
      </c>
      <c r="N147" s="27">
        <v>12</v>
      </c>
      <c r="O147" s="27">
        <v>45</v>
      </c>
      <c r="P147" s="27">
        <v>5</v>
      </c>
      <c r="Q147" s="27">
        <v>513</v>
      </c>
      <c r="R147" s="27">
        <v>2</v>
      </c>
      <c r="S147" s="27" t="s">
        <v>41</v>
      </c>
      <c r="T147" s="27" t="s">
        <v>32</v>
      </c>
      <c r="U147" s="27" t="s">
        <v>51</v>
      </c>
      <c r="V147" s="27">
        <v>9653594592</v>
      </c>
      <c r="W147" s="27" t="s">
        <v>53</v>
      </c>
    </row>
    <row r="148" spans="2:23" ht="15" thickBot="1" x14ac:dyDescent="0.4">
      <c r="B148" s="27" t="s">
        <v>238</v>
      </c>
      <c r="C148" s="30" t="s">
        <v>124</v>
      </c>
      <c r="D148" s="30" t="s">
        <v>82</v>
      </c>
      <c r="E148" s="31">
        <v>45953</v>
      </c>
      <c r="F148" s="31">
        <v>45958</v>
      </c>
      <c r="G148" s="30" t="s">
        <v>126</v>
      </c>
      <c r="H148" s="30" t="s">
        <v>58</v>
      </c>
      <c r="I148" s="31">
        <v>33075</v>
      </c>
      <c r="J148" s="30" t="s">
        <v>79</v>
      </c>
      <c r="K148" s="30" t="s">
        <v>75</v>
      </c>
      <c r="L148" s="30" t="s">
        <v>83</v>
      </c>
      <c r="M148" s="30" t="s">
        <v>84</v>
      </c>
      <c r="N148" s="30">
        <v>5</v>
      </c>
      <c r="O148" s="30">
        <v>60</v>
      </c>
      <c r="P148" s="30">
        <v>5</v>
      </c>
      <c r="Q148" s="30">
        <v>285</v>
      </c>
      <c r="R148" s="30">
        <v>2</v>
      </c>
      <c r="S148" s="30" t="s">
        <v>31</v>
      </c>
      <c r="T148" s="30" t="s">
        <v>50</v>
      </c>
      <c r="U148" s="30" t="s">
        <v>128</v>
      </c>
      <c r="V148" s="30">
        <v>9781970426</v>
      </c>
      <c r="W148" s="22" t="s">
        <v>34</v>
      </c>
    </row>
    <row r="149" spans="2:23" ht="15" thickBot="1" x14ac:dyDescent="0.4">
      <c r="B149" s="30" t="s">
        <v>239</v>
      </c>
      <c r="C149" s="27" t="s">
        <v>45</v>
      </c>
      <c r="D149" s="27" t="s">
        <v>112</v>
      </c>
      <c r="E149" s="28">
        <v>45750</v>
      </c>
      <c r="F149" s="28">
        <v>45761</v>
      </c>
      <c r="G149" s="27" t="s">
        <v>101</v>
      </c>
      <c r="H149" s="27" t="s">
        <v>26</v>
      </c>
      <c r="I149" s="28">
        <v>34435</v>
      </c>
      <c r="J149" s="27" t="s">
        <v>147</v>
      </c>
      <c r="K149" s="27" t="s">
        <v>148</v>
      </c>
      <c r="L149" s="27" t="s">
        <v>39</v>
      </c>
      <c r="M149" s="27" t="s">
        <v>114</v>
      </c>
      <c r="N149" s="27">
        <v>3</v>
      </c>
      <c r="O149" s="27">
        <v>700</v>
      </c>
      <c r="P149" s="27">
        <v>0</v>
      </c>
      <c r="Q149" s="27">
        <v>2100</v>
      </c>
      <c r="R149" s="27">
        <v>4</v>
      </c>
      <c r="S149" s="27" t="s">
        <v>60</v>
      </c>
      <c r="T149" s="27" t="s">
        <v>50</v>
      </c>
      <c r="U149" s="27" t="s">
        <v>51</v>
      </c>
      <c r="V149" s="27">
        <v>9862165194</v>
      </c>
      <c r="W149" s="21" t="s">
        <v>34</v>
      </c>
    </row>
    <row r="150" spans="2:23" ht="15" thickBot="1" x14ac:dyDescent="0.4">
      <c r="B150" s="27" t="s">
        <v>240</v>
      </c>
      <c r="C150" s="30" t="s">
        <v>104</v>
      </c>
      <c r="D150" s="30" t="s">
        <v>125</v>
      </c>
      <c r="E150" s="31">
        <v>45772</v>
      </c>
      <c r="F150" s="31">
        <v>45776</v>
      </c>
      <c r="G150" s="30" t="s">
        <v>166</v>
      </c>
      <c r="H150" s="30" t="s">
        <v>26</v>
      </c>
      <c r="I150" s="31">
        <v>33728</v>
      </c>
      <c r="J150" s="30" t="s">
        <v>37</v>
      </c>
      <c r="K150" s="30" t="s">
        <v>38</v>
      </c>
      <c r="L150" s="30" t="s">
        <v>83</v>
      </c>
      <c r="M150" s="30" t="s">
        <v>127</v>
      </c>
      <c r="N150" s="30">
        <v>6</v>
      </c>
      <c r="O150" s="30">
        <v>20</v>
      </c>
      <c r="P150" s="30">
        <v>15</v>
      </c>
      <c r="Q150" s="30">
        <v>102</v>
      </c>
      <c r="R150" s="30">
        <v>5</v>
      </c>
      <c r="S150" s="30" t="s">
        <v>60</v>
      </c>
      <c r="T150" s="30" t="s">
        <v>96</v>
      </c>
      <c r="U150" s="30" t="s">
        <v>108</v>
      </c>
      <c r="V150" s="30">
        <v>9661280388</v>
      </c>
      <c r="W150" s="22" t="s">
        <v>34</v>
      </c>
    </row>
    <row r="151" spans="2:23" ht="15" thickBot="1" x14ac:dyDescent="0.4">
      <c r="B151" s="30" t="s">
        <v>241</v>
      </c>
      <c r="C151" s="27" t="s">
        <v>72</v>
      </c>
      <c r="D151" s="27" t="s">
        <v>112</v>
      </c>
      <c r="E151" s="28">
        <v>45893</v>
      </c>
      <c r="F151" s="28">
        <v>45900</v>
      </c>
      <c r="G151" s="27" t="s">
        <v>73</v>
      </c>
      <c r="H151" s="27" t="s">
        <v>26</v>
      </c>
      <c r="I151" s="28">
        <v>29354</v>
      </c>
      <c r="J151" s="27" t="s">
        <v>48</v>
      </c>
      <c r="K151" s="27" t="s">
        <v>28</v>
      </c>
      <c r="L151" s="27" t="s">
        <v>39</v>
      </c>
      <c r="M151" s="27" t="s">
        <v>114</v>
      </c>
      <c r="N151" s="27">
        <v>2</v>
      </c>
      <c r="O151" s="27">
        <v>700</v>
      </c>
      <c r="P151" s="27">
        <v>15</v>
      </c>
      <c r="Q151" s="27">
        <v>1190</v>
      </c>
      <c r="R151" s="27">
        <v>4</v>
      </c>
      <c r="S151" s="27" t="s">
        <v>31</v>
      </c>
      <c r="T151" s="27" t="s">
        <v>96</v>
      </c>
      <c r="U151" s="27" t="s">
        <v>93</v>
      </c>
      <c r="V151" s="27">
        <v>9896985355</v>
      </c>
      <c r="W151" s="27" t="s">
        <v>52</v>
      </c>
    </row>
    <row r="152" spans="2:23" ht="15" thickBot="1" x14ac:dyDescent="0.4">
      <c r="B152" s="27" t="s">
        <v>242</v>
      </c>
      <c r="C152" s="30" t="s">
        <v>156</v>
      </c>
      <c r="D152" s="30" t="s">
        <v>138</v>
      </c>
      <c r="E152" s="31">
        <v>45808</v>
      </c>
      <c r="F152" s="31">
        <v>45819</v>
      </c>
      <c r="G152" s="30" t="s">
        <v>106</v>
      </c>
      <c r="H152" s="30" t="s">
        <v>58</v>
      </c>
      <c r="I152" s="31">
        <v>34949</v>
      </c>
      <c r="J152" s="30" t="s">
        <v>79</v>
      </c>
      <c r="K152" s="30" t="s">
        <v>75</v>
      </c>
      <c r="L152" s="30" t="s">
        <v>83</v>
      </c>
      <c r="M152" s="30" t="s">
        <v>139</v>
      </c>
      <c r="N152" s="30">
        <v>16</v>
      </c>
      <c r="O152" s="30">
        <v>45</v>
      </c>
      <c r="P152" s="30">
        <v>0</v>
      </c>
      <c r="Q152" s="30">
        <v>720</v>
      </c>
      <c r="R152" s="30">
        <v>1</v>
      </c>
      <c r="S152" s="30" t="s">
        <v>41</v>
      </c>
      <c r="T152" s="30" t="s">
        <v>50</v>
      </c>
      <c r="U152" s="30" t="s">
        <v>158</v>
      </c>
      <c r="V152" s="30">
        <v>9807154421</v>
      </c>
      <c r="W152" s="22" t="s">
        <v>34</v>
      </c>
    </row>
    <row r="153" spans="2:23" ht="15" thickBot="1" x14ac:dyDescent="0.4">
      <c r="B153" s="30" t="s">
        <v>244</v>
      </c>
      <c r="C153" s="27" t="s">
        <v>55</v>
      </c>
      <c r="D153" s="27" t="s">
        <v>56</v>
      </c>
      <c r="E153" s="28">
        <v>45807</v>
      </c>
      <c r="F153" s="28">
        <v>45810</v>
      </c>
      <c r="G153" s="27" t="s">
        <v>57</v>
      </c>
      <c r="H153" s="27" t="s">
        <v>58</v>
      </c>
      <c r="I153" s="28">
        <v>32210</v>
      </c>
      <c r="J153" s="27" t="s">
        <v>91</v>
      </c>
      <c r="K153" s="27" t="s">
        <v>75</v>
      </c>
      <c r="L153" s="27" t="s">
        <v>39</v>
      </c>
      <c r="M153" s="27" t="s">
        <v>59</v>
      </c>
      <c r="N153" s="27" t="s">
        <v>243</v>
      </c>
      <c r="O153" s="27">
        <v>1200</v>
      </c>
      <c r="P153" s="27">
        <v>15</v>
      </c>
      <c r="Q153" s="27">
        <v>7140</v>
      </c>
      <c r="R153" s="27">
        <v>4</v>
      </c>
      <c r="S153" s="27" t="s">
        <v>65</v>
      </c>
      <c r="T153" s="27" t="s">
        <v>96</v>
      </c>
      <c r="U153" s="27" t="s">
        <v>61</v>
      </c>
      <c r="V153" s="27">
        <v>9919834000</v>
      </c>
      <c r="W153" s="27" t="s">
        <v>52</v>
      </c>
    </row>
    <row r="154" spans="2:23" ht="15" thickBot="1" x14ac:dyDescent="0.4">
      <c r="B154" s="27" t="s">
        <v>245</v>
      </c>
      <c r="C154" s="30" t="s">
        <v>72</v>
      </c>
      <c r="D154" s="30" t="s">
        <v>36</v>
      </c>
      <c r="E154" s="31">
        <v>45888</v>
      </c>
      <c r="F154" s="31">
        <v>45899</v>
      </c>
      <c r="G154" s="30" t="s">
        <v>73</v>
      </c>
      <c r="H154" s="30" t="s">
        <v>26</v>
      </c>
      <c r="I154" s="31">
        <v>32696</v>
      </c>
      <c r="J154" s="30" t="s">
        <v>121</v>
      </c>
      <c r="K154" s="30" t="s">
        <v>38</v>
      </c>
      <c r="L154" s="30" t="s">
        <v>39</v>
      </c>
      <c r="M154" s="30" t="s">
        <v>40</v>
      </c>
      <c r="N154" s="30">
        <v>14</v>
      </c>
      <c r="O154" s="30">
        <v>12000</v>
      </c>
      <c r="P154" s="30">
        <v>15</v>
      </c>
      <c r="Q154" s="30">
        <v>142800</v>
      </c>
      <c r="R154" s="30">
        <v>2</v>
      </c>
      <c r="S154" s="30" t="s">
        <v>41</v>
      </c>
      <c r="T154" s="30" t="s">
        <v>50</v>
      </c>
      <c r="U154" s="30" t="s">
        <v>93</v>
      </c>
      <c r="V154" s="30">
        <v>9739798818</v>
      </c>
      <c r="W154" s="30" t="s">
        <v>52</v>
      </c>
    </row>
    <row r="155" spans="2:23" ht="15" thickBot="1" x14ac:dyDescent="0.4">
      <c r="B155" s="30" t="s">
        <v>246</v>
      </c>
      <c r="C155" s="27" t="s">
        <v>87</v>
      </c>
      <c r="D155" s="27" t="s">
        <v>105</v>
      </c>
      <c r="E155" s="28">
        <v>46005</v>
      </c>
      <c r="F155" s="28">
        <v>46007</v>
      </c>
      <c r="G155" s="27" t="s">
        <v>88</v>
      </c>
      <c r="H155" s="27" t="s">
        <v>58</v>
      </c>
      <c r="I155" s="28">
        <v>34284</v>
      </c>
      <c r="J155" s="27" t="s">
        <v>79</v>
      </c>
      <c r="K155" s="27" t="s">
        <v>75</v>
      </c>
      <c r="L155" s="27" t="s">
        <v>29</v>
      </c>
      <c r="M155" s="27" t="s">
        <v>107</v>
      </c>
      <c r="N155" s="27">
        <v>8</v>
      </c>
      <c r="O155" s="27">
        <v>8500</v>
      </c>
      <c r="P155" s="27">
        <v>20</v>
      </c>
      <c r="Q155" s="27">
        <v>54400</v>
      </c>
      <c r="R155" s="27">
        <v>3</v>
      </c>
      <c r="S155" s="27" t="s">
        <v>60</v>
      </c>
      <c r="T155" s="27" t="s">
        <v>42</v>
      </c>
      <c r="U155" s="27" t="s">
        <v>89</v>
      </c>
      <c r="V155" s="27">
        <v>9208625306</v>
      </c>
      <c r="W155" s="21" t="s">
        <v>34</v>
      </c>
    </row>
    <row r="156" spans="2:23" ht="15" thickBot="1" x14ac:dyDescent="0.4">
      <c r="B156" s="27" t="s">
        <v>247</v>
      </c>
      <c r="C156" s="30" t="s">
        <v>63</v>
      </c>
      <c r="D156" s="30" t="s">
        <v>138</v>
      </c>
      <c r="E156" s="31">
        <v>46053</v>
      </c>
      <c r="F156" s="31">
        <v>46063</v>
      </c>
      <c r="G156" s="30" t="s">
        <v>110</v>
      </c>
      <c r="H156" s="30" t="s">
        <v>58</v>
      </c>
      <c r="I156" s="31">
        <v>36557</v>
      </c>
      <c r="J156" s="30" t="s">
        <v>48</v>
      </c>
      <c r="K156" s="30" t="s">
        <v>28</v>
      </c>
      <c r="L156" s="30" t="s">
        <v>83</v>
      </c>
      <c r="M156" s="30" t="s">
        <v>139</v>
      </c>
      <c r="N156" s="30">
        <v>3</v>
      </c>
      <c r="O156" s="30">
        <v>45</v>
      </c>
      <c r="P156" s="30">
        <v>0</v>
      </c>
      <c r="Q156" s="30">
        <v>135</v>
      </c>
      <c r="R156" s="30">
        <v>4</v>
      </c>
      <c r="S156" s="30" t="s">
        <v>65</v>
      </c>
      <c r="T156" s="30" t="s">
        <v>50</v>
      </c>
      <c r="U156" s="30" t="s">
        <v>66</v>
      </c>
      <c r="V156" s="30">
        <v>9970178536</v>
      </c>
      <c r="W156" s="30" t="s">
        <v>53</v>
      </c>
    </row>
    <row r="157" spans="2:23" ht="15" thickBot="1" x14ac:dyDescent="0.4">
      <c r="B157" s="30" t="s">
        <v>248</v>
      </c>
      <c r="C157" s="27" t="s">
        <v>156</v>
      </c>
      <c r="D157" s="27" t="s">
        <v>112</v>
      </c>
      <c r="E157" s="28">
        <v>46025</v>
      </c>
      <c r="F157" s="28">
        <v>46026</v>
      </c>
      <c r="G157" s="27" t="s">
        <v>106</v>
      </c>
      <c r="H157" s="27" t="s">
        <v>58</v>
      </c>
      <c r="I157" s="28">
        <v>31585</v>
      </c>
      <c r="J157" s="27" t="s">
        <v>121</v>
      </c>
      <c r="K157" s="27" t="s">
        <v>38</v>
      </c>
      <c r="L157" s="27" t="s">
        <v>39</v>
      </c>
      <c r="M157" s="27" t="s">
        <v>114</v>
      </c>
      <c r="N157" s="27">
        <v>13</v>
      </c>
      <c r="O157" s="27">
        <v>700</v>
      </c>
      <c r="P157" s="27">
        <v>5</v>
      </c>
      <c r="Q157" s="27">
        <v>8645</v>
      </c>
      <c r="R157" s="27">
        <v>3</v>
      </c>
      <c r="S157" s="27" t="s">
        <v>60</v>
      </c>
      <c r="T157" s="27" t="s">
        <v>80</v>
      </c>
      <c r="U157" s="27" t="s">
        <v>158</v>
      </c>
      <c r="V157" s="27">
        <v>9633745195</v>
      </c>
      <c r="W157" s="27" t="s">
        <v>52</v>
      </c>
    </row>
    <row r="158" spans="2:23" ht="15" thickBot="1" x14ac:dyDescent="0.4">
      <c r="B158" s="27" t="s">
        <v>249</v>
      </c>
      <c r="C158" s="30" t="s">
        <v>104</v>
      </c>
      <c r="D158" s="30" t="s">
        <v>56</v>
      </c>
      <c r="E158" s="31">
        <v>45950</v>
      </c>
      <c r="F158" s="31">
        <v>45956</v>
      </c>
      <c r="G158" s="30" t="s">
        <v>166</v>
      </c>
      <c r="H158" s="30" t="s">
        <v>26</v>
      </c>
      <c r="I158" s="31">
        <v>31459</v>
      </c>
      <c r="J158" s="30" t="s">
        <v>74</v>
      </c>
      <c r="K158" s="30" t="s">
        <v>75</v>
      </c>
      <c r="L158" s="30" t="s">
        <v>39</v>
      </c>
      <c r="M158" s="30" t="s">
        <v>59</v>
      </c>
      <c r="N158" s="30">
        <v>14</v>
      </c>
      <c r="O158" s="30">
        <v>1200</v>
      </c>
      <c r="P158" s="30">
        <v>20</v>
      </c>
      <c r="Q158" s="30">
        <v>13440</v>
      </c>
      <c r="R158" s="30">
        <v>5</v>
      </c>
      <c r="S158" s="30" t="s">
        <v>41</v>
      </c>
      <c r="T158" s="30" t="s">
        <v>50</v>
      </c>
      <c r="U158" s="30" t="s">
        <v>108</v>
      </c>
      <c r="V158" s="30">
        <v>9922102053</v>
      </c>
      <c r="W158" s="22" t="s">
        <v>34</v>
      </c>
    </row>
    <row r="159" spans="2:23" ht="15" thickBot="1" x14ac:dyDescent="0.4">
      <c r="B159" s="30" t="s">
        <v>250</v>
      </c>
      <c r="C159" s="27" t="s">
        <v>72</v>
      </c>
      <c r="D159" s="27" t="s">
        <v>138</v>
      </c>
      <c r="E159" s="28">
        <v>45788</v>
      </c>
      <c r="F159" s="28">
        <v>45798</v>
      </c>
      <c r="G159" s="27" t="s">
        <v>73</v>
      </c>
      <c r="H159" s="27" t="s">
        <v>26</v>
      </c>
      <c r="I159" s="28">
        <v>33499</v>
      </c>
      <c r="J159" s="27" t="s">
        <v>37</v>
      </c>
      <c r="K159" s="27" t="s">
        <v>38</v>
      </c>
      <c r="L159" s="27" t="s">
        <v>83</v>
      </c>
      <c r="M159" s="27" t="s">
        <v>139</v>
      </c>
      <c r="N159" s="27">
        <v>2</v>
      </c>
      <c r="O159" s="27">
        <v>45</v>
      </c>
      <c r="P159" s="27">
        <v>5</v>
      </c>
      <c r="Q159" s="27">
        <v>85.5</v>
      </c>
      <c r="R159" s="27">
        <v>3</v>
      </c>
      <c r="S159" s="27" t="s">
        <v>65</v>
      </c>
      <c r="T159" s="27" t="s">
        <v>32</v>
      </c>
      <c r="U159" s="27" t="s">
        <v>93</v>
      </c>
      <c r="V159" s="27">
        <v>9135963930</v>
      </c>
      <c r="W159" s="27" t="s">
        <v>53</v>
      </c>
    </row>
    <row r="160" spans="2:23" ht="15" thickBot="1" x14ac:dyDescent="0.4">
      <c r="B160" s="27" t="s">
        <v>251</v>
      </c>
      <c r="C160" s="30" t="s">
        <v>104</v>
      </c>
      <c r="D160" s="30" t="s">
        <v>56</v>
      </c>
      <c r="E160" s="31">
        <v>46024</v>
      </c>
      <c r="F160" s="31">
        <v>46028</v>
      </c>
      <c r="G160" s="30" t="s">
        <v>166</v>
      </c>
      <c r="H160" s="30" t="s">
        <v>26</v>
      </c>
      <c r="I160" s="31">
        <v>29590</v>
      </c>
      <c r="J160" s="30" t="s">
        <v>48</v>
      </c>
      <c r="K160" s="30" t="s">
        <v>28</v>
      </c>
      <c r="L160" s="30" t="s">
        <v>39</v>
      </c>
      <c r="M160" s="30" t="s">
        <v>59</v>
      </c>
      <c r="N160" s="30">
        <v>2</v>
      </c>
      <c r="O160" s="30">
        <v>1200</v>
      </c>
      <c r="P160" s="30">
        <v>20</v>
      </c>
      <c r="Q160" s="30">
        <v>1920</v>
      </c>
      <c r="R160" s="30">
        <v>3</v>
      </c>
      <c r="S160" s="30" t="s">
        <v>60</v>
      </c>
      <c r="T160" s="30" t="s">
        <v>80</v>
      </c>
      <c r="U160" s="30" t="s">
        <v>108</v>
      </c>
      <c r="V160" s="30">
        <v>9429405275</v>
      </c>
      <c r="W160" s="22" t="s">
        <v>34</v>
      </c>
    </row>
    <row r="161" spans="2:23" ht="15" thickBot="1" x14ac:dyDescent="0.4">
      <c r="B161" s="30" t="s">
        <v>252</v>
      </c>
      <c r="C161" s="27" t="s">
        <v>87</v>
      </c>
      <c r="D161" s="27" t="s">
        <v>46</v>
      </c>
      <c r="E161" s="28">
        <v>46132</v>
      </c>
      <c r="F161" s="28">
        <v>46138</v>
      </c>
      <c r="G161" s="27" t="s">
        <v>88</v>
      </c>
      <c r="H161" s="27" t="s">
        <v>58</v>
      </c>
      <c r="I161" s="28">
        <v>38272</v>
      </c>
      <c r="J161" s="27" t="s">
        <v>48</v>
      </c>
      <c r="K161" s="27" t="s">
        <v>28</v>
      </c>
      <c r="L161" s="27" t="s">
        <v>39</v>
      </c>
      <c r="M161" s="27" t="s">
        <v>49</v>
      </c>
      <c r="N161" s="27">
        <v>10</v>
      </c>
      <c r="O161" s="27">
        <v>55000</v>
      </c>
      <c r="P161" s="27">
        <v>5</v>
      </c>
      <c r="Q161" s="27">
        <v>522500</v>
      </c>
      <c r="R161" s="27">
        <v>5</v>
      </c>
      <c r="S161" s="27" t="s">
        <v>65</v>
      </c>
      <c r="T161" s="27" t="s">
        <v>50</v>
      </c>
      <c r="U161" s="27" t="s">
        <v>89</v>
      </c>
      <c r="V161" s="27">
        <v>9521757571</v>
      </c>
      <c r="W161" s="27" t="s">
        <v>52</v>
      </c>
    </row>
    <row r="162" spans="2:23" ht="15" thickBot="1" x14ac:dyDescent="0.4">
      <c r="B162" s="27" t="s">
        <v>253</v>
      </c>
      <c r="C162" s="30" t="s">
        <v>134</v>
      </c>
      <c r="D162" s="30" t="s">
        <v>68</v>
      </c>
      <c r="E162" s="31">
        <v>45873</v>
      </c>
      <c r="F162" s="31">
        <v>45874</v>
      </c>
      <c r="G162" s="30" t="s">
        <v>135</v>
      </c>
      <c r="H162" s="30" t="s">
        <v>26</v>
      </c>
      <c r="I162" s="31">
        <v>30766</v>
      </c>
      <c r="J162" s="30" t="s">
        <v>121</v>
      </c>
      <c r="K162" s="30" t="s">
        <v>38</v>
      </c>
      <c r="L162" s="30" t="s">
        <v>29</v>
      </c>
      <c r="M162" s="30" t="s">
        <v>70</v>
      </c>
      <c r="N162" s="30">
        <v>15</v>
      </c>
      <c r="O162" s="30">
        <v>3500</v>
      </c>
      <c r="P162" s="30">
        <v>10</v>
      </c>
      <c r="Q162" s="30">
        <v>47250</v>
      </c>
      <c r="R162" s="30">
        <v>3</v>
      </c>
      <c r="S162" s="30" t="s">
        <v>41</v>
      </c>
      <c r="T162" s="30" t="s">
        <v>80</v>
      </c>
      <c r="U162" s="30" t="s">
        <v>136</v>
      </c>
      <c r="V162" s="30">
        <v>9467375455</v>
      </c>
      <c r="W162" s="22" t="s">
        <v>34</v>
      </c>
    </row>
    <row r="163" spans="2:23" ht="15" thickBot="1" x14ac:dyDescent="0.4">
      <c r="B163" s="30" t="s">
        <v>254</v>
      </c>
      <c r="C163" s="27" t="s">
        <v>72</v>
      </c>
      <c r="D163" s="27" t="s">
        <v>24</v>
      </c>
      <c r="E163" s="28">
        <v>45882</v>
      </c>
      <c r="F163" s="28">
        <v>45887</v>
      </c>
      <c r="G163" s="27" t="s">
        <v>73</v>
      </c>
      <c r="H163" s="27" t="s">
        <v>26</v>
      </c>
      <c r="I163" s="28">
        <v>30203</v>
      </c>
      <c r="J163" s="27" t="s">
        <v>48</v>
      </c>
      <c r="K163" s="27" t="s">
        <v>28</v>
      </c>
      <c r="L163" s="27" t="s">
        <v>29</v>
      </c>
      <c r="M163" s="27" t="s">
        <v>30</v>
      </c>
      <c r="N163" s="27">
        <v>10</v>
      </c>
      <c r="O163" s="27">
        <v>2200</v>
      </c>
      <c r="P163" s="27">
        <v>15</v>
      </c>
      <c r="Q163" s="27">
        <v>18700</v>
      </c>
      <c r="R163" s="27">
        <v>4</v>
      </c>
      <c r="S163" s="27" t="s">
        <v>60</v>
      </c>
      <c r="T163" s="27" t="s">
        <v>42</v>
      </c>
      <c r="U163" s="27" t="s">
        <v>93</v>
      </c>
      <c r="V163" s="27">
        <v>9838809695</v>
      </c>
      <c r="W163" s="27" t="s">
        <v>52</v>
      </c>
    </row>
    <row r="164" spans="2:23" ht="15" thickBot="1" x14ac:dyDescent="0.4">
      <c r="B164" s="27" t="s">
        <v>255</v>
      </c>
      <c r="C164" s="30" t="s">
        <v>134</v>
      </c>
      <c r="D164" s="30" t="s">
        <v>68</v>
      </c>
      <c r="E164" s="31">
        <v>45824</v>
      </c>
      <c r="F164" s="31">
        <v>45832</v>
      </c>
      <c r="G164" s="30" t="s">
        <v>135</v>
      </c>
      <c r="H164" s="30" t="s">
        <v>26</v>
      </c>
      <c r="I164" s="31">
        <v>34015</v>
      </c>
      <c r="J164" s="30" t="s">
        <v>79</v>
      </c>
      <c r="K164" s="30" t="s">
        <v>75</v>
      </c>
      <c r="L164" s="30" t="s">
        <v>29</v>
      </c>
      <c r="M164" s="30" t="s">
        <v>70</v>
      </c>
      <c r="N164" s="30">
        <v>11</v>
      </c>
      <c r="O164" s="30">
        <v>3500</v>
      </c>
      <c r="P164" s="30">
        <v>5</v>
      </c>
      <c r="Q164" s="30">
        <v>36575</v>
      </c>
      <c r="R164" s="30">
        <v>5</v>
      </c>
      <c r="S164" s="30" t="s">
        <v>31</v>
      </c>
      <c r="T164" s="30" t="s">
        <v>32</v>
      </c>
      <c r="U164" s="30" t="s">
        <v>136</v>
      </c>
      <c r="V164" s="30">
        <v>9296609782</v>
      </c>
      <c r="W164" s="30" t="s">
        <v>53</v>
      </c>
    </row>
    <row r="165" spans="2:23" ht="15" thickBot="1" x14ac:dyDescent="0.4">
      <c r="B165" s="30" t="s">
        <v>256</v>
      </c>
      <c r="C165" s="27" t="s">
        <v>104</v>
      </c>
      <c r="D165" s="27" t="s">
        <v>56</v>
      </c>
      <c r="E165" s="28">
        <v>46139</v>
      </c>
      <c r="F165" s="28">
        <v>46142</v>
      </c>
      <c r="G165" s="27" t="s">
        <v>166</v>
      </c>
      <c r="H165" s="27" t="s">
        <v>26</v>
      </c>
      <c r="I165" s="28">
        <v>37719</v>
      </c>
      <c r="J165" s="27" t="s">
        <v>48</v>
      </c>
      <c r="K165" s="27" t="s">
        <v>28</v>
      </c>
      <c r="L165" s="27" t="s">
        <v>39</v>
      </c>
      <c r="M165" s="27" t="s">
        <v>59</v>
      </c>
      <c r="N165" s="27">
        <v>14</v>
      </c>
      <c r="O165" s="27">
        <v>1200</v>
      </c>
      <c r="P165" s="27">
        <v>0</v>
      </c>
      <c r="Q165" s="27">
        <v>16800</v>
      </c>
      <c r="R165" s="27">
        <v>5</v>
      </c>
      <c r="S165" s="27" t="s">
        <v>31</v>
      </c>
      <c r="T165" s="27" t="s">
        <v>42</v>
      </c>
      <c r="U165" s="27" t="s">
        <v>108</v>
      </c>
      <c r="V165" s="27">
        <v>9848259992</v>
      </c>
      <c r="W165" s="27" t="s">
        <v>53</v>
      </c>
    </row>
    <row r="166" spans="2:23" ht="15" thickBot="1" x14ac:dyDescent="0.4">
      <c r="B166" s="27" t="s">
        <v>257</v>
      </c>
      <c r="C166" s="30" t="s">
        <v>72</v>
      </c>
      <c r="D166" s="30" t="s">
        <v>125</v>
      </c>
      <c r="E166" s="31">
        <v>46070</v>
      </c>
      <c r="F166" s="31">
        <v>46075</v>
      </c>
      <c r="G166" s="30" t="s">
        <v>73</v>
      </c>
      <c r="H166" s="30" t="s">
        <v>26</v>
      </c>
      <c r="I166" s="31">
        <v>32801</v>
      </c>
      <c r="J166" s="30" t="s">
        <v>37</v>
      </c>
      <c r="K166" s="30" t="s">
        <v>38</v>
      </c>
      <c r="L166" s="30" t="s">
        <v>83</v>
      </c>
      <c r="M166" s="30" t="s">
        <v>127</v>
      </c>
      <c r="N166" s="30">
        <v>11</v>
      </c>
      <c r="O166" s="30">
        <v>20</v>
      </c>
      <c r="P166" s="30">
        <v>20</v>
      </c>
      <c r="Q166" s="30">
        <v>176</v>
      </c>
      <c r="R166" s="30">
        <v>4</v>
      </c>
      <c r="S166" s="30" t="s">
        <v>41</v>
      </c>
      <c r="T166" s="30" t="s">
        <v>32</v>
      </c>
      <c r="U166" s="30" t="s">
        <v>93</v>
      </c>
      <c r="V166" s="30">
        <v>9254082295</v>
      </c>
      <c r="W166" s="22" t="s">
        <v>34</v>
      </c>
    </row>
    <row r="167" spans="2:23" ht="15" thickBot="1" x14ac:dyDescent="0.4">
      <c r="B167" s="30" t="s">
        <v>258</v>
      </c>
      <c r="C167" s="27" t="s">
        <v>55</v>
      </c>
      <c r="D167" s="27" t="s">
        <v>36</v>
      </c>
      <c r="E167" s="28">
        <v>46116</v>
      </c>
      <c r="F167" s="28">
        <v>46122</v>
      </c>
      <c r="G167" s="27" t="s">
        <v>57</v>
      </c>
      <c r="H167" s="27" t="s">
        <v>58</v>
      </c>
      <c r="I167" s="28">
        <v>34957</v>
      </c>
      <c r="J167" s="27" t="s">
        <v>79</v>
      </c>
      <c r="K167" s="27" t="s">
        <v>75</v>
      </c>
      <c r="L167" s="27" t="s">
        <v>39</v>
      </c>
      <c r="M167" s="27" t="s">
        <v>40</v>
      </c>
      <c r="N167" s="27">
        <v>6</v>
      </c>
      <c r="O167" s="27">
        <v>12000</v>
      </c>
      <c r="P167" s="27">
        <v>10</v>
      </c>
      <c r="Q167" s="27">
        <v>64800</v>
      </c>
      <c r="R167" s="27">
        <v>5</v>
      </c>
      <c r="S167" s="27" t="s">
        <v>65</v>
      </c>
      <c r="T167" s="27" t="s">
        <v>96</v>
      </c>
      <c r="U167" s="27" t="s">
        <v>61</v>
      </c>
      <c r="V167" s="27">
        <v>9687923860</v>
      </c>
      <c r="W167" s="21" t="s">
        <v>34</v>
      </c>
    </row>
    <row r="168" spans="2:23" ht="15" thickBot="1" x14ac:dyDescent="0.4">
      <c r="B168" s="27" t="s">
        <v>259</v>
      </c>
      <c r="C168" s="30" t="s">
        <v>55</v>
      </c>
      <c r="D168" s="30" t="s">
        <v>24</v>
      </c>
      <c r="E168" s="31">
        <v>45756</v>
      </c>
      <c r="F168" s="31">
        <v>45765</v>
      </c>
      <c r="G168" s="30" t="s">
        <v>57</v>
      </c>
      <c r="H168" s="30" t="s">
        <v>58</v>
      </c>
      <c r="I168" s="31">
        <v>34431</v>
      </c>
      <c r="J168" s="30" t="s">
        <v>27</v>
      </c>
      <c r="K168" s="30" t="s">
        <v>28</v>
      </c>
      <c r="L168" s="30" t="s">
        <v>29</v>
      </c>
      <c r="M168" s="30" t="s">
        <v>30</v>
      </c>
      <c r="N168" s="30">
        <v>6</v>
      </c>
      <c r="O168" s="30">
        <v>2200</v>
      </c>
      <c r="P168" s="30">
        <v>5</v>
      </c>
      <c r="Q168" s="30">
        <v>12540</v>
      </c>
      <c r="R168" s="30">
        <v>4</v>
      </c>
      <c r="S168" s="30" t="s">
        <v>31</v>
      </c>
      <c r="T168" s="30" t="s">
        <v>42</v>
      </c>
      <c r="U168" s="30" t="s">
        <v>61</v>
      </c>
      <c r="V168" s="30">
        <v>9426459149</v>
      </c>
      <c r="W168" s="22" t="s">
        <v>34</v>
      </c>
    </row>
    <row r="169" spans="2:23" ht="15" thickBot="1" x14ac:dyDescent="0.4">
      <c r="B169" s="30" t="s">
        <v>260</v>
      </c>
      <c r="C169" s="27" t="s">
        <v>45</v>
      </c>
      <c r="D169" s="27" t="s">
        <v>68</v>
      </c>
      <c r="E169" s="28">
        <v>45823</v>
      </c>
      <c r="F169" s="28">
        <v>45835</v>
      </c>
      <c r="G169" s="27" t="s">
        <v>101</v>
      </c>
      <c r="H169" s="27" t="s">
        <v>26</v>
      </c>
      <c r="I169" s="28">
        <v>37896</v>
      </c>
      <c r="J169" s="27" t="s">
        <v>37</v>
      </c>
      <c r="K169" s="27" t="s">
        <v>38</v>
      </c>
      <c r="L169" s="27" t="s">
        <v>29</v>
      </c>
      <c r="M169" s="27" t="s">
        <v>70</v>
      </c>
      <c r="N169" s="27">
        <v>3</v>
      </c>
      <c r="O169" s="27">
        <v>3500</v>
      </c>
      <c r="P169" s="27">
        <v>5</v>
      </c>
      <c r="Q169" s="27">
        <v>9975</v>
      </c>
      <c r="R169" s="27">
        <v>4</v>
      </c>
      <c r="S169" s="27" t="s">
        <v>41</v>
      </c>
      <c r="T169" s="27" t="s">
        <v>42</v>
      </c>
      <c r="U169" s="27" t="s">
        <v>51</v>
      </c>
      <c r="V169" s="27">
        <v>9155925975</v>
      </c>
      <c r="W169" s="27" t="s">
        <v>52</v>
      </c>
    </row>
    <row r="170" spans="2:23" ht="15" thickBot="1" x14ac:dyDescent="0.4">
      <c r="B170" s="27" t="s">
        <v>261</v>
      </c>
      <c r="C170" s="30" t="s">
        <v>55</v>
      </c>
      <c r="D170" s="30" t="s">
        <v>105</v>
      </c>
      <c r="E170" s="31">
        <v>45816</v>
      </c>
      <c r="F170" s="31">
        <v>45818</v>
      </c>
      <c r="G170" s="30" t="s">
        <v>57</v>
      </c>
      <c r="H170" s="30" t="s">
        <v>58</v>
      </c>
      <c r="I170" s="31">
        <v>35625</v>
      </c>
      <c r="J170" s="30" t="s">
        <v>27</v>
      </c>
      <c r="K170" s="30" t="s">
        <v>28</v>
      </c>
      <c r="L170" s="30" t="s">
        <v>29</v>
      </c>
      <c r="M170" s="30" t="s">
        <v>107</v>
      </c>
      <c r="N170" s="30">
        <v>5</v>
      </c>
      <c r="O170" s="30">
        <v>8500</v>
      </c>
      <c r="P170" s="30">
        <v>20</v>
      </c>
      <c r="Q170" s="30">
        <v>34000</v>
      </c>
      <c r="R170" s="30">
        <v>5</v>
      </c>
      <c r="S170" s="30" t="s">
        <v>31</v>
      </c>
      <c r="T170" s="30" t="s">
        <v>50</v>
      </c>
      <c r="U170" s="30" t="s">
        <v>61</v>
      </c>
      <c r="V170" s="30">
        <v>9945247701</v>
      </c>
      <c r="W170" s="30" t="s">
        <v>52</v>
      </c>
    </row>
    <row r="171" spans="2:23" ht="15" thickBot="1" x14ac:dyDescent="0.4">
      <c r="B171" s="30" t="s">
        <v>262</v>
      </c>
      <c r="C171" s="27" t="s">
        <v>23</v>
      </c>
      <c r="D171" s="27" t="s">
        <v>68</v>
      </c>
      <c r="E171" s="28">
        <v>45863</v>
      </c>
      <c r="F171" s="28">
        <v>45870</v>
      </c>
      <c r="G171" s="27" t="s">
        <v>25</v>
      </c>
      <c r="H171" s="27" t="s">
        <v>26</v>
      </c>
      <c r="I171" s="28">
        <v>29076</v>
      </c>
      <c r="J171" s="27" t="s">
        <v>48</v>
      </c>
      <c r="K171" s="27" t="s">
        <v>28</v>
      </c>
      <c r="L171" s="27" t="s">
        <v>29</v>
      </c>
      <c r="M171" s="27" t="s">
        <v>70</v>
      </c>
      <c r="N171" s="27">
        <v>14</v>
      </c>
      <c r="O171" s="27">
        <v>3500</v>
      </c>
      <c r="P171" s="27">
        <v>10</v>
      </c>
      <c r="Q171" s="27">
        <v>44100</v>
      </c>
      <c r="R171" s="27">
        <v>4</v>
      </c>
      <c r="S171" s="27" t="s">
        <v>65</v>
      </c>
      <c r="T171" s="27" t="s">
        <v>32</v>
      </c>
      <c r="U171" s="27" t="s">
        <v>43</v>
      </c>
      <c r="V171" s="27">
        <v>9597378398</v>
      </c>
      <c r="W171" s="27" t="s">
        <v>53</v>
      </c>
    </row>
    <row r="172" spans="2:23" ht="15" thickBot="1" x14ac:dyDescent="0.4">
      <c r="B172" s="27" t="s">
        <v>263</v>
      </c>
      <c r="C172" s="30" t="s">
        <v>156</v>
      </c>
      <c r="D172" s="30" t="s">
        <v>138</v>
      </c>
      <c r="E172" s="31">
        <v>45673</v>
      </c>
      <c r="F172" s="31">
        <v>45678</v>
      </c>
      <c r="G172" s="30" t="s">
        <v>106</v>
      </c>
      <c r="H172" s="30" t="s">
        <v>58</v>
      </c>
      <c r="I172" s="31">
        <v>37549</v>
      </c>
      <c r="J172" s="30" t="s">
        <v>91</v>
      </c>
      <c r="K172" s="30" t="s">
        <v>75</v>
      </c>
      <c r="L172" s="30" t="s">
        <v>83</v>
      </c>
      <c r="M172" s="30" t="s">
        <v>139</v>
      </c>
      <c r="N172" s="30">
        <v>8</v>
      </c>
      <c r="O172" s="30">
        <v>45</v>
      </c>
      <c r="P172" s="30">
        <v>0</v>
      </c>
      <c r="Q172" s="30">
        <v>360</v>
      </c>
      <c r="R172" s="30">
        <v>1</v>
      </c>
      <c r="S172" s="30" t="s">
        <v>60</v>
      </c>
      <c r="T172" s="30" t="s">
        <v>96</v>
      </c>
      <c r="U172" s="30" t="s">
        <v>158</v>
      </c>
      <c r="V172" s="30">
        <v>9343963736</v>
      </c>
      <c r="W172" s="30" t="s">
        <v>53</v>
      </c>
    </row>
    <row r="173" spans="2:23" ht="15" thickBot="1" x14ac:dyDescent="0.4">
      <c r="B173" s="30" t="s">
        <v>264</v>
      </c>
      <c r="C173" s="27" t="s">
        <v>124</v>
      </c>
      <c r="D173" s="27" t="s">
        <v>138</v>
      </c>
      <c r="E173" s="28">
        <v>45692</v>
      </c>
      <c r="F173" s="28">
        <v>45693</v>
      </c>
      <c r="G173" s="27" t="s">
        <v>126</v>
      </c>
      <c r="H173" s="27" t="s">
        <v>58</v>
      </c>
      <c r="I173" s="28">
        <v>31252</v>
      </c>
      <c r="J173" s="27" t="s">
        <v>37</v>
      </c>
      <c r="K173" s="27" t="s">
        <v>38</v>
      </c>
      <c r="L173" s="27" t="s">
        <v>83</v>
      </c>
      <c r="M173" s="27" t="s">
        <v>139</v>
      </c>
      <c r="N173" s="27">
        <v>11</v>
      </c>
      <c r="O173" s="27">
        <v>45</v>
      </c>
      <c r="P173" s="27">
        <v>5</v>
      </c>
      <c r="Q173" s="27">
        <v>470.25</v>
      </c>
      <c r="R173" s="27">
        <v>3</v>
      </c>
      <c r="S173" s="27" t="s">
        <v>60</v>
      </c>
      <c r="T173" s="27" t="s">
        <v>42</v>
      </c>
      <c r="U173" s="27" t="s">
        <v>128</v>
      </c>
      <c r="V173" s="27">
        <v>9548742147</v>
      </c>
      <c r="W173" s="21" t="s">
        <v>34</v>
      </c>
    </row>
    <row r="174" spans="2:23" ht="15" thickBot="1" x14ac:dyDescent="0.4">
      <c r="B174" s="27" t="s">
        <v>265</v>
      </c>
      <c r="C174" s="30" t="s">
        <v>63</v>
      </c>
      <c r="D174" s="30" t="s">
        <v>46</v>
      </c>
      <c r="E174" s="31">
        <v>45679</v>
      </c>
      <c r="F174" s="31">
        <v>45687</v>
      </c>
      <c r="G174" s="30" t="s">
        <v>110</v>
      </c>
      <c r="H174" s="30" t="s">
        <v>58</v>
      </c>
      <c r="I174" s="31">
        <v>32378</v>
      </c>
      <c r="J174" s="30" t="s">
        <v>91</v>
      </c>
      <c r="K174" s="30" t="s">
        <v>75</v>
      </c>
      <c r="L174" s="30" t="s">
        <v>39</v>
      </c>
      <c r="M174" s="30" t="s">
        <v>49</v>
      </c>
      <c r="N174" s="30">
        <v>19</v>
      </c>
      <c r="O174" s="30">
        <v>55000</v>
      </c>
      <c r="P174" s="30">
        <v>0</v>
      </c>
      <c r="Q174" s="30">
        <v>1045000</v>
      </c>
      <c r="R174" s="30">
        <v>2</v>
      </c>
      <c r="S174" s="30" t="s">
        <v>60</v>
      </c>
      <c r="T174" s="30" t="s">
        <v>32</v>
      </c>
      <c r="U174" s="30" t="s">
        <v>66</v>
      </c>
      <c r="V174" s="30">
        <v>9912945471</v>
      </c>
      <c r="W174" s="30" t="s">
        <v>53</v>
      </c>
    </row>
    <row r="175" spans="2:23" ht="15" thickBot="1" x14ac:dyDescent="0.4">
      <c r="B175" s="30" t="s">
        <v>266</v>
      </c>
      <c r="C175" s="27" t="s">
        <v>45</v>
      </c>
      <c r="D175" s="27" t="s">
        <v>68</v>
      </c>
      <c r="E175" s="28">
        <v>45758</v>
      </c>
      <c r="F175" s="28">
        <v>45765</v>
      </c>
      <c r="G175" s="27" t="s">
        <v>101</v>
      </c>
      <c r="H175" s="27" t="s">
        <v>26</v>
      </c>
      <c r="I175" s="28">
        <v>28864</v>
      </c>
      <c r="J175" s="27" t="s">
        <v>79</v>
      </c>
      <c r="K175" s="27" t="s">
        <v>75</v>
      </c>
      <c r="L175" s="27" t="s">
        <v>29</v>
      </c>
      <c r="M175" s="27" t="s">
        <v>70</v>
      </c>
      <c r="N175" s="27">
        <v>20</v>
      </c>
      <c r="O175" s="27">
        <v>3500</v>
      </c>
      <c r="P175" s="27">
        <v>20</v>
      </c>
      <c r="Q175" s="27">
        <v>56000</v>
      </c>
      <c r="R175" s="27">
        <v>4</v>
      </c>
      <c r="S175" s="27" t="s">
        <v>41</v>
      </c>
      <c r="T175" s="27" t="s">
        <v>42</v>
      </c>
      <c r="U175" s="27" t="s">
        <v>51</v>
      </c>
      <c r="V175" s="27">
        <v>9912630684</v>
      </c>
      <c r="W175" s="21" t="s">
        <v>34</v>
      </c>
    </row>
    <row r="176" spans="2:23" ht="15" thickBot="1" x14ac:dyDescent="0.4">
      <c r="B176" s="27" t="s">
        <v>267</v>
      </c>
      <c r="C176" s="30" t="s">
        <v>63</v>
      </c>
      <c r="D176" s="30" t="s">
        <v>24</v>
      </c>
      <c r="E176" s="31">
        <v>45842</v>
      </c>
      <c r="F176" s="31">
        <v>45852</v>
      </c>
      <c r="G176" s="30" t="s">
        <v>110</v>
      </c>
      <c r="H176" s="30" t="s">
        <v>58</v>
      </c>
      <c r="I176" s="31">
        <v>31649</v>
      </c>
      <c r="J176" s="30" t="s">
        <v>79</v>
      </c>
      <c r="K176" s="30" t="s">
        <v>75</v>
      </c>
      <c r="L176" s="30" t="s">
        <v>29</v>
      </c>
      <c r="M176" s="30" t="s">
        <v>30</v>
      </c>
      <c r="N176" s="30">
        <v>17</v>
      </c>
      <c r="O176" s="30">
        <v>2200</v>
      </c>
      <c r="P176" s="30">
        <v>0</v>
      </c>
      <c r="Q176" s="30">
        <v>37400</v>
      </c>
      <c r="R176" s="30">
        <v>5</v>
      </c>
      <c r="S176" s="30" t="s">
        <v>41</v>
      </c>
      <c r="T176" s="30" t="s">
        <v>32</v>
      </c>
      <c r="U176" s="30" t="s">
        <v>66</v>
      </c>
      <c r="V176" s="30">
        <v>9114017237</v>
      </c>
      <c r="W176" s="30" t="s">
        <v>52</v>
      </c>
    </row>
    <row r="177" spans="2:23" ht="15" thickBot="1" x14ac:dyDescent="0.4">
      <c r="B177" s="30" t="s">
        <v>268</v>
      </c>
      <c r="C177" s="27" t="s">
        <v>63</v>
      </c>
      <c r="D177" s="27" t="s">
        <v>56</v>
      </c>
      <c r="E177" s="28">
        <v>45679</v>
      </c>
      <c r="F177" s="28">
        <v>45686</v>
      </c>
      <c r="G177" s="27" t="s">
        <v>110</v>
      </c>
      <c r="H177" s="27" t="s">
        <v>58</v>
      </c>
      <c r="I177" s="28">
        <v>28216</v>
      </c>
      <c r="J177" s="27" t="s">
        <v>79</v>
      </c>
      <c r="K177" s="27" t="s">
        <v>75</v>
      </c>
      <c r="L177" s="27" t="s">
        <v>39</v>
      </c>
      <c r="M177" s="27" t="s">
        <v>59</v>
      </c>
      <c r="N177" s="27">
        <v>10</v>
      </c>
      <c r="O177" s="27">
        <v>1200</v>
      </c>
      <c r="P177" s="27">
        <v>5</v>
      </c>
      <c r="Q177" s="27">
        <v>11400</v>
      </c>
      <c r="R177" s="27">
        <v>2</v>
      </c>
      <c r="S177" s="27" t="s">
        <v>31</v>
      </c>
      <c r="T177" s="27" t="s">
        <v>42</v>
      </c>
      <c r="U177" s="27" t="s">
        <v>66</v>
      </c>
      <c r="V177" s="27">
        <v>9872471236</v>
      </c>
      <c r="W177" s="27" t="s">
        <v>53</v>
      </c>
    </row>
    <row r="178" spans="2:23" ht="15" thickBot="1" x14ac:dyDescent="0.4">
      <c r="B178" s="27" t="s">
        <v>269</v>
      </c>
      <c r="C178" s="30" t="s">
        <v>124</v>
      </c>
      <c r="D178" s="30" t="s">
        <v>82</v>
      </c>
      <c r="E178" s="31">
        <v>46008</v>
      </c>
      <c r="F178" s="31">
        <v>46009</v>
      </c>
      <c r="G178" s="30" t="s">
        <v>126</v>
      </c>
      <c r="H178" s="30" t="s">
        <v>58</v>
      </c>
      <c r="I178" s="31">
        <v>30532</v>
      </c>
      <c r="J178" s="30" t="s">
        <v>27</v>
      </c>
      <c r="K178" s="30" t="s">
        <v>28</v>
      </c>
      <c r="L178" s="30" t="s">
        <v>83</v>
      </c>
      <c r="M178" s="30" t="s">
        <v>84</v>
      </c>
      <c r="N178" s="30">
        <v>3</v>
      </c>
      <c r="O178" s="30">
        <v>60</v>
      </c>
      <c r="P178" s="30">
        <v>0</v>
      </c>
      <c r="Q178" s="30">
        <v>180</v>
      </c>
      <c r="R178" s="30">
        <v>4</v>
      </c>
      <c r="S178" s="30" t="s">
        <v>41</v>
      </c>
      <c r="T178" s="30" t="s">
        <v>96</v>
      </c>
      <c r="U178" s="30" t="s">
        <v>128</v>
      </c>
      <c r="V178" s="30">
        <v>9461383824</v>
      </c>
      <c r="W178" s="22" t="s">
        <v>34</v>
      </c>
    </row>
    <row r="179" spans="2:23" ht="15" thickBot="1" x14ac:dyDescent="0.4">
      <c r="B179" s="30" t="s">
        <v>270</v>
      </c>
      <c r="C179" s="27" t="s">
        <v>45</v>
      </c>
      <c r="D179" s="27" t="s">
        <v>24</v>
      </c>
      <c r="E179" s="28">
        <v>45940</v>
      </c>
      <c r="F179" s="28">
        <v>45951</v>
      </c>
      <c r="G179" s="27" t="s">
        <v>101</v>
      </c>
      <c r="H179" s="27" t="s">
        <v>26</v>
      </c>
      <c r="I179" s="28">
        <v>28587</v>
      </c>
      <c r="J179" s="27" t="s">
        <v>74</v>
      </c>
      <c r="K179" s="27" t="s">
        <v>75</v>
      </c>
      <c r="L179" s="27" t="s">
        <v>29</v>
      </c>
      <c r="M179" s="27" t="s">
        <v>30</v>
      </c>
      <c r="N179" s="27">
        <v>18</v>
      </c>
      <c r="O179" s="27">
        <v>2200</v>
      </c>
      <c r="P179" s="27">
        <v>10</v>
      </c>
      <c r="Q179" s="27">
        <v>35640</v>
      </c>
      <c r="R179" s="27">
        <v>1</v>
      </c>
      <c r="S179" s="27" t="s">
        <v>60</v>
      </c>
      <c r="T179" s="27" t="s">
        <v>96</v>
      </c>
      <c r="U179" s="27" t="s">
        <v>51</v>
      </c>
      <c r="V179" s="27">
        <v>9243407457</v>
      </c>
      <c r="W179" s="27" t="s">
        <v>53</v>
      </c>
    </row>
    <row r="180" spans="2:23" ht="15" thickBot="1" x14ac:dyDescent="0.4">
      <c r="B180" s="27" t="s">
        <v>271</v>
      </c>
      <c r="C180" s="30" t="s">
        <v>55</v>
      </c>
      <c r="D180" s="30" t="s">
        <v>82</v>
      </c>
      <c r="E180" s="31">
        <v>46088</v>
      </c>
      <c r="F180" s="31">
        <v>46091</v>
      </c>
      <c r="G180" s="30" t="s">
        <v>57</v>
      </c>
      <c r="H180" s="30" t="s">
        <v>58</v>
      </c>
      <c r="I180" s="31">
        <v>30379</v>
      </c>
      <c r="J180" s="30" t="s">
        <v>37</v>
      </c>
      <c r="K180" s="30" t="s">
        <v>38</v>
      </c>
      <c r="L180" s="30" t="s">
        <v>83</v>
      </c>
      <c r="M180" s="30" t="s">
        <v>84</v>
      </c>
      <c r="N180" s="30">
        <v>18</v>
      </c>
      <c r="O180" s="30">
        <v>60</v>
      </c>
      <c r="P180" s="30">
        <v>5</v>
      </c>
      <c r="Q180" s="30">
        <v>1026</v>
      </c>
      <c r="R180" s="30">
        <v>3</v>
      </c>
      <c r="S180" s="30" t="s">
        <v>60</v>
      </c>
      <c r="T180" s="30" t="s">
        <v>42</v>
      </c>
      <c r="U180" s="30" t="s">
        <v>61</v>
      </c>
      <c r="V180" s="30">
        <v>9418672379</v>
      </c>
      <c r="W180" s="30" t="s">
        <v>52</v>
      </c>
    </row>
    <row r="181" spans="2:23" ht="15" thickBot="1" x14ac:dyDescent="0.4">
      <c r="B181" s="30" t="s">
        <v>272</v>
      </c>
      <c r="C181" s="27" t="s">
        <v>87</v>
      </c>
      <c r="D181" s="27" t="s">
        <v>46</v>
      </c>
      <c r="E181" s="28">
        <v>45885</v>
      </c>
      <c r="F181" s="28">
        <v>45892</v>
      </c>
      <c r="G181" s="27" t="s">
        <v>88</v>
      </c>
      <c r="H181" s="27" t="s">
        <v>58</v>
      </c>
      <c r="I181" s="28">
        <v>32077</v>
      </c>
      <c r="J181" s="27" t="s">
        <v>79</v>
      </c>
      <c r="K181" s="27" t="s">
        <v>75</v>
      </c>
      <c r="L181" s="27" t="s">
        <v>39</v>
      </c>
      <c r="M181" s="27" t="s">
        <v>49</v>
      </c>
      <c r="N181" s="27">
        <v>11</v>
      </c>
      <c r="O181" s="27">
        <v>55000</v>
      </c>
      <c r="P181" s="27">
        <v>15</v>
      </c>
      <c r="Q181" s="27">
        <v>514250</v>
      </c>
      <c r="R181" s="27">
        <v>4</v>
      </c>
      <c r="S181" s="27" t="s">
        <v>65</v>
      </c>
      <c r="T181" s="27" t="s">
        <v>80</v>
      </c>
      <c r="U181" s="27" t="s">
        <v>89</v>
      </c>
      <c r="V181" s="27">
        <v>9222733065</v>
      </c>
      <c r="W181" s="27" t="s">
        <v>53</v>
      </c>
    </row>
    <row r="182" spans="2:23" ht="15" thickBot="1" x14ac:dyDescent="0.4">
      <c r="B182" s="30" t="s">
        <v>273</v>
      </c>
      <c r="C182" s="30" t="s">
        <v>134</v>
      </c>
      <c r="D182" s="30" t="s">
        <v>105</v>
      </c>
      <c r="E182" s="31">
        <v>46014</v>
      </c>
      <c r="F182" s="31">
        <v>46025</v>
      </c>
      <c r="G182" s="30" t="s">
        <v>135</v>
      </c>
      <c r="H182" s="30" t="s">
        <v>26</v>
      </c>
      <c r="I182" s="31">
        <v>37730</v>
      </c>
      <c r="J182" s="30" t="s">
        <v>147</v>
      </c>
      <c r="K182" s="30" t="s">
        <v>148</v>
      </c>
      <c r="L182" s="30" t="s">
        <v>29</v>
      </c>
      <c r="M182" s="30" t="s">
        <v>107</v>
      </c>
      <c r="N182" s="30">
        <v>5</v>
      </c>
      <c r="O182" s="30">
        <v>8500</v>
      </c>
      <c r="P182" s="30">
        <v>5</v>
      </c>
      <c r="Q182" s="30">
        <v>40375</v>
      </c>
      <c r="R182" s="30">
        <v>4</v>
      </c>
      <c r="S182" s="30" t="s">
        <v>31</v>
      </c>
      <c r="T182" s="30" t="s">
        <v>96</v>
      </c>
      <c r="U182" s="30" t="s">
        <v>136</v>
      </c>
      <c r="V182" s="30">
        <v>9684246902</v>
      </c>
      <c r="W182" s="22" t="s">
        <v>34</v>
      </c>
    </row>
    <row r="183" spans="2:23" ht="15" thickBot="1" x14ac:dyDescent="0.4">
      <c r="B183" s="27" t="s">
        <v>274</v>
      </c>
      <c r="C183" s="27" t="s">
        <v>72</v>
      </c>
      <c r="D183" s="27" t="s">
        <v>112</v>
      </c>
      <c r="E183" s="28">
        <v>45908</v>
      </c>
      <c r="F183" s="28">
        <v>45919</v>
      </c>
      <c r="G183" s="27" t="s">
        <v>73</v>
      </c>
      <c r="H183" s="27" t="s">
        <v>26</v>
      </c>
      <c r="I183" s="28">
        <v>37301</v>
      </c>
      <c r="J183" s="27" t="s">
        <v>121</v>
      </c>
      <c r="K183" s="27" t="s">
        <v>38</v>
      </c>
      <c r="L183" s="27" t="s">
        <v>39</v>
      </c>
      <c r="M183" s="27" t="s">
        <v>114</v>
      </c>
      <c r="N183" s="27">
        <v>16</v>
      </c>
      <c r="O183" s="27">
        <v>700</v>
      </c>
      <c r="P183" s="27">
        <v>15</v>
      </c>
      <c r="Q183" s="27">
        <v>9520</v>
      </c>
      <c r="R183" s="27">
        <v>4</v>
      </c>
      <c r="S183" s="27" t="s">
        <v>60</v>
      </c>
      <c r="T183" s="27" t="s">
        <v>50</v>
      </c>
      <c r="U183" s="27" t="s">
        <v>93</v>
      </c>
      <c r="V183" s="27">
        <v>9989580228</v>
      </c>
      <c r="W183" s="21" t="s">
        <v>34</v>
      </c>
    </row>
    <row r="184" spans="2:23" ht="15" thickBot="1" x14ac:dyDescent="0.4">
      <c r="B184" s="30" t="s">
        <v>275</v>
      </c>
      <c r="C184" s="30" t="s">
        <v>87</v>
      </c>
      <c r="D184" s="30" t="s">
        <v>112</v>
      </c>
      <c r="E184" s="31">
        <v>45845</v>
      </c>
      <c r="F184" s="31">
        <v>45851</v>
      </c>
      <c r="G184" s="30" t="s">
        <v>88</v>
      </c>
      <c r="H184" s="30" t="s">
        <v>58</v>
      </c>
      <c r="I184" s="31">
        <v>27580</v>
      </c>
      <c r="J184" s="30" t="s">
        <v>79</v>
      </c>
      <c r="K184" s="30" t="s">
        <v>75</v>
      </c>
      <c r="L184" s="30" t="s">
        <v>39</v>
      </c>
      <c r="M184" s="30" t="s">
        <v>114</v>
      </c>
      <c r="N184" s="30">
        <v>6</v>
      </c>
      <c r="O184" s="30">
        <v>700</v>
      </c>
      <c r="P184" s="30">
        <v>10</v>
      </c>
      <c r="Q184" s="30">
        <v>3780</v>
      </c>
      <c r="R184" s="30">
        <v>4</v>
      </c>
      <c r="S184" s="30" t="s">
        <v>31</v>
      </c>
      <c r="T184" s="30" t="s">
        <v>42</v>
      </c>
      <c r="U184" s="30" t="s">
        <v>89</v>
      </c>
      <c r="V184" s="30">
        <v>9110269572</v>
      </c>
      <c r="W184" s="30" t="s">
        <v>53</v>
      </c>
    </row>
    <row r="185" spans="2:23" ht="15" thickBot="1" x14ac:dyDescent="0.4">
      <c r="B185" s="27" t="s">
        <v>276</v>
      </c>
      <c r="C185" s="27" t="s">
        <v>45</v>
      </c>
      <c r="D185" s="27" t="s">
        <v>68</v>
      </c>
      <c r="E185" s="28">
        <v>46145</v>
      </c>
      <c r="F185" s="28">
        <v>46157</v>
      </c>
      <c r="G185" s="27" t="s">
        <v>101</v>
      </c>
      <c r="H185" s="27" t="s">
        <v>26</v>
      </c>
      <c r="I185" s="28">
        <v>33668</v>
      </c>
      <c r="J185" s="27" t="s">
        <v>37</v>
      </c>
      <c r="K185" s="27" t="s">
        <v>38</v>
      </c>
      <c r="L185" s="27" t="s">
        <v>29</v>
      </c>
      <c r="M185" s="27" t="s">
        <v>70</v>
      </c>
      <c r="N185" s="27">
        <v>20</v>
      </c>
      <c r="O185" s="27">
        <v>3500</v>
      </c>
      <c r="P185" s="27">
        <v>10</v>
      </c>
      <c r="Q185" s="27">
        <v>63000</v>
      </c>
      <c r="R185" s="27">
        <v>4</v>
      </c>
      <c r="S185" s="27" t="s">
        <v>65</v>
      </c>
      <c r="T185" s="27" t="s">
        <v>42</v>
      </c>
      <c r="U185" s="27" t="s">
        <v>51</v>
      </c>
      <c r="V185" s="27">
        <v>9745972422</v>
      </c>
      <c r="W185" s="27" t="s">
        <v>52</v>
      </c>
    </row>
    <row r="186" spans="2:23" ht="15" thickBot="1" x14ac:dyDescent="0.4">
      <c r="B186" s="30" t="s">
        <v>277</v>
      </c>
      <c r="C186" s="30" t="s">
        <v>23</v>
      </c>
      <c r="D186" s="30" t="s">
        <v>125</v>
      </c>
      <c r="E186" s="31">
        <v>45990</v>
      </c>
      <c r="F186" s="31">
        <v>45998</v>
      </c>
      <c r="G186" s="30" t="s">
        <v>25</v>
      </c>
      <c r="H186" s="30" t="s">
        <v>26</v>
      </c>
      <c r="I186" s="31">
        <v>35949</v>
      </c>
      <c r="J186" s="30" t="s">
        <v>48</v>
      </c>
      <c r="K186" s="30" t="s">
        <v>28</v>
      </c>
      <c r="L186" s="30" t="s">
        <v>83</v>
      </c>
      <c r="M186" s="30" t="s">
        <v>127</v>
      </c>
      <c r="N186" s="30">
        <v>2</v>
      </c>
      <c r="O186" s="30">
        <v>20</v>
      </c>
      <c r="P186" s="30">
        <v>10</v>
      </c>
      <c r="Q186" s="30">
        <v>36</v>
      </c>
      <c r="R186" s="30">
        <v>1</v>
      </c>
      <c r="S186" s="30" t="s">
        <v>41</v>
      </c>
      <c r="T186" s="30" t="s">
        <v>80</v>
      </c>
      <c r="U186" s="30" t="s">
        <v>43</v>
      </c>
      <c r="V186" s="30">
        <v>9123712257</v>
      </c>
      <c r="W186" s="30" t="s">
        <v>52</v>
      </c>
    </row>
    <row r="187" spans="2:23" ht="15" thickBot="1" x14ac:dyDescent="0.4">
      <c r="B187" s="27" t="s">
        <v>278</v>
      </c>
      <c r="C187" s="27" t="s">
        <v>72</v>
      </c>
      <c r="D187" s="27" t="s">
        <v>24</v>
      </c>
      <c r="E187" s="28">
        <v>45852</v>
      </c>
      <c r="F187" s="28">
        <v>45857</v>
      </c>
      <c r="G187" s="27" t="s">
        <v>73</v>
      </c>
      <c r="H187" s="27" t="s">
        <v>26</v>
      </c>
      <c r="I187" s="28">
        <v>35336</v>
      </c>
      <c r="J187" s="27" t="s">
        <v>79</v>
      </c>
      <c r="K187" s="27" t="s">
        <v>75</v>
      </c>
      <c r="L187" s="27" t="s">
        <v>29</v>
      </c>
      <c r="M187" s="27" t="s">
        <v>30</v>
      </c>
      <c r="N187" s="27">
        <v>16</v>
      </c>
      <c r="O187" s="27">
        <v>2200</v>
      </c>
      <c r="P187" s="27">
        <v>20</v>
      </c>
      <c r="Q187" s="27">
        <v>28160</v>
      </c>
      <c r="R187" s="27">
        <v>2</v>
      </c>
      <c r="S187" s="27" t="s">
        <v>65</v>
      </c>
      <c r="T187" s="27" t="s">
        <v>96</v>
      </c>
      <c r="U187" s="27" t="s">
        <v>93</v>
      </c>
      <c r="V187" s="27">
        <v>9665525431</v>
      </c>
      <c r="W187" s="27" t="s">
        <v>52</v>
      </c>
    </row>
    <row r="188" spans="2:23" ht="15" thickBot="1" x14ac:dyDescent="0.4">
      <c r="B188" s="30" t="s">
        <v>279</v>
      </c>
      <c r="C188" s="30" t="s">
        <v>124</v>
      </c>
      <c r="D188" s="30" t="s">
        <v>36</v>
      </c>
      <c r="E188" s="31">
        <v>45729</v>
      </c>
      <c r="F188" s="31">
        <v>45739</v>
      </c>
      <c r="G188" s="30" t="s">
        <v>126</v>
      </c>
      <c r="H188" s="30" t="s">
        <v>58</v>
      </c>
      <c r="I188" s="31">
        <v>35048</v>
      </c>
      <c r="J188" s="30" t="s">
        <v>79</v>
      </c>
      <c r="K188" s="30" t="s">
        <v>75</v>
      </c>
      <c r="L188" s="30" t="s">
        <v>39</v>
      </c>
      <c r="M188" s="30" t="s">
        <v>40</v>
      </c>
      <c r="N188" s="30">
        <v>15</v>
      </c>
      <c r="O188" s="30">
        <v>12000</v>
      </c>
      <c r="P188" s="30">
        <v>0</v>
      </c>
      <c r="Q188" s="30">
        <v>180000</v>
      </c>
      <c r="R188" s="30">
        <v>1</v>
      </c>
      <c r="S188" s="30" t="s">
        <v>60</v>
      </c>
      <c r="T188" s="30" t="s">
        <v>50</v>
      </c>
      <c r="U188" s="30" t="s">
        <v>128</v>
      </c>
      <c r="V188" s="30">
        <v>9682415134</v>
      </c>
      <c r="W188" s="30" t="s">
        <v>52</v>
      </c>
    </row>
    <row r="189" spans="2:23" ht="15" thickBot="1" x14ac:dyDescent="0.4">
      <c r="B189" s="27" t="s">
        <v>280</v>
      </c>
      <c r="C189" s="27" t="s">
        <v>23</v>
      </c>
      <c r="D189" s="27" t="s">
        <v>82</v>
      </c>
      <c r="E189" s="28">
        <v>45860</v>
      </c>
      <c r="F189" s="28">
        <v>45861</v>
      </c>
      <c r="G189" s="27" t="s">
        <v>25</v>
      </c>
      <c r="H189" s="27" t="s">
        <v>26</v>
      </c>
      <c r="I189" s="28">
        <v>27965</v>
      </c>
      <c r="J189" s="27" t="s">
        <v>37</v>
      </c>
      <c r="K189" s="27" t="s">
        <v>38</v>
      </c>
      <c r="L189" s="27" t="s">
        <v>83</v>
      </c>
      <c r="M189" s="27" t="s">
        <v>84</v>
      </c>
      <c r="N189" s="27">
        <v>14</v>
      </c>
      <c r="O189" s="27">
        <v>60</v>
      </c>
      <c r="P189" s="27">
        <v>15</v>
      </c>
      <c r="Q189" s="27">
        <v>714</v>
      </c>
      <c r="R189" s="27">
        <v>4</v>
      </c>
      <c r="S189" s="27" t="s">
        <v>65</v>
      </c>
      <c r="T189" s="27" t="s">
        <v>42</v>
      </c>
      <c r="U189" s="27" t="s">
        <v>43</v>
      </c>
      <c r="V189" s="27">
        <v>9808223872</v>
      </c>
      <c r="W189" s="21" t="s">
        <v>34</v>
      </c>
    </row>
    <row r="190" spans="2:23" ht="15" thickBot="1" x14ac:dyDescent="0.4">
      <c r="B190" s="30" t="s">
        <v>281</v>
      </c>
      <c r="C190" s="30" t="s">
        <v>45</v>
      </c>
      <c r="D190" s="30" t="s">
        <v>56</v>
      </c>
      <c r="E190" s="31">
        <v>45859</v>
      </c>
      <c r="F190" s="31">
        <v>45862</v>
      </c>
      <c r="G190" s="30" t="s">
        <v>101</v>
      </c>
      <c r="H190" s="30" t="s">
        <v>26</v>
      </c>
      <c r="I190" s="31">
        <v>30855</v>
      </c>
      <c r="J190" s="30" t="s">
        <v>27</v>
      </c>
      <c r="K190" s="30" t="s">
        <v>28</v>
      </c>
      <c r="L190" s="30" t="s">
        <v>39</v>
      </c>
      <c r="M190" s="30" t="s">
        <v>59</v>
      </c>
      <c r="N190" s="30">
        <v>9</v>
      </c>
      <c r="O190" s="30">
        <v>1200</v>
      </c>
      <c r="P190" s="30">
        <v>5</v>
      </c>
      <c r="Q190" s="30">
        <v>10260</v>
      </c>
      <c r="R190" s="30">
        <v>5</v>
      </c>
      <c r="S190" s="30" t="s">
        <v>41</v>
      </c>
      <c r="T190" s="30" t="s">
        <v>50</v>
      </c>
      <c r="U190" s="30" t="s">
        <v>51</v>
      </c>
      <c r="V190" s="30">
        <v>9193549730</v>
      </c>
      <c r="W190" s="30" t="s">
        <v>52</v>
      </c>
    </row>
    <row r="191" spans="2:23" ht="15" thickBot="1" x14ac:dyDescent="0.4">
      <c r="B191" s="27" t="s">
        <v>282</v>
      </c>
      <c r="C191" s="27" t="s">
        <v>124</v>
      </c>
      <c r="D191" s="27" t="s">
        <v>56</v>
      </c>
      <c r="E191" s="28">
        <v>45857</v>
      </c>
      <c r="F191" s="28">
        <v>45867</v>
      </c>
      <c r="G191" s="27" t="s">
        <v>126</v>
      </c>
      <c r="H191" s="27" t="s">
        <v>58</v>
      </c>
      <c r="I191" s="28">
        <v>36013</v>
      </c>
      <c r="J191" s="27" t="s">
        <v>147</v>
      </c>
      <c r="K191" s="27" t="s">
        <v>148</v>
      </c>
      <c r="L191" s="27" t="s">
        <v>39</v>
      </c>
      <c r="M191" s="27" t="s">
        <v>59</v>
      </c>
      <c r="N191" s="27">
        <v>3</v>
      </c>
      <c r="O191" s="27">
        <v>1200</v>
      </c>
      <c r="P191" s="27">
        <v>10</v>
      </c>
      <c r="Q191" s="27">
        <v>3240</v>
      </c>
      <c r="R191" s="27">
        <v>2</v>
      </c>
      <c r="S191" s="27" t="s">
        <v>60</v>
      </c>
      <c r="T191" s="27" t="s">
        <v>96</v>
      </c>
      <c r="U191" s="27" t="s">
        <v>128</v>
      </c>
      <c r="V191" s="27">
        <v>9520617130</v>
      </c>
      <c r="W191" s="27" t="s">
        <v>53</v>
      </c>
    </row>
    <row r="192" spans="2:23" ht="15" thickBot="1" x14ac:dyDescent="0.4">
      <c r="B192" s="30" t="s">
        <v>283</v>
      </c>
      <c r="C192" s="30" t="s">
        <v>156</v>
      </c>
      <c r="D192" s="30" t="s">
        <v>82</v>
      </c>
      <c r="E192" s="31">
        <v>45757</v>
      </c>
      <c r="F192" s="31">
        <v>45759</v>
      </c>
      <c r="G192" s="30" t="s">
        <v>106</v>
      </c>
      <c r="H192" s="30" t="s">
        <v>58</v>
      </c>
      <c r="I192" s="31">
        <v>37060</v>
      </c>
      <c r="J192" s="30" t="s">
        <v>27</v>
      </c>
      <c r="K192" s="30" t="s">
        <v>28</v>
      </c>
      <c r="L192" s="30" t="s">
        <v>83</v>
      </c>
      <c r="M192" s="30" t="s">
        <v>84</v>
      </c>
      <c r="N192" s="30">
        <v>2</v>
      </c>
      <c r="O192" s="30">
        <v>60</v>
      </c>
      <c r="P192" s="30">
        <v>10</v>
      </c>
      <c r="Q192" s="30">
        <v>108</v>
      </c>
      <c r="R192" s="30">
        <v>2</v>
      </c>
      <c r="S192" s="30" t="s">
        <v>65</v>
      </c>
      <c r="T192" s="30" t="s">
        <v>50</v>
      </c>
      <c r="U192" s="30" t="s">
        <v>158</v>
      </c>
      <c r="V192" s="30">
        <v>9264578122</v>
      </c>
      <c r="W192" s="22" t="s">
        <v>34</v>
      </c>
    </row>
    <row r="193" spans="2:23" ht="15" thickBot="1" x14ac:dyDescent="0.4">
      <c r="B193" s="27" t="s">
        <v>284</v>
      </c>
      <c r="C193" s="27" t="s">
        <v>55</v>
      </c>
      <c r="D193" s="27" t="s">
        <v>68</v>
      </c>
      <c r="E193" s="28">
        <v>46155</v>
      </c>
      <c r="F193" s="28">
        <v>46165</v>
      </c>
      <c r="G193" s="27" t="s">
        <v>57</v>
      </c>
      <c r="H193" s="27" t="s">
        <v>58</v>
      </c>
      <c r="I193" s="28">
        <v>36414</v>
      </c>
      <c r="J193" s="27" t="s">
        <v>37</v>
      </c>
      <c r="K193" s="27" t="s">
        <v>38</v>
      </c>
      <c r="L193" s="27" t="s">
        <v>29</v>
      </c>
      <c r="M193" s="27" t="s">
        <v>70</v>
      </c>
      <c r="N193" s="27">
        <v>9</v>
      </c>
      <c r="O193" s="27">
        <v>3500</v>
      </c>
      <c r="P193" s="27">
        <v>20</v>
      </c>
      <c r="Q193" s="27">
        <v>25200</v>
      </c>
      <c r="R193" s="27">
        <v>1</v>
      </c>
      <c r="S193" s="27" t="s">
        <v>41</v>
      </c>
      <c r="T193" s="27" t="s">
        <v>32</v>
      </c>
      <c r="U193" s="27" t="s">
        <v>61</v>
      </c>
      <c r="V193" s="27">
        <v>9275071213</v>
      </c>
      <c r="W193" s="21" t="s">
        <v>34</v>
      </c>
    </row>
    <row r="194" spans="2:23" ht="15" thickBot="1" x14ac:dyDescent="0.4">
      <c r="B194" s="30" t="s">
        <v>285</v>
      </c>
      <c r="C194" s="30" t="s">
        <v>124</v>
      </c>
      <c r="D194" s="30" t="s">
        <v>46</v>
      </c>
      <c r="E194" s="31">
        <v>46094</v>
      </c>
      <c r="F194" s="31">
        <v>46097</v>
      </c>
      <c r="G194" s="30" t="s">
        <v>126</v>
      </c>
      <c r="H194" s="30" t="s">
        <v>58</v>
      </c>
      <c r="I194" s="31">
        <v>35040</v>
      </c>
      <c r="J194" s="30" t="s">
        <v>121</v>
      </c>
      <c r="K194" s="30" t="s">
        <v>38</v>
      </c>
      <c r="L194" s="30" t="s">
        <v>39</v>
      </c>
      <c r="M194" s="30" t="s">
        <v>49</v>
      </c>
      <c r="N194" s="30">
        <v>4</v>
      </c>
      <c r="O194" s="30">
        <v>55000</v>
      </c>
      <c r="P194" s="30">
        <v>5</v>
      </c>
      <c r="Q194" s="30">
        <v>209000</v>
      </c>
      <c r="R194" s="30">
        <v>2</v>
      </c>
      <c r="S194" s="30" t="s">
        <v>31</v>
      </c>
      <c r="T194" s="30" t="s">
        <v>96</v>
      </c>
      <c r="U194" s="30" t="s">
        <v>128</v>
      </c>
      <c r="V194" s="30">
        <v>9715222543</v>
      </c>
      <c r="W194" s="30" t="s">
        <v>52</v>
      </c>
    </row>
    <row r="195" spans="2:23" ht="15" thickBot="1" x14ac:dyDescent="0.4">
      <c r="B195" s="27" t="s">
        <v>286</v>
      </c>
      <c r="C195" s="27" t="s">
        <v>156</v>
      </c>
      <c r="D195" s="27" t="s">
        <v>112</v>
      </c>
      <c r="E195" s="28">
        <v>45835</v>
      </c>
      <c r="F195" s="28">
        <v>45839</v>
      </c>
      <c r="G195" s="27" t="s">
        <v>106</v>
      </c>
      <c r="H195" s="27" t="s">
        <v>58</v>
      </c>
      <c r="I195" s="28">
        <v>36363</v>
      </c>
      <c r="J195" s="27" t="s">
        <v>37</v>
      </c>
      <c r="K195" s="27" t="s">
        <v>38</v>
      </c>
      <c r="L195" s="27" t="s">
        <v>39</v>
      </c>
      <c r="M195" s="27" t="s">
        <v>114</v>
      </c>
      <c r="N195" s="27">
        <v>11</v>
      </c>
      <c r="O195" s="27">
        <v>700</v>
      </c>
      <c r="P195" s="27">
        <v>20</v>
      </c>
      <c r="Q195" s="27">
        <v>6160</v>
      </c>
      <c r="R195" s="27">
        <v>4</v>
      </c>
      <c r="S195" s="27" t="s">
        <v>31</v>
      </c>
      <c r="T195" s="27" t="s">
        <v>96</v>
      </c>
      <c r="U195" s="27" t="s">
        <v>158</v>
      </c>
      <c r="V195" s="27">
        <v>9942010833</v>
      </c>
      <c r="W195" s="27" t="s">
        <v>53</v>
      </c>
    </row>
    <row r="196" spans="2:23" ht="15" thickBot="1" x14ac:dyDescent="0.4">
      <c r="B196" s="30" t="s">
        <v>287</v>
      </c>
      <c r="C196" s="30" t="s">
        <v>104</v>
      </c>
      <c r="D196" s="30" t="s">
        <v>56</v>
      </c>
      <c r="E196" s="31">
        <v>45980</v>
      </c>
      <c r="F196" s="31">
        <v>45990</v>
      </c>
      <c r="G196" s="30" t="s">
        <v>166</v>
      </c>
      <c r="H196" s="30" t="s">
        <v>26</v>
      </c>
      <c r="I196" s="31">
        <v>36844</v>
      </c>
      <c r="J196" s="30" t="s">
        <v>147</v>
      </c>
      <c r="K196" s="30" t="s">
        <v>148</v>
      </c>
      <c r="L196" s="30" t="s">
        <v>39</v>
      </c>
      <c r="M196" s="30" t="s">
        <v>59</v>
      </c>
      <c r="N196" s="30">
        <v>16</v>
      </c>
      <c r="O196" s="30">
        <v>1200</v>
      </c>
      <c r="P196" s="30">
        <v>5</v>
      </c>
      <c r="Q196" s="30">
        <v>18240</v>
      </c>
      <c r="R196" s="30">
        <v>1</v>
      </c>
      <c r="S196" s="30" t="s">
        <v>60</v>
      </c>
      <c r="T196" s="30" t="s">
        <v>32</v>
      </c>
      <c r="U196" s="30" t="s">
        <v>108</v>
      </c>
      <c r="V196" s="30">
        <v>9347718932</v>
      </c>
      <c r="W196" s="30" t="s">
        <v>52</v>
      </c>
    </row>
    <row r="197" spans="2:23" ht="15" thickBot="1" x14ac:dyDescent="0.4">
      <c r="B197" s="27" t="s">
        <v>288</v>
      </c>
      <c r="C197" s="27" t="s">
        <v>104</v>
      </c>
      <c r="D197" s="27" t="s">
        <v>56</v>
      </c>
      <c r="E197" s="28">
        <v>45915</v>
      </c>
      <c r="F197" s="28">
        <v>45917</v>
      </c>
      <c r="G197" s="27" t="s">
        <v>166</v>
      </c>
      <c r="H197" s="27" t="s">
        <v>26</v>
      </c>
      <c r="I197" s="28">
        <v>37461</v>
      </c>
      <c r="J197" s="27" t="s">
        <v>79</v>
      </c>
      <c r="K197" s="27" t="s">
        <v>75</v>
      </c>
      <c r="L197" s="27" t="s">
        <v>39</v>
      </c>
      <c r="M197" s="27" t="s">
        <v>59</v>
      </c>
      <c r="N197" s="27">
        <v>1</v>
      </c>
      <c r="O197" s="27">
        <v>1200</v>
      </c>
      <c r="P197" s="27">
        <v>5</v>
      </c>
      <c r="Q197" s="27">
        <v>1140</v>
      </c>
      <c r="R197" s="27">
        <v>4</v>
      </c>
      <c r="S197" s="27" t="s">
        <v>60</v>
      </c>
      <c r="T197" s="27" t="s">
        <v>32</v>
      </c>
      <c r="U197" s="27" t="s">
        <v>108</v>
      </c>
      <c r="V197" s="27">
        <v>9274808844</v>
      </c>
      <c r="W197" s="21" t="s">
        <v>34</v>
      </c>
    </row>
    <row r="198" spans="2:23" ht="15" thickBot="1" x14ac:dyDescent="0.4">
      <c r="B198" s="30" t="s">
        <v>289</v>
      </c>
      <c r="C198" s="30" t="s">
        <v>156</v>
      </c>
      <c r="D198" s="30" t="s">
        <v>82</v>
      </c>
      <c r="E198" s="31">
        <v>45965</v>
      </c>
      <c r="F198" s="31">
        <v>45974</v>
      </c>
      <c r="G198" s="30" t="s">
        <v>106</v>
      </c>
      <c r="H198" s="30" t="s">
        <v>58</v>
      </c>
      <c r="I198" s="31">
        <v>37312</v>
      </c>
      <c r="J198" s="30" t="s">
        <v>121</v>
      </c>
      <c r="K198" s="30" t="s">
        <v>38</v>
      </c>
      <c r="L198" s="30" t="s">
        <v>83</v>
      </c>
      <c r="M198" s="30" t="s">
        <v>84</v>
      </c>
      <c r="N198" s="30">
        <v>7</v>
      </c>
      <c r="O198" s="30">
        <v>60</v>
      </c>
      <c r="P198" s="30">
        <v>0</v>
      </c>
      <c r="Q198" s="30">
        <v>420</v>
      </c>
      <c r="R198" s="30">
        <v>2</v>
      </c>
      <c r="S198" s="30" t="s">
        <v>65</v>
      </c>
      <c r="T198" s="30" t="s">
        <v>96</v>
      </c>
      <c r="U198" s="30" t="s">
        <v>158</v>
      </c>
      <c r="V198" s="30">
        <v>9798996063</v>
      </c>
      <c r="W198" s="22" t="s">
        <v>34</v>
      </c>
    </row>
    <row r="199" spans="2:23" ht="15" thickBot="1" x14ac:dyDescent="0.4">
      <c r="B199" s="27" t="s">
        <v>290</v>
      </c>
      <c r="C199" s="27" t="s">
        <v>104</v>
      </c>
      <c r="D199" s="27" t="s">
        <v>24</v>
      </c>
      <c r="E199" s="28">
        <v>45660</v>
      </c>
      <c r="F199" s="28">
        <v>45664</v>
      </c>
      <c r="G199" s="27" t="s">
        <v>166</v>
      </c>
      <c r="H199" s="27" t="s">
        <v>26</v>
      </c>
      <c r="I199" s="28">
        <v>29418</v>
      </c>
      <c r="J199" s="27" t="s">
        <v>79</v>
      </c>
      <c r="K199" s="27" t="s">
        <v>75</v>
      </c>
      <c r="L199" s="27" t="s">
        <v>29</v>
      </c>
      <c r="M199" s="27" t="s">
        <v>30</v>
      </c>
      <c r="N199" s="27">
        <v>14</v>
      </c>
      <c r="O199" s="27">
        <v>2200</v>
      </c>
      <c r="P199" s="27">
        <v>0</v>
      </c>
      <c r="Q199" s="27">
        <v>30800</v>
      </c>
      <c r="R199" s="27">
        <v>2</v>
      </c>
      <c r="S199" s="27" t="s">
        <v>65</v>
      </c>
      <c r="T199" s="27" t="s">
        <v>32</v>
      </c>
      <c r="U199" s="27" t="s">
        <v>108</v>
      </c>
      <c r="V199" s="27">
        <v>9145200936</v>
      </c>
      <c r="W199" s="27" t="s">
        <v>53</v>
      </c>
    </row>
    <row r="200" spans="2:23" ht="15" thickBot="1" x14ac:dyDescent="0.4">
      <c r="B200" s="30" t="s">
        <v>291</v>
      </c>
      <c r="C200" s="30" t="s">
        <v>104</v>
      </c>
      <c r="D200" s="30" t="s">
        <v>68</v>
      </c>
      <c r="E200" s="31">
        <v>45827</v>
      </c>
      <c r="F200" s="31">
        <v>45835</v>
      </c>
      <c r="G200" s="30" t="s">
        <v>166</v>
      </c>
      <c r="H200" s="30" t="s">
        <v>26</v>
      </c>
      <c r="I200" s="31">
        <v>35210</v>
      </c>
      <c r="J200" s="30" t="s">
        <v>91</v>
      </c>
      <c r="K200" s="30" t="s">
        <v>75</v>
      </c>
      <c r="L200" s="30" t="s">
        <v>29</v>
      </c>
      <c r="M200" s="30" t="s">
        <v>70</v>
      </c>
      <c r="N200" s="30">
        <v>15</v>
      </c>
      <c r="O200" s="30">
        <v>3500</v>
      </c>
      <c r="P200" s="30">
        <v>15</v>
      </c>
      <c r="Q200" s="30">
        <v>44625</v>
      </c>
      <c r="R200" s="30">
        <v>2</v>
      </c>
      <c r="S200" s="30" t="s">
        <v>65</v>
      </c>
      <c r="T200" s="30" t="s">
        <v>50</v>
      </c>
      <c r="U200" s="30" t="s">
        <v>108</v>
      </c>
      <c r="V200" s="30">
        <v>9697654418</v>
      </c>
      <c r="W200" s="30" t="s">
        <v>52</v>
      </c>
    </row>
    <row r="201" spans="2:23" ht="15" thickBot="1" x14ac:dyDescent="0.4">
      <c r="B201" s="27" t="s">
        <v>292</v>
      </c>
      <c r="C201" s="27" t="s">
        <v>87</v>
      </c>
      <c r="D201" s="27" t="s">
        <v>68</v>
      </c>
      <c r="E201" s="28">
        <v>45742</v>
      </c>
      <c r="F201" s="28">
        <v>45753</v>
      </c>
      <c r="G201" s="27" t="s">
        <v>88</v>
      </c>
      <c r="H201" s="27" t="s">
        <v>58</v>
      </c>
      <c r="I201" s="28">
        <v>31543</v>
      </c>
      <c r="J201" s="27" t="s">
        <v>147</v>
      </c>
      <c r="K201" s="27" t="s">
        <v>148</v>
      </c>
      <c r="L201" s="27" t="s">
        <v>29</v>
      </c>
      <c r="M201" s="27" t="s">
        <v>70</v>
      </c>
      <c r="N201" s="27">
        <v>19</v>
      </c>
      <c r="O201" s="27">
        <v>3500</v>
      </c>
      <c r="P201" s="27">
        <v>5</v>
      </c>
      <c r="Q201" s="27">
        <v>63175</v>
      </c>
      <c r="R201" s="27">
        <v>2</v>
      </c>
      <c r="S201" s="27" t="s">
        <v>31</v>
      </c>
      <c r="T201" s="27" t="s">
        <v>80</v>
      </c>
      <c r="U201" s="27" t="s">
        <v>89</v>
      </c>
      <c r="V201" s="27">
        <v>9457923119</v>
      </c>
      <c r="W201" s="27" t="s">
        <v>53</v>
      </c>
    </row>
    <row r="202" spans="2:23" ht="15" thickBot="1" x14ac:dyDescent="0.4">
      <c r="B202" s="30" t="s">
        <v>293</v>
      </c>
      <c r="C202" s="30" t="s">
        <v>156</v>
      </c>
      <c r="D202" s="30" t="s">
        <v>46</v>
      </c>
      <c r="E202" s="31">
        <v>45844</v>
      </c>
      <c r="F202" s="31">
        <v>45848</v>
      </c>
      <c r="G202" s="30" t="s">
        <v>106</v>
      </c>
      <c r="H202" s="30" t="s">
        <v>58</v>
      </c>
      <c r="I202" s="31">
        <v>32653</v>
      </c>
      <c r="J202" s="30" t="s">
        <v>48</v>
      </c>
      <c r="K202" s="30" t="s">
        <v>28</v>
      </c>
      <c r="L202" s="30" t="s">
        <v>39</v>
      </c>
      <c r="M202" s="30" t="s">
        <v>49</v>
      </c>
      <c r="N202" s="30">
        <v>12</v>
      </c>
      <c r="O202" s="30">
        <v>55000</v>
      </c>
      <c r="P202" s="30">
        <v>5</v>
      </c>
      <c r="Q202" s="30">
        <v>627000</v>
      </c>
      <c r="R202" s="30">
        <v>4</v>
      </c>
      <c r="S202" s="30" t="s">
        <v>60</v>
      </c>
      <c r="T202" s="30" t="s">
        <v>50</v>
      </c>
      <c r="U202" s="30" t="s">
        <v>158</v>
      </c>
      <c r="V202" s="30">
        <v>9236111271</v>
      </c>
      <c r="W202" s="30" t="s">
        <v>53</v>
      </c>
    </row>
    <row r="203" spans="2:23" ht="15" thickBot="1" x14ac:dyDescent="0.4">
      <c r="B203" s="27" t="s">
        <v>294</v>
      </c>
      <c r="C203" s="27" t="s">
        <v>45</v>
      </c>
      <c r="D203" s="27" t="s">
        <v>56</v>
      </c>
      <c r="E203" s="28">
        <v>46040</v>
      </c>
      <c r="F203" s="28">
        <v>46048</v>
      </c>
      <c r="G203" s="27" t="s">
        <v>101</v>
      </c>
      <c r="H203" s="27" t="s">
        <v>26</v>
      </c>
      <c r="I203" s="28">
        <v>32745</v>
      </c>
      <c r="J203" s="27" t="s">
        <v>74</v>
      </c>
      <c r="K203" s="27" t="s">
        <v>75</v>
      </c>
      <c r="L203" s="27" t="s">
        <v>39</v>
      </c>
      <c r="M203" s="27" t="s">
        <v>59</v>
      </c>
      <c r="N203" s="27">
        <v>6</v>
      </c>
      <c r="O203" s="27">
        <v>1200</v>
      </c>
      <c r="P203" s="27">
        <v>10</v>
      </c>
      <c r="Q203" s="27">
        <v>6480</v>
      </c>
      <c r="R203" s="27">
        <v>5</v>
      </c>
      <c r="S203" s="27" t="s">
        <v>41</v>
      </c>
      <c r="T203" s="27" t="s">
        <v>80</v>
      </c>
      <c r="U203" s="27" t="s">
        <v>51</v>
      </c>
      <c r="V203" s="27">
        <v>9402569141</v>
      </c>
      <c r="W203" s="27" t="s">
        <v>53</v>
      </c>
    </row>
    <row r="204" spans="2:23" ht="15" thickBot="1" x14ac:dyDescent="0.4">
      <c r="B204" s="30" t="s">
        <v>295</v>
      </c>
      <c r="C204" s="30" t="s">
        <v>134</v>
      </c>
      <c r="D204" s="30" t="s">
        <v>105</v>
      </c>
      <c r="E204" s="31">
        <v>45919</v>
      </c>
      <c r="F204" s="31">
        <v>45920</v>
      </c>
      <c r="G204" s="30" t="s">
        <v>135</v>
      </c>
      <c r="H204" s="30" t="s">
        <v>26</v>
      </c>
      <c r="I204" s="31">
        <v>35570</v>
      </c>
      <c r="J204" s="30" t="s">
        <v>27</v>
      </c>
      <c r="K204" s="30" t="s">
        <v>28</v>
      </c>
      <c r="L204" s="30" t="s">
        <v>29</v>
      </c>
      <c r="M204" s="30" t="s">
        <v>107</v>
      </c>
      <c r="N204" s="30">
        <v>1</v>
      </c>
      <c r="O204" s="30">
        <v>8500</v>
      </c>
      <c r="P204" s="30">
        <v>0</v>
      </c>
      <c r="Q204" s="30">
        <v>8500</v>
      </c>
      <c r="R204" s="30">
        <v>1</v>
      </c>
      <c r="S204" s="30" t="s">
        <v>65</v>
      </c>
      <c r="T204" s="30" t="s">
        <v>96</v>
      </c>
      <c r="U204" s="30" t="s">
        <v>136</v>
      </c>
      <c r="V204" s="30">
        <v>9138184056</v>
      </c>
      <c r="W204" s="30" t="s">
        <v>53</v>
      </c>
    </row>
    <row r="205" spans="2:23" ht="15" thickBot="1" x14ac:dyDescent="0.4">
      <c r="B205" s="27" t="s">
        <v>296</v>
      </c>
      <c r="C205" s="27" t="s">
        <v>87</v>
      </c>
      <c r="D205" s="27" t="s">
        <v>46</v>
      </c>
      <c r="E205" s="28">
        <v>46113</v>
      </c>
      <c r="F205" s="28">
        <v>46119</v>
      </c>
      <c r="G205" s="27" t="s">
        <v>88</v>
      </c>
      <c r="H205" s="27" t="s">
        <v>58</v>
      </c>
      <c r="I205" s="28">
        <v>31900</v>
      </c>
      <c r="J205" s="27" t="s">
        <v>91</v>
      </c>
      <c r="K205" s="27" t="s">
        <v>75</v>
      </c>
      <c r="L205" s="27" t="s">
        <v>39</v>
      </c>
      <c r="M205" s="27" t="s">
        <v>49</v>
      </c>
      <c r="N205" s="27">
        <v>20</v>
      </c>
      <c r="O205" s="27">
        <v>55000</v>
      </c>
      <c r="P205" s="27">
        <v>10</v>
      </c>
      <c r="Q205" s="27">
        <v>990000</v>
      </c>
      <c r="R205" s="27">
        <v>5</v>
      </c>
      <c r="S205" s="27" t="s">
        <v>41</v>
      </c>
      <c r="T205" s="27" t="s">
        <v>96</v>
      </c>
      <c r="U205" s="27" t="s">
        <v>89</v>
      </c>
      <c r="V205" s="27">
        <v>9609598700</v>
      </c>
      <c r="W205" s="21" t="s">
        <v>34</v>
      </c>
    </row>
    <row r="206" spans="2:23" ht="15" thickBot="1" x14ac:dyDescent="0.4">
      <c r="B206" s="30" t="s">
        <v>297</v>
      </c>
      <c r="C206" s="30" t="s">
        <v>124</v>
      </c>
      <c r="D206" s="30" t="s">
        <v>56</v>
      </c>
      <c r="E206" s="31">
        <v>45958</v>
      </c>
      <c r="F206" s="31">
        <v>45959</v>
      </c>
      <c r="G206" s="30" t="s">
        <v>126</v>
      </c>
      <c r="H206" s="30" t="s">
        <v>58</v>
      </c>
      <c r="I206" s="31">
        <v>37592</v>
      </c>
      <c r="J206" s="30" t="s">
        <v>91</v>
      </c>
      <c r="K206" s="30" t="s">
        <v>75</v>
      </c>
      <c r="L206" s="30" t="s">
        <v>39</v>
      </c>
      <c r="M206" s="30" t="s">
        <v>59</v>
      </c>
      <c r="N206" s="30">
        <v>8</v>
      </c>
      <c r="O206" s="30">
        <v>1200</v>
      </c>
      <c r="P206" s="30">
        <v>15</v>
      </c>
      <c r="Q206" s="30">
        <v>8160</v>
      </c>
      <c r="R206" s="30">
        <v>2</v>
      </c>
      <c r="S206" s="30" t="s">
        <v>65</v>
      </c>
      <c r="T206" s="30" t="s">
        <v>80</v>
      </c>
      <c r="U206" s="30" t="s">
        <v>128</v>
      </c>
      <c r="V206" s="30">
        <v>9385894399</v>
      </c>
      <c r="W206" s="30" t="s">
        <v>53</v>
      </c>
    </row>
    <row r="207" spans="2:23" ht="15" thickBot="1" x14ac:dyDescent="0.4">
      <c r="B207" s="27" t="s">
        <v>299</v>
      </c>
      <c r="C207" s="27" t="s">
        <v>23</v>
      </c>
      <c r="D207" s="27" t="s">
        <v>68</v>
      </c>
      <c r="E207" s="28">
        <v>45694</v>
      </c>
      <c r="F207" s="28">
        <v>45705</v>
      </c>
      <c r="G207" s="27" t="s">
        <v>25</v>
      </c>
      <c r="H207" s="27" t="s">
        <v>26</v>
      </c>
      <c r="I207" s="28">
        <v>31557</v>
      </c>
      <c r="J207" s="27" t="s">
        <v>121</v>
      </c>
      <c r="K207" s="27" t="s">
        <v>38</v>
      </c>
      <c r="L207" s="27" t="s">
        <v>29</v>
      </c>
      <c r="M207" s="27" t="s">
        <v>70</v>
      </c>
      <c r="N207" s="27">
        <v>19</v>
      </c>
      <c r="O207" s="27">
        <v>3500</v>
      </c>
      <c r="P207" s="27">
        <v>5</v>
      </c>
      <c r="Q207" s="27">
        <v>63175</v>
      </c>
      <c r="R207" s="27">
        <v>4</v>
      </c>
      <c r="S207" s="27" t="s">
        <v>65</v>
      </c>
      <c r="T207" s="27" t="s">
        <v>42</v>
      </c>
      <c r="U207" s="27" t="s">
        <v>43</v>
      </c>
      <c r="V207" s="27">
        <v>9329448011</v>
      </c>
      <c r="W207" s="27" t="s">
        <v>52</v>
      </c>
    </row>
    <row r="208" spans="2:23" ht="15" thickBot="1" x14ac:dyDescent="0.4">
      <c r="B208" s="30" t="s">
        <v>300</v>
      </c>
      <c r="C208" s="30" t="s">
        <v>124</v>
      </c>
      <c r="D208" s="30" t="s">
        <v>138</v>
      </c>
      <c r="E208" s="31">
        <v>45774</v>
      </c>
      <c r="F208" s="31">
        <v>45776</v>
      </c>
      <c r="G208" s="30" t="s">
        <v>126</v>
      </c>
      <c r="H208" s="30" t="s">
        <v>58</v>
      </c>
      <c r="I208" s="31">
        <v>31465</v>
      </c>
      <c r="J208" s="30" t="s">
        <v>121</v>
      </c>
      <c r="K208" s="30" t="s">
        <v>38</v>
      </c>
      <c r="L208" s="30" t="s">
        <v>83</v>
      </c>
      <c r="M208" s="30" t="s">
        <v>139</v>
      </c>
      <c r="N208" s="30">
        <v>6</v>
      </c>
      <c r="O208" s="30">
        <v>45</v>
      </c>
      <c r="P208" s="30">
        <v>20</v>
      </c>
      <c r="Q208" s="30">
        <v>216</v>
      </c>
      <c r="R208" s="30">
        <v>1</v>
      </c>
      <c r="S208" s="30" t="s">
        <v>60</v>
      </c>
      <c r="T208" s="30" t="s">
        <v>42</v>
      </c>
      <c r="U208" s="30" t="s">
        <v>298</v>
      </c>
      <c r="V208" s="30">
        <v>9889544104</v>
      </c>
      <c r="W208" s="30" t="s">
        <v>52</v>
      </c>
    </row>
    <row r="209" spans="2:23" ht="15" thickBot="1" x14ac:dyDescent="0.4">
      <c r="B209" s="27" t="s">
        <v>301</v>
      </c>
      <c r="C209" s="27" t="s">
        <v>134</v>
      </c>
      <c r="D209" s="27" t="s">
        <v>138</v>
      </c>
      <c r="E209" s="28">
        <v>45730</v>
      </c>
      <c r="F209" s="28">
        <v>45741</v>
      </c>
      <c r="G209" s="27" t="s">
        <v>135</v>
      </c>
      <c r="H209" s="27" t="s">
        <v>26</v>
      </c>
      <c r="I209" s="28">
        <v>32240</v>
      </c>
      <c r="J209" s="27" t="s">
        <v>79</v>
      </c>
      <c r="K209" s="27" t="s">
        <v>75</v>
      </c>
      <c r="L209" s="27" t="s">
        <v>83</v>
      </c>
      <c r="M209" s="27" t="s">
        <v>139</v>
      </c>
      <c r="N209" s="27">
        <v>17</v>
      </c>
      <c r="O209" s="27">
        <v>45</v>
      </c>
      <c r="P209" s="27">
        <v>15</v>
      </c>
      <c r="Q209" s="27">
        <v>650.25</v>
      </c>
      <c r="R209" s="27">
        <v>5</v>
      </c>
      <c r="S209" s="27" t="s">
        <v>31</v>
      </c>
      <c r="T209" s="27" t="s">
        <v>80</v>
      </c>
      <c r="U209" s="27" t="s">
        <v>136</v>
      </c>
      <c r="V209" s="27">
        <v>9101861045</v>
      </c>
      <c r="W209" s="27" t="s">
        <v>52</v>
      </c>
    </row>
    <row r="210" spans="2:23" ht="15" thickBot="1" x14ac:dyDescent="0.4">
      <c r="B210" s="30" t="s">
        <v>302</v>
      </c>
      <c r="C210" s="30" t="s">
        <v>23</v>
      </c>
      <c r="D210" s="30" t="s">
        <v>125</v>
      </c>
      <c r="E210" s="31">
        <v>45842</v>
      </c>
      <c r="F210" s="31">
        <v>45854</v>
      </c>
      <c r="G210" s="30" t="s">
        <v>25</v>
      </c>
      <c r="H210" s="30" t="s">
        <v>26</v>
      </c>
      <c r="I210" s="31">
        <v>34147</v>
      </c>
      <c r="J210" s="30" t="s">
        <v>79</v>
      </c>
      <c r="K210" s="30" t="s">
        <v>75</v>
      </c>
      <c r="L210" s="30" t="s">
        <v>83</v>
      </c>
      <c r="M210" s="30" t="s">
        <v>127</v>
      </c>
      <c r="N210" s="30">
        <v>19</v>
      </c>
      <c r="O210" s="30">
        <v>20</v>
      </c>
      <c r="P210" s="30">
        <v>5</v>
      </c>
      <c r="Q210" s="30">
        <v>361</v>
      </c>
      <c r="R210" s="30">
        <v>4</v>
      </c>
      <c r="S210" s="30" t="s">
        <v>31</v>
      </c>
      <c r="T210" s="30" t="s">
        <v>32</v>
      </c>
      <c r="U210" s="30" t="s">
        <v>43</v>
      </c>
      <c r="V210" s="30">
        <v>9364712105</v>
      </c>
      <c r="W210" s="30" t="s">
        <v>52</v>
      </c>
    </row>
    <row r="211" spans="2:23" ht="15" thickBot="1" x14ac:dyDescent="0.4">
      <c r="B211" s="27" t="s">
        <v>303</v>
      </c>
      <c r="C211" s="27" t="s">
        <v>134</v>
      </c>
      <c r="D211" s="27" t="s">
        <v>125</v>
      </c>
      <c r="E211" s="28">
        <v>45993</v>
      </c>
      <c r="F211" s="28">
        <v>45994</v>
      </c>
      <c r="G211" s="27" t="s">
        <v>135</v>
      </c>
      <c r="H211" s="27" t="s">
        <v>26</v>
      </c>
      <c r="I211" s="28">
        <v>38156</v>
      </c>
      <c r="J211" s="27" t="s">
        <v>91</v>
      </c>
      <c r="K211" s="27" t="s">
        <v>75</v>
      </c>
      <c r="L211" s="27" t="s">
        <v>83</v>
      </c>
      <c r="M211" s="27" t="s">
        <v>127</v>
      </c>
      <c r="N211" s="27">
        <v>11</v>
      </c>
      <c r="O211" s="27">
        <v>20</v>
      </c>
      <c r="P211" s="27">
        <v>0</v>
      </c>
      <c r="Q211" s="27">
        <v>220</v>
      </c>
      <c r="R211" s="27">
        <v>3</v>
      </c>
      <c r="S211" s="27" t="s">
        <v>41</v>
      </c>
      <c r="T211" s="27" t="s">
        <v>42</v>
      </c>
      <c r="U211" s="27" t="s">
        <v>136</v>
      </c>
      <c r="V211" s="27">
        <v>9950206376</v>
      </c>
      <c r="W211" s="21" t="s">
        <v>34</v>
      </c>
    </row>
    <row r="212" spans="2:23" ht="15" thickBot="1" x14ac:dyDescent="0.4">
      <c r="B212" s="30" t="s">
        <v>304</v>
      </c>
      <c r="C212" s="30" t="s">
        <v>104</v>
      </c>
      <c r="D212" s="30" t="s">
        <v>82</v>
      </c>
      <c r="E212" s="31">
        <v>46067</v>
      </c>
      <c r="F212" s="31">
        <v>46074</v>
      </c>
      <c r="G212" s="30" t="s">
        <v>166</v>
      </c>
      <c r="H212" s="30" t="s">
        <v>26</v>
      </c>
      <c r="I212" s="31">
        <v>34221</v>
      </c>
      <c r="J212" s="30" t="s">
        <v>37</v>
      </c>
      <c r="K212" s="30" t="s">
        <v>38</v>
      </c>
      <c r="L212" s="30" t="s">
        <v>83</v>
      </c>
      <c r="M212" s="30" t="s">
        <v>84</v>
      </c>
      <c r="N212" s="30">
        <v>12</v>
      </c>
      <c r="O212" s="30">
        <v>60</v>
      </c>
      <c r="P212" s="30">
        <v>0</v>
      </c>
      <c r="Q212" s="30">
        <v>720</v>
      </c>
      <c r="R212" s="30">
        <v>2</v>
      </c>
      <c r="S212" s="30" t="s">
        <v>41</v>
      </c>
      <c r="T212" s="30" t="s">
        <v>42</v>
      </c>
      <c r="U212" s="30" t="s">
        <v>108</v>
      </c>
      <c r="V212" s="30">
        <v>9235822094</v>
      </c>
      <c r="W212" s="22" t="s">
        <v>34</v>
      </c>
    </row>
    <row r="213" spans="2:23" ht="15" thickBot="1" x14ac:dyDescent="0.4">
      <c r="B213" s="27" t="s">
        <v>305</v>
      </c>
      <c r="C213" s="27" t="s">
        <v>124</v>
      </c>
      <c r="D213" s="27" t="s">
        <v>138</v>
      </c>
      <c r="E213" s="28">
        <v>45970</v>
      </c>
      <c r="F213" s="28">
        <v>45974</v>
      </c>
      <c r="G213" s="27" t="s">
        <v>73</v>
      </c>
      <c r="H213" s="27" t="s">
        <v>58</v>
      </c>
      <c r="I213" s="28">
        <v>37147</v>
      </c>
      <c r="J213" s="27" t="s">
        <v>147</v>
      </c>
      <c r="K213" s="27" t="s">
        <v>148</v>
      </c>
      <c r="L213" s="27" t="s">
        <v>83</v>
      </c>
      <c r="M213" s="27" t="s">
        <v>139</v>
      </c>
      <c r="N213" s="27">
        <v>14</v>
      </c>
      <c r="O213" s="27">
        <v>45</v>
      </c>
      <c r="P213" s="27">
        <v>15</v>
      </c>
      <c r="Q213" s="27">
        <v>535.5</v>
      </c>
      <c r="R213" s="27">
        <v>5</v>
      </c>
      <c r="S213" s="27" t="s">
        <v>65</v>
      </c>
      <c r="T213" s="27" t="s">
        <v>80</v>
      </c>
      <c r="U213" s="27" t="s">
        <v>128</v>
      </c>
      <c r="V213" s="27">
        <v>9311021344</v>
      </c>
      <c r="W213" s="27" t="s">
        <v>52</v>
      </c>
    </row>
    <row r="214" spans="2:23" ht="15" thickBot="1" x14ac:dyDescent="0.4">
      <c r="B214" s="30" t="s">
        <v>306</v>
      </c>
      <c r="C214" s="30" t="s">
        <v>23</v>
      </c>
      <c r="D214" s="30" t="s">
        <v>112</v>
      </c>
      <c r="E214" s="31">
        <v>45695</v>
      </c>
      <c r="F214" s="31">
        <v>45707</v>
      </c>
      <c r="G214" s="30" t="s">
        <v>25</v>
      </c>
      <c r="H214" s="30" t="s">
        <v>26</v>
      </c>
      <c r="I214" s="31">
        <v>29905</v>
      </c>
      <c r="J214" s="30" t="s">
        <v>27</v>
      </c>
      <c r="K214" s="30" t="s">
        <v>28</v>
      </c>
      <c r="L214" s="30" t="s">
        <v>39</v>
      </c>
      <c r="M214" s="30" t="s">
        <v>114</v>
      </c>
      <c r="N214" s="30">
        <v>15</v>
      </c>
      <c r="O214" s="30">
        <v>700</v>
      </c>
      <c r="P214" s="30">
        <v>10</v>
      </c>
      <c r="Q214" s="30">
        <v>9450</v>
      </c>
      <c r="R214" s="30">
        <v>3</v>
      </c>
      <c r="S214" s="30" t="s">
        <v>41</v>
      </c>
      <c r="T214" s="30" t="s">
        <v>42</v>
      </c>
      <c r="U214" s="30" t="s">
        <v>43</v>
      </c>
      <c r="V214" s="30">
        <v>9891358505</v>
      </c>
      <c r="W214" s="30" t="s">
        <v>52</v>
      </c>
    </row>
    <row r="215" spans="2:23" ht="15" thickBot="1" x14ac:dyDescent="0.4">
      <c r="B215" s="27" t="s">
        <v>307</v>
      </c>
      <c r="C215" s="27" t="s">
        <v>72</v>
      </c>
      <c r="D215" s="27" t="s">
        <v>105</v>
      </c>
      <c r="E215" s="28">
        <v>45803</v>
      </c>
      <c r="F215" s="28">
        <v>45807</v>
      </c>
      <c r="G215" s="27" t="s">
        <v>73</v>
      </c>
      <c r="H215" s="27" t="s">
        <v>26</v>
      </c>
      <c r="I215" s="28">
        <v>29476</v>
      </c>
      <c r="J215" s="27" t="s">
        <v>91</v>
      </c>
      <c r="K215" s="27" t="s">
        <v>75</v>
      </c>
      <c r="L215" s="27" t="s">
        <v>29</v>
      </c>
      <c r="M215" s="27" t="s">
        <v>107</v>
      </c>
      <c r="N215" s="27">
        <v>19</v>
      </c>
      <c r="O215" s="27">
        <v>8500</v>
      </c>
      <c r="P215" s="27">
        <v>15</v>
      </c>
      <c r="Q215" s="27">
        <v>137275</v>
      </c>
      <c r="R215" s="27">
        <v>2</v>
      </c>
      <c r="S215" s="27" t="s">
        <v>31</v>
      </c>
      <c r="T215" s="27" t="s">
        <v>32</v>
      </c>
      <c r="U215" s="27" t="s">
        <v>93</v>
      </c>
      <c r="V215" s="27">
        <v>9910085332</v>
      </c>
      <c r="W215" s="27" t="s">
        <v>53</v>
      </c>
    </row>
    <row r="216" spans="2:23" ht="15" thickBot="1" x14ac:dyDescent="0.4">
      <c r="B216" s="30" t="s">
        <v>308</v>
      </c>
      <c r="C216" s="30" t="s">
        <v>134</v>
      </c>
      <c r="D216" s="30" t="s">
        <v>82</v>
      </c>
      <c r="E216" s="31">
        <v>45934</v>
      </c>
      <c r="F216" s="31">
        <v>45936</v>
      </c>
      <c r="G216" s="30" t="s">
        <v>135</v>
      </c>
      <c r="H216" s="30" t="s">
        <v>26</v>
      </c>
      <c r="I216" s="31">
        <v>32240</v>
      </c>
      <c r="J216" s="30" t="s">
        <v>121</v>
      </c>
      <c r="K216" s="30" t="s">
        <v>38</v>
      </c>
      <c r="L216" s="30" t="s">
        <v>83</v>
      </c>
      <c r="M216" s="30" t="s">
        <v>84</v>
      </c>
      <c r="N216" s="30">
        <v>19</v>
      </c>
      <c r="O216" s="30">
        <v>60</v>
      </c>
      <c r="P216" s="30">
        <v>20</v>
      </c>
      <c r="Q216" s="30">
        <v>912</v>
      </c>
      <c r="R216" s="30">
        <v>4</v>
      </c>
      <c r="S216" s="30" t="s">
        <v>60</v>
      </c>
      <c r="T216" s="30" t="s">
        <v>42</v>
      </c>
      <c r="U216" s="30" t="s">
        <v>136</v>
      </c>
      <c r="V216" s="30">
        <v>9756908023</v>
      </c>
      <c r="W216" s="30" t="s">
        <v>52</v>
      </c>
    </row>
    <row r="217" spans="2:23" ht="15" thickBot="1" x14ac:dyDescent="0.4">
      <c r="B217" s="27" t="s">
        <v>309</v>
      </c>
      <c r="C217" s="27" t="s">
        <v>72</v>
      </c>
      <c r="D217" s="27" t="s">
        <v>138</v>
      </c>
      <c r="E217" s="28">
        <v>45792</v>
      </c>
      <c r="F217" s="28">
        <v>45803</v>
      </c>
      <c r="G217" s="27" t="s">
        <v>73</v>
      </c>
      <c r="H217" s="27" t="s">
        <v>26</v>
      </c>
      <c r="I217" s="28">
        <v>32192</v>
      </c>
      <c r="J217" s="27" t="s">
        <v>48</v>
      </c>
      <c r="K217" s="27" t="s">
        <v>28</v>
      </c>
      <c r="L217" s="27" t="s">
        <v>83</v>
      </c>
      <c r="M217" s="27" t="s">
        <v>139</v>
      </c>
      <c r="N217" s="27">
        <v>10</v>
      </c>
      <c r="O217" s="27">
        <v>45</v>
      </c>
      <c r="P217" s="27">
        <v>15</v>
      </c>
      <c r="Q217" s="27">
        <v>382.5</v>
      </c>
      <c r="R217" s="27">
        <v>4</v>
      </c>
      <c r="S217" s="27" t="s">
        <v>31</v>
      </c>
      <c r="T217" s="27" t="s">
        <v>96</v>
      </c>
      <c r="U217" s="27" t="s">
        <v>93</v>
      </c>
      <c r="V217" s="27">
        <v>9645913247</v>
      </c>
      <c r="W217" s="21" t="s">
        <v>34</v>
      </c>
    </row>
    <row r="218" spans="2:23" ht="15" thickBot="1" x14ac:dyDescent="0.4">
      <c r="B218" s="30" t="s">
        <v>310</v>
      </c>
      <c r="C218" s="30" t="s">
        <v>55</v>
      </c>
      <c r="D218" s="30" t="s">
        <v>24</v>
      </c>
      <c r="E218" s="31">
        <v>45822</v>
      </c>
      <c r="F218" s="31">
        <v>45831</v>
      </c>
      <c r="G218" s="30" t="s">
        <v>57</v>
      </c>
      <c r="H218" s="30" t="s">
        <v>58</v>
      </c>
      <c r="I218" s="31">
        <v>29923</v>
      </c>
      <c r="J218" s="30" t="s">
        <v>37</v>
      </c>
      <c r="K218" s="30" t="s">
        <v>38</v>
      </c>
      <c r="L218" s="30" t="s">
        <v>29</v>
      </c>
      <c r="M218" s="30" t="s">
        <v>30</v>
      </c>
      <c r="N218" s="30">
        <v>7</v>
      </c>
      <c r="O218" s="30">
        <v>2200</v>
      </c>
      <c r="P218" s="30">
        <v>20</v>
      </c>
      <c r="Q218" s="30">
        <v>12320</v>
      </c>
      <c r="R218" s="30">
        <v>5</v>
      </c>
      <c r="S218" s="30" t="s">
        <v>65</v>
      </c>
      <c r="T218" s="30" t="s">
        <v>42</v>
      </c>
      <c r="U218" s="30" t="s">
        <v>61</v>
      </c>
      <c r="V218" s="30">
        <v>9806914795</v>
      </c>
      <c r="W218" s="30" t="s">
        <v>52</v>
      </c>
    </row>
    <row r="219" spans="2:23" ht="15" thickBot="1" x14ac:dyDescent="0.4">
      <c r="B219" s="27" t="s">
        <v>311</v>
      </c>
      <c r="C219" s="27" t="s">
        <v>72</v>
      </c>
      <c r="D219" s="27" t="s">
        <v>105</v>
      </c>
      <c r="E219" s="28">
        <v>45769</v>
      </c>
      <c r="F219" s="28">
        <v>45781</v>
      </c>
      <c r="G219" s="27" t="s">
        <v>73</v>
      </c>
      <c r="H219" s="27" t="s">
        <v>26</v>
      </c>
      <c r="I219" s="28">
        <v>30723</v>
      </c>
      <c r="J219" s="27" t="s">
        <v>147</v>
      </c>
      <c r="K219" s="27" t="s">
        <v>148</v>
      </c>
      <c r="L219" s="27" t="s">
        <v>29</v>
      </c>
      <c r="M219" s="27" t="s">
        <v>107</v>
      </c>
      <c r="N219" s="27">
        <v>20</v>
      </c>
      <c r="O219" s="27">
        <v>8500</v>
      </c>
      <c r="P219" s="27">
        <v>20</v>
      </c>
      <c r="Q219" s="27">
        <v>136000</v>
      </c>
      <c r="R219" s="27">
        <v>4</v>
      </c>
      <c r="S219" s="27" t="s">
        <v>41</v>
      </c>
      <c r="T219" s="27" t="s">
        <v>32</v>
      </c>
      <c r="U219" s="27" t="s">
        <v>93</v>
      </c>
      <c r="V219" s="27">
        <v>9276222829</v>
      </c>
      <c r="W219" s="21" t="s">
        <v>34</v>
      </c>
    </row>
    <row r="220" spans="2:23" ht="15" thickBot="1" x14ac:dyDescent="0.4">
      <c r="B220" s="30" t="s">
        <v>312</v>
      </c>
      <c r="C220" s="30" t="s">
        <v>134</v>
      </c>
      <c r="D220" s="30" t="s">
        <v>24</v>
      </c>
      <c r="E220" s="31">
        <v>45679</v>
      </c>
      <c r="F220" s="31">
        <v>45681</v>
      </c>
      <c r="G220" s="30" t="s">
        <v>135</v>
      </c>
      <c r="H220" s="30" t="s">
        <v>26</v>
      </c>
      <c r="I220" s="31">
        <v>33579</v>
      </c>
      <c r="J220" s="30" t="s">
        <v>27</v>
      </c>
      <c r="K220" s="30" t="s">
        <v>28</v>
      </c>
      <c r="L220" s="30" t="s">
        <v>29</v>
      </c>
      <c r="M220" s="30" t="s">
        <v>30</v>
      </c>
      <c r="N220" s="30">
        <v>10</v>
      </c>
      <c r="O220" s="30">
        <v>2200</v>
      </c>
      <c r="P220" s="30">
        <v>5</v>
      </c>
      <c r="Q220" s="30">
        <v>20900</v>
      </c>
      <c r="R220" s="30">
        <v>2</v>
      </c>
      <c r="S220" s="30" t="s">
        <v>41</v>
      </c>
      <c r="T220" s="30" t="s">
        <v>42</v>
      </c>
      <c r="U220" s="30" t="s">
        <v>136</v>
      </c>
      <c r="V220" s="30">
        <v>9533835528</v>
      </c>
      <c r="W220" s="22" t="s">
        <v>34</v>
      </c>
    </row>
    <row r="221" spans="2:23" ht="15" thickBot="1" x14ac:dyDescent="0.4">
      <c r="B221" s="27" t="s">
        <v>313</v>
      </c>
      <c r="C221" s="27" t="s">
        <v>87</v>
      </c>
      <c r="D221" s="27" t="s">
        <v>82</v>
      </c>
      <c r="E221" s="28">
        <v>46007</v>
      </c>
      <c r="F221" s="28">
        <v>46017</v>
      </c>
      <c r="G221" s="27" t="s">
        <v>88</v>
      </c>
      <c r="H221" s="27" t="s">
        <v>58</v>
      </c>
      <c r="I221" s="28">
        <v>27811</v>
      </c>
      <c r="J221" s="27" t="s">
        <v>79</v>
      </c>
      <c r="K221" s="27" t="s">
        <v>75</v>
      </c>
      <c r="L221" s="27" t="s">
        <v>83</v>
      </c>
      <c r="M221" s="27" t="s">
        <v>84</v>
      </c>
      <c r="N221" s="27">
        <v>15</v>
      </c>
      <c r="O221" s="27">
        <v>60</v>
      </c>
      <c r="P221" s="27">
        <v>20</v>
      </c>
      <c r="Q221" s="27">
        <v>720</v>
      </c>
      <c r="R221" s="27">
        <v>1</v>
      </c>
      <c r="S221" s="27" t="s">
        <v>60</v>
      </c>
      <c r="T221" s="27" t="s">
        <v>32</v>
      </c>
      <c r="U221" s="27" t="s">
        <v>89</v>
      </c>
      <c r="V221" s="27">
        <v>9654885820</v>
      </c>
      <c r="W221" s="21" t="s">
        <v>34</v>
      </c>
    </row>
    <row r="222" spans="2:23" ht="15" thickBot="1" x14ac:dyDescent="0.4">
      <c r="B222" s="30" t="s">
        <v>314</v>
      </c>
      <c r="C222" s="30" t="s">
        <v>124</v>
      </c>
      <c r="D222" s="30" t="s">
        <v>68</v>
      </c>
      <c r="E222" s="31">
        <v>45832</v>
      </c>
      <c r="F222" s="31">
        <v>45836</v>
      </c>
      <c r="G222" s="30" t="s">
        <v>126</v>
      </c>
      <c r="H222" s="30" t="s">
        <v>58</v>
      </c>
      <c r="I222" s="31">
        <v>27634</v>
      </c>
      <c r="J222" s="30" t="s">
        <v>27</v>
      </c>
      <c r="K222" s="30" t="s">
        <v>28</v>
      </c>
      <c r="L222" s="30" t="s">
        <v>29</v>
      </c>
      <c r="M222" s="30" t="s">
        <v>70</v>
      </c>
      <c r="N222" s="30">
        <v>18</v>
      </c>
      <c r="O222" s="30">
        <v>3500</v>
      </c>
      <c r="P222" s="30">
        <v>5</v>
      </c>
      <c r="Q222" s="30">
        <v>59850</v>
      </c>
      <c r="R222" s="30">
        <v>1</v>
      </c>
      <c r="S222" s="30" t="s">
        <v>60</v>
      </c>
      <c r="T222" s="30" t="s">
        <v>42</v>
      </c>
      <c r="U222" s="30" t="s">
        <v>128</v>
      </c>
      <c r="V222" s="30">
        <v>9456029544</v>
      </c>
      <c r="W222" s="30" t="s">
        <v>53</v>
      </c>
    </row>
    <row r="223" spans="2:23" ht="15" thickBot="1" x14ac:dyDescent="0.4">
      <c r="B223" s="27" t="s">
        <v>315</v>
      </c>
      <c r="C223" s="27" t="s">
        <v>156</v>
      </c>
      <c r="D223" s="27" t="s">
        <v>36</v>
      </c>
      <c r="E223" s="28">
        <v>46154</v>
      </c>
      <c r="F223" s="28">
        <v>46164</v>
      </c>
      <c r="G223" s="27" t="s">
        <v>106</v>
      </c>
      <c r="H223" s="27" t="s">
        <v>58</v>
      </c>
      <c r="I223" s="28">
        <v>32116</v>
      </c>
      <c r="J223" s="27" t="s">
        <v>79</v>
      </c>
      <c r="K223" s="27" t="s">
        <v>75</v>
      </c>
      <c r="L223" s="27" t="s">
        <v>39</v>
      </c>
      <c r="M223" s="27" t="s">
        <v>40</v>
      </c>
      <c r="N223" s="27">
        <v>6</v>
      </c>
      <c r="O223" s="27">
        <v>12000</v>
      </c>
      <c r="P223" s="27">
        <v>5</v>
      </c>
      <c r="Q223" s="27">
        <v>68400</v>
      </c>
      <c r="R223" s="27">
        <v>1</v>
      </c>
      <c r="S223" s="27" t="s">
        <v>41</v>
      </c>
      <c r="T223" s="27" t="s">
        <v>42</v>
      </c>
      <c r="U223" s="27" t="s">
        <v>158</v>
      </c>
      <c r="V223" s="27">
        <v>9914571493</v>
      </c>
      <c r="W223" s="27" t="s">
        <v>53</v>
      </c>
    </row>
    <row r="224" spans="2:23" ht="15" thickBot="1" x14ac:dyDescent="0.4">
      <c r="B224" s="30" t="s">
        <v>316</v>
      </c>
      <c r="C224" s="30" t="s">
        <v>156</v>
      </c>
      <c r="D224" s="30" t="s">
        <v>125</v>
      </c>
      <c r="E224" s="31">
        <v>46067</v>
      </c>
      <c r="F224" s="31">
        <v>46069</v>
      </c>
      <c r="G224" s="30" t="s">
        <v>106</v>
      </c>
      <c r="H224" s="30" t="s">
        <v>58</v>
      </c>
      <c r="I224" s="31">
        <v>38225</v>
      </c>
      <c r="J224" s="30" t="s">
        <v>48</v>
      </c>
      <c r="K224" s="30" t="s">
        <v>28</v>
      </c>
      <c r="L224" s="30" t="s">
        <v>83</v>
      </c>
      <c r="M224" s="30" t="s">
        <v>127</v>
      </c>
      <c r="N224" s="30">
        <v>19</v>
      </c>
      <c r="O224" s="30">
        <v>20</v>
      </c>
      <c r="P224" s="30">
        <v>10</v>
      </c>
      <c r="Q224" s="30">
        <v>342</v>
      </c>
      <c r="R224" s="30">
        <v>2</v>
      </c>
      <c r="S224" s="30" t="s">
        <v>41</v>
      </c>
      <c r="T224" s="30" t="s">
        <v>32</v>
      </c>
      <c r="U224" s="30" t="s">
        <v>158</v>
      </c>
      <c r="V224" s="30">
        <v>9270726986</v>
      </c>
      <c r="W224" s="30" t="s">
        <v>52</v>
      </c>
    </row>
    <row r="225" spans="2:23" ht="15" thickBot="1" x14ac:dyDescent="0.4">
      <c r="B225" s="27" t="s">
        <v>317</v>
      </c>
      <c r="C225" s="27" t="s">
        <v>124</v>
      </c>
      <c r="D225" s="27" t="s">
        <v>24</v>
      </c>
      <c r="E225" s="28">
        <v>46155</v>
      </c>
      <c r="F225" s="28">
        <v>46162</v>
      </c>
      <c r="G225" s="27" t="s">
        <v>126</v>
      </c>
      <c r="H225" s="27" t="s">
        <v>58</v>
      </c>
      <c r="I225" s="28">
        <v>34350</v>
      </c>
      <c r="J225" s="27" t="s">
        <v>79</v>
      </c>
      <c r="K225" s="27" t="s">
        <v>75</v>
      </c>
      <c r="L225" s="27" t="s">
        <v>29</v>
      </c>
      <c r="M225" s="27" t="s">
        <v>30</v>
      </c>
      <c r="N225" s="27">
        <v>7</v>
      </c>
      <c r="O225" s="27">
        <v>2200</v>
      </c>
      <c r="P225" s="27">
        <v>0</v>
      </c>
      <c r="Q225" s="27">
        <v>15400</v>
      </c>
      <c r="R225" s="27">
        <v>1</v>
      </c>
      <c r="S225" s="27" t="s">
        <v>60</v>
      </c>
      <c r="T225" s="27" t="s">
        <v>80</v>
      </c>
      <c r="U225" s="27" t="s">
        <v>128</v>
      </c>
      <c r="V225" s="27">
        <v>9570080664</v>
      </c>
      <c r="W225" s="27" t="s">
        <v>53</v>
      </c>
    </row>
    <row r="226" spans="2:23" ht="15" thickBot="1" x14ac:dyDescent="0.4">
      <c r="B226" s="30" t="s">
        <v>318</v>
      </c>
      <c r="C226" s="30" t="s">
        <v>156</v>
      </c>
      <c r="D226" s="30" t="s">
        <v>36</v>
      </c>
      <c r="E226" s="31">
        <v>45977</v>
      </c>
      <c r="F226" s="31">
        <v>45981</v>
      </c>
      <c r="G226" s="30" t="s">
        <v>106</v>
      </c>
      <c r="H226" s="30" t="s">
        <v>58</v>
      </c>
      <c r="I226" s="31">
        <v>37922</v>
      </c>
      <c r="J226" s="30" t="s">
        <v>121</v>
      </c>
      <c r="K226" s="30" t="s">
        <v>38</v>
      </c>
      <c r="L226" s="30" t="s">
        <v>39</v>
      </c>
      <c r="M226" s="30" t="s">
        <v>40</v>
      </c>
      <c r="N226" s="30">
        <v>3</v>
      </c>
      <c r="O226" s="30">
        <v>12000</v>
      </c>
      <c r="P226" s="30">
        <v>5</v>
      </c>
      <c r="Q226" s="30">
        <v>34200</v>
      </c>
      <c r="R226" s="30">
        <v>3</v>
      </c>
      <c r="S226" s="30" t="s">
        <v>60</v>
      </c>
      <c r="T226" s="30" t="s">
        <v>50</v>
      </c>
      <c r="U226" s="30" t="s">
        <v>158</v>
      </c>
      <c r="V226" s="30">
        <v>9109009524</v>
      </c>
      <c r="W226" s="30" t="s">
        <v>53</v>
      </c>
    </row>
    <row r="227" spans="2:23" ht="15" thickBot="1" x14ac:dyDescent="0.4">
      <c r="B227" s="27" t="s">
        <v>319</v>
      </c>
      <c r="C227" s="27" t="s">
        <v>104</v>
      </c>
      <c r="D227" s="27" t="s">
        <v>24</v>
      </c>
      <c r="E227" s="28">
        <v>45953</v>
      </c>
      <c r="F227" s="28">
        <v>45965</v>
      </c>
      <c r="G227" s="27" t="s">
        <v>166</v>
      </c>
      <c r="H227" s="27" t="s">
        <v>26</v>
      </c>
      <c r="I227" s="28">
        <v>36662</v>
      </c>
      <c r="J227" s="27" t="s">
        <v>121</v>
      </c>
      <c r="K227" s="27" t="s">
        <v>38</v>
      </c>
      <c r="L227" s="27" t="s">
        <v>29</v>
      </c>
      <c r="M227" s="27" t="s">
        <v>30</v>
      </c>
      <c r="N227" s="27">
        <v>16</v>
      </c>
      <c r="O227" s="27">
        <v>2200</v>
      </c>
      <c r="P227" s="27">
        <v>0</v>
      </c>
      <c r="Q227" s="27">
        <v>35200</v>
      </c>
      <c r="R227" s="27">
        <v>5</v>
      </c>
      <c r="S227" s="27" t="s">
        <v>60</v>
      </c>
      <c r="T227" s="27" t="s">
        <v>32</v>
      </c>
      <c r="U227" s="27" t="s">
        <v>108</v>
      </c>
      <c r="V227" s="27">
        <v>9701276770</v>
      </c>
      <c r="W227" s="27" t="s">
        <v>52</v>
      </c>
    </row>
    <row r="228" spans="2:23" ht="15" thickBot="1" x14ac:dyDescent="0.4">
      <c r="B228" s="30" t="s">
        <v>320</v>
      </c>
      <c r="C228" s="30" t="s">
        <v>134</v>
      </c>
      <c r="D228" s="30" t="s">
        <v>24</v>
      </c>
      <c r="E228" s="31">
        <v>45704</v>
      </c>
      <c r="F228" s="31">
        <v>45706</v>
      </c>
      <c r="G228" s="30" t="s">
        <v>135</v>
      </c>
      <c r="H228" s="30" t="s">
        <v>26</v>
      </c>
      <c r="I228" s="31">
        <v>32693</v>
      </c>
      <c r="J228" s="30" t="s">
        <v>37</v>
      </c>
      <c r="K228" s="30" t="s">
        <v>38</v>
      </c>
      <c r="L228" s="30" t="s">
        <v>29</v>
      </c>
      <c r="M228" s="30" t="s">
        <v>30</v>
      </c>
      <c r="N228" s="30">
        <v>8</v>
      </c>
      <c r="O228" s="30">
        <v>2200</v>
      </c>
      <c r="P228" s="30">
        <v>5</v>
      </c>
      <c r="Q228" s="30">
        <v>16720</v>
      </c>
      <c r="R228" s="30">
        <v>2</v>
      </c>
      <c r="S228" s="30" t="s">
        <v>65</v>
      </c>
      <c r="T228" s="30" t="s">
        <v>96</v>
      </c>
      <c r="U228" s="30" t="s">
        <v>136</v>
      </c>
      <c r="V228" s="30">
        <v>9298278507</v>
      </c>
      <c r="W228" s="22" t="s">
        <v>34</v>
      </c>
    </row>
    <row r="229" spans="2:23" ht="15" thickBot="1" x14ac:dyDescent="0.4">
      <c r="B229" s="27" t="s">
        <v>321</v>
      </c>
      <c r="C229" s="27" t="s">
        <v>134</v>
      </c>
      <c r="D229" s="27" t="s">
        <v>24</v>
      </c>
      <c r="E229" s="28">
        <v>46002</v>
      </c>
      <c r="F229" s="28">
        <v>46005</v>
      </c>
      <c r="G229" s="27" t="s">
        <v>135</v>
      </c>
      <c r="H229" s="27" t="s">
        <v>26</v>
      </c>
      <c r="I229" s="28">
        <v>35863</v>
      </c>
      <c r="J229" s="27" t="s">
        <v>91</v>
      </c>
      <c r="K229" s="27" t="s">
        <v>75</v>
      </c>
      <c r="L229" s="27" t="s">
        <v>29</v>
      </c>
      <c r="M229" s="27" t="s">
        <v>30</v>
      </c>
      <c r="N229" s="27">
        <v>10</v>
      </c>
      <c r="O229" s="27">
        <v>2200</v>
      </c>
      <c r="P229" s="27">
        <v>10</v>
      </c>
      <c r="Q229" s="27">
        <v>19800</v>
      </c>
      <c r="R229" s="27">
        <v>5</v>
      </c>
      <c r="S229" s="27" t="s">
        <v>41</v>
      </c>
      <c r="T229" s="27" t="s">
        <v>80</v>
      </c>
      <c r="U229" s="27" t="s">
        <v>136</v>
      </c>
      <c r="V229" s="27">
        <v>9895908093</v>
      </c>
      <c r="W229" s="27" t="s">
        <v>52</v>
      </c>
    </row>
    <row r="230" spans="2:23" ht="15" thickBot="1" x14ac:dyDescent="0.4">
      <c r="B230" s="30" t="s">
        <v>322</v>
      </c>
      <c r="C230" s="30" t="s">
        <v>63</v>
      </c>
      <c r="D230" s="30" t="s">
        <v>125</v>
      </c>
      <c r="E230" s="31">
        <v>45775</v>
      </c>
      <c r="F230" s="31">
        <v>45786</v>
      </c>
      <c r="G230" s="30" t="s">
        <v>110</v>
      </c>
      <c r="H230" s="30" t="s">
        <v>58</v>
      </c>
      <c r="I230" s="31">
        <v>32284</v>
      </c>
      <c r="J230" s="30" t="s">
        <v>37</v>
      </c>
      <c r="K230" s="30" t="s">
        <v>38</v>
      </c>
      <c r="L230" s="30" t="s">
        <v>83</v>
      </c>
      <c r="M230" s="30" t="s">
        <v>127</v>
      </c>
      <c r="N230" s="30">
        <v>7</v>
      </c>
      <c r="O230" s="30">
        <v>20</v>
      </c>
      <c r="P230" s="30">
        <v>10</v>
      </c>
      <c r="Q230" s="30">
        <v>126</v>
      </c>
      <c r="R230" s="30">
        <v>4</v>
      </c>
      <c r="S230" s="30" t="s">
        <v>60</v>
      </c>
      <c r="T230" s="30" t="s">
        <v>50</v>
      </c>
      <c r="U230" s="30" t="s">
        <v>66</v>
      </c>
      <c r="V230" s="30">
        <v>9734108795</v>
      </c>
      <c r="W230" s="22" t="s">
        <v>34</v>
      </c>
    </row>
    <row r="231" spans="2:23" ht="15" thickBot="1" x14ac:dyDescent="0.4">
      <c r="B231" s="27" t="s">
        <v>323</v>
      </c>
      <c r="C231" s="27" t="s">
        <v>124</v>
      </c>
      <c r="D231" s="27" t="s">
        <v>105</v>
      </c>
      <c r="E231" s="28">
        <v>46033</v>
      </c>
      <c r="F231" s="28">
        <v>46036</v>
      </c>
      <c r="G231" s="27" t="s">
        <v>126</v>
      </c>
      <c r="H231" s="27" t="s">
        <v>58</v>
      </c>
      <c r="I231" s="28">
        <v>34533</v>
      </c>
      <c r="J231" s="27" t="s">
        <v>27</v>
      </c>
      <c r="K231" s="27" t="s">
        <v>28</v>
      </c>
      <c r="L231" s="27" t="s">
        <v>29</v>
      </c>
      <c r="M231" s="27" t="s">
        <v>107</v>
      </c>
      <c r="N231" s="27">
        <v>19</v>
      </c>
      <c r="O231" s="27">
        <v>8500</v>
      </c>
      <c r="P231" s="27">
        <v>20</v>
      </c>
      <c r="Q231" s="27">
        <v>129200</v>
      </c>
      <c r="R231" s="27">
        <v>3</v>
      </c>
      <c r="S231" s="27" t="s">
        <v>41</v>
      </c>
      <c r="T231" s="27" t="s">
        <v>50</v>
      </c>
      <c r="U231" s="27" t="s">
        <v>128</v>
      </c>
      <c r="V231" s="27">
        <v>9799597413</v>
      </c>
      <c r="W231" s="27" t="s">
        <v>52</v>
      </c>
    </row>
    <row r="232" spans="2:23" ht="15" thickBot="1" x14ac:dyDescent="0.4">
      <c r="B232" s="30" t="s">
        <v>325</v>
      </c>
      <c r="C232" s="30" t="s">
        <v>72</v>
      </c>
      <c r="D232" s="30" t="s">
        <v>82</v>
      </c>
      <c r="E232" s="31">
        <v>45717</v>
      </c>
      <c r="F232" s="31">
        <v>45722</v>
      </c>
      <c r="G232" s="30" t="s">
        <v>73</v>
      </c>
      <c r="H232" s="30" t="s">
        <v>26</v>
      </c>
      <c r="I232" s="31">
        <v>28444</v>
      </c>
      <c r="J232" s="30" t="s">
        <v>79</v>
      </c>
      <c r="K232" s="30" t="s">
        <v>75</v>
      </c>
      <c r="L232" s="30" t="s">
        <v>83</v>
      </c>
      <c r="M232" s="30" t="s">
        <v>84</v>
      </c>
      <c r="N232" s="30">
        <v>16</v>
      </c>
      <c r="O232" s="30">
        <v>60</v>
      </c>
      <c r="P232" s="30">
        <v>0</v>
      </c>
      <c r="Q232" s="30">
        <v>960</v>
      </c>
      <c r="R232" s="30">
        <v>2</v>
      </c>
      <c r="S232" s="30" t="s">
        <v>41</v>
      </c>
      <c r="T232" s="30" t="s">
        <v>80</v>
      </c>
      <c r="U232" s="30" t="s">
        <v>93</v>
      </c>
      <c r="V232" s="30">
        <v>9688987266</v>
      </c>
      <c r="W232" s="22" t="s">
        <v>34</v>
      </c>
    </row>
    <row r="233" spans="2:23" ht="15" thickBot="1" x14ac:dyDescent="0.4">
      <c r="B233" s="27" t="s">
        <v>326</v>
      </c>
      <c r="C233" s="27" t="s">
        <v>124</v>
      </c>
      <c r="D233" s="27" t="s">
        <v>68</v>
      </c>
      <c r="E233" s="28">
        <v>46127</v>
      </c>
      <c r="F233" s="28">
        <v>46139</v>
      </c>
      <c r="G233" s="27" t="s">
        <v>126</v>
      </c>
      <c r="H233" s="27" t="s">
        <v>58</v>
      </c>
      <c r="I233" s="28">
        <v>30216</v>
      </c>
      <c r="J233" s="27" t="s">
        <v>48</v>
      </c>
      <c r="K233" s="27" t="s">
        <v>28</v>
      </c>
      <c r="L233" s="27" t="s">
        <v>324</v>
      </c>
      <c r="M233" s="27" t="s">
        <v>70</v>
      </c>
      <c r="N233" s="27">
        <v>18</v>
      </c>
      <c r="O233" s="27">
        <v>3500</v>
      </c>
      <c r="P233" s="27">
        <v>5</v>
      </c>
      <c r="Q233" s="27">
        <v>59850</v>
      </c>
      <c r="R233" s="27">
        <v>1</v>
      </c>
      <c r="S233" s="27" t="s">
        <v>65</v>
      </c>
      <c r="T233" s="27" t="s">
        <v>80</v>
      </c>
      <c r="U233" s="27" t="s">
        <v>128</v>
      </c>
      <c r="V233" s="27">
        <v>9867169037</v>
      </c>
      <c r="W233" s="27" t="s">
        <v>52</v>
      </c>
    </row>
    <row r="234" spans="2:23" ht="15" thickBot="1" x14ac:dyDescent="0.4">
      <c r="B234" s="30" t="s">
        <v>327</v>
      </c>
      <c r="C234" s="30" t="s">
        <v>72</v>
      </c>
      <c r="D234" s="30" t="s">
        <v>46</v>
      </c>
      <c r="E234" s="31">
        <v>45708</v>
      </c>
      <c r="F234" s="31">
        <v>45717</v>
      </c>
      <c r="G234" s="30" t="s">
        <v>73</v>
      </c>
      <c r="H234" s="30" t="s">
        <v>26</v>
      </c>
      <c r="I234" s="31">
        <v>34591</v>
      </c>
      <c r="J234" s="30" t="s">
        <v>121</v>
      </c>
      <c r="K234" s="30" t="s">
        <v>38</v>
      </c>
      <c r="L234" s="30" t="s">
        <v>39</v>
      </c>
      <c r="M234" s="30" t="s">
        <v>49</v>
      </c>
      <c r="N234" s="30">
        <v>16</v>
      </c>
      <c r="O234" s="30">
        <v>55000</v>
      </c>
      <c r="P234" s="30">
        <v>0</v>
      </c>
      <c r="Q234" s="30">
        <v>880000</v>
      </c>
      <c r="R234" s="30">
        <v>1</v>
      </c>
      <c r="S234" s="30" t="s">
        <v>60</v>
      </c>
      <c r="T234" s="30" t="s">
        <v>50</v>
      </c>
      <c r="U234" s="30" t="s">
        <v>93</v>
      </c>
      <c r="V234" s="30">
        <v>9485547425</v>
      </c>
      <c r="W234" s="30" t="s">
        <v>53</v>
      </c>
    </row>
    <row r="235" spans="2:23" ht="15" thickBot="1" x14ac:dyDescent="0.4">
      <c r="B235" s="27" t="s">
        <v>328</v>
      </c>
      <c r="C235" s="27" t="s">
        <v>124</v>
      </c>
      <c r="D235" s="27" t="s">
        <v>56</v>
      </c>
      <c r="E235" s="28">
        <v>45694</v>
      </c>
      <c r="F235" s="28">
        <v>45697</v>
      </c>
      <c r="G235" s="27" t="s">
        <v>126</v>
      </c>
      <c r="H235" s="27" t="s">
        <v>58</v>
      </c>
      <c r="I235" s="28">
        <v>35035</v>
      </c>
      <c r="J235" s="27" t="s">
        <v>91</v>
      </c>
      <c r="K235" s="27" t="s">
        <v>75</v>
      </c>
      <c r="L235" s="27" t="s">
        <v>39</v>
      </c>
      <c r="M235" s="27" t="s">
        <v>59</v>
      </c>
      <c r="N235" s="27">
        <v>18</v>
      </c>
      <c r="O235" s="27">
        <v>1200</v>
      </c>
      <c r="P235" s="27">
        <v>15</v>
      </c>
      <c r="Q235" s="27">
        <v>18360</v>
      </c>
      <c r="R235" s="27">
        <v>2</v>
      </c>
      <c r="S235" s="27" t="s">
        <v>41</v>
      </c>
      <c r="T235" s="27" t="s">
        <v>32</v>
      </c>
      <c r="U235" s="27" t="s">
        <v>128</v>
      </c>
      <c r="V235" s="27">
        <v>9889733076</v>
      </c>
      <c r="W235" s="27" t="s">
        <v>53</v>
      </c>
    </row>
    <row r="236" spans="2:23" ht="15" thickBot="1" x14ac:dyDescent="0.4">
      <c r="B236" s="30" t="s">
        <v>329</v>
      </c>
      <c r="C236" s="30" t="s">
        <v>55</v>
      </c>
      <c r="D236" s="30" t="s">
        <v>138</v>
      </c>
      <c r="E236" s="31">
        <v>45801</v>
      </c>
      <c r="F236" s="31">
        <v>45804</v>
      </c>
      <c r="G236" s="30" t="s">
        <v>57</v>
      </c>
      <c r="H236" s="30" t="s">
        <v>58</v>
      </c>
      <c r="I236" s="31">
        <v>31238</v>
      </c>
      <c r="J236" s="30" t="s">
        <v>27</v>
      </c>
      <c r="K236" s="30" t="s">
        <v>28</v>
      </c>
      <c r="L236" s="30" t="s">
        <v>83</v>
      </c>
      <c r="M236" s="30" t="s">
        <v>139</v>
      </c>
      <c r="N236" s="30">
        <v>2</v>
      </c>
      <c r="O236" s="30">
        <v>45</v>
      </c>
      <c r="P236" s="30">
        <v>15</v>
      </c>
      <c r="Q236" s="30">
        <v>76.5</v>
      </c>
      <c r="R236" s="30">
        <v>5</v>
      </c>
      <c r="S236" s="30" t="s">
        <v>31</v>
      </c>
      <c r="T236" s="30" t="s">
        <v>50</v>
      </c>
      <c r="U236" s="30" t="s">
        <v>61</v>
      </c>
      <c r="V236" s="30">
        <v>9145434449</v>
      </c>
      <c r="W236" s="30" t="s">
        <v>53</v>
      </c>
    </row>
    <row r="237" spans="2:23" ht="15" thickBot="1" x14ac:dyDescent="0.4">
      <c r="B237" s="27" t="s">
        <v>330</v>
      </c>
      <c r="C237" s="27" t="s">
        <v>45</v>
      </c>
      <c r="D237" s="27" t="s">
        <v>105</v>
      </c>
      <c r="E237" s="28">
        <v>46028</v>
      </c>
      <c r="F237" s="28">
        <v>46034</v>
      </c>
      <c r="G237" s="27" t="s">
        <v>101</v>
      </c>
      <c r="H237" s="27" t="s">
        <v>26</v>
      </c>
      <c r="I237" s="28">
        <v>36975</v>
      </c>
      <c r="J237" s="27" t="s">
        <v>48</v>
      </c>
      <c r="K237" s="27" t="s">
        <v>28</v>
      </c>
      <c r="L237" s="27" t="s">
        <v>29</v>
      </c>
      <c r="M237" s="27" t="s">
        <v>107</v>
      </c>
      <c r="N237" s="27">
        <v>20</v>
      </c>
      <c r="O237" s="27">
        <v>8500</v>
      </c>
      <c r="P237" s="27">
        <v>0</v>
      </c>
      <c r="Q237" s="27">
        <v>170000</v>
      </c>
      <c r="R237" s="27">
        <v>4</v>
      </c>
      <c r="S237" s="27" t="s">
        <v>41</v>
      </c>
      <c r="T237" s="27" t="s">
        <v>50</v>
      </c>
      <c r="U237" s="27" t="s">
        <v>51</v>
      </c>
      <c r="V237" s="27">
        <v>9598942148</v>
      </c>
      <c r="W237" s="27" t="s">
        <v>53</v>
      </c>
    </row>
    <row r="238" spans="2:23" ht="15" thickBot="1" x14ac:dyDescent="0.4">
      <c r="B238" s="30" t="s">
        <v>331</v>
      </c>
      <c r="C238" s="30" t="s">
        <v>87</v>
      </c>
      <c r="D238" s="30" t="s">
        <v>68</v>
      </c>
      <c r="E238" s="31">
        <v>46089</v>
      </c>
      <c r="F238" s="31">
        <v>46090</v>
      </c>
      <c r="G238" s="30" t="s">
        <v>88</v>
      </c>
      <c r="H238" s="30" t="s">
        <v>58</v>
      </c>
      <c r="I238" s="31">
        <v>29703</v>
      </c>
      <c r="J238" s="30" t="s">
        <v>121</v>
      </c>
      <c r="K238" s="30" t="s">
        <v>38</v>
      </c>
      <c r="L238" s="30" t="s">
        <v>29</v>
      </c>
      <c r="M238" s="30" t="s">
        <v>70</v>
      </c>
      <c r="N238" s="30">
        <v>6</v>
      </c>
      <c r="O238" s="30">
        <v>3500</v>
      </c>
      <c r="P238" s="30">
        <v>5</v>
      </c>
      <c r="Q238" s="30">
        <v>19950</v>
      </c>
      <c r="R238" s="30">
        <v>1</v>
      </c>
      <c r="S238" s="30" t="s">
        <v>31</v>
      </c>
      <c r="T238" s="30" t="s">
        <v>96</v>
      </c>
      <c r="U238" s="30" t="s">
        <v>89</v>
      </c>
      <c r="V238" s="30">
        <v>9599252705</v>
      </c>
      <c r="W238" s="22" t="s">
        <v>34</v>
      </c>
    </row>
    <row r="239" spans="2:23" ht="15" thickBot="1" x14ac:dyDescent="0.4">
      <c r="B239" s="27" t="s">
        <v>332</v>
      </c>
      <c r="C239" s="27" t="s">
        <v>104</v>
      </c>
      <c r="D239" s="27" t="s">
        <v>138</v>
      </c>
      <c r="E239" s="28">
        <v>45935</v>
      </c>
      <c r="F239" s="28">
        <v>45939</v>
      </c>
      <c r="G239" s="27" t="s">
        <v>166</v>
      </c>
      <c r="H239" s="27" t="s">
        <v>26</v>
      </c>
      <c r="I239" s="28">
        <v>37635</v>
      </c>
      <c r="J239" s="27" t="s">
        <v>79</v>
      </c>
      <c r="K239" s="27" t="s">
        <v>75</v>
      </c>
      <c r="L239" s="27" t="s">
        <v>83</v>
      </c>
      <c r="M239" s="27" t="s">
        <v>139</v>
      </c>
      <c r="N239" s="27">
        <v>8</v>
      </c>
      <c r="O239" s="27">
        <v>45</v>
      </c>
      <c r="P239" s="27">
        <v>5</v>
      </c>
      <c r="Q239" s="27">
        <v>342</v>
      </c>
      <c r="R239" s="27">
        <v>2</v>
      </c>
      <c r="S239" s="27" t="s">
        <v>31</v>
      </c>
      <c r="T239" s="27" t="s">
        <v>42</v>
      </c>
      <c r="U239" s="27" t="s">
        <v>108</v>
      </c>
      <c r="V239" s="27">
        <v>9626843681</v>
      </c>
      <c r="W239" s="27" t="s">
        <v>52</v>
      </c>
    </row>
    <row r="240" spans="2:23" ht="15" thickBot="1" x14ac:dyDescent="0.4">
      <c r="B240" s="30" t="s">
        <v>333</v>
      </c>
      <c r="C240" s="30" t="s">
        <v>156</v>
      </c>
      <c r="D240" s="30" t="s">
        <v>24</v>
      </c>
      <c r="E240" s="31">
        <v>45722</v>
      </c>
      <c r="F240" s="31">
        <v>45728</v>
      </c>
      <c r="G240" s="30" t="s">
        <v>106</v>
      </c>
      <c r="H240" s="30" t="s">
        <v>58</v>
      </c>
      <c r="I240" s="31">
        <v>29496</v>
      </c>
      <c r="J240" s="30" t="s">
        <v>74</v>
      </c>
      <c r="K240" s="30" t="s">
        <v>75</v>
      </c>
      <c r="L240" s="30" t="s">
        <v>29</v>
      </c>
      <c r="M240" s="30" t="s">
        <v>30</v>
      </c>
      <c r="N240" s="30">
        <v>18</v>
      </c>
      <c r="O240" s="30">
        <v>2200</v>
      </c>
      <c r="P240" s="30">
        <v>15</v>
      </c>
      <c r="Q240" s="30">
        <v>33660</v>
      </c>
      <c r="R240" s="30">
        <v>4</v>
      </c>
      <c r="S240" s="30" t="s">
        <v>60</v>
      </c>
      <c r="T240" s="30" t="s">
        <v>50</v>
      </c>
      <c r="U240" s="30" t="s">
        <v>158</v>
      </c>
      <c r="V240" s="30">
        <v>9934933215</v>
      </c>
      <c r="W240" s="30" t="s">
        <v>52</v>
      </c>
    </row>
    <row r="241" spans="2:23" ht="15" thickBot="1" x14ac:dyDescent="0.4">
      <c r="B241" s="27" t="s">
        <v>334</v>
      </c>
      <c r="C241" s="27" t="s">
        <v>124</v>
      </c>
      <c r="D241" s="27" t="s">
        <v>112</v>
      </c>
      <c r="E241" s="28">
        <v>46118</v>
      </c>
      <c r="F241" s="28">
        <v>46127</v>
      </c>
      <c r="G241" s="27" t="s">
        <v>126</v>
      </c>
      <c r="H241" s="27" t="s">
        <v>58</v>
      </c>
      <c r="I241" s="28">
        <v>33170</v>
      </c>
      <c r="J241" s="27" t="s">
        <v>27</v>
      </c>
      <c r="K241" s="27" t="s">
        <v>28</v>
      </c>
      <c r="L241" s="27" t="s">
        <v>39</v>
      </c>
      <c r="M241" s="27" t="s">
        <v>114</v>
      </c>
      <c r="N241" s="27">
        <v>18</v>
      </c>
      <c r="O241" s="27">
        <v>700</v>
      </c>
      <c r="P241" s="27">
        <v>15</v>
      </c>
      <c r="Q241" s="27">
        <v>10710</v>
      </c>
      <c r="R241" s="27">
        <v>3</v>
      </c>
      <c r="S241" s="27" t="s">
        <v>60</v>
      </c>
      <c r="T241" s="27" t="s">
        <v>96</v>
      </c>
      <c r="U241" s="27" t="s">
        <v>128</v>
      </c>
      <c r="V241" s="27">
        <v>9508025585</v>
      </c>
      <c r="W241" s="27" t="s">
        <v>53</v>
      </c>
    </row>
    <row r="242" spans="2:23" ht="15" thickBot="1" x14ac:dyDescent="0.4">
      <c r="B242" s="30" t="s">
        <v>335</v>
      </c>
      <c r="C242" s="30" t="s">
        <v>156</v>
      </c>
      <c r="D242" s="30" t="s">
        <v>46</v>
      </c>
      <c r="E242" s="31">
        <v>46039</v>
      </c>
      <c r="F242" s="31">
        <v>46042</v>
      </c>
      <c r="G242" s="30" t="s">
        <v>106</v>
      </c>
      <c r="H242" s="30" t="s">
        <v>58</v>
      </c>
      <c r="I242" s="31">
        <v>28392</v>
      </c>
      <c r="J242" s="30" t="s">
        <v>79</v>
      </c>
      <c r="K242" s="30" t="s">
        <v>75</v>
      </c>
      <c r="L242" s="30" t="s">
        <v>39</v>
      </c>
      <c r="M242" s="30" t="s">
        <v>49</v>
      </c>
      <c r="N242" s="30">
        <v>12</v>
      </c>
      <c r="O242" s="30">
        <v>55000</v>
      </c>
      <c r="P242" s="30">
        <v>0</v>
      </c>
      <c r="Q242" s="30">
        <v>660000</v>
      </c>
      <c r="R242" s="30">
        <v>2</v>
      </c>
      <c r="S242" s="30" t="s">
        <v>65</v>
      </c>
      <c r="T242" s="30" t="s">
        <v>42</v>
      </c>
      <c r="U242" s="30" t="s">
        <v>158</v>
      </c>
      <c r="V242" s="30">
        <v>9364681052</v>
      </c>
      <c r="W242" s="30" t="s">
        <v>53</v>
      </c>
    </row>
    <row r="243" spans="2:23" ht="15" thickBot="1" x14ac:dyDescent="0.4">
      <c r="B243" s="27" t="s">
        <v>336</v>
      </c>
      <c r="C243" s="27" t="s">
        <v>23</v>
      </c>
      <c r="D243" s="27" t="s">
        <v>36</v>
      </c>
      <c r="E243" s="28">
        <v>45976</v>
      </c>
      <c r="F243" s="28">
        <v>45985</v>
      </c>
      <c r="G243" s="27" t="s">
        <v>25</v>
      </c>
      <c r="H243" s="27" t="s">
        <v>26</v>
      </c>
      <c r="I243" s="28">
        <v>35340</v>
      </c>
      <c r="J243" s="27" t="s">
        <v>74</v>
      </c>
      <c r="K243" s="27" t="s">
        <v>75</v>
      </c>
      <c r="L243" s="27" t="s">
        <v>39</v>
      </c>
      <c r="M243" s="27" t="s">
        <v>40</v>
      </c>
      <c r="N243" s="27">
        <v>7</v>
      </c>
      <c r="O243" s="27">
        <v>12000</v>
      </c>
      <c r="P243" s="27">
        <v>5</v>
      </c>
      <c r="Q243" s="27">
        <v>79800</v>
      </c>
      <c r="R243" s="27">
        <v>3</v>
      </c>
      <c r="S243" s="27" t="s">
        <v>60</v>
      </c>
      <c r="T243" s="27" t="s">
        <v>96</v>
      </c>
      <c r="U243" s="27" t="s">
        <v>43</v>
      </c>
      <c r="V243" s="27">
        <v>9117102884</v>
      </c>
      <c r="W243" s="27" t="s">
        <v>52</v>
      </c>
    </row>
    <row r="244" spans="2:23" ht="15" thickBot="1" x14ac:dyDescent="0.4">
      <c r="B244" s="30" t="s">
        <v>337</v>
      </c>
      <c r="C244" s="30" t="s">
        <v>134</v>
      </c>
      <c r="D244" s="30" t="s">
        <v>36</v>
      </c>
      <c r="E244" s="31">
        <v>45921</v>
      </c>
      <c r="F244" s="31">
        <v>45923</v>
      </c>
      <c r="G244" s="30" t="s">
        <v>135</v>
      </c>
      <c r="H244" s="30" t="s">
        <v>26</v>
      </c>
      <c r="I244" s="31">
        <v>27897</v>
      </c>
      <c r="J244" s="30" t="s">
        <v>74</v>
      </c>
      <c r="K244" s="30" t="s">
        <v>75</v>
      </c>
      <c r="L244" s="30" t="s">
        <v>39</v>
      </c>
      <c r="M244" s="30" t="s">
        <v>40</v>
      </c>
      <c r="N244" s="30">
        <v>8</v>
      </c>
      <c r="O244" s="30">
        <v>12000</v>
      </c>
      <c r="P244" s="30">
        <v>15</v>
      </c>
      <c r="Q244" s="30">
        <v>81600</v>
      </c>
      <c r="R244" s="30">
        <v>4</v>
      </c>
      <c r="S244" s="30" t="s">
        <v>60</v>
      </c>
      <c r="T244" s="30" t="s">
        <v>42</v>
      </c>
      <c r="U244" s="30" t="s">
        <v>136</v>
      </c>
      <c r="V244" s="30">
        <v>9819453185</v>
      </c>
      <c r="W244" s="22" t="s">
        <v>34</v>
      </c>
    </row>
    <row r="245" spans="2:23" ht="15" thickBot="1" x14ac:dyDescent="0.4">
      <c r="B245" s="27" t="s">
        <v>338</v>
      </c>
      <c r="C245" s="27" t="s">
        <v>156</v>
      </c>
      <c r="D245" s="27" t="s">
        <v>68</v>
      </c>
      <c r="E245" s="28">
        <v>46009</v>
      </c>
      <c r="F245" s="28">
        <v>46018</v>
      </c>
      <c r="G245" s="27" t="s">
        <v>106</v>
      </c>
      <c r="H245" s="27" t="s">
        <v>58</v>
      </c>
      <c r="I245" s="28">
        <v>32120</v>
      </c>
      <c r="J245" s="27" t="s">
        <v>74</v>
      </c>
      <c r="K245" s="27" t="s">
        <v>75</v>
      </c>
      <c r="L245" s="27" t="s">
        <v>29</v>
      </c>
      <c r="M245" s="27" t="s">
        <v>70</v>
      </c>
      <c r="N245" s="27">
        <v>19</v>
      </c>
      <c r="O245" s="27">
        <v>3500</v>
      </c>
      <c r="P245" s="27">
        <v>5</v>
      </c>
      <c r="Q245" s="27">
        <v>63175</v>
      </c>
      <c r="R245" s="27">
        <v>3</v>
      </c>
      <c r="S245" s="27" t="s">
        <v>60</v>
      </c>
      <c r="T245" s="27" t="s">
        <v>50</v>
      </c>
      <c r="U245" s="27" t="s">
        <v>158</v>
      </c>
      <c r="V245" s="27">
        <v>9511806701</v>
      </c>
      <c r="W245" s="27" t="s">
        <v>52</v>
      </c>
    </row>
    <row r="246" spans="2:23" ht="15" thickBot="1" x14ac:dyDescent="0.4">
      <c r="B246" s="30" t="s">
        <v>339</v>
      </c>
      <c r="C246" s="30" t="s">
        <v>134</v>
      </c>
      <c r="D246" s="30" t="s">
        <v>138</v>
      </c>
      <c r="E246" s="31">
        <v>45694</v>
      </c>
      <c r="F246" s="31">
        <v>45704</v>
      </c>
      <c r="G246" s="30" t="s">
        <v>135</v>
      </c>
      <c r="H246" s="30" t="s">
        <v>26</v>
      </c>
      <c r="I246" s="31">
        <v>33070</v>
      </c>
      <c r="J246" s="30" t="s">
        <v>91</v>
      </c>
      <c r="K246" s="30" t="s">
        <v>75</v>
      </c>
      <c r="L246" s="30" t="s">
        <v>83</v>
      </c>
      <c r="M246" s="30" t="s">
        <v>139</v>
      </c>
      <c r="N246" s="30">
        <v>7</v>
      </c>
      <c r="O246" s="30">
        <v>45</v>
      </c>
      <c r="P246" s="30">
        <v>5</v>
      </c>
      <c r="Q246" s="30">
        <v>299.25</v>
      </c>
      <c r="R246" s="30">
        <v>3</v>
      </c>
      <c r="S246" s="30" t="s">
        <v>60</v>
      </c>
      <c r="T246" s="30" t="s">
        <v>32</v>
      </c>
      <c r="U246" s="30" t="s">
        <v>136</v>
      </c>
      <c r="V246" s="30">
        <v>9875249891</v>
      </c>
      <c r="W246" s="30" t="s">
        <v>53</v>
      </c>
    </row>
    <row r="247" spans="2:23" ht="15" thickBot="1" x14ac:dyDescent="0.4">
      <c r="B247" s="27" t="s">
        <v>340</v>
      </c>
      <c r="C247" s="27" t="s">
        <v>23</v>
      </c>
      <c r="D247" s="27" t="s">
        <v>82</v>
      </c>
      <c r="E247" s="28">
        <v>45810</v>
      </c>
      <c r="F247" s="28">
        <v>45816</v>
      </c>
      <c r="G247" s="27" t="s">
        <v>25</v>
      </c>
      <c r="H247" s="27" t="s">
        <v>26</v>
      </c>
      <c r="I247" s="28">
        <v>33459</v>
      </c>
      <c r="J247" s="27" t="s">
        <v>27</v>
      </c>
      <c r="K247" s="27" t="s">
        <v>28</v>
      </c>
      <c r="L247" s="27" t="s">
        <v>83</v>
      </c>
      <c r="M247" s="27" t="s">
        <v>84</v>
      </c>
      <c r="N247" s="27">
        <v>3</v>
      </c>
      <c r="O247" s="27">
        <v>60</v>
      </c>
      <c r="P247" s="27">
        <v>15</v>
      </c>
      <c r="Q247" s="27">
        <v>153</v>
      </c>
      <c r="R247" s="27">
        <v>3</v>
      </c>
      <c r="S247" s="27" t="s">
        <v>41</v>
      </c>
      <c r="T247" s="27" t="s">
        <v>42</v>
      </c>
      <c r="U247" s="27" t="s">
        <v>43</v>
      </c>
      <c r="V247" s="27">
        <v>9438232503</v>
      </c>
      <c r="W247" s="27" t="s">
        <v>53</v>
      </c>
    </row>
    <row r="248" spans="2:23" ht="15" thickBot="1" x14ac:dyDescent="0.4">
      <c r="B248" s="30" t="s">
        <v>341</v>
      </c>
      <c r="C248" s="30" t="s">
        <v>45</v>
      </c>
      <c r="D248" s="30" t="s">
        <v>138</v>
      </c>
      <c r="E248" s="31">
        <v>46134</v>
      </c>
      <c r="F248" s="31">
        <v>46146</v>
      </c>
      <c r="G248" s="30" t="s">
        <v>101</v>
      </c>
      <c r="H248" s="30" t="s">
        <v>26</v>
      </c>
      <c r="I248" s="31">
        <v>28485</v>
      </c>
      <c r="J248" s="30" t="s">
        <v>79</v>
      </c>
      <c r="K248" s="30" t="s">
        <v>75</v>
      </c>
      <c r="L248" s="30" t="s">
        <v>83</v>
      </c>
      <c r="M248" s="30" t="s">
        <v>139</v>
      </c>
      <c r="N248" s="30">
        <v>19</v>
      </c>
      <c r="O248" s="30">
        <v>45</v>
      </c>
      <c r="P248" s="30">
        <v>0</v>
      </c>
      <c r="Q248" s="30">
        <v>855</v>
      </c>
      <c r="R248" s="30">
        <v>2</v>
      </c>
      <c r="S248" s="30" t="s">
        <v>31</v>
      </c>
      <c r="T248" s="30" t="s">
        <v>50</v>
      </c>
      <c r="U248" s="30" t="s">
        <v>51</v>
      </c>
      <c r="V248" s="30">
        <v>9449953754</v>
      </c>
      <c r="W248" s="22" t="s">
        <v>34</v>
      </c>
    </row>
    <row r="249" spans="2:23" ht="15" thickBot="1" x14ac:dyDescent="0.4">
      <c r="B249" s="27" t="s">
        <v>342</v>
      </c>
      <c r="C249" s="27" t="s">
        <v>72</v>
      </c>
      <c r="D249" s="27" t="s">
        <v>36</v>
      </c>
      <c r="E249" s="28">
        <v>46087</v>
      </c>
      <c r="F249" s="28">
        <v>46097</v>
      </c>
      <c r="G249" s="27" t="s">
        <v>73</v>
      </c>
      <c r="H249" s="27" t="s">
        <v>26</v>
      </c>
      <c r="I249" s="28">
        <v>34854</v>
      </c>
      <c r="J249" s="27" t="s">
        <v>48</v>
      </c>
      <c r="K249" s="27" t="s">
        <v>28</v>
      </c>
      <c r="L249" s="27" t="s">
        <v>39</v>
      </c>
      <c r="M249" s="27" t="s">
        <v>40</v>
      </c>
      <c r="N249" s="27">
        <v>10</v>
      </c>
      <c r="O249" s="27">
        <v>12000</v>
      </c>
      <c r="P249" s="27">
        <v>5</v>
      </c>
      <c r="Q249" s="27">
        <v>114000</v>
      </c>
      <c r="R249" s="27">
        <v>1</v>
      </c>
      <c r="S249" s="27" t="s">
        <v>60</v>
      </c>
      <c r="T249" s="27" t="s">
        <v>80</v>
      </c>
      <c r="U249" s="27" t="s">
        <v>93</v>
      </c>
      <c r="V249" s="27">
        <v>9833801891</v>
      </c>
      <c r="W249" s="27" t="s">
        <v>53</v>
      </c>
    </row>
    <row r="250" spans="2:23" ht="15" thickBot="1" x14ac:dyDescent="0.4">
      <c r="B250" s="30" t="s">
        <v>343</v>
      </c>
      <c r="C250" s="30" t="s">
        <v>23</v>
      </c>
      <c r="D250" s="30" t="s">
        <v>56</v>
      </c>
      <c r="E250" s="31">
        <v>45716</v>
      </c>
      <c r="F250" s="31">
        <v>45728</v>
      </c>
      <c r="G250" s="30" t="s">
        <v>25</v>
      </c>
      <c r="H250" s="30" t="s">
        <v>26</v>
      </c>
      <c r="I250" s="31">
        <v>30636</v>
      </c>
      <c r="J250" s="30" t="s">
        <v>147</v>
      </c>
      <c r="K250" s="30" t="s">
        <v>148</v>
      </c>
      <c r="L250" s="30" t="s">
        <v>39</v>
      </c>
      <c r="M250" s="30" t="s">
        <v>59</v>
      </c>
      <c r="N250" s="30">
        <v>4</v>
      </c>
      <c r="O250" s="30">
        <v>1200</v>
      </c>
      <c r="P250" s="30">
        <v>0</v>
      </c>
      <c r="Q250" s="30">
        <v>4800</v>
      </c>
      <c r="R250" s="30">
        <v>4</v>
      </c>
      <c r="S250" s="30" t="s">
        <v>31</v>
      </c>
      <c r="T250" s="30" t="s">
        <v>50</v>
      </c>
      <c r="U250" s="30" t="s">
        <v>43</v>
      </c>
      <c r="V250" s="30">
        <v>9183949273</v>
      </c>
      <c r="W250" s="22" t="s">
        <v>34</v>
      </c>
    </row>
    <row r="251" spans="2:23" ht="15" thickBot="1" x14ac:dyDescent="0.4">
      <c r="B251" s="27" t="s">
        <v>344</v>
      </c>
      <c r="C251" s="27" t="s">
        <v>124</v>
      </c>
      <c r="D251" s="27" t="s">
        <v>105</v>
      </c>
      <c r="E251" s="28">
        <v>45961</v>
      </c>
      <c r="F251" s="28">
        <v>45968</v>
      </c>
      <c r="G251" s="27" t="s">
        <v>126</v>
      </c>
      <c r="H251" s="27" t="s">
        <v>58</v>
      </c>
      <c r="I251" s="28">
        <v>31330</v>
      </c>
      <c r="J251" s="27" t="s">
        <v>48</v>
      </c>
      <c r="K251" s="27" t="s">
        <v>28</v>
      </c>
      <c r="L251" s="27" t="s">
        <v>29</v>
      </c>
      <c r="M251" s="27" t="s">
        <v>107</v>
      </c>
      <c r="N251" s="27">
        <v>2</v>
      </c>
      <c r="O251" s="27">
        <v>8500</v>
      </c>
      <c r="P251" s="27">
        <v>20</v>
      </c>
      <c r="Q251" s="27">
        <v>13600</v>
      </c>
      <c r="R251" s="27">
        <v>3</v>
      </c>
      <c r="S251" s="27" t="s">
        <v>60</v>
      </c>
      <c r="T251" s="27" t="s">
        <v>96</v>
      </c>
      <c r="U251" s="27" t="s">
        <v>128</v>
      </c>
      <c r="V251" s="27">
        <v>9168257367</v>
      </c>
      <c r="W251" s="21" t="s">
        <v>34</v>
      </c>
    </row>
    <row r="252" spans="2:23" ht="15" thickBot="1" x14ac:dyDescent="0.4">
      <c r="B252" s="30" t="s">
        <v>345</v>
      </c>
      <c r="C252" s="30" t="s">
        <v>63</v>
      </c>
      <c r="D252" s="30" t="s">
        <v>112</v>
      </c>
      <c r="E252" s="31">
        <v>46052</v>
      </c>
      <c r="F252" s="31">
        <v>46061</v>
      </c>
      <c r="G252" s="30" t="s">
        <v>110</v>
      </c>
      <c r="H252" s="30" t="s">
        <v>58</v>
      </c>
      <c r="I252" s="31">
        <v>37263</v>
      </c>
      <c r="J252" s="30" t="s">
        <v>147</v>
      </c>
      <c r="K252" s="30" t="s">
        <v>148</v>
      </c>
      <c r="L252" s="30" t="s">
        <v>39</v>
      </c>
      <c r="M252" s="30" t="s">
        <v>114</v>
      </c>
      <c r="N252" s="30">
        <v>7</v>
      </c>
      <c r="O252" s="30">
        <v>700</v>
      </c>
      <c r="P252" s="30">
        <v>20</v>
      </c>
      <c r="Q252" s="30">
        <v>3920</v>
      </c>
      <c r="R252" s="30">
        <v>2</v>
      </c>
      <c r="S252" s="30" t="s">
        <v>60</v>
      </c>
      <c r="T252" s="30" t="s">
        <v>96</v>
      </c>
      <c r="U252" s="30" t="s">
        <v>66</v>
      </c>
      <c r="V252" s="30">
        <v>9580903210</v>
      </c>
      <c r="W252" s="30" t="s">
        <v>52</v>
      </c>
    </row>
    <row r="253" spans="2:23" ht="15" thickBot="1" x14ac:dyDescent="0.4">
      <c r="B253" s="27" t="s">
        <v>346</v>
      </c>
      <c r="C253" s="27" t="s">
        <v>45</v>
      </c>
      <c r="D253" s="27" t="s">
        <v>125</v>
      </c>
      <c r="E253" s="28">
        <v>46141</v>
      </c>
      <c r="F253" s="28">
        <v>46145</v>
      </c>
      <c r="G253" s="27" t="s">
        <v>101</v>
      </c>
      <c r="H253" s="27" t="s">
        <v>26</v>
      </c>
      <c r="I253" s="28">
        <v>36359</v>
      </c>
      <c r="J253" s="27" t="s">
        <v>79</v>
      </c>
      <c r="K253" s="27" t="s">
        <v>75</v>
      </c>
      <c r="L253" s="27" t="s">
        <v>83</v>
      </c>
      <c r="M253" s="27" t="s">
        <v>127</v>
      </c>
      <c r="N253" s="27">
        <v>9</v>
      </c>
      <c r="O253" s="27">
        <v>20</v>
      </c>
      <c r="P253" s="27">
        <v>15</v>
      </c>
      <c r="Q253" s="27">
        <v>153</v>
      </c>
      <c r="R253" s="27">
        <v>3</v>
      </c>
      <c r="S253" s="27" t="s">
        <v>41</v>
      </c>
      <c r="T253" s="27" t="s">
        <v>80</v>
      </c>
      <c r="U253" s="27" t="s">
        <v>51</v>
      </c>
      <c r="V253" s="27">
        <v>9602152945</v>
      </c>
      <c r="W253" s="21" t="s">
        <v>34</v>
      </c>
    </row>
    <row r="254" spans="2:23" ht="15" thickBot="1" x14ac:dyDescent="0.4">
      <c r="B254" s="30" t="s">
        <v>347</v>
      </c>
      <c r="C254" s="30" t="s">
        <v>72</v>
      </c>
      <c r="D254" s="30" t="s">
        <v>105</v>
      </c>
      <c r="E254" s="31">
        <v>45795</v>
      </c>
      <c r="F254" s="31">
        <v>45797</v>
      </c>
      <c r="G254" s="30" t="s">
        <v>73</v>
      </c>
      <c r="H254" s="30" t="s">
        <v>26</v>
      </c>
      <c r="I254" s="31">
        <v>33118</v>
      </c>
      <c r="J254" s="30" t="s">
        <v>147</v>
      </c>
      <c r="K254" s="30" t="s">
        <v>148</v>
      </c>
      <c r="L254" s="30" t="s">
        <v>29</v>
      </c>
      <c r="M254" s="30" t="s">
        <v>107</v>
      </c>
      <c r="N254" s="30">
        <v>16</v>
      </c>
      <c r="O254" s="30">
        <v>8500</v>
      </c>
      <c r="P254" s="30">
        <v>0</v>
      </c>
      <c r="Q254" s="30">
        <v>136000</v>
      </c>
      <c r="R254" s="30">
        <v>4</v>
      </c>
      <c r="S254" s="30" t="s">
        <v>41</v>
      </c>
      <c r="T254" s="30" t="s">
        <v>32</v>
      </c>
      <c r="U254" s="30" t="s">
        <v>93</v>
      </c>
      <c r="V254" s="30">
        <v>9646917552</v>
      </c>
      <c r="W254" s="22" t="s">
        <v>34</v>
      </c>
    </row>
    <row r="255" spans="2:23" ht="15" thickBot="1" x14ac:dyDescent="0.4">
      <c r="B255" s="27" t="s">
        <v>348</v>
      </c>
      <c r="C255" s="27" t="s">
        <v>134</v>
      </c>
      <c r="D255" s="27" t="s">
        <v>68</v>
      </c>
      <c r="E255" s="28">
        <v>46107</v>
      </c>
      <c r="F255" s="28">
        <v>46109</v>
      </c>
      <c r="G255" s="27" t="s">
        <v>135</v>
      </c>
      <c r="H255" s="27" t="s">
        <v>26</v>
      </c>
      <c r="I255" s="28">
        <v>33818</v>
      </c>
      <c r="J255" s="27" t="s">
        <v>37</v>
      </c>
      <c r="K255" s="27" t="s">
        <v>38</v>
      </c>
      <c r="L255" s="27" t="s">
        <v>29</v>
      </c>
      <c r="M255" s="27" t="s">
        <v>70</v>
      </c>
      <c r="N255" s="27">
        <v>10</v>
      </c>
      <c r="O255" s="27">
        <v>3500</v>
      </c>
      <c r="P255" s="27">
        <v>5</v>
      </c>
      <c r="Q255" s="27">
        <v>33250</v>
      </c>
      <c r="R255" s="27">
        <v>3</v>
      </c>
      <c r="S255" s="27" t="s">
        <v>41</v>
      </c>
      <c r="T255" s="27" t="s">
        <v>80</v>
      </c>
      <c r="U255" s="27" t="s">
        <v>136</v>
      </c>
      <c r="V255" s="27">
        <v>9127548552</v>
      </c>
      <c r="W255" s="21" t="s">
        <v>34</v>
      </c>
    </row>
    <row r="256" spans="2:23" ht="15" thickBot="1" x14ac:dyDescent="0.4">
      <c r="B256" s="30" t="s">
        <v>349</v>
      </c>
      <c r="C256" s="30" t="s">
        <v>45</v>
      </c>
      <c r="D256" s="30" t="s">
        <v>36</v>
      </c>
      <c r="E256" s="31">
        <v>46041</v>
      </c>
      <c r="F256" s="31">
        <v>46049</v>
      </c>
      <c r="G256" s="30" t="s">
        <v>101</v>
      </c>
      <c r="H256" s="30" t="s">
        <v>26</v>
      </c>
      <c r="I256" s="31">
        <v>29260</v>
      </c>
      <c r="J256" s="30" t="s">
        <v>147</v>
      </c>
      <c r="K256" s="30" t="s">
        <v>148</v>
      </c>
      <c r="L256" s="30" t="s">
        <v>39</v>
      </c>
      <c r="M256" s="30" t="s">
        <v>40</v>
      </c>
      <c r="N256" s="30">
        <v>1</v>
      </c>
      <c r="O256" s="30">
        <v>12000</v>
      </c>
      <c r="P256" s="30">
        <v>0</v>
      </c>
      <c r="Q256" s="30">
        <v>12000</v>
      </c>
      <c r="R256" s="30">
        <v>5</v>
      </c>
      <c r="S256" s="30" t="s">
        <v>65</v>
      </c>
      <c r="T256" s="30" t="s">
        <v>80</v>
      </c>
      <c r="U256" s="30" t="s">
        <v>51</v>
      </c>
      <c r="V256" s="30">
        <v>9712805603</v>
      </c>
      <c r="W256" s="30" t="s">
        <v>52</v>
      </c>
    </row>
    <row r="257" spans="2:23" ht="15" thickBot="1" x14ac:dyDescent="0.4">
      <c r="B257" s="27" t="s">
        <v>350</v>
      </c>
      <c r="C257" s="27" t="s">
        <v>156</v>
      </c>
      <c r="D257" s="27" t="s">
        <v>138</v>
      </c>
      <c r="E257" s="28">
        <v>46144</v>
      </c>
      <c r="F257" s="28">
        <v>46152</v>
      </c>
      <c r="G257" s="27" t="s">
        <v>106</v>
      </c>
      <c r="H257" s="27" t="s">
        <v>58</v>
      </c>
      <c r="I257" s="28">
        <v>32557</v>
      </c>
      <c r="J257" s="27" t="s">
        <v>147</v>
      </c>
      <c r="K257" s="27" t="s">
        <v>148</v>
      </c>
      <c r="L257" s="27" t="s">
        <v>83</v>
      </c>
      <c r="M257" s="27" t="s">
        <v>139</v>
      </c>
      <c r="N257" s="27">
        <v>19</v>
      </c>
      <c r="O257" s="27">
        <v>45</v>
      </c>
      <c r="P257" s="27">
        <v>15</v>
      </c>
      <c r="Q257" s="27">
        <v>726.75</v>
      </c>
      <c r="R257" s="27">
        <v>2</v>
      </c>
      <c r="S257" s="27" t="s">
        <v>65</v>
      </c>
      <c r="T257" s="27" t="s">
        <v>96</v>
      </c>
      <c r="U257" s="27" t="s">
        <v>158</v>
      </c>
      <c r="V257" s="27">
        <v>9798313682</v>
      </c>
      <c r="W257" s="27" t="s">
        <v>52</v>
      </c>
    </row>
    <row r="258" spans="2:23" ht="15" thickBot="1" x14ac:dyDescent="0.4">
      <c r="B258" s="30" t="s">
        <v>351</v>
      </c>
      <c r="C258" s="30" t="s">
        <v>23</v>
      </c>
      <c r="D258" s="30" t="s">
        <v>46</v>
      </c>
      <c r="E258" s="31">
        <v>45961</v>
      </c>
      <c r="F258" s="31">
        <v>45963</v>
      </c>
      <c r="G258" s="30" t="s">
        <v>25</v>
      </c>
      <c r="H258" s="30" t="s">
        <v>26</v>
      </c>
      <c r="I258" s="31">
        <v>34222</v>
      </c>
      <c r="J258" s="30" t="s">
        <v>37</v>
      </c>
      <c r="K258" s="30" t="s">
        <v>38</v>
      </c>
      <c r="L258" s="30" t="s">
        <v>39</v>
      </c>
      <c r="M258" s="30" t="s">
        <v>49</v>
      </c>
      <c r="N258" s="30">
        <v>13</v>
      </c>
      <c r="O258" s="30">
        <v>55000</v>
      </c>
      <c r="P258" s="30">
        <v>5</v>
      </c>
      <c r="Q258" s="30">
        <v>679250</v>
      </c>
      <c r="R258" s="30">
        <v>4</v>
      </c>
      <c r="S258" s="30" t="s">
        <v>60</v>
      </c>
      <c r="T258" s="30" t="s">
        <v>42</v>
      </c>
      <c r="U258" s="30" t="s">
        <v>43</v>
      </c>
      <c r="V258" s="30">
        <v>9642822397</v>
      </c>
      <c r="W258" s="30" t="s">
        <v>53</v>
      </c>
    </row>
    <row r="259" spans="2:23" ht="15" thickBot="1" x14ac:dyDescent="0.4">
      <c r="B259" s="27" t="s">
        <v>352</v>
      </c>
      <c r="C259" s="27" t="s">
        <v>63</v>
      </c>
      <c r="D259" s="27" t="s">
        <v>138</v>
      </c>
      <c r="E259" s="28">
        <v>45858</v>
      </c>
      <c r="F259" s="28">
        <v>45864</v>
      </c>
      <c r="G259" s="27" t="s">
        <v>110</v>
      </c>
      <c r="H259" s="27" t="s">
        <v>58</v>
      </c>
      <c r="I259" s="28">
        <v>29907</v>
      </c>
      <c r="J259" s="27" t="s">
        <v>74</v>
      </c>
      <c r="K259" s="27" t="s">
        <v>75</v>
      </c>
      <c r="L259" s="27" t="s">
        <v>83</v>
      </c>
      <c r="M259" s="27" t="s">
        <v>139</v>
      </c>
      <c r="N259" s="27">
        <v>2</v>
      </c>
      <c r="O259" s="27">
        <v>45</v>
      </c>
      <c r="P259" s="27">
        <v>15</v>
      </c>
      <c r="Q259" s="27">
        <v>76.5</v>
      </c>
      <c r="R259" s="27">
        <v>1</v>
      </c>
      <c r="S259" s="27" t="s">
        <v>41</v>
      </c>
      <c r="T259" s="27" t="s">
        <v>80</v>
      </c>
      <c r="U259" s="27" t="s">
        <v>66</v>
      </c>
      <c r="V259" s="27">
        <v>9490067655</v>
      </c>
      <c r="W259" s="21" t="s">
        <v>34</v>
      </c>
    </row>
    <row r="260" spans="2:23" ht="15" thickBot="1" x14ac:dyDescent="0.4">
      <c r="B260" s="30" t="s">
        <v>353</v>
      </c>
      <c r="C260" s="30" t="s">
        <v>72</v>
      </c>
      <c r="D260" s="30" t="s">
        <v>125</v>
      </c>
      <c r="E260" s="31">
        <v>45707</v>
      </c>
      <c r="F260" s="31">
        <v>45712</v>
      </c>
      <c r="G260" s="30" t="s">
        <v>73</v>
      </c>
      <c r="H260" s="30" t="s">
        <v>26</v>
      </c>
      <c r="I260" s="31">
        <v>37857</v>
      </c>
      <c r="J260" s="30" t="s">
        <v>27</v>
      </c>
      <c r="K260" s="30" t="s">
        <v>28</v>
      </c>
      <c r="L260" s="30" t="s">
        <v>83</v>
      </c>
      <c r="M260" s="30" t="s">
        <v>127</v>
      </c>
      <c r="N260" s="30">
        <v>8</v>
      </c>
      <c r="O260" s="30">
        <v>20</v>
      </c>
      <c r="P260" s="30">
        <v>15</v>
      </c>
      <c r="Q260" s="30">
        <v>136</v>
      </c>
      <c r="R260" s="30">
        <v>1</v>
      </c>
      <c r="S260" s="30" t="s">
        <v>60</v>
      </c>
      <c r="T260" s="30" t="s">
        <v>32</v>
      </c>
      <c r="U260" s="30" t="s">
        <v>93</v>
      </c>
      <c r="V260" s="30">
        <v>9389792144</v>
      </c>
      <c r="W260" s="30" t="s">
        <v>52</v>
      </c>
    </row>
    <row r="261" spans="2:23" ht="15" thickBot="1" x14ac:dyDescent="0.4">
      <c r="B261" s="27" t="s">
        <v>354</v>
      </c>
      <c r="C261" s="27" t="s">
        <v>104</v>
      </c>
      <c r="D261" s="27" t="s">
        <v>36</v>
      </c>
      <c r="E261" s="28">
        <v>45767</v>
      </c>
      <c r="F261" s="28">
        <v>45778</v>
      </c>
      <c r="G261" s="27" t="s">
        <v>166</v>
      </c>
      <c r="H261" s="27" t="s">
        <v>26</v>
      </c>
      <c r="I261" s="28">
        <v>31247</v>
      </c>
      <c r="J261" s="27" t="s">
        <v>27</v>
      </c>
      <c r="K261" s="27" t="s">
        <v>28</v>
      </c>
      <c r="L261" s="27" t="s">
        <v>39</v>
      </c>
      <c r="M261" s="27" t="s">
        <v>40</v>
      </c>
      <c r="N261" s="27">
        <v>9</v>
      </c>
      <c r="O261" s="27">
        <v>12000</v>
      </c>
      <c r="P261" s="27">
        <v>5</v>
      </c>
      <c r="Q261" s="27">
        <v>102600</v>
      </c>
      <c r="R261" s="27">
        <v>2</v>
      </c>
      <c r="S261" s="27" t="s">
        <v>60</v>
      </c>
      <c r="T261" s="27" t="s">
        <v>32</v>
      </c>
      <c r="U261" s="27" t="s">
        <v>108</v>
      </c>
      <c r="V261" s="27">
        <v>9736113863</v>
      </c>
      <c r="W261" s="27" t="s">
        <v>53</v>
      </c>
    </row>
    <row r="262" spans="2:23" ht="15" thickBot="1" x14ac:dyDescent="0.4">
      <c r="B262" s="30" t="s">
        <v>355</v>
      </c>
      <c r="C262" s="30" t="s">
        <v>55</v>
      </c>
      <c r="D262" s="30" t="s">
        <v>68</v>
      </c>
      <c r="E262" s="31">
        <v>45813</v>
      </c>
      <c r="F262" s="31">
        <v>45821</v>
      </c>
      <c r="G262" s="30" t="s">
        <v>57</v>
      </c>
      <c r="H262" s="30" t="s">
        <v>58</v>
      </c>
      <c r="I262" s="31">
        <v>34464</v>
      </c>
      <c r="J262" s="30" t="s">
        <v>147</v>
      </c>
      <c r="K262" s="30" t="s">
        <v>148</v>
      </c>
      <c r="L262" s="30" t="s">
        <v>29</v>
      </c>
      <c r="M262" s="30" t="s">
        <v>70</v>
      </c>
      <c r="N262" s="30">
        <v>3</v>
      </c>
      <c r="O262" s="30">
        <v>3500</v>
      </c>
      <c r="P262" s="30">
        <v>15</v>
      </c>
      <c r="Q262" s="30">
        <v>8925</v>
      </c>
      <c r="R262" s="30">
        <v>1</v>
      </c>
      <c r="S262" s="30" t="s">
        <v>31</v>
      </c>
      <c r="T262" s="30" t="s">
        <v>42</v>
      </c>
      <c r="U262" s="30" t="s">
        <v>61</v>
      </c>
      <c r="V262" s="30">
        <v>9324634732</v>
      </c>
      <c r="W262" s="30" t="s">
        <v>53</v>
      </c>
    </row>
    <row r="263" spans="2:23" ht="15" thickBot="1" x14ac:dyDescent="0.4">
      <c r="B263" s="27" t="s">
        <v>356</v>
      </c>
      <c r="C263" s="27" t="s">
        <v>72</v>
      </c>
      <c r="D263" s="27" t="s">
        <v>112</v>
      </c>
      <c r="E263" s="28">
        <v>45797</v>
      </c>
      <c r="F263" s="28">
        <v>45800</v>
      </c>
      <c r="G263" s="27" t="s">
        <v>73</v>
      </c>
      <c r="H263" s="27" t="s">
        <v>26</v>
      </c>
      <c r="I263" s="28">
        <v>34051</v>
      </c>
      <c r="J263" s="27" t="s">
        <v>27</v>
      </c>
      <c r="K263" s="27" t="s">
        <v>28</v>
      </c>
      <c r="L263" s="27" t="s">
        <v>39</v>
      </c>
      <c r="M263" s="27" t="s">
        <v>114</v>
      </c>
      <c r="N263" s="27">
        <v>18</v>
      </c>
      <c r="O263" s="27">
        <v>700</v>
      </c>
      <c r="P263" s="27">
        <v>20</v>
      </c>
      <c r="Q263" s="27">
        <v>10080</v>
      </c>
      <c r="R263" s="27">
        <v>1</v>
      </c>
      <c r="S263" s="27" t="s">
        <v>60</v>
      </c>
      <c r="T263" s="27" t="s">
        <v>96</v>
      </c>
      <c r="U263" s="27" t="s">
        <v>93</v>
      </c>
      <c r="V263" s="27">
        <v>9529968110</v>
      </c>
      <c r="W263" s="21" t="s">
        <v>34</v>
      </c>
    </row>
    <row r="264" spans="2:23" ht="15" thickBot="1" x14ac:dyDescent="0.4">
      <c r="B264" s="30" t="s">
        <v>357</v>
      </c>
      <c r="C264" s="30" t="s">
        <v>55</v>
      </c>
      <c r="D264" s="30" t="s">
        <v>68</v>
      </c>
      <c r="E264" s="31">
        <v>46046</v>
      </c>
      <c r="F264" s="31">
        <v>46053</v>
      </c>
      <c r="G264" s="30" t="s">
        <v>57</v>
      </c>
      <c r="H264" s="30" t="s">
        <v>58</v>
      </c>
      <c r="I264" s="31">
        <v>29019</v>
      </c>
      <c r="J264" s="30" t="s">
        <v>79</v>
      </c>
      <c r="K264" s="30" t="s">
        <v>75</v>
      </c>
      <c r="L264" s="30" t="s">
        <v>29</v>
      </c>
      <c r="M264" s="30" t="s">
        <v>70</v>
      </c>
      <c r="N264" s="30">
        <v>14</v>
      </c>
      <c r="O264" s="30">
        <v>3500</v>
      </c>
      <c r="P264" s="30">
        <v>5</v>
      </c>
      <c r="Q264" s="30">
        <v>46550</v>
      </c>
      <c r="R264" s="30">
        <v>1</v>
      </c>
      <c r="S264" s="30" t="s">
        <v>31</v>
      </c>
      <c r="T264" s="30" t="s">
        <v>50</v>
      </c>
      <c r="U264" s="30" t="s">
        <v>61</v>
      </c>
      <c r="V264" s="30">
        <v>9102417647</v>
      </c>
      <c r="W264" s="22" t="s">
        <v>34</v>
      </c>
    </row>
    <row r="265" spans="2:23" ht="15" thickBot="1" x14ac:dyDescent="0.4">
      <c r="B265" s="27" t="s">
        <v>358</v>
      </c>
      <c r="C265" s="27" t="s">
        <v>72</v>
      </c>
      <c r="D265" s="27" t="s">
        <v>112</v>
      </c>
      <c r="E265" s="28">
        <v>45810</v>
      </c>
      <c r="F265" s="28">
        <v>45812</v>
      </c>
      <c r="G265" s="27" t="s">
        <v>73</v>
      </c>
      <c r="H265" s="27" t="s">
        <v>26</v>
      </c>
      <c r="I265" s="28">
        <v>33262</v>
      </c>
      <c r="J265" s="27" t="s">
        <v>147</v>
      </c>
      <c r="K265" s="27" t="s">
        <v>148</v>
      </c>
      <c r="L265" s="27" t="s">
        <v>39</v>
      </c>
      <c r="M265" s="27" t="s">
        <v>114</v>
      </c>
      <c r="N265" s="27">
        <v>6</v>
      </c>
      <c r="O265" s="27">
        <v>700</v>
      </c>
      <c r="P265" s="27">
        <v>5</v>
      </c>
      <c r="Q265" s="27">
        <v>3990</v>
      </c>
      <c r="R265" s="27">
        <v>5</v>
      </c>
      <c r="S265" s="27" t="s">
        <v>31</v>
      </c>
      <c r="T265" s="27" t="s">
        <v>32</v>
      </c>
      <c r="U265" s="27" t="s">
        <v>93</v>
      </c>
      <c r="V265" s="27">
        <v>9630302865</v>
      </c>
      <c r="W265" s="21" t="s">
        <v>34</v>
      </c>
    </row>
    <row r="266" spans="2:23" ht="15" thickBot="1" x14ac:dyDescent="0.4">
      <c r="B266" s="30" t="s">
        <v>359</v>
      </c>
      <c r="C266" s="30" t="s">
        <v>72</v>
      </c>
      <c r="D266" s="30" t="s">
        <v>68</v>
      </c>
      <c r="E266" s="31">
        <v>45819</v>
      </c>
      <c r="F266" s="31">
        <v>45827</v>
      </c>
      <c r="G266" s="30" t="s">
        <v>73</v>
      </c>
      <c r="H266" s="30" t="s">
        <v>26</v>
      </c>
      <c r="I266" s="31">
        <v>38039</v>
      </c>
      <c r="J266" s="30" t="s">
        <v>74</v>
      </c>
      <c r="K266" s="30" t="s">
        <v>75</v>
      </c>
      <c r="L266" s="30" t="s">
        <v>29</v>
      </c>
      <c r="M266" s="30" t="s">
        <v>70</v>
      </c>
      <c r="N266" s="30">
        <v>17</v>
      </c>
      <c r="O266" s="30">
        <v>3500</v>
      </c>
      <c r="P266" s="30">
        <v>15</v>
      </c>
      <c r="Q266" s="30">
        <v>50575</v>
      </c>
      <c r="R266" s="30">
        <v>3</v>
      </c>
      <c r="S266" s="30" t="s">
        <v>41</v>
      </c>
      <c r="T266" s="30" t="s">
        <v>42</v>
      </c>
      <c r="U266" s="30" t="s">
        <v>93</v>
      </c>
      <c r="V266" s="30">
        <v>9465353780</v>
      </c>
      <c r="W266" s="30" t="s">
        <v>52</v>
      </c>
    </row>
    <row r="267" spans="2:23" ht="15" thickBot="1" x14ac:dyDescent="0.4">
      <c r="B267" s="27" t="s">
        <v>360</v>
      </c>
      <c r="C267" s="27" t="s">
        <v>134</v>
      </c>
      <c r="D267" s="27" t="s">
        <v>125</v>
      </c>
      <c r="E267" s="28">
        <v>46038</v>
      </c>
      <c r="F267" s="28">
        <v>46046</v>
      </c>
      <c r="G267" s="27" t="s">
        <v>135</v>
      </c>
      <c r="H267" s="27" t="s">
        <v>26</v>
      </c>
      <c r="I267" s="28">
        <v>28240</v>
      </c>
      <c r="J267" s="27" t="s">
        <v>147</v>
      </c>
      <c r="K267" s="27" t="s">
        <v>148</v>
      </c>
      <c r="L267" s="27" t="s">
        <v>83</v>
      </c>
      <c r="M267" s="27" t="s">
        <v>127</v>
      </c>
      <c r="N267" s="27">
        <v>7</v>
      </c>
      <c r="O267" s="27">
        <v>20</v>
      </c>
      <c r="P267" s="27">
        <v>5</v>
      </c>
      <c r="Q267" s="27">
        <v>133</v>
      </c>
      <c r="R267" s="27">
        <v>2</v>
      </c>
      <c r="S267" s="27" t="s">
        <v>65</v>
      </c>
      <c r="T267" s="27" t="s">
        <v>96</v>
      </c>
      <c r="U267" s="27" t="s">
        <v>136</v>
      </c>
      <c r="V267" s="27">
        <v>9837426414</v>
      </c>
      <c r="W267" s="21" t="s">
        <v>34</v>
      </c>
    </row>
    <row r="268" spans="2:23" ht="15" thickBot="1" x14ac:dyDescent="0.4">
      <c r="B268" s="30" t="s">
        <v>361</v>
      </c>
      <c r="C268" s="30" t="s">
        <v>23</v>
      </c>
      <c r="D268" s="30" t="s">
        <v>24</v>
      </c>
      <c r="E268" s="31">
        <v>46073</v>
      </c>
      <c r="F268" s="31">
        <v>46085</v>
      </c>
      <c r="G268" s="30" t="s">
        <v>25</v>
      </c>
      <c r="H268" s="30" t="s">
        <v>26</v>
      </c>
      <c r="I268" s="31">
        <v>34537</v>
      </c>
      <c r="J268" s="30" t="s">
        <v>48</v>
      </c>
      <c r="K268" s="30" t="s">
        <v>28</v>
      </c>
      <c r="L268" s="30" t="s">
        <v>29</v>
      </c>
      <c r="M268" s="30" t="s">
        <v>30</v>
      </c>
      <c r="N268" s="30">
        <v>15</v>
      </c>
      <c r="O268" s="30">
        <v>2200</v>
      </c>
      <c r="P268" s="30">
        <v>20</v>
      </c>
      <c r="Q268" s="30">
        <v>26400</v>
      </c>
      <c r="R268" s="30">
        <v>2</v>
      </c>
      <c r="S268" s="30" t="s">
        <v>31</v>
      </c>
      <c r="T268" s="30" t="s">
        <v>50</v>
      </c>
      <c r="U268" s="30" t="s">
        <v>43</v>
      </c>
      <c r="V268" s="30">
        <v>9249918272</v>
      </c>
      <c r="W268" s="22" t="s">
        <v>34</v>
      </c>
    </row>
    <row r="269" spans="2:23" ht="15" thickBot="1" x14ac:dyDescent="0.4">
      <c r="B269" s="27" t="s">
        <v>362</v>
      </c>
      <c r="C269" s="27" t="s">
        <v>55</v>
      </c>
      <c r="D269" s="27" t="s">
        <v>125</v>
      </c>
      <c r="E269" s="28">
        <v>46070</v>
      </c>
      <c r="F269" s="28">
        <v>46078</v>
      </c>
      <c r="G269" s="27" t="s">
        <v>57</v>
      </c>
      <c r="H269" s="27" t="s">
        <v>58</v>
      </c>
      <c r="I269" s="28">
        <v>29170</v>
      </c>
      <c r="J269" s="27" t="s">
        <v>74</v>
      </c>
      <c r="K269" s="27" t="s">
        <v>75</v>
      </c>
      <c r="L269" s="27" t="s">
        <v>83</v>
      </c>
      <c r="M269" s="27" t="s">
        <v>127</v>
      </c>
      <c r="N269" s="27">
        <v>5</v>
      </c>
      <c r="O269" s="27">
        <v>20</v>
      </c>
      <c r="P269" s="27">
        <v>0</v>
      </c>
      <c r="Q269" s="27">
        <v>100</v>
      </c>
      <c r="R269" s="27">
        <v>3</v>
      </c>
      <c r="S269" s="27" t="s">
        <v>31</v>
      </c>
      <c r="T269" s="27" t="s">
        <v>96</v>
      </c>
      <c r="U269" s="27" t="s">
        <v>61</v>
      </c>
      <c r="V269" s="27">
        <v>9265580582</v>
      </c>
      <c r="W269" s="21" t="s">
        <v>34</v>
      </c>
    </row>
    <row r="270" spans="2:23" ht="15" thickBot="1" x14ac:dyDescent="0.4">
      <c r="B270" s="30" t="s">
        <v>363</v>
      </c>
      <c r="C270" s="30" t="s">
        <v>87</v>
      </c>
      <c r="D270" s="30" t="s">
        <v>36</v>
      </c>
      <c r="E270" s="31">
        <v>45847</v>
      </c>
      <c r="F270" s="31">
        <v>45852</v>
      </c>
      <c r="G270" s="30" t="s">
        <v>88</v>
      </c>
      <c r="H270" s="30" t="s">
        <v>58</v>
      </c>
      <c r="I270" s="31">
        <v>34846</v>
      </c>
      <c r="J270" s="30" t="s">
        <v>37</v>
      </c>
      <c r="K270" s="30" t="s">
        <v>38</v>
      </c>
      <c r="L270" s="30" t="s">
        <v>39</v>
      </c>
      <c r="M270" s="30" t="s">
        <v>40</v>
      </c>
      <c r="N270" s="30">
        <v>8</v>
      </c>
      <c r="O270" s="30">
        <v>12000</v>
      </c>
      <c r="P270" s="30">
        <v>20</v>
      </c>
      <c r="Q270" s="30">
        <v>76800</v>
      </c>
      <c r="R270" s="30">
        <v>3</v>
      </c>
      <c r="S270" s="30" t="s">
        <v>60</v>
      </c>
      <c r="T270" s="30" t="s">
        <v>50</v>
      </c>
      <c r="U270" s="30" t="s">
        <v>89</v>
      </c>
      <c r="V270" s="30">
        <v>9751049833</v>
      </c>
      <c r="W270" s="30" t="s">
        <v>52</v>
      </c>
    </row>
    <row r="271" spans="2:23" ht="15" thickBot="1" x14ac:dyDescent="0.4">
      <c r="B271" s="27" t="s">
        <v>364</v>
      </c>
      <c r="C271" s="27" t="s">
        <v>87</v>
      </c>
      <c r="D271" s="27" t="s">
        <v>68</v>
      </c>
      <c r="E271" s="28">
        <v>45696</v>
      </c>
      <c r="F271" s="28">
        <v>45704</v>
      </c>
      <c r="G271" s="27" t="s">
        <v>88</v>
      </c>
      <c r="H271" s="27" t="s">
        <v>58</v>
      </c>
      <c r="I271" s="28">
        <v>35964</v>
      </c>
      <c r="J271" s="27" t="s">
        <v>74</v>
      </c>
      <c r="K271" s="27" t="s">
        <v>75</v>
      </c>
      <c r="L271" s="27" t="s">
        <v>29</v>
      </c>
      <c r="M271" s="27" t="s">
        <v>70</v>
      </c>
      <c r="N271" s="27">
        <v>4</v>
      </c>
      <c r="O271" s="27">
        <v>3500</v>
      </c>
      <c r="P271" s="27">
        <v>20</v>
      </c>
      <c r="Q271" s="27">
        <v>11200</v>
      </c>
      <c r="R271" s="27">
        <v>1</v>
      </c>
      <c r="S271" s="27" t="s">
        <v>60</v>
      </c>
      <c r="T271" s="27" t="s">
        <v>80</v>
      </c>
      <c r="U271" s="27" t="s">
        <v>89</v>
      </c>
      <c r="V271" s="27">
        <v>9741671507</v>
      </c>
      <c r="W271" s="21" t="s">
        <v>34</v>
      </c>
    </row>
    <row r="272" spans="2:23" ht="15" thickBot="1" x14ac:dyDescent="0.4">
      <c r="B272" s="30" t="s">
        <v>365</v>
      </c>
      <c r="C272" s="30" t="s">
        <v>124</v>
      </c>
      <c r="D272" s="30" t="s">
        <v>138</v>
      </c>
      <c r="E272" s="31">
        <v>45713</v>
      </c>
      <c r="F272" s="31">
        <v>45720</v>
      </c>
      <c r="G272" s="30" t="s">
        <v>126</v>
      </c>
      <c r="H272" s="30" t="s">
        <v>58</v>
      </c>
      <c r="I272" s="31">
        <v>30337</v>
      </c>
      <c r="J272" s="30" t="s">
        <v>27</v>
      </c>
      <c r="K272" s="30" t="s">
        <v>28</v>
      </c>
      <c r="L272" s="30" t="s">
        <v>83</v>
      </c>
      <c r="M272" s="30" t="s">
        <v>139</v>
      </c>
      <c r="N272" s="30">
        <v>19</v>
      </c>
      <c r="O272" s="30">
        <v>45</v>
      </c>
      <c r="P272" s="30">
        <v>10</v>
      </c>
      <c r="Q272" s="30">
        <v>769.5</v>
      </c>
      <c r="R272" s="30">
        <v>1</v>
      </c>
      <c r="S272" s="30" t="s">
        <v>31</v>
      </c>
      <c r="T272" s="30" t="s">
        <v>80</v>
      </c>
      <c r="U272" s="30" t="s">
        <v>128</v>
      </c>
      <c r="V272" s="30">
        <v>9367541035</v>
      </c>
      <c r="W272" s="22" t="s">
        <v>34</v>
      </c>
    </row>
    <row r="273" spans="2:23" ht="15" thickBot="1" x14ac:dyDescent="0.4">
      <c r="B273" s="27" t="s">
        <v>366</v>
      </c>
      <c r="C273" s="27" t="s">
        <v>45</v>
      </c>
      <c r="D273" s="27" t="s">
        <v>138</v>
      </c>
      <c r="E273" s="28">
        <v>46049</v>
      </c>
      <c r="F273" s="28">
        <v>46059</v>
      </c>
      <c r="G273" s="27" t="s">
        <v>101</v>
      </c>
      <c r="H273" s="27" t="s">
        <v>26</v>
      </c>
      <c r="I273" s="28">
        <v>28552</v>
      </c>
      <c r="J273" s="27" t="s">
        <v>79</v>
      </c>
      <c r="K273" s="27" t="s">
        <v>75</v>
      </c>
      <c r="L273" s="27" t="s">
        <v>83</v>
      </c>
      <c r="M273" s="27" t="s">
        <v>139</v>
      </c>
      <c r="N273" s="27">
        <v>10</v>
      </c>
      <c r="O273" s="27">
        <v>45</v>
      </c>
      <c r="P273" s="27">
        <v>0</v>
      </c>
      <c r="Q273" s="27">
        <v>450</v>
      </c>
      <c r="R273" s="27">
        <v>4</v>
      </c>
      <c r="S273" s="27" t="s">
        <v>65</v>
      </c>
      <c r="T273" s="27" t="s">
        <v>50</v>
      </c>
      <c r="U273" s="27" t="s">
        <v>51</v>
      </c>
      <c r="V273" s="27">
        <v>9323696971</v>
      </c>
      <c r="W273" s="21" t="s">
        <v>34</v>
      </c>
    </row>
    <row r="274" spans="2:23" ht="15" thickBot="1" x14ac:dyDescent="0.4">
      <c r="B274" s="30" t="s">
        <v>367</v>
      </c>
      <c r="C274" s="30" t="s">
        <v>45</v>
      </c>
      <c r="D274" s="30" t="s">
        <v>138</v>
      </c>
      <c r="E274" s="31">
        <v>46030</v>
      </c>
      <c r="F274" s="31">
        <v>46039</v>
      </c>
      <c r="G274" s="30" t="s">
        <v>101</v>
      </c>
      <c r="H274" s="30" t="s">
        <v>26</v>
      </c>
      <c r="I274" s="31">
        <v>35605</v>
      </c>
      <c r="J274" s="30" t="s">
        <v>27</v>
      </c>
      <c r="K274" s="30" t="s">
        <v>28</v>
      </c>
      <c r="L274" s="30" t="s">
        <v>83</v>
      </c>
      <c r="M274" s="30" t="s">
        <v>139</v>
      </c>
      <c r="N274" s="30">
        <v>16</v>
      </c>
      <c r="O274" s="30">
        <v>45</v>
      </c>
      <c r="P274" s="30">
        <v>15</v>
      </c>
      <c r="Q274" s="30">
        <v>612</v>
      </c>
      <c r="R274" s="30">
        <v>3</v>
      </c>
      <c r="S274" s="30" t="s">
        <v>31</v>
      </c>
      <c r="T274" s="30" t="s">
        <v>80</v>
      </c>
      <c r="U274" s="30" t="s">
        <v>51</v>
      </c>
      <c r="V274" s="30">
        <v>9786384529</v>
      </c>
      <c r="W274" s="30" t="s">
        <v>53</v>
      </c>
    </row>
    <row r="275" spans="2:23" ht="15" thickBot="1" x14ac:dyDescent="0.4">
      <c r="B275" s="27" t="s">
        <v>368</v>
      </c>
      <c r="C275" s="27" t="s">
        <v>104</v>
      </c>
      <c r="D275" s="27" t="s">
        <v>105</v>
      </c>
      <c r="E275" s="28">
        <v>45741</v>
      </c>
      <c r="F275" s="28">
        <v>45743</v>
      </c>
      <c r="G275" s="27" t="s">
        <v>166</v>
      </c>
      <c r="H275" s="27" t="s">
        <v>26</v>
      </c>
      <c r="I275" s="28">
        <v>27997</v>
      </c>
      <c r="J275" s="27" t="s">
        <v>79</v>
      </c>
      <c r="K275" s="27" t="s">
        <v>75</v>
      </c>
      <c r="L275" s="27" t="s">
        <v>29</v>
      </c>
      <c r="M275" s="27" t="s">
        <v>107</v>
      </c>
      <c r="N275" s="27">
        <v>16</v>
      </c>
      <c r="O275" s="27">
        <v>8500</v>
      </c>
      <c r="P275" s="27">
        <v>15</v>
      </c>
      <c r="Q275" s="27">
        <v>115600</v>
      </c>
      <c r="R275" s="27">
        <v>4</v>
      </c>
      <c r="S275" s="27" t="s">
        <v>41</v>
      </c>
      <c r="T275" s="27" t="s">
        <v>32</v>
      </c>
      <c r="U275" s="27" t="s">
        <v>108</v>
      </c>
      <c r="V275" s="27">
        <v>9444900541</v>
      </c>
      <c r="W275" s="27" t="s">
        <v>53</v>
      </c>
    </row>
    <row r="276" spans="2:23" ht="15" thickBot="1" x14ac:dyDescent="0.4">
      <c r="B276" s="30" t="s">
        <v>369</v>
      </c>
      <c r="C276" s="30" t="s">
        <v>104</v>
      </c>
      <c r="D276" s="30" t="s">
        <v>125</v>
      </c>
      <c r="E276" s="31">
        <v>45901</v>
      </c>
      <c r="F276" s="31">
        <v>45912</v>
      </c>
      <c r="G276" s="30" t="s">
        <v>166</v>
      </c>
      <c r="H276" s="30" t="s">
        <v>26</v>
      </c>
      <c r="I276" s="31">
        <v>35159</v>
      </c>
      <c r="J276" s="30" t="s">
        <v>147</v>
      </c>
      <c r="K276" s="30" t="s">
        <v>148</v>
      </c>
      <c r="L276" s="30" t="s">
        <v>83</v>
      </c>
      <c r="M276" s="30" t="s">
        <v>127</v>
      </c>
      <c r="N276" s="30">
        <v>15</v>
      </c>
      <c r="O276" s="30">
        <v>20</v>
      </c>
      <c r="P276" s="30">
        <v>20</v>
      </c>
      <c r="Q276" s="30">
        <v>240</v>
      </c>
      <c r="R276" s="30">
        <v>3</v>
      </c>
      <c r="S276" s="30" t="s">
        <v>41</v>
      </c>
      <c r="T276" s="30" t="s">
        <v>42</v>
      </c>
      <c r="U276" s="30" t="s">
        <v>108</v>
      </c>
      <c r="V276" s="30">
        <v>9108024911</v>
      </c>
      <c r="W276" s="30" t="s">
        <v>53</v>
      </c>
    </row>
    <row r="277" spans="2:23" ht="15" thickBot="1" x14ac:dyDescent="0.4">
      <c r="B277" s="27" t="s">
        <v>370</v>
      </c>
      <c r="C277" s="27" t="s">
        <v>63</v>
      </c>
      <c r="D277" s="27" t="s">
        <v>82</v>
      </c>
      <c r="E277" s="28">
        <v>46031</v>
      </c>
      <c r="F277" s="28">
        <v>46035</v>
      </c>
      <c r="G277" s="27" t="s">
        <v>110</v>
      </c>
      <c r="H277" s="27" t="s">
        <v>58</v>
      </c>
      <c r="I277" s="28">
        <v>37173</v>
      </c>
      <c r="J277" s="27" t="s">
        <v>48</v>
      </c>
      <c r="K277" s="27" t="s">
        <v>28</v>
      </c>
      <c r="L277" s="27" t="s">
        <v>83</v>
      </c>
      <c r="M277" s="27" t="s">
        <v>84</v>
      </c>
      <c r="N277" s="27">
        <v>14</v>
      </c>
      <c r="O277" s="27">
        <v>60</v>
      </c>
      <c r="P277" s="27">
        <v>5</v>
      </c>
      <c r="Q277" s="27">
        <v>798</v>
      </c>
      <c r="R277" s="27">
        <v>4</v>
      </c>
      <c r="S277" s="27" t="s">
        <v>31</v>
      </c>
      <c r="T277" s="27" t="s">
        <v>42</v>
      </c>
      <c r="U277" s="27" t="s">
        <v>66</v>
      </c>
      <c r="V277" s="27">
        <v>9897181325</v>
      </c>
      <c r="W277" s="21" t="s">
        <v>34</v>
      </c>
    </row>
    <row r="278" spans="2:23" ht="15" thickBot="1" x14ac:dyDescent="0.4">
      <c r="B278" s="30" t="s">
        <v>371</v>
      </c>
      <c r="C278" s="30" t="s">
        <v>45</v>
      </c>
      <c r="D278" s="30" t="s">
        <v>56</v>
      </c>
      <c r="E278" s="31">
        <v>46158</v>
      </c>
      <c r="F278" s="31">
        <v>46161</v>
      </c>
      <c r="G278" s="30" t="s">
        <v>101</v>
      </c>
      <c r="H278" s="30" t="s">
        <v>26</v>
      </c>
      <c r="I278" s="31">
        <v>34800</v>
      </c>
      <c r="J278" s="30" t="s">
        <v>74</v>
      </c>
      <c r="K278" s="30" t="s">
        <v>75</v>
      </c>
      <c r="L278" s="30" t="s">
        <v>39</v>
      </c>
      <c r="M278" s="30" t="s">
        <v>59</v>
      </c>
      <c r="N278" s="30">
        <v>19</v>
      </c>
      <c r="O278" s="30">
        <v>1200</v>
      </c>
      <c r="P278" s="30">
        <v>20</v>
      </c>
      <c r="Q278" s="30">
        <v>18240</v>
      </c>
      <c r="R278" s="30">
        <v>2</v>
      </c>
      <c r="S278" s="30" t="s">
        <v>31</v>
      </c>
      <c r="T278" s="30" t="s">
        <v>80</v>
      </c>
      <c r="U278" s="30" t="s">
        <v>51</v>
      </c>
      <c r="V278" s="30">
        <v>9554719621</v>
      </c>
      <c r="W278" s="30" t="s">
        <v>53</v>
      </c>
    </row>
    <row r="279" spans="2:23" ht="15" thickBot="1" x14ac:dyDescent="0.4">
      <c r="B279" s="27" t="s">
        <v>372</v>
      </c>
      <c r="C279" s="27" t="s">
        <v>23</v>
      </c>
      <c r="D279" s="27" t="s">
        <v>138</v>
      </c>
      <c r="E279" s="28">
        <v>45943</v>
      </c>
      <c r="F279" s="28">
        <v>45944</v>
      </c>
      <c r="G279" s="27" t="s">
        <v>25</v>
      </c>
      <c r="H279" s="27" t="s">
        <v>26</v>
      </c>
      <c r="I279" s="28">
        <v>36650</v>
      </c>
      <c r="J279" s="27" t="s">
        <v>48</v>
      </c>
      <c r="K279" s="27" t="s">
        <v>28</v>
      </c>
      <c r="L279" s="27" t="s">
        <v>83</v>
      </c>
      <c r="M279" s="27" t="s">
        <v>139</v>
      </c>
      <c r="N279" s="27">
        <v>5</v>
      </c>
      <c r="O279" s="27">
        <v>45</v>
      </c>
      <c r="P279" s="27">
        <v>15</v>
      </c>
      <c r="Q279" s="27">
        <v>191.25</v>
      </c>
      <c r="R279" s="27">
        <v>2</v>
      </c>
      <c r="S279" s="27" t="s">
        <v>31</v>
      </c>
      <c r="T279" s="27" t="s">
        <v>50</v>
      </c>
      <c r="U279" s="27" t="s">
        <v>43</v>
      </c>
      <c r="V279" s="27">
        <v>9815899217</v>
      </c>
      <c r="W279" s="27" t="s">
        <v>53</v>
      </c>
    </row>
    <row r="280" spans="2:23" ht="15" thickBot="1" x14ac:dyDescent="0.4">
      <c r="B280" s="30" t="s">
        <v>373</v>
      </c>
      <c r="C280" s="30" t="s">
        <v>156</v>
      </c>
      <c r="D280" s="30" t="s">
        <v>112</v>
      </c>
      <c r="E280" s="31">
        <v>45802</v>
      </c>
      <c r="F280" s="31">
        <v>45809</v>
      </c>
      <c r="G280" s="30" t="s">
        <v>106</v>
      </c>
      <c r="H280" s="30" t="s">
        <v>58</v>
      </c>
      <c r="I280" s="31">
        <v>37316</v>
      </c>
      <c r="J280" s="30" t="s">
        <v>27</v>
      </c>
      <c r="K280" s="30" t="s">
        <v>28</v>
      </c>
      <c r="L280" s="30" t="s">
        <v>39</v>
      </c>
      <c r="M280" s="30" t="s">
        <v>114</v>
      </c>
      <c r="N280" s="30">
        <v>19</v>
      </c>
      <c r="O280" s="30">
        <v>700</v>
      </c>
      <c r="P280" s="30">
        <v>5</v>
      </c>
      <c r="Q280" s="30">
        <v>12635</v>
      </c>
      <c r="R280" s="30">
        <v>5</v>
      </c>
      <c r="S280" s="30" t="s">
        <v>65</v>
      </c>
      <c r="T280" s="30" t="s">
        <v>96</v>
      </c>
      <c r="U280" s="30" t="s">
        <v>158</v>
      </c>
      <c r="V280" s="30">
        <v>9308497039</v>
      </c>
      <c r="W280" s="22" t="s">
        <v>34</v>
      </c>
    </row>
    <row r="281" spans="2:23" ht="15" thickBot="1" x14ac:dyDescent="0.4">
      <c r="B281" s="27" t="s">
        <v>374</v>
      </c>
      <c r="C281" s="27" t="s">
        <v>87</v>
      </c>
      <c r="D281" s="27" t="s">
        <v>82</v>
      </c>
      <c r="E281" s="28">
        <v>46025</v>
      </c>
      <c r="F281" s="28">
        <v>46026</v>
      </c>
      <c r="G281" s="27" t="s">
        <v>88</v>
      </c>
      <c r="H281" s="27" t="s">
        <v>58</v>
      </c>
      <c r="I281" s="28">
        <v>27541</v>
      </c>
      <c r="J281" s="27" t="s">
        <v>147</v>
      </c>
      <c r="K281" s="27" t="s">
        <v>148</v>
      </c>
      <c r="L281" s="27" t="s">
        <v>83</v>
      </c>
      <c r="M281" s="27" t="s">
        <v>84</v>
      </c>
      <c r="N281" s="27">
        <v>7</v>
      </c>
      <c r="O281" s="27">
        <v>60</v>
      </c>
      <c r="P281" s="27">
        <v>0</v>
      </c>
      <c r="Q281" s="27">
        <v>420</v>
      </c>
      <c r="R281" s="27">
        <v>4</v>
      </c>
      <c r="S281" s="27" t="s">
        <v>31</v>
      </c>
      <c r="T281" s="27" t="s">
        <v>80</v>
      </c>
      <c r="U281" s="27" t="s">
        <v>89</v>
      </c>
      <c r="V281" s="27">
        <v>9882054354</v>
      </c>
      <c r="W281" s="27" t="s">
        <v>52</v>
      </c>
    </row>
    <row r="282" spans="2:23" ht="15" thickBot="1" x14ac:dyDescent="0.4">
      <c r="B282" s="30" t="s">
        <v>376</v>
      </c>
      <c r="C282" s="30" t="s">
        <v>55</v>
      </c>
      <c r="D282" s="30" t="s">
        <v>24</v>
      </c>
      <c r="E282" s="31">
        <v>46013</v>
      </c>
      <c r="F282" s="31">
        <v>46024</v>
      </c>
      <c r="G282" s="30" t="s">
        <v>57</v>
      </c>
      <c r="H282" s="30" t="s">
        <v>58</v>
      </c>
      <c r="I282" s="31">
        <v>32479</v>
      </c>
      <c r="J282" s="30" t="s">
        <v>74</v>
      </c>
      <c r="K282" s="30" t="s">
        <v>75</v>
      </c>
      <c r="L282" s="30" t="s">
        <v>29</v>
      </c>
      <c r="M282" s="30" t="s">
        <v>30</v>
      </c>
      <c r="N282" s="30">
        <v>13</v>
      </c>
      <c r="O282" s="30">
        <v>2200</v>
      </c>
      <c r="P282" s="30">
        <v>10</v>
      </c>
      <c r="Q282" s="30">
        <v>25740</v>
      </c>
      <c r="R282" s="30">
        <v>1</v>
      </c>
      <c r="S282" s="30" t="s">
        <v>60</v>
      </c>
      <c r="T282" s="30" t="s">
        <v>96</v>
      </c>
      <c r="U282" s="30" t="s">
        <v>61</v>
      </c>
      <c r="V282" s="30">
        <v>9193016830</v>
      </c>
      <c r="W282" s="22" t="s">
        <v>34</v>
      </c>
    </row>
    <row r="283" spans="2:23" ht="15" thickBot="1" x14ac:dyDescent="0.4">
      <c r="B283" s="27" t="s">
        <v>377</v>
      </c>
      <c r="C283" s="27" t="s">
        <v>55</v>
      </c>
      <c r="D283" s="27" t="s">
        <v>24</v>
      </c>
      <c r="E283" s="28">
        <v>46019</v>
      </c>
      <c r="F283" s="28">
        <v>46027</v>
      </c>
      <c r="G283" s="27" t="s">
        <v>57</v>
      </c>
      <c r="H283" s="27" t="s">
        <v>58</v>
      </c>
      <c r="I283" s="28">
        <v>31022</v>
      </c>
      <c r="J283" s="27" t="s">
        <v>48</v>
      </c>
      <c r="K283" s="27" t="s">
        <v>28</v>
      </c>
      <c r="L283" s="27" t="s">
        <v>29</v>
      </c>
      <c r="M283" s="27" t="s">
        <v>30</v>
      </c>
      <c r="N283" s="27">
        <v>9</v>
      </c>
      <c r="O283" s="27">
        <v>2200</v>
      </c>
      <c r="P283" s="27">
        <v>10</v>
      </c>
      <c r="Q283" s="27">
        <v>17820</v>
      </c>
      <c r="R283" s="27">
        <v>2</v>
      </c>
      <c r="S283" s="27" t="s">
        <v>375</v>
      </c>
      <c r="T283" s="27" t="s">
        <v>50</v>
      </c>
      <c r="U283" s="27" t="s">
        <v>61</v>
      </c>
      <c r="V283" s="27">
        <v>9921470418</v>
      </c>
      <c r="W283" s="27" t="s">
        <v>53</v>
      </c>
    </row>
    <row r="284" spans="2:23" ht="15" thickBot="1" x14ac:dyDescent="0.4">
      <c r="B284" s="30" t="s">
        <v>378</v>
      </c>
      <c r="C284" s="30" t="s">
        <v>156</v>
      </c>
      <c r="D284" s="30" t="s">
        <v>105</v>
      </c>
      <c r="E284" s="31">
        <v>45792</v>
      </c>
      <c r="F284" s="31">
        <v>45794</v>
      </c>
      <c r="G284" s="30" t="s">
        <v>106</v>
      </c>
      <c r="H284" s="30" t="s">
        <v>58</v>
      </c>
      <c r="I284" s="31">
        <v>32994</v>
      </c>
      <c r="J284" s="30" t="s">
        <v>48</v>
      </c>
      <c r="K284" s="30" t="s">
        <v>28</v>
      </c>
      <c r="L284" s="30" t="s">
        <v>29</v>
      </c>
      <c r="M284" s="30" t="s">
        <v>107</v>
      </c>
      <c r="N284" s="30">
        <v>6</v>
      </c>
      <c r="O284" s="30">
        <v>8500</v>
      </c>
      <c r="P284" s="30">
        <v>15</v>
      </c>
      <c r="Q284" s="30">
        <v>43350</v>
      </c>
      <c r="R284" s="30">
        <v>2</v>
      </c>
      <c r="S284" s="30" t="s">
        <v>31</v>
      </c>
      <c r="T284" s="30" t="s">
        <v>96</v>
      </c>
      <c r="U284" s="30" t="s">
        <v>158</v>
      </c>
      <c r="V284" s="30">
        <v>9686979026</v>
      </c>
      <c r="W284" s="30" t="s">
        <v>53</v>
      </c>
    </row>
    <row r="285" spans="2:23" ht="15" thickBot="1" x14ac:dyDescent="0.4">
      <c r="B285" s="27" t="s">
        <v>379</v>
      </c>
      <c r="C285" s="27" t="s">
        <v>124</v>
      </c>
      <c r="D285" s="27" t="s">
        <v>24</v>
      </c>
      <c r="E285" s="28">
        <v>46070</v>
      </c>
      <c r="F285" s="28">
        <v>46078</v>
      </c>
      <c r="G285" s="27" t="s">
        <v>126</v>
      </c>
      <c r="H285" s="27" t="s">
        <v>58</v>
      </c>
      <c r="I285" s="28">
        <v>32182</v>
      </c>
      <c r="J285" s="27" t="s">
        <v>37</v>
      </c>
      <c r="K285" s="27" t="s">
        <v>38</v>
      </c>
      <c r="L285" s="27" t="s">
        <v>29</v>
      </c>
      <c r="M285" s="27" t="s">
        <v>30</v>
      </c>
      <c r="N285" s="27">
        <v>9</v>
      </c>
      <c r="O285" s="27">
        <v>2200</v>
      </c>
      <c r="P285" s="27">
        <v>10</v>
      </c>
      <c r="Q285" s="27">
        <v>17820</v>
      </c>
      <c r="R285" s="27">
        <v>3</v>
      </c>
      <c r="S285" s="27" t="s">
        <v>60</v>
      </c>
      <c r="T285" s="27" t="s">
        <v>32</v>
      </c>
      <c r="U285" s="27" t="s">
        <v>128</v>
      </c>
      <c r="V285" s="27">
        <v>9569007422</v>
      </c>
      <c r="W285" s="27" t="s">
        <v>52</v>
      </c>
    </row>
    <row r="286" spans="2:23" ht="15" thickBot="1" x14ac:dyDescent="0.4">
      <c r="B286" s="30" t="s">
        <v>380</v>
      </c>
      <c r="C286" s="30" t="s">
        <v>23</v>
      </c>
      <c r="D286" s="30" t="s">
        <v>105</v>
      </c>
      <c r="E286" s="31">
        <v>45739</v>
      </c>
      <c r="F286" s="31">
        <v>45742</v>
      </c>
      <c r="G286" s="30" t="s">
        <v>25</v>
      </c>
      <c r="H286" s="30" t="s">
        <v>26</v>
      </c>
      <c r="I286" s="31">
        <v>30038</v>
      </c>
      <c r="J286" s="30" t="s">
        <v>147</v>
      </c>
      <c r="K286" s="30" t="s">
        <v>148</v>
      </c>
      <c r="L286" s="30" t="s">
        <v>29</v>
      </c>
      <c r="M286" s="30" t="s">
        <v>107</v>
      </c>
      <c r="N286" s="30">
        <v>16</v>
      </c>
      <c r="O286" s="30">
        <v>8500</v>
      </c>
      <c r="P286" s="30">
        <v>0</v>
      </c>
      <c r="Q286" s="30">
        <v>136000</v>
      </c>
      <c r="R286" s="30">
        <v>5</v>
      </c>
      <c r="S286" s="30" t="s">
        <v>65</v>
      </c>
      <c r="T286" s="30" t="s">
        <v>80</v>
      </c>
      <c r="U286" s="30" t="s">
        <v>43</v>
      </c>
      <c r="V286" s="30">
        <v>9180820441</v>
      </c>
      <c r="W286" s="30" t="s">
        <v>53</v>
      </c>
    </row>
    <row r="287" spans="2:23" ht="15" thickBot="1" x14ac:dyDescent="0.4">
      <c r="B287" s="27" t="s">
        <v>381</v>
      </c>
      <c r="C287" s="27" t="s">
        <v>156</v>
      </c>
      <c r="D287" s="27" t="s">
        <v>56</v>
      </c>
      <c r="E287" s="28">
        <v>46006</v>
      </c>
      <c r="F287" s="28">
        <v>46007</v>
      </c>
      <c r="G287" s="27" t="s">
        <v>106</v>
      </c>
      <c r="H287" s="27" t="s">
        <v>58</v>
      </c>
      <c r="I287" s="28">
        <v>28122</v>
      </c>
      <c r="J287" s="27" t="s">
        <v>37</v>
      </c>
      <c r="K287" s="27" t="s">
        <v>38</v>
      </c>
      <c r="L287" s="27" t="s">
        <v>39</v>
      </c>
      <c r="M287" s="27" t="s">
        <v>59</v>
      </c>
      <c r="N287" s="27">
        <v>10</v>
      </c>
      <c r="O287" s="27">
        <v>1200</v>
      </c>
      <c r="P287" s="27">
        <v>15</v>
      </c>
      <c r="Q287" s="27">
        <v>10200</v>
      </c>
      <c r="R287" s="27">
        <v>5</v>
      </c>
      <c r="S287" s="27" t="s">
        <v>31</v>
      </c>
      <c r="T287" s="27" t="s">
        <v>42</v>
      </c>
      <c r="U287" s="27" t="s">
        <v>158</v>
      </c>
      <c r="V287" s="27">
        <v>9769075826</v>
      </c>
      <c r="W287" s="21" t="s">
        <v>34</v>
      </c>
    </row>
    <row r="288" spans="2:23" ht="15" thickBot="1" x14ac:dyDescent="0.4">
      <c r="B288" s="30" t="s">
        <v>382</v>
      </c>
      <c r="C288" s="30" t="s">
        <v>87</v>
      </c>
      <c r="D288" s="30" t="s">
        <v>36</v>
      </c>
      <c r="E288" s="31">
        <v>45721</v>
      </c>
      <c r="F288" s="31">
        <v>45731</v>
      </c>
      <c r="G288" s="30" t="s">
        <v>88</v>
      </c>
      <c r="H288" s="30" t="s">
        <v>58</v>
      </c>
      <c r="I288" s="31">
        <v>37836</v>
      </c>
      <c r="J288" s="30" t="s">
        <v>147</v>
      </c>
      <c r="K288" s="30" t="s">
        <v>148</v>
      </c>
      <c r="L288" s="30" t="s">
        <v>39</v>
      </c>
      <c r="M288" s="30" t="s">
        <v>40</v>
      </c>
      <c r="N288" s="30">
        <v>7</v>
      </c>
      <c r="O288" s="30">
        <v>12000</v>
      </c>
      <c r="P288" s="30">
        <v>0</v>
      </c>
      <c r="Q288" s="30">
        <v>84000</v>
      </c>
      <c r="R288" s="30">
        <v>1</v>
      </c>
      <c r="S288" s="30" t="s">
        <v>65</v>
      </c>
      <c r="T288" s="30" t="s">
        <v>96</v>
      </c>
      <c r="U288" s="30" t="s">
        <v>89</v>
      </c>
      <c r="V288" s="30">
        <v>9467916296</v>
      </c>
      <c r="W288" s="30" t="s">
        <v>52</v>
      </c>
    </row>
    <row r="289" spans="2:23" ht="15" thickBot="1" x14ac:dyDescent="0.4">
      <c r="B289" s="27" t="s">
        <v>383</v>
      </c>
      <c r="C289" s="27" t="s">
        <v>124</v>
      </c>
      <c r="D289" s="27" t="s">
        <v>36</v>
      </c>
      <c r="E289" s="28">
        <v>45919</v>
      </c>
      <c r="F289" s="28">
        <v>45931</v>
      </c>
      <c r="G289" s="27" t="s">
        <v>126</v>
      </c>
      <c r="H289" s="27" t="s">
        <v>58</v>
      </c>
      <c r="I289" s="28">
        <v>31538</v>
      </c>
      <c r="J289" s="27" t="s">
        <v>79</v>
      </c>
      <c r="K289" s="27" t="s">
        <v>75</v>
      </c>
      <c r="L289" s="27" t="s">
        <v>39</v>
      </c>
      <c r="M289" s="27" t="s">
        <v>40</v>
      </c>
      <c r="N289" s="27">
        <v>3</v>
      </c>
      <c r="O289" s="27">
        <v>12000</v>
      </c>
      <c r="P289" s="27">
        <v>10</v>
      </c>
      <c r="Q289" s="27">
        <v>32400</v>
      </c>
      <c r="R289" s="27">
        <v>4</v>
      </c>
      <c r="S289" s="27" t="s">
        <v>60</v>
      </c>
      <c r="T289" s="27" t="s">
        <v>96</v>
      </c>
      <c r="U289" s="27" t="s">
        <v>128</v>
      </c>
      <c r="V289" s="27">
        <v>9477052923</v>
      </c>
      <c r="W289" s="21" t="s">
        <v>34</v>
      </c>
    </row>
    <row r="290" spans="2:23" ht="15" thickBot="1" x14ac:dyDescent="0.4">
      <c r="B290" s="30" t="s">
        <v>384</v>
      </c>
      <c r="C290" s="30" t="s">
        <v>124</v>
      </c>
      <c r="D290" s="30" t="s">
        <v>36</v>
      </c>
      <c r="E290" s="31">
        <v>45964</v>
      </c>
      <c r="F290" s="31">
        <v>45970</v>
      </c>
      <c r="G290" s="30" t="s">
        <v>126</v>
      </c>
      <c r="H290" s="30" t="s">
        <v>58</v>
      </c>
      <c r="I290" s="31">
        <v>32543</v>
      </c>
      <c r="J290" s="30" t="s">
        <v>27</v>
      </c>
      <c r="K290" s="30" t="s">
        <v>28</v>
      </c>
      <c r="L290" s="30" t="s">
        <v>39</v>
      </c>
      <c r="M290" s="30" t="s">
        <v>40</v>
      </c>
      <c r="N290" s="30">
        <v>4</v>
      </c>
      <c r="O290" s="30">
        <v>12000</v>
      </c>
      <c r="P290" s="30">
        <v>15</v>
      </c>
      <c r="Q290" s="30">
        <v>40800</v>
      </c>
      <c r="R290" s="30">
        <v>3</v>
      </c>
      <c r="S290" s="30" t="s">
        <v>60</v>
      </c>
      <c r="T290" s="30" t="s">
        <v>32</v>
      </c>
      <c r="U290" s="30" t="s">
        <v>128</v>
      </c>
      <c r="V290" s="30">
        <v>9184311420</v>
      </c>
      <c r="W290" s="30" t="s">
        <v>52</v>
      </c>
    </row>
    <row r="291" spans="2:23" ht="15" thickBot="1" x14ac:dyDescent="0.4">
      <c r="B291" s="27" t="s">
        <v>385</v>
      </c>
      <c r="C291" s="27" t="s">
        <v>87</v>
      </c>
      <c r="D291" s="27" t="s">
        <v>36</v>
      </c>
      <c r="E291" s="28">
        <v>45824</v>
      </c>
      <c r="F291" s="28">
        <v>45826</v>
      </c>
      <c r="G291" s="27" t="s">
        <v>88</v>
      </c>
      <c r="H291" s="27" t="s">
        <v>58</v>
      </c>
      <c r="I291" s="28">
        <v>29259</v>
      </c>
      <c r="J291" s="27" t="s">
        <v>27</v>
      </c>
      <c r="K291" s="27" t="s">
        <v>28</v>
      </c>
      <c r="L291" s="27" t="s">
        <v>39</v>
      </c>
      <c r="M291" s="27" t="s">
        <v>40</v>
      </c>
      <c r="N291" s="27">
        <v>13</v>
      </c>
      <c r="O291" s="27">
        <v>12000</v>
      </c>
      <c r="P291" s="27">
        <v>10</v>
      </c>
      <c r="Q291" s="27">
        <v>140400</v>
      </c>
      <c r="R291" s="27">
        <v>2</v>
      </c>
      <c r="S291" s="27" t="s">
        <v>31</v>
      </c>
      <c r="T291" s="27" t="s">
        <v>96</v>
      </c>
      <c r="U291" s="27" t="s">
        <v>89</v>
      </c>
      <c r="V291" s="27">
        <v>9630913127</v>
      </c>
      <c r="W291" s="27" t="s">
        <v>53</v>
      </c>
    </row>
    <row r="292" spans="2:23" ht="15" thickBot="1" x14ac:dyDescent="0.4">
      <c r="B292" s="30" t="s">
        <v>386</v>
      </c>
      <c r="C292" s="30" t="s">
        <v>23</v>
      </c>
      <c r="D292" s="30" t="s">
        <v>68</v>
      </c>
      <c r="E292" s="31">
        <v>45812</v>
      </c>
      <c r="F292" s="31">
        <v>45819</v>
      </c>
      <c r="G292" s="30" t="s">
        <v>25</v>
      </c>
      <c r="H292" s="30" t="s">
        <v>26</v>
      </c>
      <c r="I292" s="31">
        <v>31060</v>
      </c>
      <c r="J292" s="30" t="s">
        <v>48</v>
      </c>
      <c r="K292" s="30" t="s">
        <v>28</v>
      </c>
      <c r="L292" s="30" t="s">
        <v>29</v>
      </c>
      <c r="M292" s="30" t="s">
        <v>70</v>
      </c>
      <c r="N292" s="30">
        <v>19</v>
      </c>
      <c r="O292" s="30">
        <v>3500</v>
      </c>
      <c r="P292" s="30">
        <v>20</v>
      </c>
      <c r="Q292" s="30">
        <v>53200</v>
      </c>
      <c r="R292" s="30">
        <v>1</v>
      </c>
      <c r="S292" s="30" t="s">
        <v>31</v>
      </c>
      <c r="T292" s="30" t="s">
        <v>50</v>
      </c>
      <c r="U292" s="30" t="s">
        <v>43</v>
      </c>
      <c r="V292" s="30">
        <v>9997515828</v>
      </c>
      <c r="W292" s="30" t="s">
        <v>53</v>
      </c>
    </row>
    <row r="293" spans="2:23" ht="15" thickBot="1" x14ac:dyDescent="0.4">
      <c r="B293" s="27" t="s">
        <v>387</v>
      </c>
      <c r="C293" s="27" t="s">
        <v>23</v>
      </c>
      <c r="D293" s="27" t="s">
        <v>24</v>
      </c>
      <c r="E293" s="28">
        <v>45695</v>
      </c>
      <c r="F293" s="28">
        <v>45700</v>
      </c>
      <c r="G293" s="27" t="s">
        <v>25</v>
      </c>
      <c r="H293" s="27" t="s">
        <v>26</v>
      </c>
      <c r="I293" s="28">
        <v>29060</v>
      </c>
      <c r="J293" s="27" t="s">
        <v>74</v>
      </c>
      <c r="K293" s="27" t="s">
        <v>75</v>
      </c>
      <c r="L293" s="27" t="s">
        <v>29</v>
      </c>
      <c r="M293" s="27" t="s">
        <v>30</v>
      </c>
      <c r="N293" s="27">
        <v>7</v>
      </c>
      <c r="O293" s="27">
        <v>2200</v>
      </c>
      <c r="P293" s="27">
        <v>5</v>
      </c>
      <c r="Q293" s="27">
        <v>14630</v>
      </c>
      <c r="R293" s="27">
        <v>3</v>
      </c>
      <c r="S293" s="27" t="s">
        <v>65</v>
      </c>
      <c r="T293" s="27" t="s">
        <v>50</v>
      </c>
      <c r="U293" s="27" t="s">
        <v>43</v>
      </c>
      <c r="V293" s="27">
        <v>9394291182</v>
      </c>
      <c r="W293" s="27" t="s">
        <v>53</v>
      </c>
    </row>
    <row r="294" spans="2:23" ht="15" thickBot="1" x14ac:dyDescent="0.4">
      <c r="B294" s="30" t="s">
        <v>388</v>
      </c>
      <c r="C294" s="30" t="s">
        <v>63</v>
      </c>
      <c r="D294" s="30" t="s">
        <v>112</v>
      </c>
      <c r="E294" s="31">
        <v>46151</v>
      </c>
      <c r="F294" s="31">
        <v>46155</v>
      </c>
      <c r="G294" s="30" t="s">
        <v>110</v>
      </c>
      <c r="H294" s="30" t="s">
        <v>58</v>
      </c>
      <c r="I294" s="31">
        <v>34184</v>
      </c>
      <c r="J294" s="30" t="s">
        <v>121</v>
      </c>
      <c r="K294" s="30" t="s">
        <v>38</v>
      </c>
      <c r="L294" s="30" t="s">
        <v>39</v>
      </c>
      <c r="M294" s="30" t="s">
        <v>114</v>
      </c>
      <c r="N294" s="30">
        <v>18</v>
      </c>
      <c r="O294" s="30">
        <v>700</v>
      </c>
      <c r="P294" s="30">
        <v>5</v>
      </c>
      <c r="Q294" s="30">
        <v>11970</v>
      </c>
      <c r="R294" s="30">
        <v>2</v>
      </c>
      <c r="S294" s="30" t="s">
        <v>65</v>
      </c>
      <c r="T294" s="30" t="s">
        <v>50</v>
      </c>
      <c r="U294" s="30" t="s">
        <v>66</v>
      </c>
      <c r="V294" s="30">
        <v>9616853220</v>
      </c>
      <c r="W294" s="30" t="s">
        <v>53</v>
      </c>
    </row>
    <row r="295" spans="2:23" ht="15" thickBot="1" x14ac:dyDescent="0.4">
      <c r="B295" s="27" t="s">
        <v>389</v>
      </c>
      <c r="C295" s="27" t="s">
        <v>23</v>
      </c>
      <c r="D295" s="27" t="s">
        <v>125</v>
      </c>
      <c r="E295" s="28">
        <v>45858</v>
      </c>
      <c r="F295" s="28">
        <v>45868</v>
      </c>
      <c r="G295" s="27" t="s">
        <v>25</v>
      </c>
      <c r="H295" s="27" t="s">
        <v>26</v>
      </c>
      <c r="I295" s="28">
        <v>27629</v>
      </c>
      <c r="J295" s="27" t="s">
        <v>147</v>
      </c>
      <c r="K295" s="27" t="s">
        <v>148</v>
      </c>
      <c r="L295" s="27" t="s">
        <v>83</v>
      </c>
      <c r="M295" s="27" t="s">
        <v>127</v>
      </c>
      <c r="N295" s="27">
        <v>11</v>
      </c>
      <c r="O295" s="27">
        <v>20</v>
      </c>
      <c r="P295" s="27">
        <v>0</v>
      </c>
      <c r="Q295" s="27">
        <v>220</v>
      </c>
      <c r="R295" s="27">
        <v>2</v>
      </c>
      <c r="S295" s="27" t="s">
        <v>41</v>
      </c>
      <c r="T295" s="27" t="s">
        <v>80</v>
      </c>
      <c r="U295" s="27" t="s">
        <v>43</v>
      </c>
      <c r="V295" s="27">
        <v>9147552626</v>
      </c>
      <c r="W295" s="27" t="s">
        <v>53</v>
      </c>
    </row>
    <row r="296" spans="2:23" ht="15" thickBot="1" x14ac:dyDescent="0.4">
      <c r="B296" s="30" t="s">
        <v>390</v>
      </c>
      <c r="C296" s="30" t="s">
        <v>156</v>
      </c>
      <c r="D296" s="30" t="s">
        <v>36</v>
      </c>
      <c r="E296" s="31">
        <v>45716</v>
      </c>
      <c r="F296" s="31">
        <v>45723</v>
      </c>
      <c r="G296" s="30" t="s">
        <v>106</v>
      </c>
      <c r="H296" s="30" t="s">
        <v>58</v>
      </c>
      <c r="I296" s="31">
        <v>28603</v>
      </c>
      <c r="J296" s="30" t="s">
        <v>79</v>
      </c>
      <c r="K296" s="30" t="s">
        <v>75</v>
      </c>
      <c r="L296" s="30" t="s">
        <v>39</v>
      </c>
      <c r="M296" s="30" t="s">
        <v>40</v>
      </c>
      <c r="N296" s="30">
        <v>17</v>
      </c>
      <c r="O296" s="30">
        <v>12000</v>
      </c>
      <c r="P296" s="30">
        <v>20</v>
      </c>
      <c r="Q296" s="30">
        <v>163200</v>
      </c>
      <c r="R296" s="30">
        <v>4</v>
      </c>
      <c r="S296" s="30" t="s">
        <v>65</v>
      </c>
      <c r="T296" s="30" t="s">
        <v>96</v>
      </c>
      <c r="U296" s="30" t="s">
        <v>158</v>
      </c>
      <c r="V296" s="30">
        <v>9724197033</v>
      </c>
      <c r="W296" s="22" t="s">
        <v>34</v>
      </c>
    </row>
    <row r="297" spans="2:23" ht="15" thickBot="1" x14ac:dyDescent="0.4">
      <c r="B297" s="27" t="s">
        <v>391</v>
      </c>
      <c r="C297" s="27" t="s">
        <v>134</v>
      </c>
      <c r="D297" s="27" t="s">
        <v>24</v>
      </c>
      <c r="E297" s="28">
        <v>45846</v>
      </c>
      <c r="F297" s="28">
        <v>45851</v>
      </c>
      <c r="G297" s="27" t="s">
        <v>135</v>
      </c>
      <c r="H297" s="27" t="s">
        <v>26</v>
      </c>
      <c r="I297" s="28">
        <v>37889</v>
      </c>
      <c r="J297" s="27" t="s">
        <v>147</v>
      </c>
      <c r="K297" s="27" t="s">
        <v>148</v>
      </c>
      <c r="L297" s="27" t="s">
        <v>29</v>
      </c>
      <c r="M297" s="27" t="s">
        <v>30</v>
      </c>
      <c r="N297" s="27">
        <v>4</v>
      </c>
      <c r="O297" s="27">
        <v>2200</v>
      </c>
      <c r="P297" s="27">
        <v>5</v>
      </c>
      <c r="Q297" s="27">
        <v>8360</v>
      </c>
      <c r="R297" s="27">
        <v>2</v>
      </c>
      <c r="S297" s="27" t="s">
        <v>31</v>
      </c>
      <c r="T297" s="27" t="s">
        <v>32</v>
      </c>
      <c r="U297" s="27" t="s">
        <v>136</v>
      </c>
      <c r="V297" s="27">
        <v>9130666128</v>
      </c>
      <c r="W297" s="21" t="s">
        <v>34</v>
      </c>
    </row>
    <row r="298" spans="2:23" ht="15" thickBot="1" x14ac:dyDescent="0.4">
      <c r="B298" s="30" t="s">
        <v>392</v>
      </c>
      <c r="C298" s="30" t="s">
        <v>23</v>
      </c>
      <c r="D298" s="30" t="s">
        <v>46</v>
      </c>
      <c r="E298" s="31">
        <v>46003</v>
      </c>
      <c r="F298" s="31">
        <v>46010</v>
      </c>
      <c r="G298" s="30" t="s">
        <v>25</v>
      </c>
      <c r="H298" s="30" t="s">
        <v>26</v>
      </c>
      <c r="I298" s="31">
        <v>37355</v>
      </c>
      <c r="J298" s="30" t="s">
        <v>91</v>
      </c>
      <c r="K298" s="30" t="s">
        <v>75</v>
      </c>
      <c r="L298" s="30" t="s">
        <v>39</v>
      </c>
      <c r="M298" s="30" t="s">
        <v>49</v>
      </c>
      <c r="N298" s="30">
        <v>6</v>
      </c>
      <c r="O298" s="30">
        <v>55000</v>
      </c>
      <c r="P298" s="30">
        <v>20</v>
      </c>
      <c r="Q298" s="30">
        <v>264000</v>
      </c>
      <c r="R298" s="30">
        <v>2</v>
      </c>
      <c r="S298" s="30" t="s">
        <v>65</v>
      </c>
      <c r="T298" s="30" t="s">
        <v>96</v>
      </c>
      <c r="U298" s="30" t="s">
        <v>43</v>
      </c>
      <c r="V298" s="30">
        <v>9866567601</v>
      </c>
      <c r="W298" s="30" t="s">
        <v>53</v>
      </c>
    </row>
    <row r="299" spans="2:23" ht="15" thickBot="1" x14ac:dyDescent="0.4">
      <c r="B299" s="27" t="s">
        <v>393</v>
      </c>
      <c r="C299" s="27" t="s">
        <v>55</v>
      </c>
      <c r="D299" s="27" t="s">
        <v>105</v>
      </c>
      <c r="E299" s="28">
        <v>46026</v>
      </c>
      <c r="F299" s="28">
        <v>46036</v>
      </c>
      <c r="G299" s="27" t="s">
        <v>57</v>
      </c>
      <c r="H299" s="27" t="s">
        <v>58</v>
      </c>
      <c r="I299" s="28">
        <v>31314</v>
      </c>
      <c r="J299" s="27" t="s">
        <v>37</v>
      </c>
      <c r="K299" s="27" t="s">
        <v>38</v>
      </c>
      <c r="L299" s="27" t="s">
        <v>29</v>
      </c>
      <c r="M299" s="27" t="s">
        <v>107</v>
      </c>
      <c r="N299" s="27">
        <v>6</v>
      </c>
      <c r="O299" s="27">
        <v>8500</v>
      </c>
      <c r="P299" s="27">
        <v>10</v>
      </c>
      <c r="Q299" s="27">
        <v>45900</v>
      </c>
      <c r="R299" s="27">
        <v>5</v>
      </c>
      <c r="S299" s="27" t="s">
        <v>65</v>
      </c>
      <c r="T299" s="27" t="s">
        <v>50</v>
      </c>
      <c r="U299" s="27" t="s">
        <v>61</v>
      </c>
      <c r="V299" s="27">
        <v>9477282450</v>
      </c>
      <c r="W299" s="21" t="s">
        <v>34</v>
      </c>
    </row>
    <row r="300" spans="2:23" ht="15" thickBot="1" x14ac:dyDescent="0.4">
      <c r="B300" s="30" t="s">
        <v>394</v>
      </c>
      <c r="C300" s="30" t="s">
        <v>23</v>
      </c>
      <c r="D300" s="30" t="s">
        <v>125</v>
      </c>
      <c r="E300" s="31">
        <v>45889</v>
      </c>
      <c r="F300" s="31">
        <v>45894</v>
      </c>
      <c r="G300" s="30" t="s">
        <v>25</v>
      </c>
      <c r="H300" s="30" t="s">
        <v>26</v>
      </c>
      <c r="I300" s="31">
        <v>31028</v>
      </c>
      <c r="J300" s="30" t="s">
        <v>121</v>
      </c>
      <c r="K300" s="30" t="s">
        <v>38</v>
      </c>
      <c r="L300" s="30" t="s">
        <v>83</v>
      </c>
      <c r="M300" s="30" t="s">
        <v>127</v>
      </c>
      <c r="N300" s="30">
        <v>6</v>
      </c>
      <c r="O300" s="30">
        <v>20</v>
      </c>
      <c r="P300" s="30">
        <v>15</v>
      </c>
      <c r="Q300" s="30">
        <v>102</v>
      </c>
      <c r="R300" s="30">
        <v>2</v>
      </c>
      <c r="S300" s="30" t="s">
        <v>65</v>
      </c>
      <c r="T300" s="30" t="s">
        <v>42</v>
      </c>
      <c r="U300" s="30" t="s">
        <v>43</v>
      </c>
      <c r="V300" s="30">
        <v>9857621478</v>
      </c>
      <c r="W300" s="30" t="s">
        <v>53</v>
      </c>
    </row>
    <row r="301" spans="2:23" ht="15" thickBot="1" x14ac:dyDescent="0.4">
      <c r="B301" s="27" t="s">
        <v>395</v>
      </c>
      <c r="C301" s="27" t="s">
        <v>45</v>
      </c>
      <c r="D301" s="27" t="s">
        <v>82</v>
      </c>
      <c r="E301" s="28">
        <v>45780</v>
      </c>
      <c r="F301" s="28">
        <v>45788</v>
      </c>
      <c r="G301" s="27" t="s">
        <v>101</v>
      </c>
      <c r="H301" s="27" t="s">
        <v>26</v>
      </c>
      <c r="I301" s="28">
        <v>30883</v>
      </c>
      <c r="J301" s="27" t="s">
        <v>74</v>
      </c>
      <c r="K301" s="27" t="s">
        <v>75</v>
      </c>
      <c r="L301" s="27" t="s">
        <v>83</v>
      </c>
      <c r="M301" s="27" t="s">
        <v>84</v>
      </c>
      <c r="N301" s="27">
        <v>6</v>
      </c>
      <c r="O301" s="27">
        <v>60</v>
      </c>
      <c r="P301" s="27">
        <v>5</v>
      </c>
      <c r="Q301" s="27">
        <v>342</v>
      </c>
      <c r="R301" s="27">
        <v>1</v>
      </c>
      <c r="S301" s="27" t="s">
        <v>41</v>
      </c>
      <c r="T301" s="27" t="s">
        <v>50</v>
      </c>
      <c r="U301" s="27" t="s">
        <v>51</v>
      </c>
      <c r="V301" s="27">
        <v>9753869055</v>
      </c>
      <c r="W301" s="21" t="s">
        <v>34</v>
      </c>
    </row>
    <row r="302" spans="2:23" ht="15" thickBot="1" x14ac:dyDescent="0.4">
      <c r="B302" s="30" t="s">
        <v>396</v>
      </c>
      <c r="C302" s="30" t="s">
        <v>87</v>
      </c>
      <c r="D302" s="30" t="s">
        <v>105</v>
      </c>
      <c r="E302" s="31">
        <v>45666</v>
      </c>
      <c r="F302" s="31">
        <v>45669</v>
      </c>
      <c r="G302" s="30" t="s">
        <v>88</v>
      </c>
      <c r="H302" s="30" t="s">
        <v>58</v>
      </c>
      <c r="I302" s="31">
        <v>32217</v>
      </c>
      <c r="J302" s="30" t="s">
        <v>27</v>
      </c>
      <c r="K302" s="30" t="s">
        <v>28</v>
      </c>
      <c r="L302" s="30" t="s">
        <v>29</v>
      </c>
      <c r="M302" s="30" t="s">
        <v>107</v>
      </c>
      <c r="N302" s="30">
        <v>19</v>
      </c>
      <c r="O302" s="30">
        <v>8500</v>
      </c>
      <c r="P302" s="30">
        <v>0</v>
      </c>
      <c r="Q302" s="30">
        <v>161500</v>
      </c>
      <c r="R302" s="30">
        <v>5</v>
      </c>
      <c r="S302" s="30" t="s">
        <v>65</v>
      </c>
      <c r="T302" s="30" t="s">
        <v>96</v>
      </c>
      <c r="U302" s="30" t="s">
        <v>89</v>
      </c>
      <c r="V302" s="30">
        <v>9663266204</v>
      </c>
      <c r="W302" s="22" t="s">
        <v>34</v>
      </c>
    </row>
    <row r="303" spans="2:23" ht="15" thickBot="1" x14ac:dyDescent="0.4">
      <c r="B303" s="27" t="s">
        <v>397</v>
      </c>
      <c r="C303" s="27" t="s">
        <v>134</v>
      </c>
      <c r="D303" s="27" t="s">
        <v>46</v>
      </c>
      <c r="E303" s="28">
        <v>45901</v>
      </c>
      <c r="F303" s="28">
        <v>45910</v>
      </c>
      <c r="G303" s="27" t="s">
        <v>135</v>
      </c>
      <c r="H303" s="27" t="s">
        <v>26</v>
      </c>
      <c r="I303" s="28">
        <v>31924</v>
      </c>
      <c r="J303" s="27" t="s">
        <v>121</v>
      </c>
      <c r="K303" s="27" t="s">
        <v>38</v>
      </c>
      <c r="L303" s="27" t="s">
        <v>39</v>
      </c>
      <c r="M303" s="27" t="s">
        <v>49</v>
      </c>
      <c r="N303" s="27">
        <v>8</v>
      </c>
      <c r="O303" s="27">
        <v>55000</v>
      </c>
      <c r="P303" s="27">
        <v>0</v>
      </c>
      <c r="Q303" s="27">
        <v>440000</v>
      </c>
      <c r="R303" s="27">
        <v>3</v>
      </c>
      <c r="S303" s="27" t="s">
        <v>60</v>
      </c>
      <c r="T303" s="27" t="s">
        <v>80</v>
      </c>
      <c r="U303" s="27" t="s">
        <v>136</v>
      </c>
      <c r="V303" s="27">
        <v>9675208616</v>
      </c>
      <c r="W303" s="27" t="s">
        <v>52</v>
      </c>
    </row>
    <row r="304" spans="2:23" ht="15" thickBot="1" x14ac:dyDescent="0.4">
      <c r="B304" s="30" t="s">
        <v>398</v>
      </c>
      <c r="C304" s="30" t="s">
        <v>55</v>
      </c>
      <c r="D304" s="30" t="s">
        <v>36</v>
      </c>
      <c r="E304" s="31">
        <v>46144</v>
      </c>
      <c r="F304" s="31">
        <v>46149</v>
      </c>
      <c r="G304" s="30" t="s">
        <v>57</v>
      </c>
      <c r="H304" s="30" t="s">
        <v>58</v>
      </c>
      <c r="I304" s="31">
        <v>32441</v>
      </c>
      <c r="J304" s="30" t="s">
        <v>147</v>
      </c>
      <c r="K304" s="30" t="s">
        <v>148</v>
      </c>
      <c r="L304" s="30" t="s">
        <v>39</v>
      </c>
      <c r="M304" s="30" t="s">
        <v>40</v>
      </c>
      <c r="N304" s="30">
        <v>18</v>
      </c>
      <c r="O304" s="30">
        <v>12000</v>
      </c>
      <c r="P304" s="30">
        <v>20</v>
      </c>
      <c r="Q304" s="30">
        <v>172800</v>
      </c>
      <c r="R304" s="30">
        <v>5</v>
      </c>
      <c r="S304" s="30" t="s">
        <v>65</v>
      </c>
      <c r="T304" s="30" t="s">
        <v>50</v>
      </c>
      <c r="U304" s="30" t="s">
        <v>61</v>
      </c>
      <c r="V304" s="30">
        <v>9618393586</v>
      </c>
      <c r="W304" s="30" t="s">
        <v>53</v>
      </c>
    </row>
    <row r="305" spans="2:23" ht="15" thickBot="1" x14ac:dyDescent="0.4">
      <c r="B305" s="27" t="s">
        <v>399</v>
      </c>
      <c r="C305" s="27" t="s">
        <v>87</v>
      </c>
      <c r="D305" s="27" t="s">
        <v>105</v>
      </c>
      <c r="E305" s="28">
        <v>45764</v>
      </c>
      <c r="F305" s="28">
        <v>45773</v>
      </c>
      <c r="G305" s="27" t="s">
        <v>88</v>
      </c>
      <c r="H305" s="27" t="s">
        <v>58</v>
      </c>
      <c r="I305" s="28">
        <v>33219</v>
      </c>
      <c r="J305" s="27" t="s">
        <v>91</v>
      </c>
      <c r="K305" s="27" t="s">
        <v>75</v>
      </c>
      <c r="L305" s="27" t="s">
        <v>29</v>
      </c>
      <c r="M305" s="27" t="s">
        <v>107</v>
      </c>
      <c r="N305" s="27">
        <v>8</v>
      </c>
      <c r="O305" s="27">
        <v>8500</v>
      </c>
      <c r="P305" s="27">
        <v>5</v>
      </c>
      <c r="Q305" s="27">
        <v>64600</v>
      </c>
      <c r="R305" s="27">
        <v>2</v>
      </c>
      <c r="S305" s="27" t="s">
        <v>60</v>
      </c>
      <c r="T305" s="27" t="s">
        <v>50</v>
      </c>
      <c r="U305" s="27" t="s">
        <v>89</v>
      </c>
      <c r="V305" s="27">
        <v>9137027840</v>
      </c>
      <c r="W305" s="27" t="s">
        <v>53</v>
      </c>
    </row>
    <row r="306" spans="2:23" ht="15" thickBot="1" x14ac:dyDescent="0.4">
      <c r="B306" s="30" t="s">
        <v>400</v>
      </c>
      <c r="C306" s="30" t="s">
        <v>23</v>
      </c>
      <c r="D306" s="30" t="s">
        <v>125</v>
      </c>
      <c r="E306" s="31">
        <v>45878</v>
      </c>
      <c r="F306" s="31">
        <v>45887</v>
      </c>
      <c r="G306" s="30" t="s">
        <v>25</v>
      </c>
      <c r="H306" s="30" t="s">
        <v>26</v>
      </c>
      <c r="I306" s="31">
        <v>29640</v>
      </c>
      <c r="J306" s="30" t="s">
        <v>74</v>
      </c>
      <c r="K306" s="30" t="s">
        <v>75</v>
      </c>
      <c r="L306" s="30" t="s">
        <v>83</v>
      </c>
      <c r="M306" s="30" t="s">
        <v>127</v>
      </c>
      <c r="N306" s="30">
        <v>13</v>
      </c>
      <c r="O306" s="30">
        <v>20</v>
      </c>
      <c r="P306" s="30">
        <v>5</v>
      </c>
      <c r="Q306" s="30">
        <v>247</v>
      </c>
      <c r="R306" s="30">
        <v>3</v>
      </c>
      <c r="S306" s="30" t="s">
        <v>41</v>
      </c>
      <c r="T306" s="30" t="s">
        <v>80</v>
      </c>
      <c r="U306" s="30" t="s">
        <v>43</v>
      </c>
      <c r="V306" s="30">
        <v>9362758134</v>
      </c>
      <c r="W306" s="30" t="s">
        <v>52</v>
      </c>
    </row>
    <row r="307" spans="2:23" ht="15" thickBot="1" x14ac:dyDescent="0.4">
      <c r="B307" s="27" t="s">
        <v>401</v>
      </c>
      <c r="C307" s="27" t="s">
        <v>63</v>
      </c>
      <c r="D307" s="27" t="s">
        <v>82</v>
      </c>
      <c r="E307" s="28">
        <v>46116</v>
      </c>
      <c r="F307" s="28">
        <v>46128</v>
      </c>
      <c r="G307" s="27" t="s">
        <v>110</v>
      </c>
      <c r="H307" s="27" t="s">
        <v>58</v>
      </c>
      <c r="I307" s="28">
        <v>31140</v>
      </c>
      <c r="J307" s="27" t="s">
        <v>121</v>
      </c>
      <c r="K307" s="27" t="s">
        <v>38</v>
      </c>
      <c r="L307" s="27" t="s">
        <v>83</v>
      </c>
      <c r="M307" s="27" t="s">
        <v>84</v>
      </c>
      <c r="N307" s="27">
        <v>1</v>
      </c>
      <c r="O307" s="27">
        <v>60</v>
      </c>
      <c r="P307" s="27">
        <v>15</v>
      </c>
      <c r="Q307" s="27">
        <v>51</v>
      </c>
      <c r="R307" s="27">
        <v>2</v>
      </c>
      <c r="S307" s="27" t="s">
        <v>60</v>
      </c>
      <c r="T307" s="27" t="s">
        <v>50</v>
      </c>
      <c r="U307" s="27" t="s">
        <v>66</v>
      </c>
      <c r="V307" s="27">
        <v>9648541985</v>
      </c>
      <c r="W307" s="27" t="s">
        <v>53</v>
      </c>
    </row>
    <row r="308" spans="2:23" ht="15" thickBot="1" x14ac:dyDescent="0.4">
      <c r="B308" s="30" t="s">
        <v>402</v>
      </c>
      <c r="C308" s="30" t="s">
        <v>45</v>
      </c>
      <c r="D308" s="30" t="s">
        <v>125</v>
      </c>
      <c r="E308" s="31">
        <v>45830</v>
      </c>
      <c r="F308" s="31">
        <v>45836</v>
      </c>
      <c r="G308" s="30" t="s">
        <v>101</v>
      </c>
      <c r="H308" s="30" t="s">
        <v>26</v>
      </c>
      <c r="I308" s="31">
        <v>27978</v>
      </c>
      <c r="J308" s="30" t="s">
        <v>79</v>
      </c>
      <c r="K308" s="30" t="s">
        <v>75</v>
      </c>
      <c r="L308" s="30" t="s">
        <v>83</v>
      </c>
      <c r="M308" s="30" t="s">
        <v>127</v>
      </c>
      <c r="N308" s="30">
        <v>5</v>
      </c>
      <c r="O308" s="30">
        <v>20</v>
      </c>
      <c r="P308" s="30">
        <v>5</v>
      </c>
      <c r="Q308" s="30">
        <v>95</v>
      </c>
      <c r="R308" s="30">
        <v>2</v>
      </c>
      <c r="S308" s="30" t="s">
        <v>41</v>
      </c>
      <c r="T308" s="30" t="s">
        <v>42</v>
      </c>
      <c r="U308" s="30" t="s">
        <v>51</v>
      </c>
      <c r="V308" s="30">
        <v>9175002781</v>
      </c>
      <c r="W308" s="30" t="s">
        <v>52</v>
      </c>
    </row>
    <row r="309" spans="2:23" ht="15" thickBot="1" x14ac:dyDescent="0.4">
      <c r="B309" s="27" t="s">
        <v>403</v>
      </c>
      <c r="C309" s="27" t="s">
        <v>124</v>
      </c>
      <c r="D309" s="27" t="s">
        <v>125</v>
      </c>
      <c r="E309" s="28">
        <v>45796</v>
      </c>
      <c r="F309" s="28">
        <v>45801</v>
      </c>
      <c r="G309" s="27" t="s">
        <v>126</v>
      </c>
      <c r="H309" s="27" t="s">
        <v>58</v>
      </c>
      <c r="I309" s="28">
        <v>28623</v>
      </c>
      <c r="J309" s="27" t="s">
        <v>147</v>
      </c>
      <c r="K309" s="27" t="s">
        <v>148</v>
      </c>
      <c r="L309" s="27" t="s">
        <v>83</v>
      </c>
      <c r="M309" s="27" t="s">
        <v>127</v>
      </c>
      <c r="N309" s="27">
        <v>19</v>
      </c>
      <c r="O309" s="27">
        <v>20</v>
      </c>
      <c r="P309" s="27">
        <v>20</v>
      </c>
      <c r="Q309" s="27">
        <v>304</v>
      </c>
      <c r="R309" s="27">
        <v>3</v>
      </c>
      <c r="S309" s="27" t="s">
        <v>31</v>
      </c>
      <c r="T309" s="27" t="s">
        <v>32</v>
      </c>
      <c r="U309" s="27" t="s">
        <v>128</v>
      </c>
      <c r="V309" s="27">
        <v>9786241263</v>
      </c>
      <c r="W309" s="27" t="s">
        <v>53</v>
      </c>
    </row>
    <row r="310" spans="2:23" ht="15" thickBot="1" x14ac:dyDescent="0.4">
      <c r="B310" s="30" t="s">
        <v>404</v>
      </c>
      <c r="C310" s="30" t="s">
        <v>72</v>
      </c>
      <c r="D310" s="30" t="s">
        <v>138</v>
      </c>
      <c r="E310" s="31">
        <v>45745</v>
      </c>
      <c r="F310" s="31">
        <v>45754</v>
      </c>
      <c r="G310" s="30" t="s">
        <v>73</v>
      </c>
      <c r="H310" s="30" t="s">
        <v>26</v>
      </c>
      <c r="I310" s="31">
        <v>36026</v>
      </c>
      <c r="J310" s="30" t="s">
        <v>91</v>
      </c>
      <c r="K310" s="30" t="s">
        <v>75</v>
      </c>
      <c r="L310" s="30" t="s">
        <v>83</v>
      </c>
      <c r="M310" s="30" t="s">
        <v>139</v>
      </c>
      <c r="N310" s="30">
        <v>17</v>
      </c>
      <c r="O310" s="30">
        <v>45</v>
      </c>
      <c r="P310" s="30">
        <v>5</v>
      </c>
      <c r="Q310" s="30">
        <v>726.75</v>
      </c>
      <c r="R310" s="30">
        <v>4</v>
      </c>
      <c r="S310" s="30" t="s">
        <v>31</v>
      </c>
      <c r="T310" s="30" t="s">
        <v>80</v>
      </c>
      <c r="U310" s="30" t="s">
        <v>93</v>
      </c>
      <c r="V310" s="30">
        <v>9691078176</v>
      </c>
      <c r="W310" s="30" t="s">
        <v>52</v>
      </c>
    </row>
    <row r="311" spans="2:23" ht="15" thickBot="1" x14ac:dyDescent="0.4">
      <c r="B311" s="27" t="s">
        <v>405</v>
      </c>
      <c r="C311" s="27" t="s">
        <v>63</v>
      </c>
      <c r="D311" s="27" t="s">
        <v>112</v>
      </c>
      <c r="E311" s="28">
        <v>46071</v>
      </c>
      <c r="F311" s="28">
        <v>46075</v>
      </c>
      <c r="G311" s="27" t="s">
        <v>110</v>
      </c>
      <c r="H311" s="27" t="s">
        <v>58</v>
      </c>
      <c r="I311" s="28">
        <v>27687</v>
      </c>
      <c r="J311" s="27" t="s">
        <v>48</v>
      </c>
      <c r="K311" s="27" t="s">
        <v>28</v>
      </c>
      <c r="L311" s="27" t="s">
        <v>39</v>
      </c>
      <c r="M311" s="27" t="s">
        <v>114</v>
      </c>
      <c r="N311" s="27">
        <v>8</v>
      </c>
      <c r="O311" s="27">
        <v>700</v>
      </c>
      <c r="P311" s="27">
        <v>15</v>
      </c>
      <c r="Q311" s="27">
        <v>4760</v>
      </c>
      <c r="R311" s="27">
        <v>4</v>
      </c>
      <c r="S311" s="27" t="s">
        <v>41</v>
      </c>
      <c r="T311" s="27" t="s">
        <v>32</v>
      </c>
      <c r="U311" s="27" t="s">
        <v>66</v>
      </c>
      <c r="V311" s="27">
        <v>9336679085</v>
      </c>
      <c r="W311" s="27" t="s">
        <v>52</v>
      </c>
    </row>
    <row r="312" spans="2:23" ht="15" thickBot="1" x14ac:dyDescent="0.4">
      <c r="B312" s="30" t="s">
        <v>406</v>
      </c>
      <c r="C312" s="30" t="s">
        <v>104</v>
      </c>
      <c r="D312" s="30" t="s">
        <v>24</v>
      </c>
      <c r="E312" s="31">
        <v>46043</v>
      </c>
      <c r="F312" s="31">
        <v>46051</v>
      </c>
      <c r="G312" s="30" t="s">
        <v>166</v>
      </c>
      <c r="H312" s="30" t="s">
        <v>26</v>
      </c>
      <c r="I312" s="31">
        <v>27665</v>
      </c>
      <c r="J312" s="30" t="s">
        <v>74</v>
      </c>
      <c r="K312" s="30" t="s">
        <v>75</v>
      </c>
      <c r="L312" s="30" t="s">
        <v>29</v>
      </c>
      <c r="M312" s="30" t="s">
        <v>30</v>
      </c>
      <c r="N312" s="30">
        <v>15</v>
      </c>
      <c r="O312" s="30">
        <v>2200</v>
      </c>
      <c r="P312" s="30">
        <v>10</v>
      </c>
      <c r="Q312" s="30">
        <v>29700</v>
      </c>
      <c r="R312" s="30">
        <v>5</v>
      </c>
      <c r="S312" s="30" t="s">
        <v>65</v>
      </c>
      <c r="T312" s="30" t="s">
        <v>96</v>
      </c>
      <c r="U312" s="30" t="s">
        <v>108</v>
      </c>
      <c r="V312" s="30">
        <v>9497351043</v>
      </c>
      <c r="W312" s="22" t="s">
        <v>34</v>
      </c>
    </row>
    <row r="313" spans="2:23" ht="15" thickBot="1" x14ac:dyDescent="0.4">
      <c r="B313" s="27" t="s">
        <v>407</v>
      </c>
      <c r="C313" s="27" t="s">
        <v>72</v>
      </c>
      <c r="D313" s="27" t="s">
        <v>24</v>
      </c>
      <c r="E313" s="28">
        <v>45917</v>
      </c>
      <c r="F313" s="28">
        <v>45929</v>
      </c>
      <c r="G313" s="27" t="s">
        <v>73</v>
      </c>
      <c r="H313" s="27" t="s">
        <v>26</v>
      </c>
      <c r="I313" s="28">
        <v>37522</v>
      </c>
      <c r="J313" s="27" t="s">
        <v>74</v>
      </c>
      <c r="K313" s="27" t="s">
        <v>75</v>
      </c>
      <c r="L313" s="27" t="s">
        <v>29</v>
      </c>
      <c r="M313" s="27" t="s">
        <v>30</v>
      </c>
      <c r="N313" s="27">
        <v>1</v>
      </c>
      <c r="O313" s="27">
        <v>2200</v>
      </c>
      <c r="P313" s="27">
        <v>0</v>
      </c>
      <c r="Q313" s="27">
        <v>2200</v>
      </c>
      <c r="R313" s="27">
        <v>4</v>
      </c>
      <c r="S313" s="27" t="s">
        <v>31</v>
      </c>
      <c r="T313" s="27" t="s">
        <v>42</v>
      </c>
      <c r="U313" s="27" t="s">
        <v>93</v>
      </c>
      <c r="V313" s="27">
        <v>9357038998</v>
      </c>
      <c r="W313" s="27" t="s">
        <v>53</v>
      </c>
    </row>
    <row r="314" spans="2:23" ht="15" thickBot="1" x14ac:dyDescent="0.4">
      <c r="B314" s="30" t="s">
        <v>408</v>
      </c>
      <c r="C314" s="30" t="s">
        <v>134</v>
      </c>
      <c r="D314" s="30" t="s">
        <v>68</v>
      </c>
      <c r="E314" s="31">
        <v>45827</v>
      </c>
      <c r="F314" s="31">
        <v>45838</v>
      </c>
      <c r="G314" s="30" t="s">
        <v>135</v>
      </c>
      <c r="H314" s="30" t="s">
        <v>26</v>
      </c>
      <c r="I314" s="31">
        <v>32311</v>
      </c>
      <c r="J314" s="30" t="s">
        <v>91</v>
      </c>
      <c r="K314" s="30" t="s">
        <v>75</v>
      </c>
      <c r="L314" s="30" t="s">
        <v>29</v>
      </c>
      <c r="M314" s="30" t="s">
        <v>70</v>
      </c>
      <c r="N314" s="30">
        <v>10</v>
      </c>
      <c r="O314" s="30">
        <v>3500</v>
      </c>
      <c r="P314" s="30">
        <v>10</v>
      </c>
      <c r="Q314" s="30">
        <v>31500</v>
      </c>
      <c r="R314" s="30">
        <v>4</v>
      </c>
      <c r="S314" s="30" t="s">
        <v>41</v>
      </c>
      <c r="T314" s="30" t="s">
        <v>32</v>
      </c>
      <c r="U314" s="30" t="s">
        <v>136</v>
      </c>
      <c r="V314" s="30">
        <v>9986371291</v>
      </c>
      <c r="W314" s="30" t="s">
        <v>53</v>
      </c>
    </row>
    <row r="315" spans="2:23" ht="15" thickBot="1" x14ac:dyDescent="0.4">
      <c r="B315" s="27" t="s">
        <v>409</v>
      </c>
      <c r="C315" s="27" t="s">
        <v>55</v>
      </c>
      <c r="D315" s="27" t="s">
        <v>68</v>
      </c>
      <c r="E315" s="28">
        <v>45789</v>
      </c>
      <c r="F315" s="28">
        <v>45793</v>
      </c>
      <c r="G315" s="27" t="s">
        <v>57</v>
      </c>
      <c r="H315" s="27" t="s">
        <v>58</v>
      </c>
      <c r="I315" s="28">
        <v>33271</v>
      </c>
      <c r="J315" s="27" t="s">
        <v>121</v>
      </c>
      <c r="K315" s="27" t="s">
        <v>38</v>
      </c>
      <c r="L315" s="27" t="s">
        <v>29</v>
      </c>
      <c r="M315" s="27" t="s">
        <v>70</v>
      </c>
      <c r="N315" s="27">
        <v>16</v>
      </c>
      <c r="O315" s="27">
        <v>3500</v>
      </c>
      <c r="P315" s="27">
        <v>15</v>
      </c>
      <c r="Q315" s="27">
        <v>47600</v>
      </c>
      <c r="R315" s="27">
        <v>1</v>
      </c>
      <c r="S315" s="27" t="s">
        <v>60</v>
      </c>
      <c r="T315" s="27" t="s">
        <v>80</v>
      </c>
      <c r="U315" s="27" t="s">
        <v>61</v>
      </c>
      <c r="V315" s="27">
        <v>9397839191</v>
      </c>
      <c r="W315" s="27" t="s">
        <v>52</v>
      </c>
    </row>
    <row r="316" spans="2:23" ht="15" thickBot="1" x14ac:dyDescent="0.4">
      <c r="B316" s="30" t="s">
        <v>410</v>
      </c>
      <c r="C316" s="30" t="s">
        <v>134</v>
      </c>
      <c r="D316" s="30" t="s">
        <v>36</v>
      </c>
      <c r="E316" s="31">
        <v>45906</v>
      </c>
      <c r="F316" s="31">
        <v>45918</v>
      </c>
      <c r="G316" s="30" t="s">
        <v>135</v>
      </c>
      <c r="H316" s="30" t="s">
        <v>26</v>
      </c>
      <c r="I316" s="31">
        <v>28711</v>
      </c>
      <c r="J316" s="30" t="s">
        <v>121</v>
      </c>
      <c r="K316" s="30" t="s">
        <v>38</v>
      </c>
      <c r="L316" s="30" t="s">
        <v>39</v>
      </c>
      <c r="M316" s="30" t="s">
        <v>40</v>
      </c>
      <c r="N316" s="30">
        <v>1</v>
      </c>
      <c r="O316" s="30">
        <v>12000</v>
      </c>
      <c r="P316" s="30">
        <v>0</v>
      </c>
      <c r="Q316" s="30">
        <v>12000</v>
      </c>
      <c r="R316" s="30">
        <v>4</v>
      </c>
      <c r="S316" s="30" t="s">
        <v>41</v>
      </c>
      <c r="T316" s="30" t="s">
        <v>80</v>
      </c>
      <c r="U316" s="30" t="s">
        <v>136</v>
      </c>
      <c r="V316" s="30">
        <v>9162975843</v>
      </c>
      <c r="W316" s="30" t="s">
        <v>53</v>
      </c>
    </row>
    <row r="317" spans="2:23" ht="15" thickBot="1" x14ac:dyDescent="0.4">
      <c r="B317" s="27" t="s">
        <v>411</v>
      </c>
      <c r="C317" s="27" t="s">
        <v>63</v>
      </c>
      <c r="D317" s="27" t="s">
        <v>112</v>
      </c>
      <c r="E317" s="28">
        <v>45770</v>
      </c>
      <c r="F317" s="28">
        <v>45776</v>
      </c>
      <c r="G317" s="27" t="s">
        <v>110</v>
      </c>
      <c r="H317" s="27" t="s">
        <v>58</v>
      </c>
      <c r="I317" s="28">
        <v>34367</v>
      </c>
      <c r="J317" s="27" t="s">
        <v>74</v>
      </c>
      <c r="K317" s="27" t="s">
        <v>75</v>
      </c>
      <c r="L317" s="27" t="s">
        <v>39</v>
      </c>
      <c r="M317" s="27" t="s">
        <v>114</v>
      </c>
      <c r="N317" s="27">
        <v>6</v>
      </c>
      <c r="O317" s="27">
        <v>700</v>
      </c>
      <c r="P317" s="27">
        <v>20</v>
      </c>
      <c r="Q317" s="27">
        <v>3360</v>
      </c>
      <c r="R317" s="27">
        <v>2</v>
      </c>
      <c r="S317" s="27" t="s">
        <v>41</v>
      </c>
      <c r="T317" s="27" t="s">
        <v>80</v>
      </c>
      <c r="U317" s="27" t="s">
        <v>66</v>
      </c>
      <c r="V317" s="27">
        <v>9237616558</v>
      </c>
      <c r="W317" s="27" t="s">
        <v>52</v>
      </c>
    </row>
    <row r="318" spans="2:23" ht="15" thickBot="1" x14ac:dyDescent="0.4">
      <c r="B318" s="30" t="s">
        <v>412</v>
      </c>
      <c r="C318" s="30" t="s">
        <v>55</v>
      </c>
      <c r="D318" s="30" t="s">
        <v>24</v>
      </c>
      <c r="E318" s="31">
        <v>46074</v>
      </c>
      <c r="F318" s="31">
        <v>46080</v>
      </c>
      <c r="G318" s="30" t="s">
        <v>57</v>
      </c>
      <c r="H318" s="30" t="s">
        <v>58</v>
      </c>
      <c r="I318" s="31">
        <v>34786</v>
      </c>
      <c r="J318" s="30" t="s">
        <v>91</v>
      </c>
      <c r="K318" s="30" t="s">
        <v>75</v>
      </c>
      <c r="L318" s="30" t="s">
        <v>29</v>
      </c>
      <c r="M318" s="30" t="s">
        <v>30</v>
      </c>
      <c r="N318" s="30">
        <v>3</v>
      </c>
      <c r="O318" s="30">
        <v>2200</v>
      </c>
      <c r="P318" s="30">
        <v>0</v>
      </c>
      <c r="Q318" s="30">
        <v>6600</v>
      </c>
      <c r="R318" s="30">
        <v>4</v>
      </c>
      <c r="S318" s="30" t="s">
        <v>60</v>
      </c>
      <c r="T318" s="30" t="s">
        <v>32</v>
      </c>
      <c r="U318" s="30" t="s">
        <v>61</v>
      </c>
      <c r="V318" s="30">
        <v>9935063989</v>
      </c>
      <c r="W318" s="22" t="s">
        <v>34</v>
      </c>
    </row>
    <row r="319" spans="2:23" ht="15" thickBot="1" x14ac:dyDescent="0.4">
      <c r="B319" s="27" t="s">
        <v>413</v>
      </c>
      <c r="C319" s="27" t="s">
        <v>134</v>
      </c>
      <c r="D319" s="27" t="s">
        <v>138</v>
      </c>
      <c r="E319" s="28">
        <v>46019</v>
      </c>
      <c r="F319" s="28">
        <v>46023</v>
      </c>
      <c r="G319" s="27" t="s">
        <v>135</v>
      </c>
      <c r="H319" s="27" t="s">
        <v>26</v>
      </c>
      <c r="I319" s="28">
        <v>33675</v>
      </c>
      <c r="J319" s="27" t="s">
        <v>27</v>
      </c>
      <c r="K319" s="27" t="s">
        <v>28</v>
      </c>
      <c r="L319" s="27" t="s">
        <v>83</v>
      </c>
      <c r="M319" s="27" t="s">
        <v>139</v>
      </c>
      <c r="N319" s="27">
        <v>6</v>
      </c>
      <c r="O319" s="27">
        <v>45</v>
      </c>
      <c r="P319" s="27">
        <v>15</v>
      </c>
      <c r="Q319" s="27">
        <v>229.5</v>
      </c>
      <c r="R319" s="27">
        <v>1</v>
      </c>
      <c r="S319" s="27" t="s">
        <v>65</v>
      </c>
      <c r="T319" s="27" t="s">
        <v>42</v>
      </c>
      <c r="U319" s="27" t="s">
        <v>136</v>
      </c>
      <c r="V319" s="27">
        <v>9167376169</v>
      </c>
      <c r="W319" s="21" t="s">
        <v>34</v>
      </c>
    </row>
    <row r="320" spans="2:23" ht="15" thickBot="1" x14ac:dyDescent="0.4">
      <c r="B320" s="30" t="s">
        <v>414</v>
      </c>
      <c r="C320" s="30" t="s">
        <v>134</v>
      </c>
      <c r="D320" s="30" t="s">
        <v>56</v>
      </c>
      <c r="E320" s="31">
        <v>45922</v>
      </c>
      <c r="F320" s="31">
        <v>45930</v>
      </c>
      <c r="G320" s="30" t="s">
        <v>135</v>
      </c>
      <c r="H320" s="30" t="s">
        <v>26</v>
      </c>
      <c r="I320" s="31">
        <v>29609</v>
      </c>
      <c r="J320" s="30" t="s">
        <v>48</v>
      </c>
      <c r="K320" s="30" t="s">
        <v>28</v>
      </c>
      <c r="L320" s="30" t="s">
        <v>39</v>
      </c>
      <c r="M320" s="30" t="s">
        <v>59</v>
      </c>
      <c r="N320" s="30">
        <v>2</v>
      </c>
      <c r="O320" s="30">
        <v>1200</v>
      </c>
      <c r="P320" s="30">
        <v>0</v>
      </c>
      <c r="Q320" s="30">
        <v>2400</v>
      </c>
      <c r="R320" s="30">
        <v>1</v>
      </c>
      <c r="S320" s="30" t="s">
        <v>31</v>
      </c>
      <c r="T320" s="30" t="s">
        <v>96</v>
      </c>
      <c r="U320" s="30" t="s">
        <v>136</v>
      </c>
      <c r="V320" s="30">
        <v>9231845497</v>
      </c>
      <c r="W320" s="30" t="s">
        <v>53</v>
      </c>
    </row>
    <row r="321" spans="2:23" ht="15" thickBot="1" x14ac:dyDescent="0.4">
      <c r="B321" s="27" t="s">
        <v>416</v>
      </c>
      <c r="C321" s="27" t="s">
        <v>104</v>
      </c>
      <c r="D321" s="27" t="s">
        <v>112</v>
      </c>
      <c r="E321" s="28">
        <v>46150</v>
      </c>
      <c r="F321" s="28">
        <v>46153</v>
      </c>
      <c r="G321" s="27" t="s">
        <v>166</v>
      </c>
      <c r="H321" s="27" t="s">
        <v>26</v>
      </c>
      <c r="I321" s="28">
        <v>30953</v>
      </c>
      <c r="J321" s="27" t="s">
        <v>27</v>
      </c>
      <c r="K321" s="27" t="s">
        <v>28</v>
      </c>
      <c r="L321" s="27" t="s">
        <v>39</v>
      </c>
      <c r="M321" s="27" t="s">
        <v>114</v>
      </c>
      <c r="N321" s="27">
        <v>14</v>
      </c>
      <c r="O321" s="27">
        <v>700</v>
      </c>
      <c r="P321" s="27">
        <v>15</v>
      </c>
      <c r="Q321" s="27">
        <v>8330</v>
      </c>
      <c r="R321" s="27">
        <v>5</v>
      </c>
      <c r="S321" s="27" t="s">
        <v>31</v>
      </c>
      <c r="T321" s="27" t="s">
        <v>80</v>
      </c>
      <c r="U321" s="27" t="s">
        <v>108</v>
      </c>
      <c r="V321" s="27">
        <v>9409415805</v>
      </c>
      <c r="W321" s="27" t="s">
        <v>52</v>
      </c>
    </row>
    <row r="322" spans="2:23" ht="15" thickBot="1" x14ac:dyDescent="0.4">
      <c r="B322" s="30" t="s">
        <v>417</v>
      </c>
      <c r="C322" s="30" t="s">
        <v>72</v>
      </c>
      <c r="D322" s="30" t="s">
        <v>125</v>
      </c>
      <c r="E322" s="31">
        <v>45966</v>
      </c>
      <c r="F322" s="31">
        <v>45967</v>
      </c>
      <c r="G322" s="30" t="s">
        <v>73</v>
      </c>
      <c r="H322" s="30" t="s">
        <v>26</v>
      </c>
      <c r="I322" s="31">
        <v>27704</v>
      </c>
      <c r="J322" s="30" t="s">
        <v>74</v>
      </c>
      <c r="K322" s="30" t="s">
        <v>75</v>
      </c>
      <c r="L322" s="30" t="s">
        <v>83</v>
      </c>
      <c r="M322" s="30" t="s">
        <v>127</v>
      </c>
      <c r="N322" s="30">
        <v>13</v>
      </c>
      <c r="O322" s="30">
        <v>20</v>
      </c>
      <c r="P322" s="30">
        <v>5</v>
      </c>
      <c r="Q322" s="30">
        <v>247</v>
      </c>
      <c r="R322" s="30">
        <v>1</v>
      </c>
      <c r="S322" s="30" t="s">
        <v>60</v>
      </c>
      <c r="T322" s="30" t="s">
        <v>32</v>
      </c>
      <c r="U322" s="30" t="s">
        <v>415</v>
      </c>
      <c r="V322" s="30">
        <v>9240800508</v>
      </c>
      <c r="W322" s="30" t="s">
        <v>52</v>
      </c>
    </row>
    <row r="323" spans="2:23" ht="15" thickBot="1" x14ac:dyDescent="0.4">
      <c r="B323" s="27" t="s">
        <v>418</v>
      </c>
      <c r="C323" s="27" t="s">
        <v>55</v>
      </c>
      <c r="D323" s="27" t="s">
        <v>24</v>
      </c>
      <c r="E323" s="28">
        <v>45724</v>
      </c>
      <c r="F323" s="28">
        <v>45731</v>
      </c>
      <c r="G323" s="27" t="s">
        <v>57</v>
      </c>
      <c r="H323" s="27" t="s">
        <v>58</v>
      </c>
      <c r="I323" s="28">
        <v>34876</v>
      </c>
      <c r="J323" s="27" t="s">
        <v>79</v>
      </c>
      <c r="K323" s="27" t="s">
        <v>75</v>
      </c>
      <c r="L323" s="27" t="s">
        <v>29</v>
      </c>
      <c r="M323" s="27" t="s">
        <v>30</v>
      </c>
      <c r="N323" s="27">
        <v>3</v>
      </c>
      <c r="O323" s="27">
        <v>2200</v>
      </c>
      <c r="P323" s="27">
        <v>0</v>
      </c>
      <c r="Q323" s="27">
        <v>6600</v>
      </c>
      <c r="R323" s="27">
        <v>4</v>
      </c>
      <c r="S323" s="27" t="s">
        <v>41</v>
      </c>
      <c r="T323" s="27" t="s">
        <v>50</v>
      </c>
      <c r="U323" s="27" t="s">
        <v>61</v>
      </c>
      <c r="V323" s="27">
        <v>9764609936</v>
      </c>
      <c r="W323" s="27" t="s">
        <v>53</v>
      </c>
    </row>
    <row r="324" spans="2:23" ht="15" thickBot="1" x14ac:dyDescent="0.4">
      <c r="B324" s="30" t="s">
        <v>419</v>
      </c>
      <c r="C324" s="30" t="s">
        <v>55</v>
      </c>
      <c r="D324" s="30" t="s">
        <v>82</v>
      </c>
      <c r="E324" s="31">
        <v>46062</v>
      </c>
      <c r="F324" s="31">
        <v>46074</v>
      </c>
      <c r="G324" s="30" t="s">
        <v>57</v>
      </c>
      <c r="H324" s="30" t="s">
        <v>58</v>
      </c>
      <c r="I324" s="31">
        <v>29180</v>
      </c>
      <c r="J324" s="30" t="s">
        <v>79</v>
      </c>
      <c r="K324" s="30" t="s">
        <v>75</v>
      </c>
      <c r="L324" s="30" t="s">
        <v>83</v>
      </c>
      <c r="M324" s="30" t="s">
        <v>84</v>
      </c>
      <c r="N324" s="30">
        <v>3</v>
      </c>
      <c r="O324" s="30">
        <v>60</v>
      </c>
      <c r="P324" s="30">
        <v>15</v>
      </c>
      <c r="Q324" s="30">
        <v>153</v>
      </c>
      <c r="R324" s="30">
        <v>4</v>
      </c>
      <c r="S324" s="30" t="s">
        <v>65</v>
      </c>
      <c r="T324" s="30" t="s">
        <v>80</v>
      </c>
      <c r="U324" s="30" t="s">
        <v>61</v>
      </c>
      <c r="V324" s="30">
        <v>9362733217</v>
      </c>
      <c r="W324" s="22" t="s">
        <v>34</v>
      </c>
    </row>
    <row r="325" spans="2:23" ht="15" thickBot="1" x14ac:dyDescent="0.4">
      <c r="B325" s="27" t="s">
        <v>420</v>
      </c>
      <c r="C325" s="27" t="s">
        <v>87</v>
      </c>
      <c r="D325" s="27" t="s">
        <v>68</v>
      </c>
      <c r="E325" s="28">
        <v>45733</v>
      </c>
      <c r="F325" s="28">
        <v>45739</v>
      </c>
      <c r="G325" s="27" t="s">
        <v>88</v>
      </c>
      <c r="H325" s="27" t="s">
        <v>58</v>
      </c>
      <c r="I325" s="28">
        <v>31805</v>
      </c>
      <c r="J325" s="27" t="s">
        <v>74</v>
      </c>
      <c r="K325" s="27" t="s">
        <v>75</v>
      </c>
      <c r="L325" s="27" t="s">
        <v>29</v>
      </c>
      <c r="M325" s="27" t="s">
        <v>70</v>
      </c>
      <c r="N325" s="27">
        <v>9</v>
      </c>
      <c r="O325" s="27">
        <v>3500</v>
      </c>
      <c r="P325" s="27">
        <v>5</v>
      </c>
      <c r="Q325" s="27">
        <v>29925</v>
      </c>
      <c r="R325" s="27">
        <v>1</v>
      </c>
      <c r="S325" s="27" t="s">
        <v>31</v>
      </c>
      <c r="T325" s="27" t="s">
        <v>50</v>
      </c>
      <c r="U325" s="27" t="s">
        <v>89</v>
      </c>
      <c r="V325" s="27">
        <v>9270466205</v>
      </c>
      <c r="W325" s="27" t="s">
        <v>52</v>
      </c>
    </row>
    <row r="326" spans="2:23" ht="15" thickBot="1" x14ac:dyDescent="0.4">
      <c r="B326" s="30" t="s">
        <v>422</v>
      </c>
      <c r="C326" s="30" t="s">
        <v>156</v>
      </c>
      <c r="D326" s="30" t="s">
        <v>56</v>
      </c>
      <c r="E326" s="31">
        <v>45743</v>
      </c>
      <c r="F326" s="31">
        <v>45748</v>
      </c>
      <c r="G326" s="30" t="s">
        <v>106</v>
      </c>
      <c r="H326" s="30" t="s">
        <v>58</v>
      </c>
      <c r="I326" s="31">
        <v>36930</v>
      </c>
      <c r="J326" s="30" t="s">
        <v>121</v>
      </c>
      <c r="K326" s="30" t="s">
        <v>38</v>
      </c>
      <c r="L326" s="30" t="s">
        <v>39</v>
      </c>
      <c r="M326" s="30" t="s">
        <v>59</v>
      </c>
      <c r="N326" s="30">
        <v>5</v>
      </c>
      <c r="O326" s="30">
        <v>1200</v>
      </c>
      <c r="P326" s="30">
        <v>20</v>
      </c>
      <c r="Q326" s="30">
        <v>4800</v>
      </c>
      <c r="R326" s="30">
        <v>2</v>
      </c>
      <c r="S326" s="30" t="s">
        <v>65</v>
      </c>
      <c r="T326" s="30" t="s">
        <v>80</v>
      </c>
      <c r="U326" s="30" t="s">
        <v>158</v>
      </c>
      <c r="V326" s="30">
        <v>9571436865</v>
      </c>
      <c r="W326" s="30" t="s">
        <v>52</v>
      </c>
    </row>
    <row r="327" spans="2:23" ht="15" thickBot="1" x14ac:dyDescent="0.4">
      <c r="B327" s="27" t="s">
        <v>423</v>
      </c>
      <c r="C327" s="27" t="s">
        <v>45</v>
      </c>
      <c r="D327" s="27" t="s">
        <v>56</v>
      </c>
      <c r="E327" s="28">
        <v>45728</v>
      </c>
      <c r="F327" s="28">
        <v>45730</v>
      </c>
      <c r="G327" s="27" t="s">
        <v>101</v>
      </c>
      <c r="H327" s="27" t="s">
        <v>26</v>
      </c>
      <c r="I327" s="28">
        <v>32856</v>
      </c>
      <c r="J327" s="27" t="s">
        <v>121</v>
      </c>
      <c r="K327" s="27" t="s">
        <v>38</v>
      </c>
      <c r="L327" s="27" t="s">
        <v>39</v>
      </c>
      <c r="M327" s="27" t="s">
        <v>59</v>
      </c>
      <c r="N327" s="27">
        <v>10</v>
      </c>
      <c r="O327" s="27">
        <v>1200</v>
      </c>
      <c r="P327" s="27">
        <v>20</v>
      </c>
      <c r="Q327" s="27">
        <v>9600</v>
      </c>
      <c r="R327" s="27">
        <v>4</v>
      </c>
      <c r="S327" s="27" t="s">
        <v>31</v>
      </c>
      <c r="T327" s="27" t="s">
        <v>42</v>
      </c>
      <c r="U327" s="29" t="s">
        <v>421</v>
      </c>
      <c r="V327" s="27">
        <v>9307011171</v>
      </c>
      <c r="W327" s="21" t="s">
        <v>34</v>
      </c>
    </row>
    <row r="328" spans="2:23" ht="15" thickBot="1" x14ac:dyDescent="0.4">
      <c r="B328" s="30" t="s">
        <v>424</v>
      </c>
      <c r="C328" s="30" t="s">
        <v>23</v>
      </c>
      <c r="D328" s="30" t="s">
        <v>56</v>
      </c>
      <c r="E328" s="31">
        <v>46066</v>
      </c>
      <c r="F328" s="31">
        <v>46077</v>
      </c>
      <c r="G328" s="30" t="s">
        <v>25</v>
      </c>
      <c r="H328" s="30" t="s">
        <v>26</v>
      </c>
      <c r="I328" s="31">
        <v>32492</v>
      </c>
      <c r="J328" s="30" t="s">
        <v>91</v>
      </c>
      <c r="K328" s="30" t="s">
        <v>75</v>
      </c>
      <c r="L328" s="30" t="s">
        <v>39</v>
      </c>
      <c r="M328" s="30" t="s">
        <v>59</v>
      </c>
      <c r="N328" s="30">
        <v>5</v>
      </c>
      <c r="O328" s="30">
        <v>1200</v>
      </c>
      <c r="P328" s="30">
        <v>20</v>
      </c>
      <c r="Q328" s="30">
        <v>4800</v>
      </c>
      <c r="R328" s="30">
        <v>3</v>
      </c>
      <c r="S328" s="30" t="s">
        <v>41</v>
      </c>
      <c r="T328" s="30" t="s">
        <v>96</v>
      </c>
      <c r="U328" s="30" t="s">
        <v>43</v>
      </c>
      <c r="V328" s="30">
        <v>9922380435</v>
      </c>
      <c r="W328" s="22" t="s">
        <v>34</v>
      </c>
    </row>
    <row r="329" spans="2:23" ht="15" thickBot="1" x14ac:dyDescent="0.4">
      <c r="B329" s="27" t="s">
        <v>425</v>
      </c>
      <c r="C329" s="27" t="s">
        <v>104</v>
      </c>
      <c r="D329" s="27" t="s">
        <v>125</v>
      </c>
      <c r="E329" s="28">
        <v>45699</v>
      </c>
      <c r="F329" s="28">
        <v>45702</v>
      </c>
      <c r="G329" s="27" t="s">
        <v>166</v>
      </c>
      <c r="H329" s="27" t="s">
        <v>26</v>
      </c>
      <c r="I329" s="28">
        <v>33166</v>
      </c>
      <c r="J329" s="27" t="s">
        <v>74</v>
      </c>
      <c r="K329" s="27" t="s">
        <v>75</v>
      </c>
      <c r="L329" s="27" t="s">
        <v>83</v>
      </c>
      <c r="M329" s="27" t="s">
        <v>127</v>
      </c>
      <c r="N329" s="27">
        <v>10</v>
      </c>
      <c r="O329" s="27">
        <v>20</v>
      </c>
      <c r="P329" s="27">
        <v>5</v>
      </c>
      <c r="Q329" s="27">
        <v>190</v>
      </c>
      <c r="R329" s="27">
        <v>4</v>
      </c>
      <c r="S329" s="27" t="s">
        <v>31</v>
      </c>
      <c r="T329" s="27" t="s">
        <v>96</v>
      </c>
      <c r="U329" s="27" t="s">
        <v>108</v>
      </c>
      <c r="V329" s="27">
        <v>9463618792</v>
      </c>
      <c r="W329" s="27" t="s">
        <v>52</v>
      </c>
    </row>
    <row r="330" spans="2:23" ht="15" thickBot="1" x14ac:dyDescent="0.4">
      <c r="B330" s="30" t="s">
        <v>426</v>
      </c>
      <c r="C330" s="30" t="s">
        <v>72</v>
      </c>
      <c r="D330" s="30" t="s">
        <v>82</v>
      </c>
      <c r="E330" s="31">
        <v>45674</v>
      </c>
      <c r="F330" s="31">
        <v>45684</v>
      </c>
      <c r="G330" s="30" t="s">
        <v>73</v>
      </c>
      <c r="H330" s="30" t="s">
        <v>26</v>
      </c>
      <c r="I330" s="31">
        <v>28741</v>
      </c>
      <c r="J330" s="30" t="s">
        <v>37</v>
      </c>
      <c r="K330" s="30" t="s">
        <v>38</v>
      </c>
      <c r="L330" s="30" t="s">
        <v>83</v>
      </c>
      <c r="M330" s="30" t="s">
        <v>84</v>
      </c>
      <c r="N330" s="30">
        <v>20</v>
      </c>
      <c r="O330" s="30">
        <v>60</v>
      </c>
      <c r="P330" s="30">
        <v>15</v>
      </c>
      <c r="Q330" s="30">
        <v>1020</v>
      </c>
      <c r="R330" s="30">
        <v>5</v>
      </c>
      <c r="S330" s="30" t="s">
        <v>60</v>
      </c>
      <c r="T330" s="30" t="s">
        <v>32</v>
      </c>
      <c r="U330" s="30" t="s">
        <v>93</v>
      </c>
      <c r="V330" s="30">
        <v>9954973200</v>
      </c>
      <c r="W330" s="30" t="s">
        <v>52</v>
      </c>
    </row>
    <row r="331" spans="2:23" ht="15" thickBot="1" x14ac:dyDescent="0.4">
      <c r="B331" s="27" t="s">
        <v>427</v>
      </c>
      <c r="C331" s="27" t="s">
        <v>156</v>
      </c>
      <c r="D331" s="27" t="s">
        <v>24</v>
      </c>
      <c r="E331" s="28">
        <v>45748</v>
      </c>
      <c r="F331" s="28">
        <v>45759</v>
      </c>
      <c r="G331" s="27" t="s">
        <v>106</v>
      </c>
      <c r="H331" s="27" t="s">
        <v>58</v>
      </c>
      <c r="I331" s="28">
        <v>28530</v>
      </c>
      <c r="J331" s="27" t="s">
        <v>91</v>
      </c>
      <c r="K331" s="27" t="s">
        <v>75</v>
      </c>
      <c r="L331" s="27" t="s">
        <v>29</v>
      </c>
      <c r="M331" s="27" t="s">
        <v>30</v>
      </c>
      <c r="N331" s="27">
        <v>7</v>
      </c>
      <c r="O331" s="27">
        <v>2200</v>
      </c>
      <c r="P331" s="27">
        <v>15</v>
      </c>
      <c r="Q331" s="27">
        <v>13090</v>
      </c>
      <c r="R331" s="27">
        <v>4</v>
      </c>
      <c r="S331" s="27" t="s">
        <v>31</v>
      </c>
      <c r="T331" s="27" t="s">
        <v>50</v>
      </c>
      <c r="U331" s="27" t="s">
        <v>158</v>
      </c>
      <c r="V331" s="27">
        <v>9383199236</v>
      </c>
      <c r="W331" s="27" t="s">
        <v>53</v>
      </c>
    </row>
    <row r="332" spans="2:23" ht="15" thickBot="1" x14ac:dyDescent="0.4">
      <c r="B332" s="30" t="s">
        <v>428</v>
      </c>
      <c r="C332" s="30" t="s">
        <v>87</v>
      </c>
      <c r="D332" s="30" t="s">
        <v>46</v>
      </c>
      <c r="E332" s="31">
        <v>45670</v>
      </c>
      <c r="F332" s="31">
        <v>45673</v>
      </c>
      <c r="G332" s="30" t="s">
        <v>88</v>
      </c>
      <c r="H332" s="30" t="s">
        <v>58</v>
      </c>
      <c r="I332" s="31">
        <v>37989</v>
      </c>
      <c r="J332" s="30" t="s">
        <v>27</v>
      </c>
      <c r="K332" s="30" t="s">
        <v>28</v>
      </c>
      <c r="L332" s="30" t="s">
        <v>39</v>
      </c>
      <c r="M332" s="30" t="s">
        <v>49</v>
      </c>
      <c r="N332" s="30">
        <v>11</v>
      </c>
      <c r="O332" s="30">
        <v>55000</v>
      </c>
      <c r="P332" s="30">
        <v>5</v>
      </c>
      <c r="Q332" s="30">
        <v>574750</v>
      </c>
      <c r="R332" s="30">
        <v>1</v>
      </c>
      <c r="S332" s="30" t="s">
        <v>65</v>
      </c>
      <c r="T332" s="30" t="s">
        <v>32</v>
      </c>
      <c r="U332" s="30" t="s">
        <v>89</v>
      </c>
      <c r="V332" s="30">
        <v>9482699727</v>
      </c>
      <c r="W332" s="30" t="s">
        <v>53</v>
      </c>
    </row>
    <row r="333" spans="2:23" ht="15" thickBot="1" x14ac:dyDescent="0.4">
      <c r="B333" s="27" t="s">
        <v>429</v>
      </c>
      <c r="C333" s="27" t="s">
        <v>63</v>
      </c>
      <c r="D333" s="27" t="s">
        <v>68</v>
      </c>
      <c r="E333" s="28">
        <v>45935</v>
      </c>
      <c r="F333" s="28">
        <v>45947</v>
      </c>
      <c r="G333" s="27" t="s">
        <v>110</v>
      </c>
      <c r="H333" s="27" t="s">
        <v>58</v>
      </c>
      <c r="I333" s="28">
        <v>33726</v>
      </c>
      <c r="J333" s="27" t="s">
        <v>121</v>
      </c>
      <c r="K333" s="27" t="s">
        <v>38</v>
      </c>
      <c r="L333" s="27" t="s">
        <v>29</v>
      </c>
      <c r="M333" s="27" t="s">
        <v>70</v>
      </c>
      <c r="N333" s="27">
        <v>12</v>
      </c>
      <c r="O333" s="27">
        <v>3500</v>
      </c>
      <c r="P333" s="27">
        <v>0</v>
      </c>
      <c r="Q333" s="27">
        <v>42000</v>
      </c>
      <c r="R333" s="27">
        <v>2</v>
      </c>
      <c r="S333" s="21" t="s">
        <v>41</v>
      </c>
      <c r="T333" s="27"/>
      <c r="U333" s="27" t="s">
        <v>66</v>
      </c>
      <c r="V333" s="27">
        <v>9332473934</v>
      </c>
      <c r="W333" s="27" t="s">
        <v>52</v>
      </c>
    </row>
    <row r="334" spans="2:23" ht="15" thickBot="1" x14ac:dyDescent="0.4">
      <c r="B334" s="30" t="s">
        <v>430</v>
      </c>
      <c r="C334" s="30" t="s">
        <v>55</v>
      </c>
      <c r="D334" s="30" t="s">
        <v>138</v>
      </c>
      <c r="E334" s="31">
        <v>46078</v>
      </c>
      <c r="F334" s="31">
        <v>46089</v>
      </c>
      <c r="G334" s="30" t="s">
        <v>57</v>
      </c>
      <c r="H334" s="30" t="s">
        <v>58</v>
      </c>
      <c r="I334" s="31">
        <v>37647</v>
      </c>
      <c r="J334" s="30" t="s">
        <v>27</v>
      </c>
      <c r="K334" s="30" t="s">
        <v>28</v>
      </c>
      <c r="L334" s="30" t="s">
        <v>83</v>
      </c>
      <c r="M334" s="30" t="s">
        <v>139</v>
      </c>
      <c r="N334" s="30">
        <v>15</v>
      </c>
      <c r="O334" s="30">
        <v>45</v>
      </c>
      <c r="P334" s="30">
        <v>10</v>
      </c>
      <c r="Q334" s="30">
        <v>607.5</v>
      </c>
      <c r="R334" s="30">
        <v>2</v>
      </c>
      <c r="S334" s="30" t="s">
        <v>31</v>
      </c>
      <c r="T334" s="30" t="s">
        <v>96</v>
      </c>
      <c r="U334" s="30" t="s">
        <v>61</v>
      </c>
      <c r="V334" s="30">
        <v>9647657382</v>
      </c>
      <c r="W334" s="30" t="s">
        <v>52</v>
      </c>
    </row>
    <row r="335" spans="2:23" ht="15" thickBot="1" x14ac:dyDescent="0.4">
      <c r="B335" s="27" t="s">
        <v>431</v>
      </c>
      <c r="C335" s="27" t="s">
        <v>156</v>
      </c>
      <c r="D335" s="27" t="s">
        <v>138</v>
      </c>
      <c r="E335" s="28">
        <v>45793</v>
      </c>
      <c r="F335" s="28">
        <v>45803</v>
      </c>
      <c r="G335" s="27" t="s">
        <v>106</v>
      </c>
      <c r="H335" s="27" t="s">
        <v>58</v>
      </c>
      <c r="I335" s="28">
        <v>31917</v>
      </c>
      <c r="J335" s="27" t="s">
        <v>48</v>
      </c>
      <c r="K335" s="27" t="s">
        <v>28</v>
      </c>
      <c r="L335" s="27" t="s">
        <v>83</v>
      </c>
      <c r="M335" s="27" t="s">
        <v>139</v>
      </c>
      <c r="N335" s="27">
        <v>13</v>
      </c>
      <c r="O335" s="27">
        <v>45</v>
      </c>
      <c r="P335" s="27">
        <v>0</v>
      </c>
      <c r="Q335" s="27">
        <v>585</v>
      </c>
      <c r="R335" s="27">
        <v>5</v>
      </c>
      <c r="S335" s="27" t="s">
        <v>41</v>
      </c>
      <c r="T335" s="27" t="s">
        <v>42</v>
      </c>
      <c r="U335" s="27" t="s">
        <v>158</v>
      </c>
      <c r="V335" s="27">
        <v>9736797776</v>
      </c>
      <c r="W335" s="27" t="s">
        <v>52</v>
      </c>
    </row>
    <row r="336" spans="2:23" ht="15" thickBot="1" x14ac:dyDescent="0.4">
      <c r="B336" s="30" t="s">
        <v>432</v>
      </c>
      <c r="C336" s="30" t="s">
        <v>87</v>
      </c>
      <c r="D336" s="30" t="s">
        <v>46</v>
      </c>
      <c r="E336" s="31">
        <v>46024</v>
      </c>
      <c r="F336" s="31">
        <v>46027</v>
      </c>
      <c r="G336" s="30" t="s">
        <v>88</v>
      </c>
      <c r="H336" s="30" t="s">
        <v>58</v>
      </c>
      <c r="I336" s="31">
        <v>27644</v>
      </c>
      <c r="J336" s="30" t="s">
        <v>48</v>
      </c>
      <c r="K336" s="30" t="s">
        <v>28</v>
      </c>
      <c r="L336" s="30" t="s">
        <v>39</v>
      </c>
      <c r="M336" s="30" t="s">
        <v>49</v>
      </c>
      <c r="N336" s="30">
        <v>8</v>
      </c>
      <c r="O336" s="30">
        <v>55000</v>
      </c>
      <c r="P336" s="30">
        <v>0</v>
      </c>
      <c r="Q336" s="30">
        <v>440000</v>
      </c>
      <c r="R336" s="30">
        <v>2</v>
      </c>
      <c r="S336" s="30" t="s">
        <v>65</v>
      </c>
      <c r="T336" s="30" t="s">
        <v>96</v>
      </c>
      <c r="U336" s="30" t="s">
        <v>89</v>
      </c>
      <c r="V336" s="30">
        <v>9745773533</v>
      </c>
      <c r="W336" s="30" t="s">
        <v>53</v>
      </c>
    </row>
    <row r="337" spans="2:23" ht="15" thickBot="1" x14ac:dyDescent="0.4">
      <c r="B337" s="27" t="s">
        <v>433</v>
      </c>
      <c r="C337" s="27" t="s">
        <v>134</v>
      </c>
      <c r="D337" s="27" t="s">
        <v>46</v>
      </c>
      <c r="E337" s="28">
        <v>45861</v>
      </c>
      <c r="F337" s="28">
        <v>45865</v>
      </c>
      <c r="G337" s="27" t="s">
        <v>135</v>
      </c>
      <c r="H337" s="27" t="s">
        <v>26</v>
      </c>
      <c r="I337" s="28">
        <v>29443</v>
      </c>
      <c r="J337" s="27" t="s">
        <v>37</v>
      </c>
      <c r="K337" s="27" t="s">
        <v>38</v>
      </c>
      <c r="L337" s="27" t="s">
        <v>39</v>
      </c>
      <c r="M337" s="27" t="s">
        <v>49</v>
      </c>
      <c r="N337" s="27">
        <v>4</v>
      </c>
      <c r="O337" s="27">
        <v>55000</v>
      </c>
      <c r="P337" s="27">
        <v>20</v>
      </c>
      <c r="Q337" s="27">
        <v>176000</v>
      </c>
      <c r="R337" s="27">
        <v>5</v>
      </c>
      <c r="S337" s="27" t="s">
        <v>31</v>
      </c>
      <c r="T337" s="27" t="s">
        <v>42</v>
      </c>
      <c r="U337" s="27" t="s">
        <v>136</v>
      </c>
      <c r="V337" s="27">
        <v>9246715757</v>
      </c>
      <c r="W337" s="27" t="s">
        <v>52</v>
      </c>
    </row>
    <row r="338" spans="2:23" ht="15" thickBot="1" x14ac:dyDescent="0.4">
      <c r="B338" s="30" t="s">
        <v>434</v>
      </c>
      <c r="C338" s="30" t="s">
        <v>23</v>
      </c>
      <c r="D338" s="30" t="s">
        <v>68</v>
      </c>
      <c r="E338" s="31">
        <v>46135</v>
      </c>
      <c r="F338" s="31">
        <v>46138</v>
      </c>
      <c r="G338" s="30" t="s">
        <v>25</v>
      </c>
      <c r="H338" s="30" t="s">
        <v>26</v>
      </c>
      <c r="I338" s="31">
        <v>32605</v>
      </c>
      <c r="J338" s="30" t="s">
        <v>91</v>
      </c>
      <c r="K338" s="30" t="s">
        <v>75</v>
      </c>
      <c r="L338" s="30" t="s">
        <v>29</v>
      </c>
      <c r="M338" s="30" t="s">
        <v>70</v>
      </c>
      <c r="N338" s="30">
        <v>19</v>
      </c>
      <c r="O338" s="30">
        <v>3500</v>
      </c>
      <c r="P338" s="30">
        <v>5</v>
      </c>
      <c r="Q338" s="30">
        <v>63175</v>
      </c>
      <c r="R338" s="30">
        <v>1</v>
      </c>
      <c r="S338" s="30" t="s">
        <v>60</v>
      </c>
      <c r="T338" s="30" t="s">
        <v>80</v>
      </c>
      <c r="U338" s="30" t="s">
        <v>43</v>
      </c>
      <c r="V338" s="30">
        <v>9904065774</v>
      </c>
      <c r="W338" s="22" t="s">
        <v>34</v>
      </c>
    </row>
    <row r="339" spans="2:23" ht="15" thickBot="1" x14ac:dyDescent="0.4">
      <c r="B339" s="27" t="s">
        <v>435</v>
      </c>
      <c r="C339" s="27" t="s">
        <v>124</v>
      </c>
      <c r="D339" s="27" t="s">
        <v>56</v>
      </c>
      <c r="E339" s="28">
        <v>45718</v>
      </c>
      <c r="F339" s="28">
        <v>45722</v>
      </c>
      <c r="G339" s="27" t="s">
        <v>126</v>
      </c>
      <c r="H339" s="27" t="s">
        <v>58</v>
      </c>
      <c r="I339" s="28">
        <v>36027</v>
      </c>
      <c r="J339" s="27" t="s">
        <v>121</v>
      </c>
      <c r="K339" s="27" t="s">
        <v>38</v>
      </c>
      <c r="L339" s="27" t="s">
        <v>39</v>
      </c>
      <c r="M339" s="27" t="s">
        <v>59</v>
      </c>
      <c r="N339" s="27">
        <v>17</v>
      </c>
      <c r="O339" s="27">
        <v>1200</v>
      </c>
      <c r="P339" s="27">
        <v>15</v>
      </c>
      <c r="Q339" s="27">
        <v>17340</v>
      </c>
      <c r="R339" s="27">
        <v>2</v>
      </c>
      <c r="S339" s="27" t="s">
        <v>41</v>
      </c>
      <c r="T339" s="27" t="s">
        <v>42</v>
      </c>
      <c r="U339" s="27" t="s">
        <v>128</v>
      </c>
      <c r="V339" s="27">
        <v>9652985385</v>
      </c>
      <c r="W339" s="21" t="s">
        <v>34</v>
      </c>
    </row>
    <row r="340" spans="2:23" ht="15" thickBot="1" x14ac:dyDescent="0.4">
      <c r="B340" s="30" t="s">
        <v>436</v>
      </c>
      <c r="C340" s="30" t="s">
        <v>23</v>
      </c>
      <c r="D340" s="30" t="s">
        <v>24</v>
      </c>
      <c r="E340" s="31">
        <v>46062</v>
      </c>
      <c r="F340" s="31">
        <v>46070</v>
      </c>
      <c r="G340" s="30" t="s">
        <v>25</v>
      </c>
      <c r="H340" s="30" t="s">
        <v>26</v>
      </c>
      <c r="I340" s="31">
        <v>36984</v>
      </c>
      <c r="J340" s="30" t="s">
        <v>27</v>
      </c>
      <c r="K340" s="30" t="s">
        <v>28</v>
      </c>
      <c r="L340" s="30" t="s">
        <v>29</v>
      </c>
      <c r="M340" s="30" t="s">
        <v>30</v>
      </c>
      <c r="N340" s="30">
        <v>8</v>
      </c>
      <c r="O340" s="30">
        <v>2200</v>
      </c>
      <c r="P340" s="30">
        <v>5</v>
      </c>
      <c r="Q340" s="30">
        <v>16720</v>
      </c>
      <c r="R340" s="30">
        <v>3</v>
      </c>
      <c r="S340" s="30" t="s">
        <v>60</v>
      </c>
      <c r="T340" s="30" t="s">
        <v>80</v>
      </c>
      <c r="U340" s="30" t="s">
        <v>43</v>
      </c>
      <c r="V340" s="30">
        <v>9427001508</v>
      </c>
      <c r="W340" s="30" t="s">
        <v>52</v>
      </c>
    </row>
    <row r="341" spans="2:23" ht="15" thickBot="1" x14ac:dyDescent="0.4">
      <c r="B341" s="27" t="s">
        <v>437</v>
      </c>
      <c r="C341" s="27" t="s">
        <v>134</v>
      </c>
      <c r="D341" s="27" t="s">
        <v>112</v>
      </c>
      <c r="E341" s="28">
        <v>45704</v>
      </c>
      <c r="F341" s="28">
        <v>45714</v>
      </c>
      <c r="G341" s="27" t="s">
        <v>135</v>
      </c>
      <c r="H341" s="27" t="s">
        <v>26</v>
      </c>
      <c r="I341" s="28">
        <v>33668</v>
      </c>
      <c r="J341" s="27" t="s">
        <v>74</v>
      </c>
      <c r="K341" s="27" t="s">
        <v>75</v>
      </c>
      <c r="L341" s="27" t="s">
        <v>39</v>
      </c>
      <c r="M341" s="27" t="s">
        <v>114</v>
      </c>
      <c r="N341" s="27">
        <v>17</v>
      </c>
      <c r="O341" s="27">
        <v>700</v>
      </c>
      <c r="P341" s="27">
        <v>20</v>
      </c>
      <c r="Q341" s="27">
        <v>9520</v>
      </c>
      <c r="R341" s="27">
        <v>4</v>
      </c>
      <c r="S341" s="27" t="s">
        <v>41</v>
      </c>
      <c r="T341" s="27" t="s">
        <v>80</v>
      </c>
      <c r="U341" s="27" t="s">
        <v>136</v>
      </c>
      <c r="V341" s="27">
        <v>9666803655</v>
      </c>
      <c r="W341" s="21" t="s">
        <v>34</v>
      </c>
    </row>
    <row r="342" spans="2:23" ht="15" thickBot="1" x14ac:dyDescent="0.4">
      <c r="B342" s="30" t="s">
        <v>438</v>
      </c>
      <c r="C342" s="30" t="s">
        <v>134</v>
      </c>
      <c r="D342" s="30" t="s">
        <v>105</v>
      </c>
      <c r="E342" s="31">
        <v>45897</v>
      </c>
      <c r="F342" s="31">
        <v>45908</v>
      </c>
      <c r="G342" s="30" t="s">
        <v>135</v>
      </c>
      <c r="H342" s="30" t="s">
        <v>26</v>
      </c>
      <c r="I342" s="31">
        <v>28122</v>
      </c>
      <c r="J342" s="30" t="s">
        <v>79</v>
      </c>
      <c r="K342" s="30" t="s">
        <v>75</v>
      </c>
      <c r="L342" s="30" t="s">
        <v>29</v>
      </c>
      <c r="M342" s="30" t="s">
        <v>107</v>
      </c>
      <c r="N342" s="30">
        <v>6</v>
      </c>
      <c r="O342" s="30">
        <v>8500</v>
      </c>
      <c r="P342" s="30">
        <v>15</v>
      </c>
      <c r="Q342" s="30">
        <v>43350</v>
      </c>
      <c r="R342" s="30">
        <v>1</v>
      </c>
      <c r="S342" s="30" t="s">
        <v>31</v>
      </c>
      <c r="T342" s="30" t="s">
        <v>50</v>
      </c>
      <c r="U342" s="30" t="s">
        <v>136</v>
      </c>
      <c r="V342" s="30">
        <v>9134878547</v>
      </c>
      <c r="W342" s="22" t="s">
        <v>34</v>
      </c>
    </row>
    <row r="343" spans="2:23" ht="15" thickBot="1" x14ac:dyDescent="0.4">
      <c r="B343" s="27" t="s">
        <v>439</v>
      </c>
      <c r="C343" s="27" t="s">
        <v>45</v>
      </c>
      <c r="D343" s="27" t="s">
        <v>68</v>
      </c>
      <c r="E343" s="28">
        <v>45936</v>
      </c>
      <c r="F343" s="28">
        <v>45941</v>
      </c>
      <c r="G343" s="27" t="s">
        <v>101</v>
      </c>
      <c r="H343" s="27" t="s">
        <v>26</v>
      </c>
      <c r="I343" s="28">
        <v>31659</v>
      </c>
      <c r="J343" s="27" t="s">
        <v>27</v>
      </c>
      <c r="K343" s="27" t="s">
        <v>28</v>
      </c>
      <c r="L343" s="27" t="s">
        <v>29</v>
      </c>
      <c r="M343" s="27" t="s">
        <v>70</v>
      </c>
      <c r="N343" s="27">
        <v>3</v>
      </c>
      <c r="O343" s="27">
        <v>3500</v>
      </c>
      <c r="P343" s="27">
        <v>10</v>
      </c>
      <c r="Q343" s="27">
        <v>9450</v>
      </c>
      <c r="R343" s="27">
        <v>1</v>
      </c>
      <c r="S343" s="27" t="s">
        <v>41</v>
      </c>
      <c r="T343" s="27" t="s">
        <v>42</v>
      </c>
      <c r="U343" s="27" t="s">
        <v>51</v>
      </c>
      <c r="V343" s="27">
        <v>9253593557</v>
      </c>
      <c r="W343" s="21" t="s">
        <v>34</v>
      </c>
    </row>
    <row r="344" spans="2:23" ht="15" thickBot="1" x14ac:dyDescent="0.4">
      <c r="B344" s="30" t="s">
        <v>440</v>
      </c>
      <c r="C344" s="30" t="s">
        <v>55</v>
      </c>
      <c r="D344" s="30" t="s">
        <v>36</v>
      </c>
      <c r="E344" s="31">
        <v>45674</v>
      </c>
      <c r="F344" s="31">
        <v>45686</v>
      </c>
      <c r="G344" s="30" t="s">
        <v>57</v>
      </c>
      <c r="H344" s="30" t="s">
        <v>58</v>
      </c>
      <c r="I344" s="31">
        <v>32734</v>
      </c>
      <c r="J344" s="30" t="s">
        <v>91</v>
      </c>
      <c r="K344" s="30" t="s">
        <v>75</v>
      </c>
      <c r="L344" s="30" t="s">
        <v>39</v>
      </c>
      <c r="M344" s="30" t="s">
        <v>40</v>
      </c>
      <c r="N344" s="30">
        <v>2</v>
      </c>
      <c r="O344" s="30">
        <v>12000</v>
      </c>
      <c r="P344" s="30">
        <v>20</v>
      </c>
      <c r="Q344" s="30">
        <v>19200</v>
      </c>
      <c r="R344" s="30">
        <v>1</v>
      </c>
      <c r="S344" s="30" t="s">
        <v>60</v>
      </c>
      <c r="T344" s="30" t="s">
        <v>50</v>
      </c>
      <c r="U344" s="30" t="s">
        <v>61</v>
      </c>
      <c r="V344" s="30">
        <v>9183094051</v>
      </c>
      <c r="W344" s="22" t="s">
        <v>34</v>
      </c>
    </row>
    <row r="345" spans="2:23" ht="15" thickBot="1" x14ac:dyDescent="0.4">
      <c r="B345" s="27" t="s">
        <v>441</v>
      </c>
      <c r="C345" s="27" t="s">
        <v>124</v>
      </c>
      <c r="D345" s="27" t="s">
        <v>125</v>
      </c>
      <c r="E345" s="28">
        <v>45943</v>
      </c>
      <c r="F345" s="28">
        <v>45946</v>
      </c>
      <c r="G345" s="27" t="s">
        <v>126</v>
      </c>
      <c r="H345" s="27" t="s">
        <v>58</v>
      </c>
      <c r="I345" s="28">
        <v>33299</v>
      </c>
      <c r="J345" s="27" t="s">
        <v>37</v>
      </c>
      <c r="K345" s="27" t="s">
        <v>38</v>
      </c>
      <c r="L345" s="27" t="s">
        <v>83</v>
      </c>
      <c r="M345" s="27" t="s">
        <v>127</v>
      </c>
      <c r="N345" s="27">
        <v>12</v>
      </c>
      <c r="O345" s="27">
        <v>20</v>
      </c>
      <c r="P345" s="27">
        <v>20</v>
      </c>
      <c r="Q345" s="27">
        <v>192</v>
      </c>
      <c r="R345" s="27">
        <v>2</v>
      </c>
      <c r="S345" s="27" t="s">
        <v>60</v>
      </c>
      <c r="T345" s="27" t="s">
        <v>42</v>
      </c>
      <c r="U345" s="27" t="s">
        <v>128</v>
      </c>
      <c r="V345" s="27">
        <v>9293147620</v>
      </c>
      <c r="W345" s="21" t="s">
        <v>34</v>
      </c>
    </row>
    <row r="346" spans="2:23" ht="15" thickBot="1" x14ac:dyDescent="0.4">
      <c r="B346" s="30" t="s">
        <v>442</v>
      </c>
      <c r="C346" s="30" t="s">
        <v>72</v>
      </c>
      <c r="D346" s="30" t="s">
        <v>36</v>
      </c>
      <c r="E346" s="31">
        <v>46138</v>
      </c>
      <c r="F346" s="31">
        <v>46140</v>
      </c>
      <c r="G346" s="30" t="s">
        <v>73</v>
      </c>
      <c r="H346" s="30" t="s">
        <v>26</v>
      </c>
      <c r="I346" s="31">
        <v>32733</v>
      </c>
      <c r="J346" s="30" t="s">
        <v>147</v>
      </c>
      <c r="K346" s="30" t="s">
        <v>148</v>
      </c>
      <c r="L346" s="30" t="s">
        <v>39</v>
      </c>
      <c r="M346" s="30" t="s">
        <v>40</v>
      </c>
      <c r="N346" s="30">
        <v>20</v>
      </c>
      <c r="O346" s="30">
        <v>12000</v>
      </c>
      <c r="P346" s="30">
        <v>15</v>
      </c>
      <c r="Q346" s="30">
        <v>204000</v>
      </c>
      <c r="R346" s="30">
        <v>3</v>
      </c>
      <c r="S346" s="30" t="s">
        <v>31</v>
      </c>
      <c r="T346" s="30" t="s">
        <v>32</v>
      </c>
      <c r="U346" s="30" t="s">
        <v>93</v>
      </c>
      <c r="V346" s="30">
        <v>9755583734</v>
      </c>
      <c r="W346" s="30" t="s">
        <v>52</v>
      </c>
    </row>
    <row r="347" spans="2:23" ht="15" thickBot="1" x14ac:dyDescent="0.4">
      <c r="B347" s="27" t="s">
        <v>443</v>
      </c>
      <c r="C347" s="27" t="s">
        <v>45</v>
      </c>
      <c r="D347" s="27" t="s">
        <v>82</v>
      </c>
      <c r="E347" s="28">
        <v>46105</v>
      </c>
      <c r="F347" s="28">
        <v>46116</v>
      </c>
      <c r="G347" s="27" t="s">
        <v>101</v>
      </c>
      <c r="H347" s="27" t="s">
        <v>26</v>
      </c>
      <c r="I347" s="28">
        <v>37654</v>
      </c>
      <c r="J347" s="27" t="s">
        <v>121</v>
      </c>
      <c r="K347" s="27" t="s">
        <v>38</v>
      </c>
      <c r="L347" s="27" t="s">
        <v>83</v>
      </c>
      <c r="M347" s="27" t="s">
        <v>84</v>
      </c>
      <c r="N347" s="27">
        <v>13</v>
      </c>
      <c r="O347" s="27">
        <v>60</v>
      </c>
      <c r="P347" s="27">
        <v>10</v>
      </c>
      <c r="Q347" s="27">
        <v>702</v>
      </c>
      <c r="R347" s="27">
        <v>5</v>
      </c>
      <c r="S347" s="27" t="s">
        <v>31</v>
      </c>
      <c r="T347" s="27" t="s">
        <v>32</v>
      </c>
      <c r="U347" s="27" t="s">
        <v>51</v>
      </c>
      <c r="V347" s="27">
        <v>9186592813</v>
      </c>
      <c r="W347" s="27" t="s">
        <v>52</v>
      </c>
    </row>
    <row r="348" spans="2:23" ht="15" thickBot="1" x14ac:dyDescent="0.4">
      <c r="B348" s="30" t="s">
        <v>444</v>
      </c>
      <c r="C348" s="30" t="s">
        <v>55</v>
      </c>
      <c r="D348" s="30" t="s">
        <v>46</v>
      </c>
      <c r="E348" s="31">
        <v>45785</v>
      </c>
      <c r="F348" s="31">
        <v>45796</v>
      </c>
      <c r="G348" s="30" t="s">
        <v>57</v>
      </c>
      <c r="H348" s="30" t="s">
        <v>58</v>
      </c>
      <c r="I348" s="31">
        <v>35019</v>
      </c>
      <c r="J348" s="30" t="s">
        <v>79</v>
      </c>
      <c r="K348" s="30" t="s">
        <v>75</v>
      </c>
      <c r="L348" s="30" t="s">
        <v>39</v>
      </c>
      <c r="M348" s="30" t="s">
        <v>49</v>
      </c>
      <c r="N348" s="30">
        <v>13</v>
      </c>
      <c r="O348" s="30">
        <v>55000</v>
      </c>
      <c r="P348" s="30">
        <v>5</v>
      </c>
      <c r="Q348" s="30">
        <v>679250</v>
      </c>
      <c r="R348" s="30">
        <v>1</v>
      </c>
      <c r="S348" s="30" t="s">
        <v>65</v>
      </c>
      <c r="T348" s="30" t="s">
        <v>96</v>
      </c>
      <c r="U348" s="30" t="s">
        <v>61</v>
      </c>
      <c r="V348" s="30">
        <v>9203482008</v>
      </c>
      <c r="W348" s="30" t="s">
        <v>52</v>
      </c>
    </row>
    <row r="349" spans="2:23" ht="15" thickBot="1" x14ac:dyDescent="0.4">
      <c r="B349" s="27" t="s">
        <v>445</v>
      </c>
      <c r="C349" s="27" t="s">
        <v>72</v>
      </c>
      <c r="D349" s="27" t="s">
        <v>56</v>
      </c>
      <c r="E349" s="28">
        <v>46088</v>
      </c>
      <c r="F349" s="28">
        <v>46091</v>
      </c>
      <c r="G349" s="27" t="s">
        <v>73</v>
      </c>
      <c r="H349" s="27" t="s">
        <v>26</v>
      </c>
      <c r="I349" s="28">
        <v>32836</v>
      </c>
      <c r="J349" s="27" t="s">
        <v>48</v>
      </c>
      <c r="K349" s="27" t="s">
        <v>28</v>
      </c>
      <c r="L349" s="27" t="s">
        <v>39</v>
      </c>
      <c r="M349" s="27" t="s">
        <v>59</v>
      </c>
      <c r="N349" s="27">
        <v>7</v>
      </c>
      <c r="O349" s="27">
        <v>1200</v>
      </c>
      <c r="P349" s="27">
        <v>15</v>
      </c>
      <c r="Q349" s="27">
        <v>7140</v>
      </c>
      <c r="R349" s="27">
        <v>5</v>
      </c>
      <c r="S349" s="27" t="s">
        <v>65</v>
      </c>
      <c r="T349" s="27" t="s">
        <v>42</v>
      </c>
      <c r="U349" s="27" t="s">
        <v>93</v>
      </c>
      <c r="V349" s="27">
        <v>9829888777</v>
      </c>
      <c r="W349" s="27" t="s">
        <v>52</v>
      </c>
    </row>
    <row r="350" spans="2:23" ht="15" thickBot="1" x14ac:dyDescent="0.4">
      <c r="B350" s="30" t="s">
        <v>446</v>
      </c>
      <c r="C350" s="30" t="s">
        <v>63</v>
      </c>
      <c r="D350" s="30" t="s">
        <v>36</v>
      </c>
      <c r="E350" s="31">
        <v>46017</v>
      </c>
      <c r="F350" s="31">
        <v>46021</v>
      </c>
      <c r="G350" s="30" t="s">
        <v>110</v>
      </c>
      <c r="H350" s="30" t="s">
        <v>58</v>
      </c>
      <c r="I350" s="31">
        <v>32253</v>
      </c>
      <c r="J350" s="30" t="s">
        <v>121</v>
      </c>
      <c r="K350" s="30" t="s">
        <v>38</v>
      </c>
      <c r="L350" s="30" t="s">
        <v>39</v>
      </c>
      <c r="M350" s="30" t="s">
        <v>40</v>
      </c>
      <c r="N350" s="30">
        <v>17</v>
      </c>
      <c r="O350" s="30">
        <v>12000</v>
      </c>
      <c r="P350" s="30">
        <v>5</v>
      </c>
      <c r="Q350" s="30">
        <v>193800</v>
      </c>
      <c r="R350" s="30">
        <v>1</v>
      </c>
      <c r="S350" s="30" t="s">
        <v>31</v>
      </c>
      <c r="T350" s="30" t="s">
        <v>50</v>
      </c>
      <c r="U350" s="30" t="s">
        <v>66</v>
      </c>
      <c r="V350" s="30">
        <v>9566101317</v>
      </c>
      <c r="W350" s="30" t="s">
        <v>53</v>
      </c>
    </row>
    <row r="351" spans="2:23" ht="15" thickBot="1" x14ac:dyDescent="0.4">
      <c r="B351" s="27" t="s">
        <v>447</v>
      </c>
      <c r="C351" s="27" t="s">
        <v>63</v>
      </c>
      <c r="D351" s="27" t="s">
        <v>125</v>
      </c>
      <c r="E351" s="28">
        <v>46131</v>
      </c>
      <c r="F351" s="28">
        <v>46137</v>
      </c>
      <c r="G351" s="27" t="s">
        <v>110</v>
      </c>
      <c r="H351" s="27" t="s">
        <v>58</v>
      </c>
      <c r="I351" s="28">
        <v>28796</v>
      </c>
      <c r="J351" s="27" t="s">
        <v>48</v>
      </c>
      <c r="K351" s="27" t="s">
        <v>28</v>
      </c>
      <c r="L351" s="27" t="s">
        <v>83</v>
      </c>
      <c r="M351" s="27" t="s">
        <v>127</v>
      </c>
      <c r="N351" s="27">
        <v>10</v>
      </c>
      <c r="O351" s="27">
        <v>20</v>
      </c>
      <c r="P351" s="27">
        <v>5</v>
      </c>
      <c r="Q351" s="27">
        <v>190</v>
      </c>
      <c r="R351" s="27">
        <v>2</v>
      </c>
      <c r="S351" s="27" t="s">
        <v>31</v>
      </c>
      <c r="T351" s="27" t="s">
        <v>50</v>
      </c>
      <c r="U351" s="27" t="s">
        <v>66</v>
      </c>
      <c r="V351" s="27">
        <v>9706240823</v>
      </c>
      <c r="W351" s="27" t="s">
        <v>53</v>
      </c>
    </row>
    <row r="352" spans="2:23" ht="15" thickBot="1" x14ac:dyDescent="0.4">
      <c r="B352" s="30" t="s">
        <v>448</v>
      </c>
      <c r="C352" s="30" t="s">
        <v>104</v>
      </c>
      <c r="D352" s="30" t="s">
        <v>24</v>
      </c>
      <c r="E352" s="31">
        <v>45966</v>
      </c>
      <c r="F352" s="31">
        <v>45969</v>
      </c>
      <c r="G352" s="30" t="s">
        <v>166</v>
      </c>
      <c r="H352" s="30" t="s">
        <v>26</v>
      </c>
      <c r="I352" s="31">
        <v>32855</v>
      </c>
      <c r="J352" s="30" t="s">
        <v>37</v>
      </c>
      <c r="K352" s="30" t="s">
        <v>38</v>
      </c>
      <c r="L352" s="30" t="s">
        <v>29</v>
      </c>
      <c r="M352" s="30" t="s">
        <v>30</v>
      </c>
      <c r="N352" s="30">
        <v>11</v>
      </c>
      <c r="O352" s="30">
        <v>2200</v>
      </c>
      <c r="P352" s="30">
        <v>5</v>
      </c>
      <c r="Q352" s="30">
        <v>22990</v>
      </c>
      <c r="R352" s="30">
        <v>5</v>
      </c>
      <c r="S352" s="30" t="s">
        <v>60</v>
      </c>
      <c r="T352" s="30" t="s">
        <v>42</v>
      </c>
      <c r="U352" s="30" t="s">
        <v>108</v>
      </c>
      <c r="V352" s="30">
        <v>9259943760</v>
      </c>
      <c r="W352" s="30" t="s">
        <v>52</v>
      </c>
    </row>
    <row r="353" spans="2:23" ht="15" thickBot="1" x14ac:dyDescent="0.4">
      <c r="B353" s="27" t="s">
        <v>449</v>
      </c>
      <c r="C353" s="27" t="s">
        <v>72</v>
      </c>
      <c r="D353" s="27" t="s">
        <v>82</v>
      </c>
      <c r="E353" s="28">
        <v>46077</v>
      </c>
      <c r="F353" s="28">
        <v>46081</v>
      </c>
      <c r="G353" s="27" t="s">
        <v>73</v>
      </c>
      <c r="H353" s="27" t="s">
        <v>26</v>
      </c>
      <c r="I353" s="28">
        <v>34707</v>
      </c>
      <c r="J353" s="27" t="s">
        <v>121</v>
      </c>
      <c r="K353" s="27" t="s">
        <v>38</v>
      </c>
      <c r="L353" s="27" t="s">
        <v>83</v>
      </c>
      <c r="M353" s="27" t="s">
        <v>84</v>
      </c>
      <c r="N353" s="27">
        <v>8</v>
      </c>
      <c r="O353" s="27">
        <v>60</v>
      </c>
      <c r="P353" s="27">
        <v>15</v>
      </c>
      <c r="Q353" s="27">
        <v>408</v>
      </c>
      <c r="R353" s="27">
        <v>4</v>
      </c>
      <c r="S353" s="27" t="s">
        <v>31</v>
      </c>
      <c r="T353" s="27" t="s">
        <v>42</v>
      </c>
      <c r="U353" s="27" t="s">
        <v>93</v>
      </c>
      <c r="V353" s="27">
        <v>9527326977</v>
      </c>
      <c r="W353" s="27" t="s">
        <v>52</v>
      </c>
    </row>
    <row r="354" spans="2:23" ht="15" thickBot="1" x14ac:dyDescent="0.4">
      <c r="B354" s="30" t="s">
        <v>450</v>
      </c>
      <c r="C354" s="30" t="s">
        <v>124</v>
      </c>
      <c r="D354" s="30" t="s">
        <v>138</v>
      </c>
      <c r="E354" s="31">
        <v>45739</v>
      </c>
      <c r="F354" s="31">
        <v>45741</v>
      </c>
      <c r="G354" s="30" t="s">
        <v>126</v>
      </c>
      <c r="H354" s="30" t="s">
        <v>58</v>
      </c>
      <c r="I354" s="31">
        <v>34630</v>
      </c>
      <c r="J354" s="30" t="s">
        <v>37</v>
      </c>
      <c r="K354" s="30" t="s">
        <v>38</v>
      </c>
      <c r="L354" s="30" t="s">
        <v>83</v>
      </c>
      <c r="M354" s="30" t="s">
        <v>139</v>
      </c>
      <c r="N354" s="30">
        <v>17</v>
      </c>
      <c r="O354" s="30">
        <v>45</v>
      </c>
      <c r="P354" s="30">
        <v>15</v>
      </c>
      <c r="Q354" s="30">
        <v>650.25</v>
      </c>
      <c r="R354" s="30">
        <v>2</v>
      </c>
      <c r="S354" s="30" t="s">
        <v>65</v>
      </c>
      <c r="T354" s="30" t="s">
        <v>96</v>
      </c>
      <c r="U354" s="30" t="s">
        <v>128</v>
      </c>
      <c r="V354" s="30">
        <v>9886970990</v>
      </c>
      <c r="W354" s="22" t="s">
        <v>34</v>
      </c>
    </row>
    <row r="355" spans="2:23" ht="15" thickBot="1" x14ac:dyDescent="0.4">
      <c r="B355" s="27" t="s">
        <v>451</v>
      </c>
      <c r="C355" s="27" t="s">
        <v>156</v>
      </c>
      <c r="D355" s="27" t="s">
        <v>112</v>
      </c>
      <c r="E355" s="28">
        <v>45715</v>
      </c>
      <c r="F355" s="28">
        <v>45726</v>
      </c>
      <c r="G355" s="27" t="s">
        <v>106</v>
      </c>
      <c r="H355" s="27" t="s">
        <v>58</v>
      </c>
      <c r="I355" s="28">
        <v>35206</v>
      </c>
      <c r="J355" s="27" t="s">
        <v>121</v>
      </c>
      <c r="K355" s="27" t="s">
        <v>38</v>
      </c>
      <c r="L355" s="27" t="s">
        <v>39</v>
      </c>
      <c r="M355" s="27" t="s">
        <v>114</v>
      </c>
      <c r="N355" s="27">
        <v>14</v>
      </c>
      <c r="O355" s="27">
        <v>700</v>
      </c>
      <c r="P355" s="27">
        <v>15</v>
      </c>
      <c r="Q355" s="27">
        <v>8330</v>
      </c>
      <c r="R355" s="27">
        <v>1</v>
      </c>
      <c r="S355" s="27" t="s">
        <v>60</v>
      </c>
      <c r="T355" s="27" t="s">
        <v>80</v>
      </c>
      <c r="U355" s="27" t="s">
        <v>158</v>
      </c>
      <c r="V355" s="27">
        <v>9106930369</v>
      </c>
      <c r="W355" s="21" t="s">
        <v>34</v>
      </c>
    </row>
    <row r="356" spans="2:23" ht="15" thickBot="1" x14ac:dyDescent="0.4">
      <c r="B356" s="30" t="s">
        <v>452</v>
      </c>
      <c r="C356" s="30" t="s">
        <v>63</v>
      </c>
      <c r="D356" s="30" t="s">
        <v>56</v>
      </c>
      <c r="E356" s="31">
        <v>45811</v>
      </c>
      <c r="F356" s="31">
        <v>45822</v>
      </c>
      <c r="G356" s="30" t="s">
        <v>110</v>
      </c>
      <c r="H356" s="30" t="s">
        <v>58</v>
      </c>
      <c r="I356" s="31">
        <v>30097</v>
      </c>
      <c r="J356" s="30" t="s">
        <v>79</v>
      </c>
      <c r="K356" s="30" t="s">
        <v>75</v>
      </c>
      <c r="L356" s="30" t="s">
        <v>39</v>
      </c>
      <c r="M356" s="30" t="s">
        <v>59</v>
      </c>
      <c r="N356" s="30">
        <v>3</v>
      </c>
      <c r="O356" s="30">
        <v>1200</v>
      </c>
      <c r="P356" s="30">
        <v>5</v>
      </c>
      <c r="Q356" s="30">
        <v>3420</v>
      </c>
      <c r="R356" s="30">
        <v>3</v>
      </c>
      <c r="S356" s="30" t="s">
        <v>41</v>
      </c>
      <c r="T356" s="30" t="s">
        <v>96</v>
      </c>
      <c r="U356" s="30" t="s">
        <v>66</v>
      </c>
      <c r="V356" s="30">
        <v>9342009114</v>
      </c>
      <c r="W356" s="22" t="s">
        <v>34</v>
      </c>
    </row>
    <row r="357" spans="2:23" ht="15" thickBot="1" x14ac:dyDescent="0.4">
      <c r="B357" s="27" t="s">
        <v>453</v>
      </c>
      <c r="C357" s="27" t="s">
        <v>23</v>
      </c>
      <c r="D357" s="27" t="s">
        <v>56</v>
      </c>
      <c r="E357" s="28">
        <v>45845</v>
      </c>
      <c r="F357" s="28">
        <v>45854</v>
      </c>
      <c r="G357" s="27" t="s">
        <v>25</v>
      </c>
      <c r="H357" s="27" t="s">
        <v>26</v>
      </c>
      <c r="I357" s="28">
        <v>37217</v>
      </c>
      <c r="J357" s="27" t="s">
        <v>91</v>
      </c>
      <c r="K357" s="27" t="s">
        <v>75</v>
      </c>
      <c r="L357" s="27" t="s">
        <v>39</v>
      </c>
      <c r="M357" s="27" t="s">
        <v>59</v>
      </c>
      <c r="N357" s="27">
        <v>9</v>
      </c>
      <c r="O357" s="27">
        <v>1200</v>
      </c>
      <c r="P357" s="27">
        <v>15</v>
      </c>
      <c r="Q357" s="27">
        <v>9180</v>
      </c>
      <c r="R357" s="27">
        <v>3</v>
      </c>
      <c r="S357" s="27" t="s">
        <v>31</v>
      </c>
      <c r="T357" s="27" t="s">
        <v>42</v>
      </c>
      <c r="U357" s="27" t="s">
        <v>43</v>
      </c>
      <c r="V357" s="27">
        <v>9992739960</v>
      </c>
      <c r="W357" s="21" t="s">
        <v>34</v>
      </c>
    </row>
    <row r="358" spans="2:23" ht="15" thickBot="1" x14ac:dyDescent="0.4">
      <c r="B358" s="30" t="s">
        <v>454</v>
      </c>
      <c r="C358" s="30" t="s">
        <v>134</v>
      </c>
      <c r="D358" s="30" t="s">
        <v>125</v>
      </c>
      <c r="E358" s="31">
        <v>46132</v>
      </c>
      <c r="F358" s="31">
        <v>46133</v>
      </c>
      <c r="G358" s="30" t="s">
        <v>135</v>
      </c>
      <c r="H358" s="30" t="s">
        <v>26</v>
      </c>
      <c r="I358" s="31">
        <v>32565</v>
      </c>
      <c r="J358" s="30" t="s">
        <v>74</v>
      </c>
      <c r="K358" s="30" t="s">
        <v>75</v>
      </c>
      <c r="L358" s="30" t="s">
        <v>83</v>
      </c>
      <c r="M358" s="30" t="s">
        <v>127</v>
      </c>
      <c r="N358" s="30">
        <v>5</v>
      </c>
      <c r="O358" s="30">
        <v>20</v>
      </c>
      <c r="P358" s="30">
        <v>5</v>
      </c>
      <c r="Q358" s="30">
        <v>95</v>
      </c>
      <c r="R358" s="30">
        <v>4</v>
      </c>
      <c r="S358" s="30" t="s">
        <v>31</v>
      </c>
      <c r="T358" s="30" t="s">
        <v>96</v>
      </c>
      <c r="U358" s="30" t="s">
        <v>136</v>
      </c>
      <c r="V358" s="30">
        <v>9241987748</v>
      </c>
      <c r="W358" s="22" t="s">
        <v>34</v>
      </c>
    </row>
    <row r="359" spans="2:23" ht="15" thickBot="1" x14ac:dyDescent="0.4">
      <c r="B359" s="27" t="s">
        <v>455</v>
      </c>
      <c r="C359" s="27" t="s">
        <v>134</v>
      </c>
      <c r="D359" s="27" t="s">
        <v>24</v>
      </c>
      <c r="E359" s="28">
        <v>46001</v>
      </c>
      <c r="F359" s="28">
        <v>46012</v>
      </c>
      <c r="G359" s="27" t="s">
        <v>135</v>
      </c>
      <c r="H359" s="27" t="s">
        <v>26</v>
      </c>
      <c r="I359" s="28">
        <v>31277</v>
      </c>
      <c r="J359" s="27" t="s">
        <v>91</v>
      </c>
      <c r="K359" s="27" t="s">
        <v>75</v>
      </c>
      <c r="L359" s="27" t="s">
        <v>29</v>
      </c>
      <c r="M359" s="27" t="s">
        <v>30</v>
      </c>
      <c r="N359" s="27">
        <v>8</v>
      </c>
      <c r="O359" s="27">
        <v>2200</v>
      </c>
      <c r="P359" s="27">
        <v>10</v>
      </c>
      <c r="Q359" s="27">
        <v>15840</v>
      </c>
      <c r="R359" s="27">
        <v>4</v>
      </c>
      <c r="S359" s="27" t="s">
        <v>65</v>
      </c>
      <c r="T359" s="27" t="s">
        <v>50</v>
      </c>
      <c r="U359" s="27" t="s">
        <v>136</v>
      </c>
      <c r="V359" s="27">
        <v>9571990711</v>
      </c>
      <c r="W359" s="27" t="s">
        <v>53</v>
      </c>
    </row>
    <row r="360" spans="2:23" ht="15" thickBot="1" x14ac:dyDescent="0.4">
      <c r="B360" s="30" t="s">
        <v>456</v>
      </c>
      <c r="C360" s="30" t="s">
        <v>134</v>
      </c>
      <c r="D360" s="30" t="s">
        <v>112</v>
      </c>
      <c r="E360" s="31">
        <v>46089</v>
      </c>
      <c r="F360" s="31">
        <v>46093</v>
      </c>
      <c r="G360" s="30" t="s">
        <v>135</v>
      </c>
      <c r="H360" s="30" t="s">
        <v>26</v>
      </c>
      <c r="I360" s="31">
        <v>29223</v>
      </c>
      <c r="J360" s="30" t="s">
        <v>74</v>
      </c>
      <c r="K360" s="30" t="s">
        <v>75</v>
      </c>
      <c r="L360" s="30" t="s">
        <v>39</v>
      </c>
      <c r="M360" s="30" t="s">
        <v>114</v>
      </c>
      <c r="N360" s="30">
        <v>10</v>
      </c>
      <c r="O360" s="30">
        <v>700</v>
      </c>
      <c r="P360" s="30">
        <v>20</v>
      </c>
      <c r="Q360" s="30">
        <v>5600</v>
      </c>
      <c r="R360" s="30">
        <v>1</v>
      </c>
      <c r="S360" s="30" t="s">
        <v>65</v>
      </c>
      <c r="T360" s="30" t="s">
        <v>80</v>
      </c>
      <c r="U360" s="30" t="s">
        <v>136</v>
      </c>
      <c r="V360" s="30">
        <v>9219231183</v>
      </c>
      <c r="W360" s="22" t="s">
        <v>34</v>
      </c>
    </row>
    <row r="361" spans="2:23" ht="15" thickBot="1" x14ac:dyDescent="0.4">
      <c r="B361" s="27" t="s">
        <v>457</v>
      </c>
      <c r="C361" s="27" t="s">
        <v>63</v>
      </c>
      <c r="D361" s="27" t="s">
        <v>112</v>
      </c>
      <c r="E361" s="28">
        <v>45986</v>
      </c>
      <c r="F361" s="28">
        <v>45989</v>
      </c>
      <c r="G361" s="27" t="s">
        <v>110</v>
      </c>
      <c r="H361" s="27" t="s">
        <v>58</v>
      </c>
      <c r="I361" s="28">
        <v>28498</v>
      </c>
      <c r="J361" s="27" t="s">
        <v>48</v>
      </c>
      <c r="K361" s="27" t="s">
        <v>28</v>
      </c>
      <c r="L361" s="27" t="s">
        <v>39</v>
      </c>
      <c r="M361" s="27" t="s">
        <v>114</v>
      </c>
      <c r="N361" s="27">
        <v>2</v>
      </c>
      <c r="O361" s="27">
        <v>700</v>
      </c>
      <c r="P361" s="27">
        <v>20</v>
      </c>
      <c r="Q361" s="27">
        <v>1120</v>
      </c>
      <c r="R361" s="27">
        <v>2</v>
      </c>
      <c r="S361" s="27" t="s">
        <v>31</v>
      </c>
      <c r="T361" s="27" t="s">
        <v>80</v>
      </c>
      <c r="U361" s="27" t="s">
        <v>66</v>
      </c>
      <c r="V361" s="27">
        <v>9847386174</v>
      </c>
      <c r="W361" s="27" t="s">
        <v>52</v>
      </c>
    </row>
    <row r="362" spans="2:23" ht="15" thickBot="1" x14ac:dyDescent="0.4">
      <c r="B362" s="30" t="s">
        <v>458</v>
      </c>
      <c r="C362" s="30" t="s">
        <v>124</v>
      </c>
      <c r="D362" s="30" t="s">
        <v>68</v>
      </c>
      <c r="E362" s="31">
        <v>45827</v>
      </c>
      <c r="F362" s="31">
        <v>45836</v>
      </c>
      <c r="G362" s="30" t="s">
        <v>126</v>
      </c>
      <c r="H362" s="30" t="s">
        <v>58</v>
      </c>
      <c r="I362" s="31">
        <v>33821</v>
      </c>
      <c r="J362" s="30" t="s">
        <v>79</v>
      </c>
      <c r="K362" s="30" t="s">
        <v>75</v>
      </c>
      <c r="L362" s="30" t="s">
        <v>29</v>
      </c>
      <c r="M362" s="30" t="s">
        <v>70</v>
      </c>
      <c r="N362" s="30">
        <v>16</v>
      </c>
      <c r="O362" s="30">
        <v>3500</v>
      </c>
      <c r="P362" s="30">
        <v>20</v>
      </c>
      <c r="Q362" s="30">
        <v>44800</v>
      </c>
      <c r="R362" s="30">
        <v>2</v>
      </c>
      <c r="S362" s="30" t="s">
        <v>65</v>
      </c>
      <c r="T362" s="30" t="s">
        <v>32</v>
      </c>
      <c r="U362" s="30" t="s">
        <v>128</v>
      </c>
      <c r="V362" s="30">
        <v>9941274924</v>
      </c>
      <c r="W362" s="30" t="s">
        <v>52</v>
      </c>
    </row>
    <row r="363" spans="2:23" ht="15" thickBot="1" x14ac:dyDescent="0.4">
      <c r="B363" s="27" t="s">
        <v>459</v>
      </c>
      <c r="C363" s="27" t="s">
        <v>104</v>
      </c>
      <c r="D363" s="27" t="s">
        <v>68</v>
      </c>
      <c r="E363" s="28">
        <v>45860</v>
      </c>
      <c r="F363" s="28">
        <v>45870</v>
      </c>
      <c r="G363" s="27" t="s">
        <v>166</v>
      </c>
      <c r="H363" s="27" t="s">
        <v>26</v>
      </c>
      <c r="I363" s="28">
        <v>38349</v>
      </c>
      <c r="J363" s="27" t="s">
        <v>37</v>
      </c>
      <c r="K363" s="27" t="s">
        <v>38</v>
      </c>
      <c r="L363" s="27" t="s">
        <v>29</v>
      </c>
      <c r="M363" s="27" t="s">
        <v>70</v>
      </c>
      <c r="N363" s="27">
        <v>9</v>
      </c>
      <c r="O363" s="27">
        <v>3500</v>
      </c>
      <c r="P363" s="27">
        <v>20</v>
      </c>
      <c r="Q363" s="27">
        <v>25200</v>
      </c>
      <c r="R363" s="27">
        <v>1</v>
      </c>
      <c r="S363" s="27" t="s">
        <v>60</v>
      </c>
      <c r="T363" s="27" t="s">
        <v>42</v>
      </c>
      <c r="U363" s="27" t="s">
        <v>108</v>
      </c>
      <c r="V363" s="27">
        <v>9950650508</v>
      </c>
      <c r="W363" s="27" t="s">
        <v>53</v>
      </c>
    </row>
    <row r="364" spans="2:23" ht="15" thickBot="1" x14ac:dyDescent="0.4">
      <c r="B364" s="30" t="s">
        <v>460</v>
      </c>
      <c r="C364" s="30" t="s">
        <v>87</v>
      </c>
      <c r="D364" s="30" t="s">
        <v>112</v>
      </c>
      <c r="E364" s="31">
        <v>45959</v>
      </c>
      <c r="F364" s="31">
        <v>45960</v>
      </c>
      <c r="G364" s="30" t="s">
        <v>88</v>
      </c>
      <c r="H364" s="30" t="s">
        <v>58</v>
      </c>
      <c r="I364" s="31">
        <v>37628</v>
      </c>
      <c r="J364" s="30" t="s">
        <v>27</v>
      </c>
      <c r="K364" s="30" t="s">
        <v>28</v>
      </c>
      <c r="L364" s="30" t="s">
        <v>39</v>
      </c>
      <c r="M364" s="30" t="s">
        <v>114</v>
      </c>
      <c r="N364" s="30">
        <v>15</v>
      </c>
      <c r="O364" s="30">
        <v>700</v>
      </c>
      <c r="P364" s="30">
        <v>5</v>
      </c>
      <c r="Q364" s="30">
        <v>9975</v>
      </c>
      <c r="R364" s="30">
        <v>1</v>
      </c>
      <c r="S364" s="30" t="s">
        <v>31</v>
      </c>
      <c r="T364" s="30" t="s">
        <v>42</v>
      </c>
      <c r="U364" s="30" t="s">
        <v>89</v>
      </c>
      <c r="V364" s="30">
        <v>9464035549</v>
      </c>
      <c r="W364" s="30" t="s">
        <v>53</v>
      </c>
    </row>
    <row r="365" spans="2:23" ht="15" thickBot="1" x14ac:dyDescent="0.4">
      <c r="B365" s="27" t="s">
        <v>461</v>
      </c>
      <c r="C365" s="27" t="s">
        <v>45</v>
      </c>
      <c r="D365" s="27" t="s">
        <v>56</v>
      </c>
      <c r="E365" s="28">
        <v>46086</v>
      </c>
      <c r="F365" s="28">
        <v>46091</v>
      </c>
      <c r="G365" s="27" t="s">
        <v>101</v>
      </c>
      <c r="H365" s="27" t="s">
        <v>26</v>
      </c>
      <c r="I365" s="28">
        <v>34037</v>
      </c>
      <c r="J365" s="27" t="s">
        <v>91</v>
      </c>
      <c r="K365" s="27" t="s">
        <v>75</v>
      </c>
      <c r="L365" s="27" t="s">
        <v>39</v>
      </c>
      <c r="M365" s="27" t="s">
        <v>59</v>
      </c>
      <c r="N365" s="27">
        <v>13</v>
      </c>
      <c r="O365" s="27">
        <v>1200</v>
      </c>
      <c r="P365" s="27">
        <v>0</v>
      </c>
      <c r="Q365" s="27">
        <v>15600</v>
      </c>
      <c r="R365" s="27">
        <v>3</v>
      </c>
      <c r="S365" s="27" t="s">
        <v>41</v>
      </c>
      <c r="T365" s="27" t="s">
        <v>80</v>
      </c>
      <c r="U365" s="27" t="s">
        <v>51</v>
      </c>
      <c r="V365" s="27">
        <v>9142334315</v>
      </c>
      <c r="W365" s="27" t="s">
        <v>53</v>
      </c>
    </row>
    <row r="366" spans="2:23" ht="15" thickBot="1" x14ac:dyDescent="0.4">
      <c r="B366" s="30" t="s">
        <v>462</v>
      </c>
      <c r="C366" s="30" t="s">
        <v>156</v>
      </c>
      <c r="D366" s="30" t="s">
        <v>36</v>
      </c>
      <c r="E366" s="31">
        <v>45895</v>
      </c>
      <c r="F366" s="31">
        <v>45907</v>
      </c>
      <c r="G366" s="30" t="s">
        <v>106</v>
      </c>
      <c r="H366" s="30" t="s">
        <v>58</v>
      </c>
      <c r="I366" s="31">
        <v>34123</v>
      </c>
      <c r="J366" s="30" t="s">
        <v>37</v>
      </c>
      <c r="K366" s="30" t="s">
        <v>38</v>
      </c>
      <c r="L366" s="30" t="s">
        <v>39</v>
      </c>
      <c r="M366" s="30" t="s">
        <v>40</v>
      </c>
      <c r="N366" s="30">
        <v>5</v>
      </c>
      <c r="O366" s="30">
        <v>12000</v>
      </c>
      <c r="P366" s="30">
        <v>10</v>
      </c>
      <c r="Q366" s="30">
        <v>54000</v>
      </c>
      <c r="R366" s="30">
        <v>3</v>
      </c>
      <c r="S366" s="30" t="s">
        <v>65</v>
      </c>
      <c r="T366" s="30" t="s">
        <v>42</v>
      </c>
      <c r="U366" s="30" t="s">
        <v>158</v>
      </c>
      <c r="V366" s="30">
        <v>9123961962</v>
      </c>
      <c r="W366" s="22" t="s">
        <v>34</v>
      </c>
    </row>
    <row r="367" spans="2:23" ht="15" thickBot="1" x14ac:dyDescent="0.4">
      <c r="B367" s="27" t="s">
        <v>463</v>
      </c>
      <c r="C367" s="27" t="s">
        <v>45</v>
      </c>
      <c r="D367" s="27" t="s">
        <v>138</v>
      </c>
      <c r="E367" s="28">
        <v>45752</v>
      </c>
      <c r="F367" s="28">
        <v>45755</v>
      </c>
      <c r="G367" s="27" t="s">
        <v>101</v>
      </c>
      <c r="H367" s="27" t="s">
        <v>26</v>
      </c>
      <c r="I367" s="28">
        <v>36504</v>
      </c>
      <c r="J367" s="27" t="s">
        <v>48</v>
      </c>
      <c r="K367" s="27" t="s">
        <v>28</v>
      </c>
      <c r="L367" s="27" t="s">
        <v>83</v>
      </c>
      <c r="M367" s="27" t="s">
        <v>139</v>
      </c>
      <c r="N367" s="27">
        <v>12</v>
      </c>
      <c r="O367" s="27">
        <v>45</v>
      </c>
      <c r="P367" s="27">
        <v>20</v>
      </c>
      <c r="Q367" s="27">
        <v>432</v>
      </c>
      <c r="R367" s="27">
        <v>3</v>
      </c>
      <c r="S367" s="27" t="s">
        <v>41</v>
      </c>
      <c r="T367" s="27" t="s">
        <v>50</v>
      </c>
      <c r="U367" s="27" t="s">
        <v>51</v>
      </c>
      <c r="V367" s="27">
        <v>9741953402</v>
      </c>
      <c r="W367" s="21" t="s">
        <v>34</v>
      </c>
    </row>
    <row r="368" spans="2:23" ht="15" thickBot="1" x14ac:dyDescent="0.4">
      <c r="B368" s="30" t="s">
        <v>464</v>
      </c>
      <c r="C368" s="30" t="s">
        <v>23</v>
      </c>
      <c r="D368" s="30" t="s">
        <v>68</v>
      </c>
      <c r="E368" s="31">
        <v>45756</v>
      </c>
      <c r="F368" s="31">
        <v>45761</v>
      </c>
      <c r="G368" s="30" t="s">
        <v>25</v>
      </c>
      <c r="H368" s="30" t="s">
        <v>26</v>
      </c>
      <c r="I368" s="31">
        <v>27917</v>
      </c>
      <c r="J368" s="30" t="s">
        <v>48</v>
      </c>
      <c r="K368" s="30" t="s">
        <v>28</v>
      </c>
      <c r="L368" s="30" t="s">
        <v>29</v>
      </c>
      <c r="M368" s="30" t="s">
        <v>70</v>
      </c>
      <c r="N368" s="30">
        <v>2</v>
      </c>
      <c r="O368" s="30">
        <v>3500</v>
      </c>
      <c r="P368" s="30">
        <v>0</v>
      </c>
      <c r="Q368" s="30">
        <v>7000</v>
      </c>
      <c r="R368" s="30">
        <v>1</v>
      </c>
      <c r="S368" s="30" t="s">
        <v>41</v>
      </c>
      <c r="T368" s="30" t="s">
        <v>80</v>
      </c>
      <c r="U368" s="30" t="s">
        <v>43</v>
      </c>
      <c r="V368" s="30">
        <v>9404733633</v>
      </c>
      <c r="W368" s="30" t="s">
        <v>52</v>
      </c>
    </row>
    <row r="369" spans="2:23" ht="15" thickBot="1" x14ac:dyDescent="0.4">
      <c r="B369" s="27" t="s">
        <v>465</v>
      </c>
      <c r="C369" s="27" t="s">
        <v>23</v>
      </c>
      <c r="D369" s="27" t="s">
        <v>24</v>
      </c>
      <c r="E369" s="28">
        <v>46155</v>
      </c>
      <c r="F369" s="28">
        <v>46158</v>
      </c>
      <c r="G369" s="27" t="s">
        <v>25</v>
      </c>
      <c r="H369" s="27" t="s">
        <v>26</v>
      </c>
      <c r="I369" s="28">
        <v>30982</v>
      </c>
      <c r="J369" s="27" t="s">
        <v>79</v>
      </c>
      <c r="K369" s="27" t="s">
        <v>75</v>
      </c>
      <c r="L369" s="27" t="s">
        <v>29</v>
      </c>
      <c r="M369" s="27" t="s">
        <v>30</v>
      </c>
      <c r="N369" s="27">
        <v>15</v>
      </c>
      <c r="O369" s="27">
        <v>2200</v>
      </c>
      <c r="P369" s="27">
        <v>15</v>
      </c>
      <c r="Q369" s="27">
        <v>28050</v>
      </c>
      <c r="R369" s="27">
        <v>2</v>
      </c>
      <c r="S369" s="27" t="s">
        <v>41</v>
      </c>
      <c r="T369" s="27" t="s">
        <v>42</v>
      </c>
      <c r="U369" s="27" t="s">
        <v>43</v>
      </c>
      <c r="V369" s="27">
        <v>9297492337</v>
      </c>
      <c r="W369" s="27" t="s">
        <v>52</v>
      </c>
    </row>
    <row r="370" spans="2:23" ht="15" thickBot="1" x14ac:dyDescent="0.4">
      <c r="B370" s="30" t="s">
        <v>466</v>
      </c>
      <c r="C370" s="30" t="s">
        <v>72</v>
      </c>
      <c r="D370" s="30" t="s">
        <v>125</v>
      </c>
      <c r="E370" s="31">
        <v>45995</v>
      </c>
      <c r="F370" s="31">
        <v>46003</v>
      </c>
      <c r="G370" s="30" t="s">
        <v>73</v>
      </c>
      <c r="H370" s="30" t="s">
        <v>26</v>
      </c>
      <c r="I370" s="31">
        <v>27453</v>
      </c>
      <c r="J370" s="30" t="s">
        <v>91</v>
      </c>
      <c r="K370" s="30" t="s">
        <v>75</v>
      </c>
      <c r="L370" s="30" t="s">
        <v>83</v>
      </c>
      <c r="M370" s="30" t="s">
        <v>127</v>
      </c>
      <c r="N370" s="30">
        <v>8</v>
      </c>
      <c r="O370" s="30">
        <v>20</v>
      </c>
      <c r="P370" s="30">
        <v>20</v>
      </c>
      <c r="Q370" s="30">
        <v>128</v>
      </c>
      <c r="R370" s="30">
        <v>5</v>
      </c>
      <c r="S370" s="30" t="s">
        <v>65</v>
      </c>
      <c r="T370" s="30" t="s">
        <v>42</v>
      </c>
      <c r="U370" s="30" t="s">
        <v>93</v>
      </c>
      <c r="V370" s="30">
        <v>9350338928</v>
      </c>
      <c r="W370" s="22" t="s">
        <v>34</v>
      </c>
    </row>
    <row r="371" spans="2:23" ht="15" thickBot="1" x14ac:dyDescent="0.4">
      <c r="B371" s="27" t="s">
        <v>467</v>
      </c>
      <c r="C371" s="27" t="s">
        <v>87</v>
      </c>
      <c r="D371" s="27" t="s">
        <v>125</v>
      </c>
      <c r="E371" s="28">
        <v>46089</v>
      </c>
      <c r="F371" s="28">
        <v>46091</v>
      </c>
      <c r="G371" s="27" t="s">
        <v>88</v>
      </c>
      <c r="H371" s="27" t="s">
        <v>58</v>
      </c>
      <c r="I371" s="28">
        <v>34261</v>
      </c>
      <c r="J371" s="27" t="s">
        <v>27</v>
      </c>
      <c r="K371" s="27" t="s">
        <v>28</v>
      </c>
      <c r="L371" s="27" t="s">
        <v>83</v>
      </c>
      <c r="M371" s="27" t="s">
        <v>127</v>
      </c>
      <c r="N371" s="27">
        <v>1</v>
      </c>
      <c r="O371" s="27">
        <v>20</v>
      </c>
      <c r="P371" s="27">
        <v>0</v>
      </c>
      <c r="Q371" s="27">
        <v>20</v>
      </c>
      <c r="R371" s="27">
        <v>3</v>
      </c>
      <c r="S371" s="27" t="s">
        <v>65</v>
      </c>
      <c r="T371" s="27" t="s">
        <v>32</v>
      </c>
      <c r="U371" s="27" t="s">
        <v>89</v>
      </c>
      <c r="V371" s="27">
        <v>9933894798</v>
      </c>
      <c r="W371" s="21" t="s">
        <v>34</v>
      </c>
    </row>
    <row r="372" spans="2:23" ht="15" thickBot="1" x14ac:dyDescent="0.4">
      <c r="B372" s="30" t="s">
        <v>468</v>
      </c>
      <c r="C372" s="30" t="s">
        <v>23</v>
      </c>
      <c r="D372" s="30" t="s">
        <v>112</v>
      </c>
      <c r="E372" s="31">
        <v>46027</v>
      </c>
      <c r="F372" s="31">
        <v>46038</v>
      </c>
      <c r="G372" s="30" t="s">
        <v>25</v>
      </c>
      <c r="H372" s="30" t="s">
        <v>26</v>
      </c>
      <c r="I372" s="31">
        <v>30614</v>
      </c>
      <c r="J372" s="30" t="s">
        <v>121</v>
      </c>
      <c r="K372" s="30" t="s">
        <v>38</v>
      </c>
      <c r="L372" s="30" t="s">
        <v>39</v>
      </c>
      <c r="M372" s="30" t="s">
        <v>114</v>
      </c>
      <c r="N372" s="30">
        <v>15</v>
      </c>
      <c r="O372" s="30">
        <v>700</v>
      </c>
      <c r="P372" s="30">
        <v>0</v>
      </c>
      <c r="Q372" s="30">
        <v>10500</v>
      </c>
      <c r="R372" s="30">
        <v>2</v>
      </c>
      <c r="S372" s="30" t="s">
        <v>65</v>
      </c>
      <c r="T372" s="30" t="s">
        <v>42</v>
      </c>
      <c r="U372" s="30" t="s">
        <v>43</v>
      </c>
      <c r="V372" s="30">
        <v>9705218824</v>
      </c>
      <c r="W372" s="22" t="s">
        <v>34</v>
      </c>
    </row>
    <row r="373" spans="2:23" ht="15" thickBot="1" x14ac:dyDescent="0.4">
      <c r="B373" s="27" t="s">
        <v>469</v>
      </c>
      <c r="C373" s="27" t="s">
        <v>156</v>
      </c>
      <c r="D373" s="27" t="s">
        <v>68</v>
      </c>
      <c r="E373" s="28">
        <v>45695</v>
      </c>
      <c r="F373" s="28">
        <v>45698</v>
      </c>
      <c r="G373" s="27" t="s">
        <v>106</v>
      </c>
      <c r="H373" s="27" t="s">
        <v>58</v>
      </c>
      <c r="I373" s="28">
        <v>30324</v>
      </c>
      <c r="J373" s="27" t="s">
        <v>27</v>
      </c>
      <c r="K373" s="27" t="s">
        <v>28</v>
      </c>
      <c r="L373" s="27" t="s">
        <v>29</v>
      </c>
      <c r="M373" s="27" t="s">
        <v>70</v>
      </c>
      <c r="N373" s="27">
        <v>15</v>
      </c>
      <c r="O373" s="27">
        <v>3500</v>
      </c>
      <c r="P373" s="27">
        <v>10</v>
      </c>
      <c r="Q373" s="27">
        <v>47250</v>
      </c>
      <c r="R373" s="27">
        <v>3</v>
      </c>
      <c r="S373" s="27" t="s">
        <v>31</v>
      </c>
      <c r="T373" s="27" t="s">
        <v>96</v>
      </c>
      <c r="U373" s="27" t="s">
        <v>158</v>
      </c>
      <c r="V373" s="27">
        <v>9229164453</v>
      </c>
      <c r="W373" s="27" t="s">
        <v>52</v>
      </c>
    </row>
    <row r="374" spans="2:23" ht="15" thickBot="1" x14ac:dyDescent="0.4">
      <c r="B374" s="30" t="s">
        <v>470</v>
      </c>
      <c r="C374" s="30" t="s">
        <v>23</v>
      </c>
      <c r="D374" s="30" t="s">
        <v>82</v>
      </c>
      <c r="E374" s="31">
        <v>45866</v>
      </c>
      <c r="F374" s="31">
        <v>45876</v>
      </c>
      <c r="G374" s="30" t="s">
        <v>25</v>
      </c>
      <c r="H374" s="30" t="s">
        <v>26</v>
      </c>
      <c r="I374" s="31">
        <v>30664</v>
      </c>
      <c r="J374" s="30" t="s">
        <v>147</v>
      </c>
      <c r="K374" s="30" t="s">
        <v>148</v>
      </c>
      <c r="L374" s="30" t="s">
        <v>83</v>
      </c>
      <c r="M374" s="30" t="s">
        <v>84</v>
      </c>
      <c r="N374" s="30">
        <v>16</v>
      </c>
      <c r="O374" s="30">
        <v>60</v>
      </c>
      <c r="P374" s="30">
        <v>10</v>
      </c>
      <c r="Q374" s="30">
        <v>864</v>
      </c>
      <c r="R374" s="30">
        <v>4</v>
      </c>
      <c r="S374" s="30" t="s">
        <v>60</v>
      </c>
      <c r="T374" s="30" t="s">
        <v>50</v>
      </c>
      <c r="U374" s="30" t="s">
        <v>43</v>
      </c>
      <c r="V374" s="30">
        <v>9219806176</v>
      </c>
      <c r="W374" s="22" t="s">
        <v>34</v>
      </c>
    </row>
    <row r="375" spans="2:23" ht="15" thickBot="1" x14ac:dyDescent="0.4">
      <c r="B375" s="27" t="s">
        <v>471</v>
      </c>
      <c r="C375" s="27" t="s">
        <v>87</v>
      </c>
      <c r="D375" s="27" t="s">
        <v>138</v>
      </c>
      <c r="E375" s="28">
        <v>45945</v>
      </c>
      <c r="F375" s="28">
        <v>45951</v>
      </c>
      <c r="G375" s="27" t="s">
        <v>88</v>
      </c>
      <c r="H375" s="27" t="s">
        <v>58</v>
      </c>
      <c r="I375" s="28">
        <v>30585</v>
      </c>
      <c r="J375" s="27" t="s">
        <v>37</v>
      </c>
      <c r="K375" s="27" t="s">
        <v>38</v>
      </c>
      <c r="L375" s="27" t="s">
        <v>83</v>
      </c>
      <c r="M375" s="27" t="s">
        <v>139</v>
      </c>
      <c r="N375" s="27">
        <v>2</v>
      </c>
      <c r="O375" s="27">
        <v>45</v>
      </c>
      <c r="P375" s="27">
        <v>15</v>
      </c>
      <c r="Q375" s="27">
        <v>76.5</v>
      </c>
      <c r="R375" s="27">
        <v>1</v>
      </c>
      <c r="S375" s="27" t="s">
        <v>65</v>
      </c>
      <c r="T375" s="27" t="s">
        <v>96</v>
      </c>
      <c r="U375" s="27" t="s">
        <v>89</v>
      </c>
      <c r="V375" s="27">
        <v>9630210250</v>
      </c>
      <c r="W375" s="27" t="s">
        <v>53</v>
      </c>
    </row>
    <row r="376" spans="2:23" ht="15" thickBot="1" x14ac:dyDescent="0.4">
      <c r="B376" s="30" t="s">
        <v>472</v>
      </c>
      <c r="C376" s="30" t="s">
        <v>104</v>
      </c>
      <c r="D376" s="30" t="s">
        <v>82</v>
      </c>
      <c r="E376" s="31">
        <v>45997</v>
      </c>
      <c r="F376" s="31">
        <v>46006</v>
      </c>
      <c r="G376" s="30" t="s">
        <v>166</v>
      </c>
      <c r="H376" s="30" t="s">
        <v>26</v>
      </c>
      <c r="I376" s="31">
        <v>27537</v>
      </c>
      <c r="J376" s="30" t="s">
        <v>37</v>
      </c>
      <c r="K376" s="30" t="s">
        <v>38</v>
      </c>
      <c r="L376" s="30" t="s">
        <v>83</v>
      </c>
      <c r="M376" s="30" t="s">
        <v>84</v>
      </c>
      <c r="N376" s="30">
        <v>13</v>
      </c>
      <c r="O376" s="30">
        <v>60</v>
      </c>
      <c r="P376" s="30">
        <v>15</v>
      </c>
      <c r="Q376" s="30">
        <v>663</v>
      </c>
      <c r="R376" s="30">
        <v>2</v>
      </c>
      <c r="S376" s="30" t="s">
        <v>41</v>
      </c>
      <c r="T376" s="30" t="s">
        <v>50</v>
      </c>
      <c r="U376" s="30" t="s">
        <v>108</v>
      </c>
      <c r="V376" s="30">
        <v>9583354052</v>
      </c>
      <c r="W376" s="30" t="s">
        <v>53</v>
      </c>
    </row>
    <row r="377" spans="2:23" ht="15" thickBot="1" x14ac:dyDescent="0.4">
      <c r="B377" s="27" t="s">
        <v>473</v>
      </c>
      <c r="C377" s="27" t="s">
        <v>63</v>
      </c>
      <c r="D377" s="27" t="s">
        <v>36</v>
      </c>
      <c r="E377" s="28">
        <v>45797</v>
      </c>
      <c r="F377" s="28">
        <v>45799</v>
      </c>
      <c r="G377" s="27" t="s">
        <v>110</v>
      </c>
      <c r="H377" s="27" t="s">
        <v>58</v>
      </c>
      <c r="I377" s="28">
        <v>34647</v>
      </c>
      <c r="J377" s="27" t="s">
        <v>37</v>
      </c>
      <c r="K377" s="27" t="s">
        <v>38</v>
      </c>
      <c r="L377" s="27" t="s">
        <v>39</v>
      </c>
      <c r="M377" s="27" t="s">
        <v>40</v>
      </c>
      <c r="N377" s="27">
        <v>15</v>
      </c>
      <c r="O377" s="27">
        <v>12000</v>
      </c>
      <c r="P377" s="27">
        <v>20</v>
      </c>
      <c r="Q377" s="27">
        <v>144000</v>
      </c>
      <c r="R377" s="27">
        <v>3</v>
      </c>
      <c r="S377" s="27" t="s">
        <v>60</v>
      </c>
      <c r="T377" s="27" t="s">
        <v>32</v>
      </c>
      <c r="U377" s="27" t="s">
        <v>66</v>
      </c>
      <c r="V377" s="27">
        <v>9242534507</v>
      </c>
      <c r="W377" s="27" t="s">
        <v>53</v>
      </c>
    </row>
    <row r="378" spans="2:23" ht="15" thickBot="1" x14ac:dyDescent="0.4">
      <c r="B378" s="30" t="s">
        <v>474</v>
      </c>
      <c r="C378" s="30" t="s">
        <v>156</v>
      </c>
      <c r="D378" s="30" t="s">
        <v>125</v>
      </c>
      <c r="E378" s="31">
        <v>45863</v>
      </c>
      <c r="F378" s="31">
        <v>45871</v>
      </c>
      <c r="G378" s="30" t="s">
        <v>106</v>
      </c>
      <c r="H378" s="30" t="s">
        <v>58</v>
      </c>
      <c r="I378" s="31">
        <v>32128</v>
      </c>
      <c r="J378" s="30" t="s">
        <v>37</v>
      </c>
      <c r="K378" s="30" t="s">
        <v>38</v>
      </c>
      <c r="L378" s="30" t="s">
        <v>83</v>
      </c>
      <c r="M378" s="30" t="s">
        <v>127</v>
      </c>
      <c r="N378" s="30">
        <v>2</v>
      </c>
      <c r="O378" s="30">
        <v>20</v>
      </c>
      <c r="P378" s="30">
        <v>20</v>
      </c>
      <c r="Q378" s="30">
        <v>32</v>
      </c>
      <c r="R378" s="30">
        <v>4</v>
      </c>
      <c r="S378" s="30" t="s">
        <v>31</v>
      </c>
      <c r="T378" s="30" t="s">
        <v>32</v>
      </c>
      <c r="U378" s="30" t="s">
        <v>158</v>
      </c>
      <c r="V378" s="30">
        <v>9291239150</v>
      </c>
      <c r="W378" s="30" t="s">
        <v>52</v>
      </c>
    </row>
    <row r="379" spans="2:23" ht="15" thickBot="1" x14ac:dyDescent="0.4">
      <c r="B379" s="27" t="s">
        <v>475</v>
      </c>
      <c r="C379" s="27" t="s">
        <v>87</v>
      </c>
      <c r="D379" s="27" t="s">
        <v>68</v>
      </c>
      <c r="E379" s="28">
        <v>45874</v>
      </c>
      <c r="F379" s="28">
        <v>45886</v>
      </c>
      <c r="G379" s="27" t="s">
        <v>88</v>
      </c>
      <c r="H379" s="27" t="s">
        <v>58</v>
      </c>
      <c r="I379" s="28">
        <v>27564</v>
      </c>
      <c r="J379" s="27" t="s">
        <v>48</v>
      </c>
      <c r="K379" s="27" t="s">
        <v>28</v>
      </c>
      <c r="L379" s="27" t="s">
        <v>29</v>
      </c>
      <c r="M379" s="27" t="s">
        <v>70</v>
      </c>
      <c r="N379" s="27">
        <v>16</v>
      </c>
      <c r="O379" s="27">
        <v>3500</v>
      </c>
      <c r="P379" s="27">
        <v>0</v>
      </c>
      <c r="Q379" s="27">
        <v>56000</v>
      </c>
      <c r="R379" s="27">
        <v>4</v>
      </c>
      <c r="S379" s="27" t="s">
        <v>31</v>
      </c>
      <c r="T379" s="27" t="s">
        <v>80</v>
      </c>
      <c r="U379" s="27" t="s">
        <v>89</v>
      </c>
      <c r="V379" s="27">
        <v>9550820904</v>
      </c>
      <c r="W379" s="21" t="s">
        <v>34</v>
      </c>
    </row>
    <row r="380" spans="2:23" ht="15" thickBot="1" x14ac:dyDescent="0.4">
      <c r="B380" s="30" t="s">
        <v>476</v>
      </c>
      <c r="C380" s="30" t="s">
        <v>45</v>
      </c>
      <c r="D380" s="30" t="s">
        <v>68</v>
      </c>
      <c r="E380" s="31">
        <v>46071</v>
      </c>
      <c r="F380" s="31">
        <v>46078</v>
      </c>
      <c r="G380" s="30" t="s">
        <v>101</v>
      </c>
      <c r="H380" s="30" t="s">
        <v>26</v>
      </c>
      <c r="I380" s="31">
        <v>28134</v>
      </c>
      <c r="J380" s="30" t="s">
        <v>91</v>
      </c>
      <c r="K380" s="30" t="s">
        <v>75</v>
      </c>
      <c r="L380" s="30" t="s">
        <v>29</v>
      </c>
      <c r="M380" s="30" t="s">
        <v>70</v>
      </c>
      <c r="N380" s="30">
        <v>18</v>
      </c>
      <c r="O380" s="30">
        <v>3500</v>
      </c>
      <c r="P380" s="30">
        <v>15</v>
      </c>
      <c r="Q380" s="30">
        <v>53550</v>
      </c>
      <c r="R380" s="30">
        <v>5</v>
      </c>
      <c r="S380" s="30" t="s">
        <v>31</v>
      </c>
      <c r="T380" s="30" t="s">
        <v>96</v>
      </c>
      <c r="U380" s="30" t="s">
        <v>51</v>
      </c>
      <c r="V380" s="30">
        <v>9294486423</v>
      </c>
      <c r="W380" s="30" t="s">
        <v>53</v>
      </c>
    </row>
    <row r="381" spans="2:23" ht="15" thickBot="1" x14ac:dyDescent="0.4">
      <c r="B381" s="27" t="s">
        <v>477</v>
      </c>
      <c r="C381" s="27" t="s">
        <v>23</v>
      </c>
      <c r="D381" s="27" t="s">
        <v>138</v>
      </c>
      <c r="E381" s="28">
        <v>46102</v>
      </c>
      <c r="F381" s="28">
        <v>46107</v>
      </c>
      <c r="G381" s="27" t="s">
        <v>25</v>
      </c>
      <c r="H381" s="27" t="s">
        <v>26</v>
      </c>
      <c r="I381" s="28">
        <v>34232</v>
      </c>
      <c r="J381" s="27" t="s">
        <v>91</v>
      </c>
      <c r="K381" s="27" t="s">
        <v>75</v>
      </c>
      <c r="L381" s="27" t="s">
        <v>83</v>
      </c>
      <c r="M381" s="27" t="s">
        <v>139</v>
      </c>
      <c r="N381" s="27">
        <v>20</v>
      </c>
      <c r="O381" s="27">
        <v>45</v>
      </c>
      <c r="P381" s="27">
        <v>15</v>
      </c>
      <c r="Q381" s="27">
        <v>765</v>
      </c>
      <c r="R381" s="27">
        <v>4</v>
      </c>
      <c r="S381" s="27" t="s">
        <v>31</v>
      </c>
      <c r="T381" s="27" t="s">
        <v>96</v>
      </c>
      <c r="U381" s="27" t="s">
        <v>43</v>
      </c>
      <c r="V381" s="27">
        <v>9260258621</v>
      </c>
      <c r="W381" s="27" t="s">
        <v>53</v>
      </c>
    </row>
    <row r="382" spans="2:23" ht="15" thickBot="1" x14ac:dyDescent="0.4">
      <c r="B382" s="30" t="s">
        <v>479</v>
      </c>
      <c r="C382" s="30" t="s">
        <v>134</v>
      </c>
      <c r="D382" s="30" t="s">
        <v>24</v>
      </c>
      <c r="E382" s="31">
        <v>46128</v>
      </c>
      <c r="F382" s="31">
        <v>46131</v>
      </c>
      <c r="G382" s="30" t="s">
        <v>135</v>
      </c>
      <c r="H382" s="30" t="s">
        <v>26</v>
      </c>
      <c r="I382" s="31">
        <v>35494</v>
      </c>
      <c r="J382" s="30" t="s">
        <v>37</v>
      </c>
      <c r="K382" s="30" t="s">
        <v>38</v>
      </c>
      <c r="L382" s="30" t="s">
        <v>29</v>
      </c>
      <c r="M382" s="30" t="s">
        <v>30</v>
      </c>
      <c r="N382" s="30">
        <v>13</v>
      </c>
      <c r="O382" s="30">
        <v>2200</v>
      </c>
      <c r="P382" s="30">
        <v>15</v>
      </c>
      <c r="Q382" s="30">
        <v>24310</v>
      </c>
      <c r="R382" s="30">
        <v>2</v>
      </c>
      <c r="S382" s="30" t="s">
        <v>41</v>
      </c>
      <c r="T382" s="30" t="s">
        <v>80</v>
      </c>
      <c r="U382" s="30" t="s">
        <v>136</v>
      </c>
      <c r="V382" s="30">
        <v>9697433584</v>
      </c>
      <c r="W382" s="30" t="s">
        <v>52</v>
      </c>
    </row>
    <row r="383" spans="2:23" ht="15" thickBot="1" x14ac:dyDescent="0.4">
      <c r="B383" s="27" t="s">
        <v>480</v>
      </c>
      <c r="C383" s="27" t="s">
        <v>45</v>
      </c>
      <c r="D383" s="27" t="s">
        <v>478</v>
      </c>
      <c r="E383" s="28">
        <v>45943</v>
      </c>
      <c r="F383" s="28">
        <v>45944</v>
      </c>
      <c r="G383" s="27" t="s">
        <v>101</v>
      </c>
      <c r="H383" s="27" t="s">
        <v>26</v>
      </c>
      <c r="I383" s="28">
        <v>37447</v>
      </c>
      <c r="J383" s="27" t="s">
        <v>147</v>
      </c>
      <c r="K383" s="27" t="s">
        <v>148</v>
      </c>
      <c r="L383" s="27" t="s">
        <v>29</v>
      </c>
      <c r="M383" s="27" t="s">
        <v>107</v>
      </c>
      <c r="N383" s="27">
        <v>11</v>
      </c>
      <c r="O383" s="27">
        <v>8500</v>
      </c>
      <c r="P383" s="27">
        <v>5</v>
      </c>
      <c r="Q383" s="27">
        <v>88825</v>
      </c>
      <c r="R383" s="27">
        <v>1</v>
      </c>
      <c r="S383" s="27" t="s">
        <v>65</v>
      </c>
      <c r="T383" s="27" t="s">
        <v>80</v>
      </c>
      <c r="U383" s="27" t="s">
        <v>51</v>
      </c>
      <c r="V383" s="27">
        <v>9837969758</v>
      </c>
      <c r="W383" s="27" t="s">
        <v>53</v>
      </c>
    </row>
    <row r="384" spans="2:23" ht="15" thickBot="1" x14ac:dyDescent="0.4">
      <c r="B384" s="30" t="s">
        <v>481</v>
      </c>
      <c r="C384" s="30" t="s">
        <v>45</v>
      </c>
      <c r="D384" s="30" t="s">
        <v>24</v>
      </c>
      <c r="E384" s="31">
        <v>45996</v>
      </c>
      <c r="F384" s="31">
        <v>46001</v>
      </c>
      <c r="G384" s="30" t="s">
        <v>101</v>
      </c>
      <c r="H384" s="30" t="s">
        <v>26</v>
      </c>
      <c r="I384" s="31">
        <v>30790</v>
      </c>
      <c r="J384" s="30" t="s">
        <v>121</v>
      </c>
      <c r="K384" s="30" t="s">
        <v>38</v>
      </c>
      <c r="L384" s="30" t="s">
        <v>29</v>
      </c>
      <c r="M384" s="30" t="s">
        <v>30</v>
      </c>
      <c r="N384" s="30">
        <v>2</v>
      </c>
      <c r="O384" s="30">
        <v>2200</v>
      </c>
      <c r="P384" s="30">
        <v>0</v>
      </c>
      <c r="Q384" s="30">
        <v>4400</v>
      </c>
      <c r="R384" s="30">
        <v>4</v>
      </c>
      <c r="S384" s="30" t="s">
        <v>65</v>
      </c>
      <c r="T384" s="30" t="s">
        <v>96</v>
      </c>
      <c r="U384" s="30" t="s">
        <v>51</v>
      </c>
      <c r="V384" s="30">
        <v>9209736419</v>
      </c>
      <c r="W384" s="30" t="s">
        <v>52</v>
      </c>
    </row>
    <row r="385" spans="2:23" ht="15" thickBot="1" x14ac:dyDescent="0.4">
      <c r="B385" s="27" t="s">
        <v>482</v>
      </c>
      <c r="C385" s="27" t="s">
        <v>63</v>
      </c>
      <c r="D385" s="27" t="s">
        <v>112</v>
      </c>
      <c r="E385" s="28">
        <v>45868</v>
      </c>
      <c r="F385" s="28">
        <v>45873</v>
      </c>
      <c r="G385" s="27" t="s">
        <v>110</v>
      </c>
      <c r="H385" s="27" t="s">
        <v>58</v>
      </c>
      <c r="I385" s="28">
        <v>37803</v>
      </c>
      <c r="J385" s="27" t="s">
        <v>74</v>
      </c>
      <c r="K385" s="27" t="s">
        <v>75</v>
      </c>
      <c r="L385" s="27" t="s">
        <v>39</v>
      </c>
      <c r="M385" s="27" t="s">
        <v>114</v>
      </c>
      <c r="N385" s="27">
        <v>15</v>
      </c>
      <c r="O385" s="27">
        <v>700</v>
      </c>
      <c r="P385" s="27">
        <v>15</v>
      </c>
      <c r="Q385" s="27">
        <v>8925</v>
      </c>
      <c r="R385" s="27">
        <v>3</v>
      </c>
      <c r="S385" s="27" t="s">
        <v>41</v>
      </c>
      <c r="T385" s="27" t="s">
        <v>80</v>
      </c>
      <c r="U385" s="27" t="s">
        <v>66</v>
      </c>
      <c r="V385" s="27">
        <v>9645907237</v>
      </c>
      <c r="W385" s="21" t="s">
        <v>34</v>
      </c>
    </row>
    <row r="386" spans="2:23" ht="15" thickBot="1" x14ac:dyDescent="0.4">
      <c r="B386" s="30" t="s">
        <v>483</v>
      </c>
      <c r="C386" s="30" t="s">
        <v>87</v>
      </c>
      <c r="D386" s="30" t="s">
        <v>24</v>
      </c>
      <c r="E386" s="31">
        <v>45856</v>
      </c>
      <c r="F386" s="31">
        <v>45862</v>
      </c>
      <c r="G386" s="30" t="s">
        <v>88</v>
      </c>
      <c r="H386" s="30" t="s">
        <v>58</v>
      </c>
      <c r="I386" s="31">
        <v>33902</v>
      </c>
      <c r="J386" s="30" t="s">
        <v>91</v>
      </c>
      <c r="K386" s="30" t="s">
        <v>75</v>
      </c>
      <c r="L386" s="30" t="s">
        <v>29</v>
      </c>
      <c r="M386" s="30" t="s">
        <v>30</v>
      </c>
      <c r="N386" s="30">
        <v>5</v>
      </c>
      <c r="O386" s="30">
        <v>2200</v>
      </c>
      <c r="P386" s="30">
        <v>15</v>
      </c>
      <c r="Q386" s="30">
        <v>9350</v>
      </c>
      <c r="R386" s="30">
        <v>1</v>
      </c>
      <c r="S386" s="30" t="s">
        <v>41</v>
      </c>
      <c r="T386" s="30" t="s">
        <v>80</v>
      </c>
      <c r="U386" s="30" t="s">
        <v>89</v>
      </c>
      <c r="V386" s="30">
        <v>9566149945</v>
      </c>
      <c r="W386" s="30" t="s">
        <v>52</v>
      </c>
    </row>
    <row r="387" spans="2:23" ht="15" thickBot="1" x14ac:dyDescent="0.4">
      <c r="B387" s="27" t="s">
        <v>484</v>
      </c>
      <c r="C387" s="27" t="s">
        <v>63</v>
      </c>
      <c r="D387" s="27" t="s">
        <v>56</v>
      </c>
      <c r="E387" s="28">
        <v>46092</v>
      </c>
      <c r="F387" s="28">
        <v>46093</v>
      </c>
      <c r="G387" s="27" t="s">
        <v>110</v>
      </c>
      <c r="H387" s="27" t="s">
        <v>58</v>
      </c>
      <c r="I387" s="28">
        <v>32360</v>
      </c>
      <c r="J387" s="27" t="s">
        <v>91</v>
      </c>
      <c r="K387" s="27" t="s">
        <v>75</v>
      </c>
      <c r="L387" s="27" t="s">
        <v>39</v>
      </c>
      <c r="M387" s="27" t="s">
        <v>59</v>
      </c>
      <c r="N387" s="27">
        <v>15</v>
      </c>
      <c r="O387" s="27">
        <v>1200</v>
      </c>
      <c r="P387" s="27">
        <v>0</v>
      </c>
      <c r="Q387" s="27">
        <v>18000</v>
      </c>
      <c r="R387" s="27">
        <v>3</v>
      </c>
      <c r="S387" s="27" t="s">
        <v>41</v>
      </c>
      <c r="T387" s="27" t="s">
        <v>50</v>
      </c>
      <c r="U387" s="27" t="s">
        <v>66</v>
      </c>
      <c r="V387" s="27">
        <v>9935018068</v>
      </c>
      <c r="W387" s="27" t="s">
        <v>53</v>
      </c>
    </row>
    <row r="388" spans="2:23" ht="15" thickBot="1" x14ac:dyDescent="0.4">
      <c r="B388" s="30" t="s">
        <v>485</v>
      </c>
      <c r="C388" s="30" t="s">
        <v>134</v>
      </c>
      <c r="D388" s="30" t="s">
        <v>56</v>
      </c>
      <c r="E388" s="31">
        <v>46120</v>
      </c>
      <c r="F388" s="31">
        <v>46122</v>
      </c>
      <c r="G388" s="30" t="s">
        <v>135</v>
      </c>
      <c r="H388" s="30" t="s">
        <v>26</v>
      </c>
      <c r="I388" s="31">
        <v>31952</v>
      </c>
      <c r="J388" s="30" t="s">
        <v>74</v>
      </c>
      <c r="K388" s="30" t="s">
        <v>75</v>
      </c>
      <c r="L388" s="30" t="s">
        <v>39</v>
      </c>
      <c r="M388" s="30" t="s">
        <v>59</v>
      </c>
      <c r="N388" s="30">
        <v>19</v>
      </c>
      <c r="O388" s="30">
        <v>1200</v>
      </c>
      <c r="P388" s="30">
        <v>0</v>
      </c>
      <c r="Q388" s="30">
        <v>22800</v>
      </c>
      <c r="R388" s="30">
        <v>1</v>
      </c>
      <c r="S388" s="30" t="s">
        <v>31</v>
      </c>
      <c r="T388" s="30" t="s">
        <v>42</v>
      </c>
      <c r="U388" s="30" t="s">
        <v>136</v>
      </c>
      <c r="V388" s="30">
        <v>9171794652</v>
      </c>
      <c r="W388" s="30" t="s">
        <v>53</v>
      </c>
    </row>
    <row r="389" spans="2:23" ht="15" thickBot="1" x14ac:dyDescent="0.4">
      <c r="B389" s="27" t="s">
        <v>486</v>
      </c>
      <c r="C389" s="27" t="s">
        <v>104</v>
      </c>
      <c r="D389" s="27" t="s">
        <v>36</v>
      </c>
      <c r="E389" s="28">
        <v>45918</v>
      </c>
      <c r="F389" s="28">
        <v>45925</v>
      </c>
      <c r="G389" s="27" t="s">
        <v>166</v>
      </c>
      <c r="H389" s="27" t="s">
        <v>26</v>
      </c>
      <c r="I389" s="28">
        <v>32800</v>
      </c>
      <c r="J389" s="27" t="s">
        <v>74</v>
      </c>
      <c r="K389" s="27" t="s">
        <v>75</v>
      </c>
      <c r="L389" s="27" t="s">
        <v>39</v>
      </c>
      <c r="M389" s="27" t="s">
        <v>40</v>
      </c>
      <c r="N389" s="27">
        <v>9</v>
      </c>
      <c r="O389" s="27">
        <v>12000</v>
      </c>
      <c r="P389" s="27">
        <v>15</v>
      </c>
      <c r="Q389" s="27">
        <v>91800</v>
      </c>
      <c r="R389" s="27">
        <v>3</v>
      </c>
      <c r="S389" s="27" t="s">
        <v>65</v>
      </c>
      <c r="T389" s="27" t="s">
        <v>42</v>
      </c>
      <c r="U389" s="27" t="s">
        <v>108</v>
      </c>
      <c r="V389" s="27">
        <v>9671497416</v>
      </c>
      <c r="W389" s="27" t="s">
        <v>53</v>
      </c>
    </row>
    <row r="390" spans="2:23" ht="15" thickBot="1" x14ac:dyDescent="0.4">
      <c r="B390" s="30" t="s">
        <v>488</v>
      </c>
      <c r="C390" s="30" t="s">
        <v>23</v>
      </c>
      <c r="D390" s="30" t="s">
        <v>138</v>
      </c>
      <c r="E390" s="31">
        <v>45941</v>
      </c>
      <c r="F390" s="31">
        <v>45951</v>
      </c>
      <c r="G390" s="30" t="s">
        <v>25</v>
      </c>
      <c r="H390" s="30" t="s">
        <v>26</v>
      </c>
      <c r="I390" s="31">
        <v>33746</v>
      </c>
      <c r="J390" s="30" t="s">
        <v>121</v>
      </c>
      <c r="K390" s="30" t="s">
        <v>38</v>
      </c>
      <c r="L390" s="30" t="s">
        <v>83</v>
      </c>
      <c r="M390" s="30" t="s">
        <v>139</v>
      </c>
      <c r="N390" s="30">
        <v>5</v>
      </c>
      <c r="O390" s="30">
        <v>45</v>
      </c>
      <c r="P390" s="30">
        <v>5</v>
      </c>
      <c r="Q390" s="30">
        <v>213.75</v>
      </c>
      <c r="R390" s="30">
        <v>1</v>
      </c>
      <c r="S390" s="30" t="s">
        <v>60</v>
      </c>
      <c r="T390" s="30" t="s">
        <v>80</v>
      </c>
      <c r="U390" s="30" t="s">
        <v>43</v>
      </c>
      <c r="V390" s="30">
        <v>9810433484</v>
      </c>
      <c r="W390" s="22" t="s">
        <v>34</v>
      </c>
    </row>
    <row r="391" spans="2:23" ht="15" thickBot="1" x14ac:dyDescent="0.4">
      <c r="B391" s="27" t="s">
        <v>489</v>
      </c>
      <c r="C391" s="27" t="s">
        <v>134</v>
      </c>
      <c r="D391" s="27" t="s">
        <v>112</v>
      </c>
      <c r="E391" s="28">
        <v>45698</v>
      </c>
      <c r="F391" s="28">
        <v>45699</v>
      </c>
      <c r="G391" s="27" t="s">
        <v>135</v>
      </c>
      <c r="H391" s="27" t="s">
        <v>26</v>
      </c>
      <c r="I391" s="28">
        <v>32822</v>
      </c>
      <c r="J391" s="27" t="s">
        <v>74</v>
      </c>
      <c r="K391" s="27" t="s">
        <v>75</v>
      </c>
      <c r="L391" s="27" t="s">
        <v>39</v>
      </c>
      <c r="M391" s="27" t="s">
        <v>114</v>
      </c>
      <c r="N391" s="27">
        <v>3</v>
      </c>
      <c r="O391" s="27">
        <v>700</v>
      </c>
      <c r="P391" s="27">
        <v>15</v>
      </c>
      <c r="Q391" s="27">
        <v>1785</v>
      </c>
      <c r="R391" s="27">
        <v>4</v>
      </c>
      <c r="S391" s="27" t="s">
        <v>31</v>
      </c>
      <c r="T391" s="27" t="s">
        <v>96</v>
      </c>
      <c r="U391" s="27" t="s">
        <v>136</v>
      </c>
      <c r="V391" s="27">
        <v>9990243436</v>
      </c>
      <c r="W391" s="21" t="s">
        <v>34</v>
      </c>
    </row>
    <row r="392" spans="2:23" ht="15" thickBot="1" x14ac:dyDescent="0.4">
      <c r="B392" s="30" t="s">
        <v>490</v>
      </c>
      <c r="C392" s="30" t="s">
        <v>55</v>
      </c>
      <c r="D392" s="30" t="s">
        <v>105</v>
      </c>
      <c r="E392" s="31">
        <v>46005</v>
      </c>
      <c r="F392" s="31">
        <v>46017</v>
      </c>
      <c r="G392" s="30" t="s">
        <v>57</v>
      </c>
      <c r="H392" s="30" t="s">
        <v>58</v>
      </c>
      <c r="I392" s="31">
        <v>29467</v>
      </c>
      <c r="J392" s="30" t="s">
        <v>121</v>
      </c>
      <c r="K392" s="30" t="s">
        <v>38</v>
      </c>
      <c r="L392" s="30" t="s">
        <v>29</v>
      </c>
      <c r="M392" s="30" t="s">
        <v>107</v>
      </c>
      <c r="N392" s="30">
        <v>12</v>
      </c>
      <c r="O392" s="30">
        <v>8500</v>
      </c>
      <c r="P392" s="30">
        <v>5</v>
      </c>
      <c r="Q392" s="30">
        <v>96900</v>
      </c>
      <c r="R392" s="30">
        <v>3</v>
      </c>
      <c r="S392" s="30" t="s">
        <v>60</v>
      </c>
      <c r="T392" s="30" t="s">
        <v>50</v>
      </c>
      <c r="U392" s="30" t="s">
        <v>61</v>
      </c>
      <c r="V392" s="30">
        <v>9396678031</v>
      </c>
      <c r="W392" s="30" t="s">
        <v>52</v>
      </c>
    </row>
    <row r="393" spans="2:23" ht="15" thickBot="1" x14ac:dyDescent="0.4">
      <c r="B393" s="27" t="s">
        <v>491</v>
      </c>
      <c r="C393" s="27" t="s">
        <v>134</v>
      </c>
      <c r="D393" s="27" t="s">
        <v>105</v>
      </c>
      <c r="E393" s="28">
        <v>46123</v>
      </c>
      <c r="F393" s="28">
        <v>46131</v>
      </c>
      <c r="G393" s="27" t="s">
        <v>135</v>
      </c>
      <c r="H393" s="27" t="s">
        <v>26</v>
      </c>
      <c r="I393" s="28">
        <v>28920</v>
      </c>
      <c r="J393" s="27" t="s">
        <v>79</v>
      </c>
      <c r="K393" s="27" t="s">
        <v>75</v>
      </c>
      <c r="L393" s="27" t="s">
        <v>29</v>
      </c>
      <c r="M393" s="27" t="s">
        <v>107</v>
      </c>
      <c r="N393" s="27">
        <v>4</v>
      </c>
      <c r="O393" s="27">
        <v>8500</v>
      </c>
      <c r="P393" s="27">
        <v>15</v>
      </c>
      <c r="Q393" s="27">
        <v>28900</v>
      </c>
      <c r="R393" s="27">
        <v>4</v>
      </c>
      <c r="S393" s="27" t="s">
        <v>41</v>
      </c>
      <c r="T393" s="27" t="s">
        <v>50</v>
      </c>
      <c r="U393" s="27" t="s">
        <v>136</v>
      </c>
      <c r="V393" s="27">
        <v>9818591245</v>
      </c>
      <c r="W393" s="27" t="s">
        <v>52</v>
      </c>
    </row>
    <row r="394" spans="2:23" ht="15" thickBot="1" x14ac:dyDescent="0.4">
      <c r="B394" s="30" t="s">
        <v>492</v>
      </c>
      <c r="C394" s="30" t="s">
        <v>87</v>
      </c>
      <c r="D394" s="30" t="s">
        <v>125</v>
      </c>
      <c r="E394" s="31">
        <v>45766</v>
      </c>
      <c r="F394" s="31">
        <v>45769</v>
      </c>
      <c r="G394" s="30" t="s">
        <v>88</v>
      </c>
      <c r="H394" s="30" t="s">
        <v>58</v>
      </c>
      <c r="I394" s="31">
        <v>35312</v>
      </c>
      <c r="J394" s="30" t="s">
        <v>121</v>
      </c>
      <c r="K394" s="30" t="s">
        <v>38</v>
      </c>
      <c r="L394" s="30" t="s">
        <v>83</v>
      </c>
      <c r="M394" s="30" t="s">
        <v>127</v>
      </c>
      <c r="N394" s="30">
        <v>16</v>
      </c>
      <c r="O394" s="30">
        <v>20</v>
      </c>
      <c r="P394" s="30">
        <v>10</v>
      </c>
      <c r="Q394" s="30">
        <v>288</v>
      </c>
      <c r="R394" s="30">
        <v>4</v>
      </c>
      <c r="S394" s="30" t="s">
        <v>31</v>
      </c>
      <c r="T394" s="30" t="s">
        <v>80</v>
      </c>
      <c r="U394" s="30" t="s">
        <v>89</v>
      </c>
      <c r="V394" s="30">
        <v>9505550047</v>
      </c>
      <c r="W394" s="30" t="s">
        <v>53</v>
      </c>
    </row>
    <row r="395" spans="2:23" ht="15" thickBot="1" x14ac:dyDescent="0.4">
      <c r="B395" s="27" t="s">
        <v>493</v>
      </c>
      <c r="C395" s="27" t="s">
        <v>87</v>
      </c>
      <c r="D395" s="27" t="s">
        <v>82</v>
      </c>
      <c r="E395" s="28">
        <v>46152</v>
      </c>
      <c r="F395" s="28">
        <v>46160</v>
      </c>
      <c r="G395" s="27" t="s">
        <v>88</v>
      </c>
      <c r="H395" s="27" t="s">
        <v>58</v>
      </c>
      <c r="I395" s="28">
        <v>36233</v>
      </c>
      <c r="J395" s="27" t="s">
        <v>74</v>
      </c>
      <c r="K395" s="27" t="s">
        <v>75</v>
      </c>
      <c r="L395" s="27" t="s">
        <v>83</v>
      </c>
      <c r="M395" s="27" t="s">
        <v>84</v>
      </c>
      <c r="N395" s="27">
        <v>3</v>
      </c>
      <c r="O395" s="27">
        <v>60</v>
      </c>
      <c r="P395" s="27">
        <v>20</v>
      </c>
      <c r="Q395" s="27">
        <v>144</v>
      </c>
      <c r="R395" s="27">
        <v>4</v>
      </c>
      <c r="S395" s="27" t="s">
        <v>65</v>
      </c>
      <c r="T395" s="27" t="s">
        <v>96</v>
      </c>
      <c r="U395" s="27" t="s">
        <v>89</v>
      </c>
      <c r="V395" s="27">
        <v>9469828772</v>
      </c>
      <c r="W395" s="27" t="s">
        <v>52</v>
      </c>
    </row>
    <row r="396" spans="2:23" ht="15" thickBot="1" x14ac:dyDescent="0.4">
      <c r="B396" s="30" t="s">
        <v>494</v>
      </c>
      <c r="C396" s="30" t="s">
        <v>55</v>
      </c>
      <c r="D396" s="30" t="s">
        <v>24</v>
      </c>
      <c r="E396" s="31">
        <v>45858</v>
      </c>
      <c r="F396" s="31">
        <v>45864</v>
      </c>
      <c r="G396" s="30" t="s">
        <v>57</v>
      </c>
      <c r="H396" s="30" t="s">
        <v>58</v>
      </c>
      <c r="I396" s="31">
        <v>30958</v>
      </c>
      <c r="J396" s="30" t="s">
        <v>74</v>
      </c>
      <c r="K396" s="30" t="s">
        <v>75</v>
      </c>
      <c r="L396" s="30" t="s">
        <v>29</v>
      </c>
      <c r="M396" s="30" t="s">
        <v>30</v>
      </c>
      <c r="N396" s="30">
        <v>19</v>
      </c>
      <c r="O396" s="30">
        <v>2200</v>
      </c>
      <c r="P396" s="30">
        <v>10</v>
      </c>
      <c r="Q396" s="30">
        <v>37620</v>
      </c>
      <c r="R396" s="30">
        <v>2</v>
      </c>
      <c r="S396" s="30" t="s">
        <v>31</v>
      </c>
      <c r="T396" s="30" t="s">
        <v>96</v>
      </c>
      <c r="U396" s="30" t="s">
        <v>61</v>
      </c>
      <c r="V396" s="30">
        <v>9885092680</v>
      </c>
      <c r="W396" s="30" t="s">
        <v>52</v>
      </c>
    </row>
    <row r="397" spans="2:23" ht="15" thickBot="1" x14ac:dyDescent="0.4">
      <c r="B397" s="27" t="s">
        <v>495</v>
      </c>
      <c r="C397" s="27" t="s">
        <v>55</v>
      </c>
      <c r="D397" s="27" t="s">
        <v>56</v>
      </c>
      <c r="E397" s="28">
        <v>46045</v>
      </c>
      <c r="F397" s="28">
        <v>46049</v>
      </c>
      <c r="G397" s="27" t="s">
        <v>57</v>
      </c>
      <c r="H397" s="27" t="s">
        <v>58</v>
      </c>
      <c r="I397" s="28">
        <v>30872</v>
      </c>
      <c r="J397" s="27" t="s">
        <v>27</v>
      </c>
      <c r="K397" s="27" t="s">
        <v>28</v>
      </c>
      <c r="L397" s="27" t="s">
        <v>39</v>
      </c>
      <c r="M397" s="27" t="s">
        <v>59</v>
      </c>
      <c r="N397" s="27">
        <v>7</v>
      </c>
      <c r="O397" s="27">
        <v>1200</v>
      </c>
      <c r="P397" s="27">
        <v>20</v>
      </c>
      <c r="Q397" s="27">
        <v>6720</v>
      </c>
      <c r="R397" s="27">
        <v>3</v>
      </c>
      <c r="S397" s="27" t="s">
        <v>60</v>
      </c>
      <c r="T397" s="27" t="s">
        <v>80</v>
      </c>
      <c r="U397" s="27" t="s">
        <v>61</v>
      </c>
      <c r="V397" s="27">
        <v>9362319457</v>
      </c>
      <c r="W397" s="27" t="s">
        <v>53</v>
      </c>
    </row>
    <row r="398" spans="2:23" ht="15" thickBot="1" x14ac:dyDescent="0.4">
      <c r="B398" s="30" t="s">
        <v>496</v>
      </c>
      <c r="C398" s="30" t="s">
        <v>45</v>
      </c>
      <c r="D398" s="30" t="s">
        <v>125</v>
      </c>
      <c r="E398" s="31">
        <v>46097</v>
      </c>
      <c r="F398" s="31">
        <v>46102</v>
      </c>
      <c r="G398" s="30" t="s">
        <v>101</v>
      </c>
      <c r="H398" s="30" t="s">
        <v>26</v>
      </c>
      <c r="I398" s="31">
        <v>32577</v>
      </c>
      <c r="J398" s="30" t="s">
        <v>48</v>
      </c>
      <c r="K398" s="30" t="s">
        <v>28</v>
      </c>
      <c r="L398" s="30" t="s">
        <v>83</v>
      </c>
      <c r="M398" s="30" t="s">
        <v>127</v>
      </c>
      <c r="N398" s="30">
        <v>20</v>
      </c>
      <c r="O398" s="30">
        <v>20</v>
      </c>
      <c r="P398" s="30">
        <v>20</v>
      </c>
      <c r="Q398" s="30">
        <v>320</v>
      </c>
      <c r="R398" s="30">
        <v>5</v>
      </c>
      <c r="S398" s="30" t="s">
        <v>60</v>
      </c>
      <c r="T398" s="30" t="s">
        <v>80</v>
      </c>
      <c r="U398" s="30" t="s">
        <v>51</v>
      </c>
      <c r="V398" s="30">
        <v>9223945130</v>
      </c>
      <c r="W398" s="30" t="s">
        <v>52</v>
      </c>
    </row>
    <row r="399" spans="2:23" ht="15" thickBot="1" x14ac:dyDescent="0.4">
      <c r="B399" s="27" t="s">
        <v>497</v>
      </c>
      <c r="C399" s="27" t="s">
        <v>72</v>
      </c>
      <c r="D399" s="27" t="s">
        <v>56</v>
      </c>
      <c r="E399" s="28">
        <v>45777</v>
      </c>
      <c r="F399" s="28">
        <v>45784</v>
      </c>
      <c r="G399" s="27" t="s">
        <v>73</v>
      </c>
      <c r="H399" s="27" t="s">
        <v>26</v>
      </c>
      <c r="I399" s="28">
        <v>31156</v>
      </c>
      <c r="J399" s="27" t="s">
        <v>27</v>
      </c>
      <c r="K399" s="27" t="s">
        <v>28</v>
      </c>
      <c r="L399" s="27" t="s">
        <v>39</v>
      </c>
      <c r="M399" s="27" t="s">
        <v>59</v>
      </c>
      <c r="N399" s="27">
        <v>19</v>
      </c>
      <c r="O399" s="27">
        <v>1200</v>
      </c>
      <c r="P399" s="27">
        <v>5</v>
      </c>
      <c r="Q399" s="27">
        <v>21660</v>
      </c>
      <c r="R399" s="27">
        <v>3</v>
      </c>
      <c r="S399" s="27" t="s">
        <v>60</v>
      </c>
      <c r="T399" s="27" t="s">
        <v>32</v>
      </c>
      <c r="U399" s="27" t="s">
        <v>93</v>
      </c>
      <c r="V399" s="27">
        <v>9910804926</v>
      </c>
      <c r="W399" s="27" t="s">
        <v>52</v>
      </c>
    </row>
    <row r="400" spans="2:23" ht="15" thickBot="1" x14ac:dyDescent="0.4">
      <c r="B400" s="30" t="s">
        <v>498</v>
      </c>
      <c r="C400" s="30" t="s">
        <v>45</v>
      </c>
      <c r="D400" s="30" t="s">
        <v>125</v>
      </c>
      <c r="E400" s="31">
        <v>45691</v>
      </c>
      <c r="F400" s="31">
        <v>45701</v>
      </c>
      <c r="G400" s="30" t="s">
        <v>101</v>
      </c>
      <c r="H400" s="30" t="s">
        <v>26</v>
      </c>
      <c r="I400" s="31">
        <v>37846</v>
      </c>
      <c r="J400" s="30" t="s">
        <v>27</v>
      </c>
      <c r="K400" s="30" t="s">
        <v>28</v>
      </c>
      <c r="L400" s="30" t="s">
        <v>83</v>
      </c>
      <c r="M400" s="30" t="s">
        <v>127</v>
      </c>
      <c r="N400" s="30">
        <v>5</v>
      </c>
      <c r="O400" s="30">
        <v>20</v>
      </c>
      <c r="P400" s="30">
        <v>0</v>
      </c>
      <c r="Q400" s="30">
        <v>100</v>
      </c>
      <c r="R400" s="30">
        <v>2</v>
      </c>
      <c r="S400" s="30" t="s">
        <v>65</v>
      </c>
      <c r="T400" s="30" t="s">
        <v>42</v>
      </c>
      <c r="U400" s="30" t="s">
        <v>51</v>
      </c>
      <c r="V400" s="30">
        <v>9274269744</v>
      </c>
      <c r="W400" s="30" t="s">
        <v>52</v>
      </c>
    </row>
    <row r="401" spans="2:23" ht="15" thickBot="1" x14ac:dyDescent="0.4">
      <c r="B401" s="27" t="s">
        <v>499</v>
      </c>
      <c r="C401" s="27" t="s">
        <v>72</v>
      </c>
      <c r="D401" s="27" t="s">
        <v>138</v>
      </c>
      <c r="E401" s="28">
        <v>46088</v>
      </c>
      <c r="F401" s="28">
        <v>46097</v>
      </c>
      <c r="G401" s="27" t="s">
        <v>73</v>
      </c>
      <c r="H401" s="27" t="s">
        <v>26</v>
      </c>
      <c r="I401" s="28">
        <v>30570</v>
      </c>
      <c r="J401" s="27" t="s">
        <v>121</v>
      </c>
      <c r="K401" s="27" t="s">
        <v>38</v>
      </c>
      <c r="L401" s="27" t="s">
        <v>83</v>
      </c>
      <c r="M401" s="27" t="s">
        <v>139</v>
      </c>
      <c r="N401" s="27">
        <v>16</v>
      </c>
      <c r="O401" s="27">
        <v>45</v>
      </c>
      <c r="P401" s="27">
        <v>15</v>
      </c>
      <c r="Q401" s="27">
        <v>612</v>
      </c>
      <c r="R401" s="27">
        <v>5</v>
      </c>
      <c r="S401" s="27" t="s">
        <v>31</v>
      </c>
      <c r="T401" s="27" t="s">
        <v>50</v>
      </c>
      <c r="U401" s="27" t="s">
        <v>93</v>
      </c>
      <c r="V401" s="27">
        <v>9223196101</v>
      </c>
      <c r="W401" s="27" t="s">
        <v>53</v>
      </c>
    </row>
    <row r="402" spans="2:23" ht="15" thickBot="1" x14ac:dyDescent="0.4">
      <c r="B402" s="30" t="s">
        <v>500</v>
      </c>
      <c r="C402" s="30" t="s">
        <v>23</v>
      </c>
      <c r="D402" s="30" t="s">
        <v>24</v>
      </c>
      <c r="E402" s="31">
        <v>45780</v>
      </c>
      <c r="F402" s="31">
        <v>45792</v>
      </c>
      <c r="G402" s="30" t="s">
        <v>25</v>
      </c>
      <c r="H402" s="30" t="s">
        <v>26</v>
      </c>
      <c r="I402" s="31">
        <v>27922</v>
      </c>
      <c r="J402" s="30" t="s">
        <v>121</v>
      </c>
      <c r="K402" s="30" t="s">
        <v>38</v>
      </c>
      <c r="L402" s="30" t="s">
        <v>29</v>
      </c>
      <c r="M402" s="30" t="s">
        <v>30</v>
      </c>
      <c r="N402" s="30">
        <v>1</v>
      </c>
      <c r="O402" s="30">
        <v>2200</v>
      </c>
      <c r="P402" s="30">
        <v>10</v>
      </c>
      <c r="Q402" s="30">
        <v>1980</v>
      </c>
      <c r="R402" s="30">
        <v>5</v>
      </c>
      <c r="S402" s="30" t="s">
        <v>60</v>
      </c>
      <c r="T402" s="30" t="s">
        <v>42</v>
      </c>
      <c r="U402" s="30" t="s">
        <v>43</v>
      </c>
      <c r="V402" s="30">
        <v>9888477457</v>
      </c>
      <c r="W402" s="22" t="s">
        <v>34</v>
      </c>
    </row>
    <row r="403" spans="2:23" ht="15" thickBot="1" x14ac:dyDescent="0.4">
      <c r="B403" s="27" t="s">
        <v>501</v>
      </c>
      <c r="C403" s="27" t="s">
        <v>45</v>
      </c>
      <c r="D403" s="27" t="s">
        <v>82</v>
      </c>
      <c r="E403" s="28">
        <v>46113</v>
      </c>
      <c r="F403" s="28">
        <v>46117</v>
      </c>
      <c r="G403" s="27" t="s">
        <v>101</v>
      </c>
      <c r="H403" s="27" t="s">
        <v>26</v>
      </c>
      <c r="I403" s="28">
        <v>31781</v>
      </c>
      <c r="J403" s="27" t="s">
        <v>27</v>
      </c>
      <c r="K403" s="27" t="s">
        <v>28</v>
      </c>
      <c r="L403" s="27" t="s">
        <v>83</v>
      </c>
      <c r="M403" s="27" t="s">
        <v>84</v>
      </c>
      <c r="N403" s="27">
        <v>19</v>
      </c>
      <c r="O403" s="27">
        <v>60</v>
      </c>
      <c r="P403" s="27">
        <v>15</v>
      </c>
      <c r="Q403" s="27">
        <v>969</v>
      </c>
      <c r="R403" s="27">
        <v>4</v>
      </c>
      <c r="S403" s="27" t="s">
        <v>41</v>
      </c>
      <c r="T403" s="27" t="s">
        <v>80</v>
      </c>
      <c r="U403" s="27" t="s">
        <v>51</v>
      </c>
      <c r="V403" s="27">
        <v>9435947486</v>
      </c>
      <c r="W403" s="27" t="s">
        <v>53</v>
      </c>
    </row>
    <row r="404" spans="2:23" ht="15" thickBot="1" x14ac:dyDescent="0.4">
      <c r="B404" s="30" t="s">
        <v>502</v>
      </c>
      <c r="C404" s="30" t="s">
        <v>156</v>
      </c>
      <c r="D404" s="30" t="s">
        <v>46</v>
      </c>
      <c r="E404" s="31">
        <v>45689</v>
      </c>
      <c r="F404" s="31">
        <v>45690</v>
      </c>
      <c r="G404" s="30" t="s">
        <v>106</v>
      </c>
      <c r="H404" s="30" t="s">
        <v>58</v>
      </c>
      <c r="I404" s="31">
        <v>33738</v>
      </c>
      <c r="J404" s="30" t="s">
        <v>37</v>
      </c>
      <c r="K404" s="30" t="s">
        <v>38</v>
      </c>
      <c r="L404" s="30" t="s">
        <v>39</v>
      </c>
      <c r="M404" s="30" t="s">
        <v>49</v>
      </c>
      <c r="N404" s="30">
        <v>15</v>
      </c>
      <c r="O404" s="30">
        <v>55000</v>
      </c>
      <c r="P404" s="30">
        <v>0</v>
      </c>
      <c r="Q404" s="30">
        <v>825000</v>
      </c>
      <c r="R404" s="30">
        <v>5</v>
      </c>
      <c r="S404" s="30" t="s">
        <v>60</v>
      </c>
      <c r="T404" s="30" t="s">
        <v>80</v>
      </c>
      <c r="U404" s="30" t="s">
        <v>158</v>
      </c>
      <c r="V404" s="30">
        <v>9411668831</v>
      </c>
      <c r="W404" s="30" t="s">
        <v>53</v>
      </c>
    </row>
    <row r="405" spans="2:23" ht="15" thickBot="1" x14ac:dyDescent="0.4">
      <c r="B405" s="27" t="s">
        <v>503</v>
      </c>
      <c r="C405" s="27" t="s">
        <v>55</v>
      </c>
      <c r="D405" s="27" t="s">
        <v>138</v>
      </c>
      <c r="E405" s="28">
        <v>45936</v>
      </c>
      <c r="F405" s="28">
        <v>45938</v>
      </c>
      <c r="G405" s="27" t="s">
        <v>57</v>
      </c>
      <c r="H405" s="27" t="s">
        <v>58</v>
      </c>
      <c r="I405" s="28">
        <v>32631</v>
      </c>
      <c r="J405" s="27" t="s">
        <v>48</v>
      </c>
      <c r="K405" s="27" t="s">
        <v>28</v>
      </c>
      <c r="L405" s="27" t="s">
        <v>83</v>
      </c>
      <c r="M405" s="27" t="s">
        <v>139</v>
      </c>
      <c r="N405" s="27">
        <v>11</v>
      </c>
      <c r="O405" s="27">
        <v>45</v>
      </c>
      <c r="P405" s="27">
        <v>5</v>
      </c>
      <c r="Q405" s="27">
        <v>470.25</v>
      </c>
      <c r="R405" s="27">
        <v>5</v>
      </c>
      <c r="S405" s="27" t="s">
        <v>41</v>
      </c>
      <c r="T405" s="27" t="s">
        <v>96</v>
      </c>
      <c r="U405" s="27" t="s">
        <v>61</v>
      </c>
      <c r="V405" s="27">
        <v>9523682403</v>
      </c>
      <c r="W405" s="21" t="s">
        <v>34</v>
      </c>
    </row>
    <row r="406" spans="2:23" ht="15" thickBot="1" x14ac:dyDescent="0.4">
      <c r="B406" s="30" t="s">
        <v>504</v>
      </c>
      <c r="C406" s="30" t="s">
        <v>134</v>
      </c>
      <c r="D406" s="30" t="s">
        <v>125</v>
      </c>
      <c r="E406" s="31">
        <v>45820</v>
      </c>
      <c r="F406" s="31">
        <v>45825</v>
      </c>
      <c r="G406" s="30" t="s">
        <v>135</v>
      </c>
      <c r="H406" s="30" t="s">
        <v>26</v>
      </c>
      <c r="I406" s="31">
        <v>33226</v>
      </c>
      <c r="J406" s="30" t="s">
        <v>121</v>
      </c>
      <c r="K406" s="30" t="s">
        <v>38</v>
      </c>
      <c r="L406" s="30" t="s">
        <v>83</v>
      </c>
      <c r="M406" s="30" t="s">
        <v>127</v>
      </c>
      <c r="N406" s="30">
        <v>9</v>
      </c>
      <c r="O406" s="30">
        <v>20</v>
      </c>
      <c r="P406" s="30">
        <v>10</v>
      </c>
      <c r="Q406" s="30">
        <v>162</v>
      </c>
      <c r="R406" s="30">
        <v>1</v>
      </c>
      <c r="S406" s="30" t="s">
        <v>60</v>
      </c>
      <c r="T406" s="30" t="s">
        <v>42</v>
      </c>
      <c r="U406" s="30" t="s">
        <v>136</v>
      </c>
      <c r="V406" s="30">
        <v>9652936744</v>
      </c>
      <c r="W406" s="30" t="s">
        <v>53</v>
      </c>
    </row>
    <row r="407" spans="2:23" ht="15" thickBot="1" x14ac:dyDescent="0.4">
      <c r="B407" s="27" t="s">
        <v>505</v>
      </c>
      <c r="C407" s="27" t="s">
        <v>104</v>
      </c>
      <c r="D407" s="27" t="s">
        <v>138</v>
      </c>
      <c r="E407" s="28">
        <v>45979</v>
      </c>
      <c r="F407" s="28">
        <v>45981</v>
      </c>
      <c r="G407" s="27" t="s">
        <v>166</v>
      </c>
      <c r="H407" s="27" t="s">
        <v>26</v>
      </c>
      <c r="I407" s="28">
        <v>34889</v>
      </c>
      <c r="J407" s="27" t="s">
        <v>48</v>
      </c>
      <c r="K407" s="27" t="s">
        <v>28</v>
      </c>
      <c r="L407" s="27" t="s">
        <v>83</v>
      </c>
      <c r="M407" s="27" t="s">
        <v>139</v>
      </c>
      <c r="N407" s="27">
        <v>5</v>
      </c>
      <c r="O407" s="27">
        <v>45</v>
      </c>
      <c r="P407" s="27">
        <v>5</v>
      </c>
      <c r="Q407" s="27">
        <v>213.75</v>
      </c>
      <c r="R407" s="27">
        <v>3</v>
      </c>
      <c r="S407" s="27" t="s">
        <v>60</v>
      </c>
      <c r="T407" s="27" t="s">
        <v>80</v>
      </c>
      <c r="U407" s="27" t="s">
        <v>108</v>
      </c>
      <c r="V407" s="27">
        <v>9726464733</v>
      </c>
      <c r="W407" s="27" t="s">
        <v>52</v>
      </c>
    </row>
    <row r="408" spans="2:23" ht="15" thickBot="1" x14ac:dyDescent="0.4">
      <c r="B408" s="30" t="s">
        <v>506</v>
      </c>
      <c r="C408" s="30" t="s">
        <v>63</v>
      </c>
      <c r="D408" s="30" t="s">
        <v>112</v>
      </c>
      <c r="E408" s="31">
        <v>45962</v>
      </c>
      <c r="F408" s="31">
        <v>45963</v>
      </c>
      <c r="G408" s="30" t="s">
        <v>110</v>
      </c>
      <c r="H408" s="30" t="s">
        <v>58</v>
      </c>
      <c r="I408" s="31">
        <v>36152</v>
      </c>
      <c r="J408" s="30" t="s">
        <v>27</v>
      </c>
      <c r="K408" s="30" t="s">
        <v>28</v>
      </c>
      <c r="L408" s="30" t="s">
        <v>39</v>
      </c>
      <c r="M408" s="30" t="s">
        <v>114</v>
      </c>
      <c r="N408" s="30">
        <v>5</v>
      </c>
      <c r="O408" s="30">
        <v>700</v>
      </c>
      <c r="P408" s="30">
        <v>10</v>
      </c>
      <c r="Q408" s="30">
        <v>3150</v>
      </c>
      <c r="R408" s="30">
        <v>2</v>
      </c>
      <c r="S408" s="30" t="s">
        <v>65</v>
      </c>
      <c r="T408" s="30" t="s">
        <v>42</v>
      </c>
      <c r="U408" s="30" t="s">
        <v>66</v>
      </c>
      <c r="V408" s="30">
        <v>9273520544</v>
      </c>
      <c r="W408" s="22" t="s">
        <v>34</v>
      </c>
    </row>
    <row r="409" spans="2:23" ht="15" thickBot="1" x14ac:dyDescent="0.4">
      <c r="B409" s="27" t="s">
        <v>507</v>
      </c>
      <c r="C409" s="27" t="s">
        <v>124</v>
      </c>
      <c r="D409" s="27" t="s">
        <v>112</v>
      </c>
      <c r="E409" s="28">
        <v>45681</v>
      </c>
      <c r="F409" s="28">
        <v>45688</v>
      </c>
      <c r="G409" s="27" t="s">
        <v>126</v>
      </c>
      <c r="H409" s="27" t="s">
        <v>58</v>
      </c>
      <c r="I409" s="28">
        <v>29212</v>
      </c>
      <c r="J409" s="27" t="s">
        <v>147</v>
      </c>
      <c r="K409" s="27" t="s">
        <v>148</v>
      </c>
      <c r="L409" s="27" t="s">
        <v>39</v>
      </c>
      <c r="M409" s="27" t="s">
        <v>114</v>
      </c>
      <c r="N409" s="27">
        <v>1</v>
      </c>
      <c r="O409" s="27">
        <v>700</v>
      </c>
      <c r="P409" s="27">
        <v>0</v>
      </c>
      <c r="Q409" s="27">
        <v>700</v>
      </c>
      <c r="R409" s="27">
        <v>1</v>
      </c>
      <c r="S409" s="27" t="s">
        <v>65</v>
      </c>
      <c r="T409" s="27" t="s">
        <v>96</v>
      </c>
      <c r="U409" s="27" t="s">
        <v>128</v>
      </c>
      <c r="V409" s="27">
        <v>9374259988</v>
      </c>
      <c r="W409" s="21" t="s">
        <v>34</v>
      </c>
    </row>
    <row r="410" spans="2:23" ht="15" thickBot="1" x14ac:dyDescent="0.4">
      <c r="B410" s="30" t="s">
        <v>508</v>
      </c>
      <c r="C410" s="30" t="s">
        <v>23</v>
      </c>
      <c r="D410" s="30" t="s">
        <v>112</v>
      </c>
      <c r="E410" s="31">
        <v>46066</v>
      </c>
      <c r="F410" s="31">
        <v>46074</v>
      </c>
      <c r="G410" s="30" t="s">
        <v>25</v>
      </c>
      <c r="H410" s="30" t="s">
        <v>26</v>
      </c>
      <c r="I410" s="31">
        <v>27743</v>
      </c>
      <c r="J410" s="30" t="s">
        <v>74</v>
      </c>
      <c r="K410" s="30" t="s">
        <v>75</v>
      </c>
      <c r="L410" s="30" t="s">
        <v>39</v>
      </c>
      <c r="M410" s="30" t="s">
        <v>114</v>
      </c>
      <c r="N410" s="30">
        <v>13</v>
      </c>
      <c r="O410" s="30">
        <v>700</v>
      </c>
      <c r="P410" s="30">
        <v>20</v>
      </c>
      <c r="Q410" s="30">
        <v>7280</v>
      </c>
      <c r="R410" s="30">
        <v>2</v>
      </c>
      <c r="S410" s="30" t="s">
        <v>60</v>
      </c>
      <c r="T410" s="30" t="s">
        <v>32</v>
      </c>
      <c r="U410" s="30" t="s">
        <v>43</v>
      </c>
      <c r="V410" s="30">
        <v>9538129419</v>
      </c>
      <c r="W410" s="22" t="s">
        <v>34</v>
      </c>
    </row>
    <row r="411" spans="2:23" ht="15" thickBot="1" x14ac:dyDescent="0.4">
      <c r="B411" s="27" t="s">
        <v>509</v>
      </c>
      <c r="C411" s="27" t="s">
        <v>55</v>
      </c>
      <c r="D411" s="27" t="s">
        <v>36</v>
      </c>
      <c r="E411" s="28">
        <v>45696</v>
      </c>
      <c r="F411" s="28">
        <v>45707</v>
      </c>
      <c r="G411" s="27" t="s">
        <v>57</v>
      </c>
      <c r="H411" s="27" t="s">
        <v>58</v>
      </c>
      <c r="I411" s="28">
        <v>34106</v>
      </c>
      <c r="J411" s="27" t="s">
        <v>79</v>
      </c>
      <c r="K411" s="27" t="s">
        <v>75</v>
      </c>
      <c r="L411" s="27" t="s">
        <v>39</v>
      </c>
      <c r="M411" s="27" t="s">
        <v>40</v>
      </c>
      <c r="N411" s="27">
        <v>20</v>
      </c>
      <c r="O411" s="27">
        <v>12000</v>
      </c>
      <c r="P411" s="27">
        <v>0</v>
      </c>
      <c r="Q411" s="27">
        <v>240000</v>
      </c>
      <c r="R411" s="27">
        <v>2</v>
      </c>
      <c r="S411" s="27" t="s">
        <v>60</v>
      </c>
      <c r="T411" s="27" t="s">
        <v>80</v>
      </c>
      <c r="U411" s="27" t="s">
        <v>61</v>
      </c>
      <c r="V411" s="27">
        <v>9382815686</v>
      </c>
      <c r="W411" s="21" t="s">
        <v>34</v>
      </c>
    </row>
    <row r="412" spans="2:23" ht="15" thickBot="1" x14ac:dyDescent="0.4">
      <c r="B412" s="30" t="s">
        <v>510</v>
      </c>
      <c r="C412" s="30" t="s">
        <v>63</v>
      </c>
      <c r="D412" s="30" t="s">
        <v>56</v>
      </c>
      <c r="E412" s="31">
        <v>46019</v>
      </c>
      <c r="F412" s="31">
        <v>46028</v>
      </c>
      <c r="G412" s="30" t="s">
        <v>110</v>
      </c>
      <c r="H412" s="30" t="s">
        <v>58</v>
      </c>
      <c r="I412" s="31">
        <v>28020</v>
      </c>
      <c r="J412" s="30" t="s">
        <v>147</v>
      </c>
      <c r="K412" s="30" t="s">
        <v>148</v>
      </c>
      <c r="L412" s="30" t="s">
        <v>39</v>
      </c>
      <c r="M412" s="30" t="s">
        <v>59</v>
      </c>
      <c r="N412" s="30">
        <v>9</v>
      </c>
      <c r="O412" s="30">
        <v>1200</v>
      </c>
      <c r="P412" s="30">
        <v>15</v>
      </c>
      <c r="Q412" s="30">
        <v>9180</v>
      </c>
      <c r="R412" s="30">
        <v>1</v>
      </c>
      <c r="S412" s="30" t="s">
        <v>65</v>
      </c>
      <c r="T412" s="30" t="s">
        <v>32</v>
      </c>
      <c r="U412" s="30" t="s">
        <v>66</v>
      </c>
      <c r="V412" s="30">
        <v>9450746157</v>
      </c>
      <c r="W412" s="30" t="s">
        <v>52</v>
      </c>
    </row>
    <row r="413" spans="2:23" ht="15" thickBot="1" x14ac:dyDescent="0.4">
      <c r="B413" s="27" t="s">
        <v>511</v>
      </c>
      <c r="C413" s="27" t="s">
        <v>63</v>
      </c>
      <c r="D413" s="27" t="s">
        <v>125</v>
      </c>
      <c r="E413" s="28">
        <v>45931</v>
      </c>
      <c r="F413" s="28">
        <v>45933</v>
      </c>
      <c r="G413" s="27" t="s">
        <v>110</v>
      </c>
      <c r="H413" s="27" t="s">
        <v>58</v>
      </c>
      <c r="I413" s="28">
        <v>35421</v>
      </c>
      <c r="J413" s="27" t="s">
        <v>121</v>
      </c>
      <c r="K413" s="27" t="s">
        <v>38</v>
      </c>
      <c r="L413" s="27" t="s">
        <v>83</v>
      </c>
      <c r="M413" s="27" t="s">
        <v>127</v>
      </c>
      <c r="N413" s="27">
        <v>3</v>
      </c>
      <c r="O413" s="27">
        <v>20</v>
      </c>
      <c r="P413" s="27">
        <v>15</v>
      </c>
      <c r="Q413" s="27">
        <v>51</v>
      </c>
      <c r="R413" s="27">
        <v>3</v>
      </c>
      <c r="S413" s="27" t="s">
        <v>31</v>
      </c>
      <c r="T413" s="27" t="s">
        <v>80</v>
      </c>
      <c r="U413" s="27" t="s">
        <v>66</v>
      </c>
      <c r="V413" s="27">
        <v>9349012570</v>
      </c>
      <c r="W413" s="27" t="s">
        <v>52</v>
      </c>
    </row>
    <row r="414" spans="2:23" ht="15" thickBot="1" x14ac:dyDescent="0.4">
      <c r="B414" s="30" t="s">
        <v>512</v>
      </c>
      <c r="C414" s="30" t="s">
        <v>134</v>
      </c>
      <c r="D414" s="30" t="s">
        <v>46</v>
      </c>
      <c r="E414" s="31">
        <v>46009</v>
      </c>
      <c r="F414" s="31">
        <v>46010</v>
      </c>
      <c r="G414" s="30" t="s">
        <v>135</v>
      </c>
      <c r="H414" s="30" t="s">
        <v>26</v>
      </c>
      <c r="I414" s="31">
        <v>35058</v>
      </c>
      <c r="J414" s="30" t="s">
        <v>37</v>
      </c>
      <c r="K414" s="30" t="s">
        <v>38</v>
      </c>
      <c r="L414" s="30" t="s">
        <v>39</v>
      </c>
      <c r="M414" s="30" t="s">
        <v>49</v>
      </c>
      <c r="N414" s="30">
        <v>8</v>
      </c>
      <c r="O414" s="30">
        <v>55000</v>
      </c>
      <c r="P414" s="30">
        <v>20</v>
      </c>
      <c r="Q414" s="30">
        <v>352000</v>
      </c>
      <c r="R414" s="30">
        <v>5</v>
      </c>
      <c r="S414" s="30" t="s">
        <v>60</v>
      </c>
      <c r="T414" s="30" t="s">
        <v>96</v>
      </c>
      <c r="U414" s="30" t="s">
        <v>136</v>
      </c>
      <c r="V414" s="30">
        <v>9442163790</v>
      </c>
      <c r="W414" s="30" t="s">
        <v>52</v>
      </c>
    </row>
    <row r="415" spans="2:23" ht="15" thickBot="1" x14ac:dyDescent="0.4">
      <c r="B415" s="27" t="s">
        <v>513</v>
      </c>
      <c r="C415" s="27" t="s">
        <v>134</v>
      </c>
      <c r="D415" s="27" t="s">
        <v>82</v>
      </c>
      <c r="E415" s="28">
        <v>45929</v>
      </c>
      <c r="F415" s="28">
        <v>45937</v>
      </c>
      <c r="G415" s="27" t="s">
        <v>135</v>
      </c>
      <c r="H415" s="27" t="s">
        <v>26</v>
      </c>
      <c r="I415" s="28">
        <v>31221</v>
      </c>
      <c r="J415" s="27" t="s">
        <v>37</v>
      </c>
      <c r="K415" s="27" t="s">
        <v>38</v>
      </c>
      <c r="L415" s="27" t="s">
        <v>83</v>
      </c>
      <c r="M415" s="27" t="s">
        <v>84</v>
      </c>
      <c r="N415" s="27">
        <v>17</v>
      </c>
      <c r="O415" s="27">
        <v>60</v>
      </c>
      <c r="P415" s="27">
        <v>20</v>
      </c>
      <c r="Q415" s="27">
        <v>816</v>
      </c>
      <c r="R415" s="27">
        <v>1</v>
      </c>
      <c r="S415" s="27" t="s">
        <v>65</v>
      </c>
      <c r="T415" s="27" t="s">
        <v>32</v>
      </c>
      <c r="U415" s="27" t="s">
        <v>136</v>
      </c>
      <c r="V415" s="27">
        <v>9953329223</v>
      </c>
      <c r="W415" s="27" t="s">
        <v>52</v>
      </c>
    </row>
    <row r="416" spans="2:23" ht="15" thickBot="1" x14ac:dyDescent="0.4">
      <c r="B416" s="30" t="s">
        <v>514</v>
      </c>
      <c r="C416" s="30" t="s">
        <v>87</v>
      </c>
      <c r="D416" s="30" t="s">
        <v>125</v>
      </c>
      <c r="E416" s="31">
        <v>45791</v>
      </c>
      <c r="F416" s="31">
        <v>45799</v>
      </c>
      <c r="G416" s="30" t="s">
        <v>88</v>
      </c>
      <c r="H416" s="30" t="s">
        <v>58</v>
      </c>
      <c r="I416" s="31">
        <v>30722</v>
      </c>
      <c r="J416" s="30" t="s">
        <v>48</v>
      </c>
      <c r="K416" s="30" t="s">
        <v>28</v>
      </c>
      <c r="L416" s="30" t="s">
        <v>83</v>
      </c>
      <c r="M416" s="30" t="s">
        <v>127</v>
      </c>
      <c r="N416" s="30">
        <v>4</v>
      </c>
      <c r="O416" s="30">
        <v>20</v>
      </c>
      <c r="P416" s="30">
        <v>15</v>
      </c>
      <c r="Q416" s="30">
        <v>68</v>
      </c>
      <c r="R416" s="30">
        <v>3</v>
      </c>
      <c r="S416" s="30" t="s">
        <v>41</v>
      </c>
      <c r="T416" s="30" t="s">
        <v>50</v>
      </c>
      <c r="U416" s="30" t="s">
        <v>89</v>
      </c>
      <c r="V416" s="30">
        <v>9202321359</v>
      </c>
      <c r="W416" s="30" t="s">
        <v>52</v>
      </c>
    </row>
    <row r="417" spans="2:23" ht="15" thickBot="1" x14ac:dyDescent="0.4">
      <c r="B417" s="27" t="s">
        <v>515</v>
      </c>
      <c r="C417" s="27" t="s">
        <v>87</v>
      </c>
      <c r="D417" s="27" t="s">
        <v>24</v>
      </c>
      <c r="E417" s="28">
        <v>45748</v>
      </c>
      <c r="F417" s="28">
        <v>45758</v>
      </c>
      <c r="G417" s="27" t="s">
        <v>88</v>
      </c>
      <c r="H417" s="27" t="s">
        <v>58</v>
      </c>
      <c r="I417" s="28">
        <v>37348</v>
      </c>
      <c r="J417" s="27" t="s">
        <v>147</v>
      </c>
      <c r="K417" s="27" t="s">
        <v>148</v>
      </c>
      <c r="L417" s="27" t="s">
        <v>29</v>
      </c>
      <c r="M417" s="27" t="s">
        <v>30</v>
      </c>
      <c r="N417" s="27">
        <v>2</v>
      </c>
      <c r="O417" s="27">
        <v>2200</v>
      </c>
      <c r="P417" s="27">
        <v>10</v>
      </c>
      <c r="Q417" s="27">
        <v>3960</v>
      </c>
      <c r="R417" s="27">
        <v>2</v>
      </c>
      <c r="S417" s="27" t="s">
        <v>65</v>
      </c>
      <c r="T417" s="27" t="s">
        <v>42</v>
      </c>
      <c r="U417" s="27" t="s">
        <v>89</v>
      </c>
      <c r="V417" s="27">
        <v>9812564160</v>
      </c>
      <c r="W417" s="27" t="s">
        <v>52</v>
      </c>
    </row>
    <row r="418" spans="2:23" ht="15" thickBot="1" x14ac:dyDescent="0.4">
      <c r="B418" s="30" t="s">
        <v>516</v>
      </c>
      <c r="C418" s="30" t="s">
        <v>124</v>
      </c>
      <c r="D418" s="30" t="s">
        <v>82</v>
      </c>
      <c r="E418" s="31">
        <v>45754</v>
      </c>
      <c r="F418" s="31">
        <v>45765</v>
      </c>
      <c r="G418" s="30" t="s">
        <v>126</v>
      </c>
      <c r="H418" s="30" t="s">
        <v>58</v>
      </c>
      <c r="I418" s="31">
        <v>37819</v>
      </c>
      <c r="J418" s="30" t="s">
        <v>48</v>
      </c>
      <c r="K418" s="30" t="s">
        <v>28</v>
      </c>
      <c r="L418" s="30" t="s">
        <v>83</v>
      </c>
      <c r="M418" s="30" t="s">
        <v>84</v>
      </c>
      <c r="N418" s="30">
        <v>5</v>
      </c>
      <c r="O418" s="30">
        <v>60</v>
      </c>
      <c r="P418" s="30">
        <v>5</v>
      </c>
      <c r="Q418" s="30">
        <v>285</v>
      </c>
      <c r="R418" s="30">
        <v>1</v>
      </c>
      <c r="S418" s="30" t="s">
        <v>65</v>
      </c>
      <c r="T418" s="30" t="s">
        <v>32</v>
      </c>
      <c r="U418" s="30" t="s">
        <v>128</v>
      </c>
      <c r="V418" s="30">
        <v>9688458222</v>
      </c>
      <c r="W418" s="30" t="s">
        <v>53</v>
      </c>
    </row>
    <row r="419" spans="2:23" ht="15" thickBot="1" x14ac:dyDescent="0.4">
      <c r="B419" s="27" t="s">
        <v>517</v>
      </c>
      <c r="C419" s="27" t="s">
        <v>87</v>
      </c>
      <c r="D419" s="27" t="s">
        <v>24</v>
      </c>
      <c r="E419" s="28">
        <v>46072</v>
      </c>
      <c r="F419" s="28">
        <v>46076</v>
      </c>
      <c r="G419" s="27" t="s">
        <v>88</v>
      </c>
      <c r="H419" s="27" t="s">
        <v>58</v>
      </c>
      <c r="I419" s="28">
        <v>33517</v>
      </c>
      <c r="J419" s="27" t="s">
        <v>37</v>
      </c>
      <c r="K419" s="27" t="s">
        <v>38</v>
      </c>
      <c r="L419" s="27" t="s">
        <v>29</v>
      </c>
      <c r="M419" s="27" t="s">
        <v>30</v>
      </c>
      <c r="N419" s="27">
        <v>17</v>
      </c>
      <c r="O419" s="27">
        <v>2200</v>
      </c>
      <c r="P419" s="27">
        <v>0</v>
      </c>
      <c r="Q419" s="27">
        <v>37400</v>
      </c>
      <c r="R419" s="27">
        <v>2</v>
      </c>
      <c r="S419" s="27" t="s">
        <v>65</v>
      </c>
      <c r="T419" s="27" t="s">
        <v>96</v>
      </c>
      <c r="U419" s="27" t="s">
        <v>89</v>
      </c>
      <c r="V419" s="27">
        <v>9634473337</v>
      </c>
      <c r="W419" s="27" t="s">
        <v>53</v>
      </c>
    </row>
    <row r="420" spans="2:23" ht="15" thickBot="1" x14ac:dyDescent="0.4">
      <c r="B420" s="30" t="s">
        <v>518</v>
      </c>
      <c r="C420" s="30" t="s">
        <v>104</v>
      </c>
      <c r="D420" s="30" t="s">
        <v>82</v>
      </c>
      <c r="E420" s="31">
        <v>45995</v>
      </c>
      <c r="F420" s="31">
        <v>46002</v>
      </c>
      <c r="G420" s="30" t="s">
        <v>166</v>
      </c>
      <c r="H420" s="30" t="s">
        <v>26</v>
      </c>
      <c r="I420" s="31">
        <v>30686</v>
      </c>
      <c r="J420" s="30" t="s">
        <v>91</v>
      </c>
      <c r="K420" s="30" t="s">
        <v>75</v>
      </c>
      <c r="L420" s="30" t="s">
        <v>83</v>
      </c>
      <c r="M420" s="30" t="s">
        <v>84</v>
      </c>
      <c r="N420" s="30">
        <v>7</v>
      </c>
      <c r="O420" s="30">
        <v>60</v>
      </c>
      <c r="P420" s="30">
        <v>0</v>
      </c>
      <c r="Q420" s="30">
        <v>420</v>
      </c>
      <c r="R420" s="30">
        <v>2</v>
      </c>
      <c r="S420" s="30" t="s">
        <v>65</v>
      </c>
      <c r="T420" s="30" t="s">
        <v>50</v>
      </c>
      <c r="U420" s="30" t="s">
        <v>108</v>
      </c>
      <c r="V420" s="30">
        <v>9608737026</v>
      </c>
      <c r="W420" s="30" t="s">
        <v>52</v>
      </c>
    </row>
    <row r="421" spans="2:23" ht="15" thickBot="1" x14ac:dyDescent="0.4">
      <c r="B421" s="27" t="s">
        <v>519</v>
      </c>
      <c r="C421" s="27" t="s">
        <v>124</v>
      </c>
      <c r="D421" s="27" t="s">
        <v>46</v>
      </c>
      <c r="E421" s="28">
        <v>45950</v>
      </c>
      <c r="F421" s="28">
        <v>45954</v>
      </c>
      <c r="G421" s="27" t="s">
        <v>126</v>
      </c>
      <c r="H421" s="27" t="s">
        <v>58</v>
      </c>
      <c r="I421" s="28">
        <v>27465</v>
      </c>
      <c r="J421" s="27" t="s">
        <v>27</v>
      </c>
      <c r="K421" s="27" t="s">
        <v>28</v>
      </c>
      <c r="L421" s="27" t="s">
        <v>39</v>
      </c>
      <c r="M421" s="27" t="s">
        <v>49</v>
      </c>
      <c r="N421" s="27">
        <v>6</v>
      </c>
      <c r="O421" s="27">
        <v>55000</v>
      </c>
      <c r="P421" s="27">
        <v>5</v>
      </c>
      <c r="Q421" s="27">
        <v>313500</v>
      </c>
      <c r="R421" s="27">
        <v>4</v>
      </c>
      <c r="S421" s="27" t="s">
        <v>60</v>
      </c>
      <c r="T421" s="27" t="s">
        <v>50</v>
      </c>
      <c r="U421" s="27" t="s">
        <v>128</v>
      </c>
      <c r="V421" s="27">
        <v>9804498139</v>
      </c>
      <c r="W421" s="21" t="s">
        <v>34</v>
      </c>
    </row>
    <row r="422" spans="2:23" ht="15" thickBot="1" x14ac:dyDescent="0.4">
      <c r="B422" s="30" t="s">
        <v>520</v>
      </c>
      <c r="C422" s="30" t="s">
        <v>55</v>
      </c>
      <c r="D422" s="30" t="s">
        <v>125</v>
      </c>
      <c r="E422" s="31">
        <v>46043</v>
      </c>
      <c r="F422" s="31">
        <v>46047</v>
      </c>
      <c r="G422" s="30" t="s">
        <v>57</v>
      </c>
      <c r="H422" s="30" t="s">
        <v>58</v>
      </c>
      <c r="I422" s="31">
        <v>30390</v>
      </c>
      <c r="J422" s="30" t="s">
        <v>27</v>
      </c>
      <c r="K422" s="30" t="s">
        <v>28</v>
      </c>
      <c r="L422" s="30" t="s">
        <v>83</v>
      </c>
      <c r="M422" s="30" t="s">
        <v>127</v>
      </c>
      <c r="N422" s="30">
        <v>16</v>
      </c>
      <c r="O422" s="30">
        <v>20</v>
      </c>
      <c r="P422" s="30">
        <v>5</v>
      </c>
      <c r="Q422" s="30">
        <v>304</v>
      </c>
      <c r="R422" s="30">
        <v>1</v>
      </c>
      <c r="S422" s="30" t="s">
        <v>60</v>
      </c>
      <c r="T422" s="30" t="s">
        <v>42</v>
      </c>
      <c r="U422" s="30" t="s">
        <v>61</v>
      </c>
      <c r="V422" s="30">
        <v>9798643580</v>
      </c>
      <c r="W422" s="22" t="s">
        <v>34</v>
      </c>
    </row>
    <row r="423" spans="2:23" ht="15" thickBot="1" x14ac:dyDescent="0.4">
      <c r="B423" s="27" t="s">
        <v>521</v>
      </c>
      <c r="C423" s="27" t="s">
        <v>23</v>
      </c>
      <c r="D423" s="27" t="s">
        <v>24</v>
      </c>
      <c r="E423" s="28">
        <v>45682</v>
      </c>
      <c r="F423" s="28">
        <v>45685</v>
      </c>
      <c r="G423" s="27" t="s">
        <v>25</v>
      </c>
      <c r="H423" s="27" t="s">
        <v>26</v>
      </c>
      <c r="I423" s="28">
        <v>27870</v>
      </c>
      <c r="J423" s="27" t="s">
        <v>147</v>
      </c>
      <c r="K423" s="27" t="s">
        <v>148</v>
      </c>
      <c r="L423" s="27" t="s">
        <v>29</v>
      </c>
      <c r="M423" s="27" t="s">
        <v>30</v>
      </c>
      <c r="N423" s="27">
        <v>11</v>
      </c>
      <c r="O423" s="27">
        <v>2200</v>
      </c>
      <c r="P423" s="27">
        <v>15</v>
      </c>
      <c r="Q423" s="27">
        <v>20570</v>
      </c>
      <c r="R423" s="27">
        <v>1</v>
      </c>
      <c r="S423" s="27" t="s">
        <v>41</v>
      </c>
      <c r="T423" s="27" t="s">
        <v>80</v>
      </c>
      <c r="U423" s="27" t="s">
        <v>43</v>
      </c>
      <c r="V423" s="27">
        <v>9809823278</v>
      </c>
      <c r="W423" s="27" t="s">
        <v>53</v>
      </c>
    </row>
    <row r="424" spans="2:23" ht="15" thickBot="1" x14ac:dyDescent="0.4">
      <c r="B424" s="30" t="s">
        <v>522</v>
      </c>
      <c r="C424" s="30" t="s">
        <v>72</v>
      </c>
      <c r="D424" s="30" t="s">
        <v>125</v>
      </c>
      <c r="E424" s="31">
        <v>45716</v>
      </c>
      <c r="F424" s="31">
        <v>45718</v>
      </c>
      <c r="G424" s="30" t="s">
        <v>73</v>
      </c>
      <c r="H424" s="30" t="s">
        <v>26</v>
      </c>
      <c r="I424" s="31">
        <v>31454</v>
      </c>
      <c r="J424" s="30" t="s">
        <v>79</v>
      </c>
      <c r="K424" s="30" t="s">
        <v>75</v>
      </c>
      <c r="L424" s="30" t="s">
        <v>83</v>
      </c>
      <c r="M424" s="30" t="s">
        <v>127</v>
      </c>
      <c r="N424" s="30">
        <v>19</v>
      </c>
      <c r="O424" s="30">
        <v>20</v>
      </c>
      <c r="P424" s="30">
        <v>5</v>
      </c>
      <c r="Q424" s="30">
        <v>361</v>
      </c>
      <c r="R424" s="30">
        <v>4</v>
      </c>
      <c r="S424" s="30" t="s">
        <v>65</v>
      </c>
      <c r="T424" s="30" t="s">
        <v>32</v>
      </c>
      <c r="U424" s="30" t="s">
        <v>93</v>
      </c>
      <c r="V424" s="30">
        <v>9177767854</v>
      </c>
      <c r="W424" s="30" t="s">
        <v>52</v>
      </c>
    </row>
    <row r="425" spans="2:23" ht="15" thickBot="1" x14ac:dyDescent="0.4">
      <c r="B425" s="27" t="s">
        <v>523</v>
      </c>
      <c r="C425" s="27" t="s">
        <v>72</v>
      </c>
      <c r="D425" s="27" t="s">
        <v>56</v>
      </c>
      <c r="E425" s="28">
        <v>45828</v>
      </c>
      <c r="F425" s="28">
        <v>45829</v>
      </c>
      <c r="G425" s="27" t="s">
        <v>73</v>
      </c>
      <c r="H425" s="27" t="s">
        <v>26</v>
      </c>
      <c r="I425" s="28">
        <v>28570</v>
      </c>
      <c r="J425" s="27" t="s">
        <v>79</v>
      </c>
      <c r="K425" s="27" t="s">
        <v>75</v>
      </c>
      <c r="L425" s="27" t="s">
        <v>39</v>
      </c>
      <c r="M425" s="27" t="s">
        <v>59</v>
      </c>
      <c r="N425" s="27">
        <v>20</v>
      </c>
      <c r="O425" s="27">
        <v>1200</v>
      </c>
      <c r="P425" s="27">
        <v>15</v>
      </c>
      <c r="Q425" s="27">
        <v>20400</v>
      </c>
      <c r="R425" s="27">
        <v>4</v>
      </c>
      <c r="S425" s="27" t="s">
        <v>60</v>
      </c>
      <c r="T425" s="27" t="s">
        <v>32</v>
      </c>
      <c r="U425" s="27" t="s">
        <v>93</v>
      </c>
      <c r="V425" s="27">
        <v>9643440006</v>
      </c>
      <c r="W425" s="27" t="s">
        <v>52</v>
      </c>
    </row>
    <row r="426" spans="2:23" ht="15" thickBot="1" x14ac:dyDescent="0.4">
      <c r="B426" s="30" t="s">
        <v>524</v>
      </c>
      <c r="C426" s="30" t="s">
        <v>45</v>
      </c>
      <c r="D426" s="30" t="s">
        <v>125</v>
      </c>
      <c r="E426" s="31">
        <v>45805</v>
      </c>
      <c r="F426" s="31">
        <v>45814</v>
      </c>
      <c r="G426" s="30" t="s">
        <v>101</v>
      </c>
      <c r="H426" s="30" t="s">
        <v>26</v>
      </c>
      <c r="I426" s="31">
        <v>35258</v>
      </c>
      <c r="J426" s="30" t="s">
        <v>27</v>
      </c>
      <c r="K426" s="30" t="s">
        <v>28</v>
      </c>
      <c r="L426" s="30" t="s">
        <v>83</v>
      </c>
      <c r="M426" s="30" t="s">
        <v>127</v>
      </c>
      <c r="N426" s="30">
        <v>13</v>
      </c>
      <c r="O426" s="30">
        <v>20</v>
      </c>
      <c r="P426" s="30">
        <v>15</v>
      </c>
      <c r="Q426" s="30">
        <v>221</v>
      </c>
      <c r="R426" s="30">
        <v>4</v>
      </c>
      <c r="S426" s="30" t="s">
        <v>31</v>
      </c>
      <c r="T426" s="30" t="s">
        <v>32</v>
      </c>
      <c r="U426" s="30" t="s">
        <v>51</v>
      </c>
      <c r="V426" s="30">
        <v>9673698825</v>
      </c>
      <c r="W426" s="30" t="s">
        <v>52</v>
      </c>
    </row>
    <row r="427" spans="2:23" ht="15" thickBot="1" x14ac:dyDescent="0.4">
      <c r="B427" s="27" t="s">
        <v>525</v>
      </c>
      <c r="C427" s="27" t="s">
        <v>134</v>
      </c>
      <c r="D427" s="27" t="s">
        <v>56</v>
      </c>
      <c r="E427" s="28">
        <v>45660</v>
      </c>
      <c r="F427" s="28">
        <v>45665</v>
      </c>
      <c r="G427" s="27" t="s">
        <v>135</v>
      </c>
      <c r="H427" s="27" t="s">
        <v>26</v>
      </c>
      <c r="I427" s="28">
        <v>33940</v>
      </c>
      <c r="J427" s="27" t="s">
        <v>37</v>
      </c>
      <c r="K427" s="27" t="s">
        <v>38</v>
      </c>
      <c r="L427" s="27" t="s">
        <v>39</v>
      </c>
      <c r="M427" s="27" t="s">
        <v>59</v>
      </c>
      <c r="N427" s="27">
        <v>12</v>
      </c>
      <c r="O427" s="27">
        <v>1200</v>
      </c>
      <c r="P427" s="27">
        <v>10</v>
      </c>
      <c r="Q427" s="27">
        <v>12960</v>
      </c>
      <c r="R427" s="27">
        <v>3</v>
      </c>
      <c r="S427" s="27" t="s">
        <v>41</v>
      </c>
      <c r="T427" s="27" t="s">
        <v>32</v>
      </c>
      <c r="U427" s="27" t="s">
        <v>136</v>
      </c>
      <c r="V427" s="27">
        <v>9706238784</v>
      </c>
      <c r="W427" s="27" t="s">
        <v>52</v>
      </c>
    </row>
    <row r="428" spans="2:23" ht="15" thickBot="1" x14ac:dyDescent="0.4">
      <c r="B428" s="30" t="s">
        <v>526</v>
      </c>
      <c r="C428" s="30" t="s">
        <v>72</v>
      </c>
      <c r="D428" s="30" t="s">
        <v>105</v>
      </c>
      <c r="E428" s="31">
        <v>45685</v>
      </c>
      <c r="F428" s="31">
        <v>45686</v>
      </c>
      <c r="G428" s="30" t="s">
        <v>73</v>
      </c>
      <c r="H428" s="30" t="s">
        <v>26</v>
      </c>
      <c r="I428" s="31">
        <v>35147</v>
      </c>
      <c r="J428" s="30" t="s">
        <v>147</v>
      </c>
      <c r="K428" s="30" t="s">
        <v>148</v>
      </c>
      <c r="L428" s="30" t="s">
        <v>29</v>
      </c>
      <c r="M428" s="30" t="s">
        <v>107</v>
      </c>
      <c r="N428" s="30">
        <v>6</v>
      </c>
      <c r="O428" s="30">
        <v>8500</v>
      </c>
      <c r="P428" s="30">
        <v>5</v>
      </c>
      <c r="Q428" s="30">
        <v>48450</v>
      </c>
      <c r="R428" s="30">
        <v>5</v>
      </c>
      <c r="S428" s="30" t="s">
        <v>31</v>
      </c>
      <c r="T428" s="30" t="s">
        <v>80</v>
      </c>
      <c r="U428" s="30" t="s">
        <v>93</v>
      </c>
      <c r="V428" s="30">
        <v>9132959877</v>
      </c>
      <c r="W428" s="30" t="s">
        <v>53</v>
      </c>
    </row>
    <row r="429" spans="2:23" ht="15" thickBot="1" x14ac:dyDescent="0.4">
      <c r="B429" s="27" t="s">
        <v>527</v>
      </c>
      <c r="C429" s="27" t="s">
        <v>23</v>
      </c>
      <c r="D429" s="27" t="s">
        <v>105</v>
      </c>
      <c r="E429" s="28">
        <v>46071</v>
      </c>
      <c r="F429" s="28">
        <v>46079</v>
      </c>
      <c r="G429" s="27" t="s">
        <v>25</v>
      </c>
      <c r="H429" s="27" t="s">
        <v>26</v>
      </c>
      <c r="I429" s="28">
        <v>34508</v>
      </c>
      <c r="J429" s="27" t="s">
        <v>91</v>
      </c>
      <c r="K429" s="27" t="s">
        <v>75</v>
      </c>
      <c r="L429" s="27" t="s">
        <v>29</v>
      </c>
      <c r="M429" s="27" t="s">
        <v>107</v>
      </c>
      <c r="N429" s="27">
        <v>15</v>
      </c>
      <c r="O429" s="27">
        <v>8500</v>
      </c>
      <c r="P429" s="27">
        <v>10</v>
      </c>
      <c r="Q429" s="27">
        <v>114750</v>
      </c>
      <c r="R429" s="27">
        <v>1</v>
      </c>
      <c r="S429" s="27" t="s">
        <v>31</v>
      </c>
      <c r="T429" s="27" t="s">
        <v>80</v>
      </c>
      <c r="U429" s="27" t="s">
        <v>43</v>
      </c>
      <c r="V429" s="27">
        <v>9295011645</v>
      </c>
      <c r="W429" s="21" t="s">
        <v>34</v>
      </c>
    </row>
    <row r="430" spans="2:23" ht="15" thickBot="1" x14ac:dyDescent="0.4">
      <c r="B430" s="30" t="s">
        <v>528</v>
      </c>
      <c r="C430" s="30" t="s">
        <v>87</v>
      </c>
      <c r="D430" s="30" t="s">
        <v>36</v>
      </c>
      <c r="E430" s="31">
        <v>45872</v>
      </c>
      <c r="F430" s="31">
        <v>45884</v>
      </c>
      <c r="G430" s="30" t="s">
        <v>88</v>
      </c>
      <c r="H430" s="30" t="s">
        <v>58</v>
      </c>
      <c r="I430" s="31">
        <v>29253</v>
      </c>
      <c r="J430" s="30" t="s">
        <v>27</v>
      </c>
      <c r="K430" s="30" t="s">
        <v>28</v>
      </c>
      <c r="L430" s="30" t="s">
        <v>39</v>
      </c>
      <c r="M430" s="30" t="s">
        <v>40</v>
      </c>
      <c r="N430" s="30">
        <v>19</v>
      </c>
      <c r="O430" s="30">
        <v>12000</v>
      </c>
      <c r="P430" s="30">
        <v>20</v>
      </c>
      <c r="Q430" s="30">
        <v>182400</v>
      </c>
      <c r="R430" s="30">
        <v>5</v>
      </c>
      <c r="S430" s="30" t="s">
        <v>31</v>
      </c>
      <c r="T430" s="30" t="s">
        <v>80</v>
      </c>
      <c r="U430" s="30" t="s">
        <v>89</v>
      </c>
      <c r="V430" s="30">
        <v>9677606427</v>
      </c>
      <c r="W430" s="22" t="s">
        <v>34</v>
      </c>
    </row>
    <row r="431" spans="2:23" ht="15" thickBot="1" x14ac:dyDescent="0.4">
      <c r="B431" s="27" t="s">
        <v>529</v>
      </c>
      <c r="C431" s="27" t="s">
        <v>63</v>
      </c>
      <c r="D431" s="27" t="s">
        <v>112</v>
      </c>
      <c r="E431" s="28">
        <v>45672</v>
      </c>
      <c r="F431" s="28">
        <v>45675</v>
      </c>
      <c r="G431" s="27" t="s">
        <v>110</v>
      </c>
      <c r="H431" s="27" t="s">
        <v>58</v>
      </c>
      <c r="I431" s="28">
        <v>33109</v>
      </c>
      <c r="J431" s="27" t="s">
        <v>37</v>
      </c>
      <c r="K431" s="27" t="s">
        <v>38</v>
      </c>
      <c r="L431" s="27" t="s">
        <v>39</v>
      </c>
      <c r="M431" s="27" t="s">
        <v>114</v>
      </c>
      <c r="N431" s="27">
        <v>5</v>
      </c>
      <c r="O431" s="27">
        <v>700</v>
      </c>
      <c r="P431" s="27">
        <v>0</v>
      </c>
      <c r="Q431" s="27">
        <v>3500</v>
      </c>
      <c r="R431" s="27">
        <v>2</v>
      </c>
      <c r="S431" s="27" t="s">
        <v>60</v>
      </c>
      <c r="T431" s="27" t="s">
        <v>50</v>
      </c>
      <c r="U431" s="27" t="s">
        <v>66</v>
      </c>
      <c r="V431" s="27">
        <v>9161631566</v>
      </c>
      <c r="W431" s="27" t="s">
        <v>53</v>
      </c>
    </row>
    <row r="432" spans="2:23" ht="15" thickBot="1" x14ac:dyDescent="0.4">
      <c r="B432" s="30" t="s">
        <v>530</v>
      </c>
      <c r="C432" s="30" t="s">
        <v>63</v>
      </c>
      <c r="D432" s="30" t="s">
        <v>36</v>
      </c>
      <c r="E432" s="31">
        <v>45688</v>
      </c>
      <c r="F432" s="31">
        <v>45692</v>
      </c>
      <c r="G432" s="30" t="s">
        <v>110</v>
      </c>
      <c r="H432" s="30" t="s">
        <v>58</v>
      </c>
      <c r="I432" s="31">
        <v>28834</v>
      </c>
      <c r="J432" s="30" t="s">
        <v>147</v>
      </c>
      <c r="K432" s="30" t="s">
        <v>148</v>
      </c>
      <c r="L432" s="30" t="s">
        <v>39</v>
      </c>
      <c r="M432" s="30" t="s">
        <v>40</v>
      </c>
      <c r="N432" s="30">
        <v>19</v>
      </c>
      <c r="O432" s="30">
        <v>12000</v>
      </c>
      <c r="P432" s="30">
        <v>0</v>
      </c>
      <c r="Q432" s="30">
        <v>228000</v>
      </c>
      <c r="R432" s="30">
        <v>4</v>
      </c>
      <c r="S432" s="30" t="s">
        <v>65</v>
      </c>
      <c r="T432" s="30" t="s">
        <v>50</v>
      </c>
      <c r="U432" s="30" t="s">
        <v>66</v>
      </c>
      <c r="V432" s="30">
        <v>9136906750</v>
      </c>
      <c r="W432" s="30" t="s">
        <v>52</v>
      </c>
    </row>
    <row r="433" spans="2:23" ht="15" thickBot="1" x14ac:dyDescent="0.4">
      <c r="B433" s="27" t="s">
        <v>531</v>
      </c>
      <c r="C433" s="27" t="s">
        <v>156</v>
      </c>
      <c r="D433" s="27" t="s">
        <v>112</v>
      </c>
      <c r="E433" s="28">
        <v>45963</v>
      </c>
      <c r="F433" s="28">
        <v>45964</v>
      </c>
      <c r="G433" s="27" t="s">
        <v>106</v>
      </c>
      <c r="H433" s="27" t="s">
        <v>58</v>
      </c>
      <c r="I433" s="28">
        <v>29099</v>
      </c>
      <c r="J433" s="27" t="s">
        <v>48</v>
      </c>
      <c r="K433" s="27" t="s">
        <v>28</v>
      </c>
      <c r="L433" s="27" t="s">
        <v>39</v>
      </c>
      <c r="M433" s="27" t="s">
        <v>114</v>
      </c>
      <c r="N433" s="27">
        <v>12</v>
      </c>
      <c r="O433" s="27">
        <v>700</v>
      </c>
      <c r="P433" s="27">
        <v>15</v>
      </c>
      <c r="Q433" s="27">
        <v>7140</v>
      </c>
      <c r="R433" s="27">
        <v>3</v>
      </c>
      <c r="S433" s="27" t="s">
        <v>60</v>
      </c>
      <c r="T433" s="27" t="s">
        <v>32</v>
      </c>
      <c r="U433" s="27" t="s">
        <v>158</v>
      </c>
      <c r="V433" s="27">
        <v>9485286324</v>
      </c>
      <c r="W433" s="21" t="s">
        <v>34</v>
      </c>
    </row>
    <row r="434" spans="2:23" ht="15" thickBot="1" x14ac:dyDescent="0.4">
      <c r="B434" s="30" t="s">
        <v>532</v>
      </c>
      <c r="C434" s="30" t="s">
        <v>23</v>
      </c>
      <c r="D434" s="30" t="s">
        <v>56</v>
      </c>
      <c r="E434" s="31">
        <v>45790</v>
      </c>
      <c r="F434" s="31">
        <v>45798</v>
      </c>
      <c r="G434" s="30" t="s">
        <v>25</v>
      </c>
      <c r="H434" s="30" t="s">
        <v>26</v>
      </c>
      <c r="I434" s="31">
        <v>36989</v>
      </c>
      <c r="J434" s="30" t="s">
        <v>37</v>
      </c>
      <c r="K434" s="30" t="s">
        <v>38</v>
      </c>
      <c r="L434" s="30" t="s">
        <v>39</v>
      </c>
      <c r="M434" s="30" t="s">
        <v>59</v>
      </c>
      <c r="N434" s="30">
        <v>16</v>
      </c>
      <c r="O434" s="30">
        <v>1200</v>
      </c>
      <c r="P434" s="30">
        <v>20</v>
      </c>
      <c r="Q434" s="30">
        <v>15360</v>
      </c>
      <c r="R434" s="30">
        <v>1</v>
      </c>
      <c r="S434" s="30" t="s">
        <v>31</v>
      </c>
      <c r="T434" s="30" t="s">
        <v>42</v>
      </c>
      <c r="U434" s="30" t="s">
        <v>43</v>
      </c>
      <c r="V434" s="30">
        <v>9414633966</v>
      </c>
      <c r="W434" s="30" t="s">
        <v>52</v>
      </c>
    </row>
    <row r="435" spans="2:23" ht="15" thickBot="1" x14ac:dyDescent="0.4">
      <c r="B435" s="27" t="s">
        <v>533</v>
      </c>
      <c r="C435" s="27" t="s">
        <v>55</v>
      </c>
      <c r="D435" s="27" t="s">
        <v>105</v>
      </c>
      <c r="E435" s="28">
        <v>46018</v>
      </c>
      <c r="F435" s="28">
        <v>46026</v>
      </c>
      <c r="G435" s="27" t="s">
        <v>57</v>
      </c>
      <c r="H435" s="27" t="s">
        <v>58</v>
      </c>
      <c r="I435" s="28">
        <v>30317</v>
      </c>
      <c r="J435" s="27" t="s">
        <v>27</v>
      </c>
      <c r="K435" s="27" t="s">
        <v>28</v>
      </c>
      <c r="L435" s="27" t="s">
        <v>29</v>
      </c>
      <c r="M435" s="27" t="s">
        <v>107</v>
      </c>
      <c r="N435" s="27">
        <v>10</v>
      </c>
      <c r="O435" s="27">
        <v>8500</v>
      </c>
      <c r="P435" s="27">
        <v>5</v>
      </c>
      <c r="Q435" s="27">
        <v>80750</v>
      </c>
      <c r="R435" s="27">
        <v>5</v>
      </c>
      <c r="S435" s="27" t="s">
        <v>41</v>
      </c>
      <c r="T435" s="27" t="s">
        <v>32</v>
      </c>
      <c r="U435" s="27" t="s">
        <v>61</v>
      </c>
      <c r="V435" s="27">
        <v>9833735234</v>
      </c>
      <c r="W435" s="21" t="s">
        <v>34</v>
      </c>
    </row>
    <row r="436" spans="2:23" ht="15" thickBot="1" x14ac:dyDescent="0.4">
      <c r="B436" s="30" t="s">
        <v>534</v>
      </c>
      <c r="C436" s="30" t="s">
        <v>23</v>
      </c>
      <c r="D436" s="30" t="s">
        <v>125</v>
      </c>
      <c r="E436" s="31">
        <v>45699</v>
      </c>
      <c r="F436" s="31">
        <v>45709</v>
      </c>
      <c r="G436" s="30" t="s">
        <v>25</v>
      </c>
      <c r="H436" s="30" t="s">
        <v>26</v>
      </c>
      <c r="I436" s="31">
        <v>32729</v>
      </c>
      <c r="J436" s="30" t="s">
        <v>91</v>
      </c>
      <c r="K436" s="30" t="s">
        <v>75</v>
      </c>
      <c r="L436" s="30" t="s">
        <v>83</v>
      </c>
      <c r="M436" s="30" t="s">
        <v>127</v>
      </c>
      <c r="N436" s="30">
        <v>18</v>
      </c>
      <c r="O436" s="30">
        <v>20</v>
      </c>
      <c r="P436" s="30">
        <v>20</v>
      </c>
      <c r="Q436" s="30">
        <v>288</v>
      </c>
      <c r="R436" s="30">
        <v>1</v>
      </c>
      <c r="S436" s="30" t="s">
        <v>65</v>
      </c>
      <c r="T436" s="30" t="s">
        <v>32</v>
      </c>
      <c r="U436" s="30" t="s">
        <v>43</v>
      </c>
      <c r="V436" s="30">
        <v>9523689108</v>
      </c>
      <c r="W436" s="30" t="s">
        <v>52</v>
      </c>
    </row>
    <row r="437" spans="2:23" ht="15" thickBot="1" x14ac:dyDescent="0.4">
      <c r="B437" s="27" t="s">
        <v>535</v>
      </c>
      <c r="C437" s="27" t="s">
        <v>55</v>
      </c>
      <c r="D437" s="27" t="s">
        <v>105</v>
      </c>
      <c r="E437" s="28">
        <v>46094</v>
      </c>
      <c r="F437" s="28">
        <v>46100</v>
      </c>
      <c r="G437" s="27" t="s">
        <v>57</v>
      </c>
      <c r="H437" s="27" t="s">
        <v>58</v>
      </c>
      <c r="I437" s="28">
        <v>34264</v>
      </c>
      <c r="J437" s="27" t="s">
        <v>74</v>
      </c>
      <c r="K437" s="27" t="s">
        <v>75</v>
      </c>
      <c r="L437" s="27" t="s">
        <v>29</v>
      </c>
      <c r="M437" s="27" t="s">
        <v>107</v>
      </c>
      <c r="N437" s="27">
        <v>9</v>
      </c>
      <c r="O437" s="27">
        <v>8500</v>
      </c>
      <c r="P437" s="27">
        <v>0</v>
      </c>
      <c r="Q437" s="27">
        <v>76500</v>
      </c>
      <c r="R437" s="27">
        <v>2</v>
      </c>
      <c r="S437" s="27" t="s">
        <v>60</v>
      </c>
      <c r="T437" s="27" t="s">
        <v>32</v>
      </c>
      <c r="U437" s="27" t="s">
        <v>61</v>
      </c>
      <c r="V437" s="27">
        <v>9812909831</v>
      </c>
      <c r="W437" s="27" t="s">
        <v>52</v>
      </c>
    </row>
    <row r="438" spans="2:23" ht="15" thickBot="1" x14ac:dyDescent="0.4">
      <c r="B438" s="30" t="s">
        <v>536</v>
      </c>
      <c r="C438" s="30" t="s">
        <v>23</v>
      </c>
      <c r="D438" s="30" t="s">
        <v>105</v>
      </c>
      <c r="E438" s="31">
        <v>45931</v>
      </c>
      <c r="F438" s="31">
        <v>45942</v>
      </c>
      <c r="G438" s="30" t="s">
        <v>25</v>
      </c>
      <c r="H438" s="30" t="s">
        <v>26</v>
      </c>
      <c r="I438" s="31">
        <v>36651</v>
      </c>
      <c r="J438" s="30" t="s">
        <v>74</v>
      </c>
      <c r="K438" s="30" t="s">
        <v>75</v>
      </c>
      <c r="L438" s="30" t="s">
        <v>29</v>
      </c>
      <c r="M438" s="30" t="s">
        <v>107</v>
      </c>
      <c r="N438" s="30">
        <v>8</v>
      </c>
      <c r="O438" s="30">
        <v>8500</v>
      </c>
      <c r="P438" s="30">
        <v>10</v>
      </c>
      <c r="Q438" s="30">
        <v>61200</v>
      </c>
      <c r="R438" s="30">
        <v>4</v>
      </c>
      <c r="S438" s="30" t="s">
        <v>31</v>
      </c>
      <c r="T438" s="30" t="s">
        <v>80</v>
      </c>
      <c r="U438" s="30" t="s">
        <v>43</v>
      </c>
      <c r="V438" s="30">
        <v>9106290987</v>
      </c>
      <c r="W438" s="30" t="s">
        <v>53</v>
      </c>
    </row>
    <row r="439" spans="2:23" ht="15" thickBot="1" x14ac:dyDescent="0.4">
      <c r="B439" s="27" t="s">
        <v>537</v>
      </c>
      <c r="C439" s="27" t="s">
        <v>45</v>
      </c>
      <c r="D439" s="27" t="s">
        <v>125</v>
      </c>
      <c r="E439" s="28">
        <v>46048</v>
      </c>
      <c r="F439" s="28">
        <v>46054</v>
      </c>
      <c r="G439" s="27" t="s">
        <v>101</v>
      </c>
      <c r="H439" s="27" t="s">
        <v>26</v>
      </c>
      <c r="I439" s="28">
        <v>30730</v>
      </c>
      <c r="J439" s="27" t="s">
        <v>79</v>
      </c>
      <c r="K439" s="27" t="s">
        <v>75</v>
      </c>
      <c r="L439" s="27" t="s">
        <v>83</v>
      </c>
      <c r="M439" s="27" t="s">
        <v>127</v>
      </c>
      <c r="N439" s="27">
        <v>3</v>
      </c>
      <c r="O439" s="27">
        <v>20</v>
      </c>
      <c r="P439" s="27">
        <v>10</v>
      </c>
      <c r="Q439" s="27">
        <v>54</v>
      </c>
      <c r="R439" s="27">
        <v>3</v>
      </c>
      <c r="S439" s="27" t="s">
        <v>60</v>
      </c>
      <c r="T439" s="27" t="s">
        <v>96</v>
      </c>
      <c r="U439" s="27" t="s">
        <v>51</v>
      </c>
      <c r="V439" s="27">
        <v>9767727724</v>
      </c>
      <c r="W439" s="27" t="s">
        <v>52</v>
      </c>
    </row>
    <row r="440" spans="2:23" ht="15" thickBot="1" x14ac:dyDescent="0.4">
      <c r="B440" s="30" t="s">
        <v>538</v>
      </c>
      <c r="C440" s="30" t="s">
        <v>104</v>
      </c>
      <c r="D440" s="30" t="s">
        <v>105</v>
      </c>
      <c r="E440" s="31">
        <v>45840</v>
      </c>
      <c r="F440" s="31">
        <v>45850</v>
      </c>
      <c r="G440" s="30" t="s">
        <v>166</v>
      </c>
      <c r="H440" s="30" t="s">
        <v>26</v>
      </c>
      <c r="I440" s="31">
        <v>33402</v>
      </c>
      <c r="J440" s="30" t="s">
        <v>147</v>
      </c>
      <c r="K440" s="30" t="s">
        <v>148</v>
      </c>
      <c r="L440" s="30" t="s">
        <v>29</v>
      </c>
      <c r="M440" s="30" t="s">
        <v>107</v>
      </c>
      <c r="N440" s="30">
        <v>18</v>
      </c>
      <c r="O440" s="30">
        <v>8500</v>
      </c>
      <c r="P440" s="30">
        <v>10</v>
      </c>
      <c r="Q440" s="30">
        <v>137700</v>
      </c>
      <c r="R440" s="30">
        <v>4</v>
      </c>
      <c r="S440" s="30" t="s">
        <v>31</v>
      </c>
      <c r="T440" s="30" t="s">
        <v>42</v>
      </c>
      <c r="U440" s="30" t="s">
        <v>108</v>
      </c>
      <c r="V440" s="30">
        <v>9865401727</v>
      </c>
      <c r="W440" s="30" t="s">
        <v>53</v>
      </c>
    </row>
    <row r="441" spans="2:23" ht="15" thickBot="1" x14ac:dyDescent="0.4">
      <c r="B441" s="27" t="s">
        <v>539</v>
      </c>
      <c r="C441" s="27" t="s">
        <v>45</v>
      </c>
      <c r="D441" s="27" t="s">
        <v>138</v>
      </c>
      <c r="E441" s="28">
        <v>45935</v>
      </c>
      <c r="F441" s="28">
        <v>45939</v>
      </c>
      <c r="G441" s="27" t="s">
        <v>101</v>
      </c>
      <c r="H441" s="27" t="s">
        <v>26</v>
      </c>
      <c r="I441" s="28">
        <v>35204</v>
      </c>
      <c r="J441" s="27" t="s">
        <v>79</v>
      </c>
      <c r="K441" s="27" t="s">
        <v>75</v>
      </c>
      <c r="L441" s="27" t="s">
        <v>83</v>
      </c>
      <c r="M441" s="27" t="s">
        <v>139</v>
      </c>
      <c r="N441" s="27">
        <v>5</v>
      </c>
      <c r="O441" s="27">
        <v>45</v>
      </c>
      <c r="P441" s="27">
        <v>10</v>
      </c>
      <c r="Q441" s="27">
        <v>202.5</v>
      </c>
      <c r="R441" s="27">
        <v>3</v>
      </c>
      <c r="S441" s="27" t="s">
        <v>31</v>
      </c>
      <c r="T441" s="27" t="s">
        <v>80</v>
      </c>
      <c r="U441" s="27" t="s">
        <v>51</v>
      </c>
      <c r="V441" s="27">
        <v>9603848571</v>
      </c>
      <c r="W441" s="27" t="s">
        <v>52</v>
      </c>
    </row>
    <row r="442" spans="2:23" ht="15" thickBot="1" x14ac:dyDescent="0.4">
      <c r="B442" s="30" t="s">
        <v>540</v>
      </c>
      <c r="C442" s="30" t="s">
        <v>55</v>
      </c>
      <c r="D442" s="30" t="s">
        <v>138</v>
      </c>
      <c r="E442" s="31">
        <v>45807</v>
      </c>
      <c r="F442" s="31">
        <v>45810</v>
      </c>
      <c r="G442" s="30" t="s">
        <v>57</v>
      </c>
      <c r="H442" s="30" t="s">
        <v>58</v>
      </c>
      <c r="I442" s="31">
        <v>33747</v>
      </c>
      <c r="J442" s="30" t="s">
        <v>74</v>
      </c>
      <c r="K442" s="30" t="s">
        <v>75</v>
      </c>
      <c r="L442" s="30" t="s">
        <v>83</v>
      </c>
      <c r="M442" s="30" t="s">
        <v>139</v>
      </c>
      <c r="N442" s="30">
        <v>2</v>
      </c>
      <c r="O442" s="30">
        <v>45</v>
      </c>
      <c r="P442" s="30">
        <v>20</v>
      </c>
      <c r="Q442" s="30">
        <v>72</v>
      </c>
      <c r="R442" s="30">
        <v>5</v>
      </c>
      <c r="S442" s="30" t="s">
        <v>65</v>
      </c>
      <c r="T442" s="30" t="s">
        <v>50</v>
      </c>
      <c r="U442" s="30" t="s">
        <v>61</v>
      </c>
      <c r="V442" s="30">
        <v>9101231789</v>
      </c>
      <c r="W442" s="30" t="s">
        <v>53</v>
      </c>
    </row>
    <row r="443" spans="2:23" ht="15" thickBot="1" x14ac:dyDescent="0.4">
      <c r="B443" s="27" t="s">
        <v>541</v>
      </c>
      <c r="C443" s="27" t="s">
        <v>72</v>
      </c>
      <c r="D443" s="27" t="s">
        <v>138</v>
      </c>
      <c r="E443" s="28">
        <v>45684</v>
      </c>
      <c r="F443" s="28">
        <v>45694</v>
      </c>
      <c r="G443" s="27" t="s">
        <v>73</v>
      </c>
      <c r="H443" s="27" t="s">
        <v>26</v>
      </c>
      <c r="I443" s="28">
        <v>32309</v>
      </c>
      <c r="J443" s="27" t="s">
        <v>27</v>
      </c>
      <c r="K443" s="27" t="s">
        <v>28</v>
      </c>
      <c r="L443" s="27" t="s">
        <v>83</v>
      </c>
      <c r="M443" s="27" t="s">
        <v>139</v>
      </c>
      <c r="N443" s="27">
        <v>18</v>
      </c>
      <c r="O443" s="27">
        <v>45</v>
      </c>
      <c r="P443" s="27">
        <v>10</v>
      </c>
      <c r="Q443" s="27">
        <v>729</v>
      </c>
      <c r="R443" s="27">
        <v>2</v>
      </c>
      <c r="S443" s="27" t="s">
        <v>41</v>
      </c>
      <c r="T443" s="27" t="s">
        <v>80</v>
      </c>
      <c r="U443" s="27" t="s">
        <v>93</v>
      </c>
      <c r="V443" s="27">
        <v>9485017802</v>
      </c>
      <c r="W443" s="27" t="s">
        <v>52</v>
      </c>
    </row>
    <row r="444" spans="2:23" ht="15" thickBot="1" x14ac:dyDescent="0.4">
      <c r="B444" s="30" t="s">
        <v>542</v>
      </c>
      <c r="C444" s="30" t="s">
        <v>87</v>
      </c>
      <c r="D444" s="30" t="s">
        <v>56</v>
      </c>
      <c r="E444" s="31">
        <v>46015</v>
      </c>
      <c r="F444" s="31">
        <v>46023</v>
      </c>
      <c r="G444" s="30" t="s">
        <v>88</v>
      </c>
      <c r="H444" s="30" t="s">
        <v>58</v>
      </c>
      <c r="I444" s="31">
        <v>34172</v>
      </c>
      <c r="J444" s="30" t="s">
        <v>147</v>
      </c>
      <c r="K444" s="30" t="s">
        <v>148</v>
      </c>
      <c r="L444" s="30" t="s">
        <v>39</v>
      </c>
      <c r="M444" s="30" t="s">
        <v>59</v>
      </c>
      <c r="N444" s="30">
        <v>13</v>
      </c>
      <c r="O444" s="30">
        <v>1200</v>
      </c>
      <c r="P444" s="30">
        <v>5</v>
      </c>
      <c r="Q444" s="30">
        <v>14820</v>
      </c>
      <c r="R444" s="30">
        <v>4</v>
      </c>
      <c r="S444" s="30" t="s">
        <v>60</v>
      </c>
      <c r="T444" s="30" t="s">
        <v>80</v>
      </c>
      <c r="U444" s="30" t="s">
        <v>89</v>
      </c>
      <c r="V444" s="30">
        <v>9815464650</v>
      </c>
      <c r="W444" s="22" t="s">
        <v>34</v>
      </c>
    </row>
    <row r="445" spans="2:23" ht="15" thickBot="1" x14ac:dyDescent="0.4">
      <c r="B445" s="27" t="s">
        <v>543</v>
      </c>
      <c r="C445" s="27" t="s">
        <v>23</v>
      </c>
      <c r="D445" s="27" t="s">
        <v>125</v>
      </c>
      <c r="E445" s="28">
        <v>46153</v>
      </c>
      <c r="F445" s="28">
        <v>46159</v>
      </c>
      <c r="G445" s="27" t="s">
        <v>25</v>
      </c>
      <c r="H445" s="27" t="s">
        <v>26</v>
      </c>
      <c r="I445" s="28">
        <v>38020</v>
      </c>
      <c r="J445" s="27" t="s">
        <v>27</v>
      </c>
      <c r="K445" s="27" t="s">
        <v>28</v>
      </c>
      <c r="L445" s="27" t="s">
        <v>83</v>
      </c>
      <c r="M445" s="27" t="s">
        <v>127</v>
      </c>
      <c r="N445" s="27">
        <v>14</v>
      </c>
      <c r="O445" s="27">
        <v>20</v>
      </c>
      <c r="P445" s="27">
        <v>20</v>
      </c>
      <c r="Q445" s="27">
        <v>224</v>
      </c>
      <c r="R445" s="27">
        <v>5</v>
      </c>
      <c r="S445" s="27" t="s">
        <v>65</v>
      </c>
      <c r="T445" s="27" t="s">
        <v>42</v>
      </c>
      <c r="U445" s="27" t="s">
        <v>43</v>
      </c>
      <c r="V445" s="27">
        <v>9860715839</v>
      </c>
      <c r="W445" s="27" t="s">
        <v>52</v>
      </c>
    </row>
    <row r="446" spans="2:23" ht="15" thickBot="1" x14ac:dyDescent="0.4">
      <c r="B446" s="30" t="s">
        <v>544</v>
      </c>
      <c r="C446" s="30" t="s">
        <v>72</v>
      </c>
      <c r="D446" s="30" t="s">
        <v>68</v>
      </c>
      <c r="E446" s="31">
        <v>46064</v>
      </c>
      <c r="F446" s="31">
        <v>46076</v>
      </c>
      <c r="G446" s="30" t="s">
        <v>73</v>
      </c>
      <c r="H446" s="30" t="s">
        <v>26</v>
      </c>
      <c r="I446" s="31">
        <v>28847</v>
      </c>
      <c r="J446" s="30" t="s">
        <v>27</v>
      </c>
      <c r="K446" s="30" t="s">
        <v>28</v>
      </c>
      <c r="L446" s="30" t="s">
        <v>29</v>
      </c>
      <c r="M446" s="30" t="s">
        <v>70</v>
      </c>
      <c r="N446" s="30">
        <v>16</v>
      </c>
      <c r="O446" s="30">
        <v>3500</v>
      </c>
      <c r="P446" s="30">
        <v>15</v>
      </c>
      <c r="Q446" s="30">
        <v>47600</v>
      </c>
      <c r="R446" s="30">
        <v>3</v>
      </c>
      <c r="S446" s="30" t="s">
        <v>65</v>
      </c>
      <c r="T446" s="30" t="s">
        <v>50</v>
      </c>
      <c r="U446" s="30" t="s">
        <v>93</v>
      </c>
      <c r="V446" s="30">
        <v>9207561051</v>
      </c>
      <c r="W446" s="30" t="s">
        <v>53</v>
      </c>
    </row>
    <row r="447" spans="2:23" ht="15" thickBot="1" x14ac:dyDescent="0.4">
      <c r="B447" s="27" t="s">
        <v>545</v>
      </c>
      <c r="C447" s="27" t="s">
        <v>134</v>
      </c>
      <c r="D447" s="27" t="s">
        <v>125</v>
      </c>
      <c r="E447" s="28">
        <v>45704</v>
      </c>
      <c r="F447" s="28">
        <v>45712</v>
      </c>
      <c r="G447" s="27" t="s">
        <v>135</v>
      </c>
      <c r="H447" s="27" t="s">
        <v>26</v>
      </c>
      <c r="I447" s="28">
        <v>34257</v>
      </c>
      <c r="J447" s="27" t="s">
        <v>48</v>
      </c>
      <c r="K447" s="27" t="s">
        <v>28</v>
      </c>
      <c r="L447" s="27" t="s">
        <v>83</v>
      </c>
      <c r="M447" s="27" t="s">
        <v>127</v>
      </c>
      <c r="N447" s="27">
        <v>20</v>
      </c>
      <c r="O447" s="27">
        <v>20</v>
      </c>
      <c r="P447" s="27">
        <v>15</v>
      </c>
      <c r="Q447" s="27">
        <v>340</v>
      </c>
      <c r="R447" s="27">
        <v>1</v>
      </c>
      <c r="S447" s="27" t="s">
        <v>41</v>
      </c>
      <c r="T447" s="27" t="s">
        <v>50</v>
      </c>
      <c r="U447" s="27" t="s">
        <v>136</v>
      </c>
      <c r="V447" s="27">
        <v>9159894508</v>
      </c>
      <c r="W447" s="27" t="s">
        <v>53</v>
      </c>
    </row>
    <row r="448" spans="2:23" ht="15" thickBot="1" x14ac:dyDescent="0.4">
      <c r="B448" s="30" t="s">
        <v>546</v>
      </c>
      <c r="C448" s="30" t="s">
        <v>104</v>
      </c>
      <c r="D448" s="30" t="s">
        <v>46</v>
      </c>
      <c r="E448" s="31">
        <v>45756</v>
      </c>
      <c r="F448" s="31">
        <v>45761</v>
      </c>
      <c r="G448" s="30" t="s">
        <v>166</v>
      </c>
      <c r="H448" s="30" t="s">
        <v>26</v>
      </c>
      <c r="I448" s="31">
        <v>29201</v>
      </c>
      <c r="J448" s="30" t="s">
        <v>91</v>
      </c>
      <c r="K448" s="30" t="s">
        <v>75</v>
      </c>
      <c r="L448" s="30" t="s">
        <v>39</v>
      </c>
      <c r="M448" s="30" t="s">
        <v>49</v>
      </c>
      <c r="N448" s="30">
        <v>1</v>
      </c>
      <c r="O448" s="30">
        <v>55000</v>
      </c>
      <c r="P448" s="30">
        <v>15</v>
      </c>
      <c r="Q448" s="30">
        <v>46750</v>
      </c>
      <c r="R448" s="30">
        <v>2</v>
      </c>
      <c r="S448" s="30" t="s">
        <v>65</v>
      </c>
      <c r="T448" s="30" t="s">
        <v>80</v>
      </c>
      <c r="U448" s="30" t="s">
        <v>108</v>
      </c>
      <c r="V448" s="30">
        <v>9531465024</v>
      </c>
      <c r="W448" s="30" t="s">
        <v>53</v>
      </c>
    </row>
    <row r="449" spans="2:23" ht="15" thickBot="1" x14ac:dyDescent="0.4">
      <c r="B449" s="27" t="s">
        <v>547</v>
      </c>
      <c r="C449" s="27" t="s">
        <v>72</v>
      </c>
      <c r="D449" s="27" t="s">
        <v>82</v>
      </c>
      <c r="E449" s="28">
        <v>45672</v>
      </c>
      <c r="F449" s="28">
        <v>45677</v>
      </c>
      <c r="G449" s="27" t="s">
        <v>73</v>
      </c>
      <c r="H449" s="27" t="s">
        <v>26</v>
      </c>
      <c r="I449" s="28">
        <v>37400</v>
      </c>
      <c r="J449" s="27" t="s">
        <v>91</v>
      </c>
      <c r="K449" s="27" t="s">
        <v>75</v>
      </c>
      <c r="L449" s="27" t="s">
        <v>83</v>
      </c>
      <c r="M449" s="27" t="s">
        <v>84</v>
      </c>
      <c r="N449" s="27">
        <v>15</v>
      </c>
      <c r="O449" s="27">
        <v>60</v>
      </c>
      <c r="P449" s="27">
        <v>5</v>
      </c>
      <c r="Q449" s="27">
        <v>855</v>
      </c>
      <c r="R449" s="27">
        <v>4</v>
      </c>
      <c r="S449" s="27" t="s">
        <v>41</v>
      </c>
      <c r="T449" s="27" t="s">
        <v>50</v>
      </c>
      <c r="U449" s="27" t="s">
        <v>93</v>
      </c>
      <c r="V449" s="27">
        <v>9158813608</v>
      </c>
      <c r="W449" s="21" t="s">
        <v>34</v>
      </c>
    </row>
    <row r="450" spans="2:23" ht="15" thickBot="1" x14ac:dyDescent="0.4">
      <c r="B450" s="30" t="s">
        <v>548</v>
      </c>
      <c r="C450" s="30" t="s">
        <v>63</v>
      </c>
      <c r="D450" s="30" t="s">
        <v>112</v>
      </c>
      <c r="E450" s="31">
        <v>46108</v>
      </c>
      <c r="F450" s="31">
        <v>46114</v>
      </c>
      <c r="G450" s="30" t="s">
        <v>110</v>
      </c>
      <c r="H450" s="30" t="s">
        <v>58</v>
      </c>
      <c r="I450" s="31">
        <v>27828</v>
      </c>
      <c r="J450" s="30" t="s">
        <v>74</v>
      </c>
      <c r="K450" s="30" t="s">
        <v>75</v>
      </c>
      <c r="L450" s="30" t="s">
        <v>39</v>
      </c>
      <c r="M450" s="30" t="s">
        <v>114</v>
      </c>
      <c r="N450" s="30">
        <v>15</v>
      </c>
      <c r="O450" s="30">
        <v>700</v>
      </c>
      <c r="P450" s="30">
        <v>0</v>
      </c>
      <c r="Q450" s="30">
        <v>10500</v>
      </c>
      <c r="R450" s="30">
        <v>5</v>
      </c>
      <c r="S450" s="30" t="s">
        <v>41</v>
      </c>
      <c r="T450" s="30" t="s">
        <v>80</v>
      </c>
      <c r="U450" s="30" t="s">
        <v>66</v>
      </c>
      <c r="V450" s="30">
        <v>9308461700</v>
      </c>
      <c r="W450" s="22" t="s">
        <v>34</v>
      </c>
    </row>
    <row r="451" spans="2:23" ht="15" thickBot="1" x14ac:dyDescent="0.4">
      <c r="B451" s="27" t="s">
        <v>549</v>
      </c>
      <c r="C451" s="27" t="s">
        <v>124</v>
      </c>
      <c r="D451" s="27" t="s">
        <v>36</v>
      </c>
      <c r="E451" s="28">
        <v>46027</v>
      </c>
      <c r="F451" s="28">
        <v>46031</v>
      </c>
      <c r="G451" s="27" t="s">
        <v>126</v>
      </c>
      <c r="H451" s="27" t="s">
        <v>58</v>
      </c>
      <c r="I451" s="28">
        <v>29484</v>
      </c>
      <c r="J451" s="27" t="s">
        <v>147</v>
      </c>
      <c r="K451" s="27" t="s">
        <v>148</v>
      </c>
      <c r="L451" s="27" t="s">
        <v>39</v>
      </c>
      <c r="M451" s="27" t="s">
        <v>40</v>
      </c>
      <c r="N451" s="27">
        <v>13</v>
      </c>
      <c r="O451" s="27">
        <v>12000</v>
      </c>
      <c r="P451" s="27">
        <v>10</v>
      </c>
      <c r="Q451" s="27">
        <v>140400</v>
      </c>
      <c r="R451" s="27">
        <v>1</v>
      </c>
      <c r="S451" s="27" t="s">
        <v>31</v>
      </c>
      <c r="T451" s="27" t="s">
        <v>96</v>
      </c>
      <c r="U451" s="27" t="s">
        <v>128</v>
      </c>
      <c r="V451" s="27">
        <v>9882279049</v>
      </c>
      <c r="W451" s="27" t="s">
        <v>53</v>
      </c>
    </row>
    <row r="452" spans="2:23" ht="15" thickBot="1" x14ac:dyDescent="0.4">
      <c r="B452" s="30" t="s">
        <v>550</v>
      </c>
      <c r="C452" s="30" t="s">
        <v>63</v>
      </c>
      <c r="D452" s="30" t="s">
        <v>36</v>
      </c>
      <c r="E452" s="31">
        <v>46129</v>
      </c>
      <c r="F452" s="31">
        <v>46141</v>
      </c>
      <c r="G452" s="30" t="s">
        <v>110</v>
      </c>
      <c r="H452" s="30" t="s">
        <v>58</v>
      </c>
      <c r="I452" s="31">
        <v>32318</v>
      </c>
      <c r="J452" s="30" t="s">
        <v>27</v>
      </c>
      <c r="K452" s="30" t="s">
        <v>28</v>
      </c>
      <c r="L452" s="30" t="s">
        <v>39</v>
      </c>
      <c r="M452" s="30" t="s">
        <v>40</v>
      </c>
      <c r="N452" s="30">
        <v>12</v>
      </c>
      <c r="O452" s="30">
        <v>12000</v>
      </c>
      <c r="P452" s="30">
        <v>20</v>
      </c>
      <c r="Q452" s="30">
        <v>115200</v>
      </c>
      <c r="R452" s="30">
        <v>2</v>
      </c>
      <c r="S452" s="30" t="s">
        <v>31</v>
      </c>
      <c r="T452" s="30" t="s">
        <v>32</v>
      </c>
      <c r="U452" s="30" t="s">
        <v>66</v>
      </c>
      <c r="V452" s="30">
        <v>9961801338</v>
      </c>
      <c r="W452" s="22" t="s">
        <v>34</v>
      </c>
    </row>
    <row r="453" spans="2:23" ht="15" thickBot="1" x14ac:dyDescent="0.4">
      <c r="B453" s="27" t="s">
        <v>551</v>
      </c>
      <c r="C453" s="27" t="s">
        <v>63</v>
      </c>
      <c r="D453" s="27" t="s">
        <v>138</v>
      </c>
      <c r="E453" s="28">
        <v>45741</v>
      </c>
      <c r="F453" s="28">
        <v>45745</v>
      </c>
      <c r="G453" s="27" t="s">
        <v>110</v>
      </c>
      <c r="H453" s="27" t="s">
        <v>58</v>
      </c>
      <c r="I453" s="28">
        <v>37783</v>
      </c>
      <c r="J453" s="27" t="s">
        <v>74</v>
      </c>
      <c r="K453" s="27" t="s">
        <v>75</v>
      </c>
      <c r="L453" s="27" t="s">
        <v>83</v>
      </c>
      <c r="M453" s="27" t="s">
        <v>139</v>
      </c>
      <c r="N453" s="27">
        <v>10</v>
      </c>
      <c r="O453" s="27">
        <v>45</v>
      </c>
      <c r="P453" s="27">
        <v>0</v>
      </c>
      <c r="Q453" s="27">
        <v>450</v>
      </c>
      <c r="R453" s="27">
        <v>5</v>
      </c>
      <c r="S453" s="27" t="s">
        <v>60</v>
      </c>
      <c r="T453" s="27" t="s">
        <v>80</v>
      </c>
      <c r="U453" s="27" t="s">
        <v>66</v>
      </c>
      <c r="V453" s="27">
        <v>9853525026</v>
      </c>
      <c r="W453" s="27" t="s">
        <v>53</v>
      </c>
    </row>
    <row r="454" spans="2:23" ht="15" thickBot="1" x14ac:dyDescent="0.4">
      <c r="B454" s="30" t="s">
        <v>552</v>
      </c>
      <c r="C454" s="30" t="s">
        <v>87</v>
      </c>
      <c r="D454" s="30" t="s">
        <v>56</v>
      </c>
      <c r="E454" s="31">
        <v>45774</v>
      </c>
      <c r="F454" s="31">
        <v>45786</v>
      </c>
      <c r="G454" s="30" t="s">
        <v>88</v>
      </c>
      <c r="H454" s="30" t="s">
        <v>58</v>
      </c>
      <c r="I454" s="31">
        <v>29930</v>
      </c>
      <c r="J454" s="30" t="s">
        <v>74</v>
      </c>
      <c r="K454" s="30" t="s">
        <v>75</v>
      </c>
      <c r="L454" s="30" t="s">
        <v>39</v>
      </c>
      <c r="M454" s="30" t="s">
        <v>59</v>
      </c>
      <c r="N454" s="30">
        <v>20</v>
      </c>
      <c r="O454" s="30">
        <v>1200</v>
      </c>
      <c r="P454" s="30">
        <v>20</v>
      </c>
      <c r="Q454" s="30">
        <v>19200</v>
      </c>
      <c r="R454" s="30">
        <v>5</v>
      </c>
      <c r="S454" s="30" t="s">
        <v>41</v>
      </c>
      <c r="T454" s="30" t="s">
        <v>50</v>
      </c>
      <c r="U454" s="30" t="s">
        <v>89</v>
      </c>
      <c r="V454" s="30">
        <v>9209649485</v>
      </c>
      <c r="W454" s="30" t="s">
        <v>53</v>
      </c>
    </row>
    <row r="455" spans="2:23" ht="15" thickBot="1" x14ac:dyDescent="0.4">
      <c r="B455" s="27" t="s">
        <v>553</v>
      </c>
      <c r="C455" s="27" t="s">
        <v>55</v>
      </c>
      <c r="D455" s="27" t="s">
        <v>56</v>
      </c>
      <c r="E455" s="28">
        <v>45919</v>
      </c>
      <c r="F455" s="28">
        <v>45926</v>
      </c>
      <c r="G455" s="27" t="s">
        <v>57</v>
      </c>
      <c r="H455" s="27" t="s">
        <v>58</v>
      </c>
      <c r="I455" s="28">
        <v>27449</v>
      </c>
      <c r="J455" s="27" t="s">
        <v>79</v>
      </c>
      <c r="K455" s="27" t="s">
        <v>75</v>
      </c>
      <c r="L455" s="27" t="s">
        <v>39</v>
      </c>
      <c r="M455" s="27" t="s">
        <v>59</v>
      </c>
      <c r="N455" s="27">
        <v>8</v>
      </c>
      <c r="O455" s="27">
        <v>1200</v>
      </c>
      <c r="P455" s="27">
        <v>10</v>
      </c>
      <c r="Q455" s="27">
        <v>8640</v>
      </c>
      <c r="R455" s="27">
        <v>4</v>
      </c>
      <c r="S455" s="27" t="s">
        <v>41</v>
      </c>
      <c r="T455" s="27" t="s">
        <v>50</v>
      </c>
      <c r="U455" s="27" t="s">
        <v>61</v>
      </c>
      <c r="V455" s="27">
        <v>9712905525</v>
      </c>
      <c r="W455" s="21" t="s">
        <v>34</v>
      </c>
    </row>
    <row r="456" spans="2:23" ht="15" thickBot="1" x14ac:dyDescent="0.4">
      <c r="B456" s="30" t="s">
        <v>554</v>
      </c>
      <c r="C456" s="30" t="s">
        <v>87</v>
      </c>
      <c r="D456" s="30" t="s">
        <v>56</v>
      </c>
      <c r="E456" s="31">
        <v>45795</v>
      </c>
      <c r="F456" s="31">
        <v>45797</v>
      </c>
      <c r="G456" s="30" t="s">
        <v>88</v>
      </c>
      <c r="H456" s="30" t="s">
        <v>58</v>
      </c>
      <c r="I456" s="31">
        <v>28395</v>
      </c>
      <c r="J456" s="30" t="s">
        <v>121</v>
      </c>
      <c r="K456" s="30" t="s">
        <v>38</v>
      </c>
      <c r="L456" s="30" t="s">
        <v>39</v>
      </c>
      <c r="M456" s="30" t="s">
        <v>59</v>
      </c>
      <c r="N456" s="30">
        <v>8</v>
      </c>
      <c r="O456" s="30">
        <v>1200</v>
      </c>
      <c r="P456" s="30">
        <v>10</v>
      </c>
      <c r="Q456" s="30">
        <v>8640</v>
      </c>
      <c r="R456" s="30">
        <v>5</v>
      </c>
      <c r="S456" s="30" t="s">
        <v>60</v>
      </c>
      <c r="T456" s="30" t="s">
        <v>42</v>
      </c>
      <c r="U456" s="30" t="s">
        <v>89</v>
      </c>
      <c r="V456" s="30">
        <v>9812472447</v>
      </c>
      <c r="W456" s="30" t="s">
        <v>53</v>
      </c>
    </row>
    <row r="457" spans="2:23" ht="15" thickBot="1" x14ac:dyDescent="0.4">
      <c r="B457" s="27" t="s">
        <v>555</v>
      </c>
      <c r="C457" s="27" t="s">
        <v>156</v>
      </c>
      <c r="D457" s="27" t="s">
        <v>24</v>
      </c>
      <c r="E457" s="28">
        <v>46020</v>
      </c>
      <c r="F457" s="28">
        <v>46021</v>
      </c>
      <c r="G457" s="27" t="s">
        <v>106</v>
      </c>
      <c r="H457" s="27" t="s">
        <v>58</v>
      </c>
      <c r="I457" s="28">
        <v>32136</v>
      </c>
      <c r="J457" s="27" t="s">
        <v>121</v>
      </c>
      <c r="K457" s="27" t="s">
        <v>38</v>
      </c>
      <c r="L457" s="27" t="s">
        <v>29</v>
      </c>
      <c r="M457" s="27" t="s">
        <v>30</v>
      </c>
      <c r="N457" s="27">
        <v>9</v>
      </c>
      <c r="O457" s="27">
        <v>2200</v>
      </c>
      <c r="P457" s="27">
        <v>20</v>
      </c>
      <c r="Q457" s="27">
        <v>15840</v>
      </c>
      <c r="R457" s="27">
        <v>1</v>
      </c>
      <c r="S457" s="27" t="s">
        <v>41</v>
      </c>
      <c r="T457" s="27" t="s">
        <v>80</v>
      </c>
      <c r="U457" s="27" t="s">
        <v>158</v>
      </c>
      <c r="V457" s="27">
        <v>9281127052</v>
      </c>
      <c r="W457" s="21" t="s">
        <v>34</v>
      </c>
    </row>
    <row r="458" spans="2:23" ht="15" thickBot="1" x14ac:dyDescent="0.4">
      <c r="B458" s="30" t="s">
        <v>556</v>
      </c>
      <c r="C458" s="30" t="s">
        <v>87</v>
      </c>
      <c r="D458" s="30" t="s">
        <v>125</v>
      </c>
      <c r="E458" s="31">
        <v>45669</v>
      </c>
      <c r="F458" s="31">
        <v>45673</v>
      </c>
      <c r="G458" s="30" t="s">
        <v>88</v>
      </c>
      <c r="H458" s="30" t="s">
        <v>58</v>
      </c>
      <c r="I458" s="31">
        <v>36973</v>
      </c>
      <c r="J458" s="30" t="s">
        <v>147</v>
      </c>
      <c r="K458" s="30" t="s">
        <v>148</v>
      </c>
      <c r="L458" s="30" t="s">
        <v>83</v>
      </c>
      <c r="M458" s="30" t="s">
        <v>127</v>
      </c>
      <c r="N458" s="30">
        <v>8</v>
      </c>
      <c r="O458" s="30">
        <v>20</v>
      </c>
      <c r="P458" s="30">
        <v>20</v>
      </c>
      <c r="Q458" s="30">
        <v>128</v>
      </c>
      <c r="R458" s="30">
        <v>4</v>
      </c>
      <c r="S458" s="30" t="s">
        <v>31</v>
      </c>
      <c r="T458" s="30" t="s">
        <v>32</v>
      </c>
      <c r="U458" s="30" t="s">
        <v>89</v>
      </c>
      <c r="V458" s="30">
        <v>9346312555</v>
      </c>
      <c r="W458" s="30" t="s">
        <v>53</v>
      </c>
    </row>
    <row r="459" spans="2:23" ht="15" thickBot="1" x14ac:dyDescent="0.4">
      <c r="B459" s="27" t="s">
        <v>557</v>
      </c>
      <c r="C459" s="27" t="s">
        <v>124</v>
      </c>
      <c r="D459" s="27" t="s">
        <v>46</v>
      </c>
      <c r="E459" s="28">
        <v>46035</v>
      </c>
      <c r="F459" s="28">
        <v>46044</v>
      </c>
      <c r="G459" s="27" t="s">
        <v>126</v>
      </c>
      <c r="H459" s="27" t="s">
        <v>58</v>
      </c>
      <c r="I459" s="28">
        <v>30216</v>
      </c>
      <c r="J459" s="27" t="s">
        <v>79</v>
      </c>
      <c r="K459" s="27" t="s">
        <v>75</v>
      </c>
      <c r="L459" s="27" t="s">
        <v>39</v>
      </c>
      <c r="M459" s="27" t="s">
        <v>49</v>
      </c>
      <c r="N459" s="27">
        <v>5</v>
      </c>
      <c r="O459" s="27">
        <v>55000</v>
      </c>
      <c r="P459" s="27">
        <v>0</v>
      </c>
      <c r="Q459" s="27">
        <v>275000</v>
      </c>
      <c r="R459" s="27">
        <v>1</v>
      </c>
      <c r="S459" s="27" t="s">
        <v>60</v>
      </c>
      <c r="T459" s="27" t="s">
        <v>80</v>
      </c>
      <c r="U459" s="27" t="s">
        <v>128</v>
      </c>
      <c r="V459" s="27">
        <v>9443786067</v>
      </c>
      <c r="W459" s="21" t="s">
        <v>34</v>
      </c>
    </row>
    <row r="460" spans="2:23" ht="15" thickBot="1" x14ac:dyDescent="0.4">
      <c r="B460" s="30" t="s">
        <v>558</v>
      </c>
      <c r="C460" s="30" t="s">
        <v>72</v>
      </c>
      <c r="D460" s="30" t="s">
        <v>56</v>
      </c>
      <c r="E460" s="31">
        <v>46096</v>
      </c>
      <c r="F460" s="31">
        <v>46099</v>
      </c>
      <c r="G460" s="30" t="s">
        <v>73</v>
      </c>
      <c r="H460" s="30" t="s">
        <v>26</v>
      </c>
      <c r="I460" s="31">
        <v>31670</v>
      </c>
      <c r="J460" s="30" t="s">
        <v>74</v>
      </c>
      <c r="K460" s="30" t="s">
        <v>75</v>
      </c>
      <c r="L460" s="30" t="s">
        <v>39</v>
      </c>
      <c r="M460" s="30" t="s">
        <v>59</v>
      </c>
      <c r="N460" s="30">
        <v>13</v>
      </c>
      <c r="O460" s="30">
        <v>1200</v>
      </c>
      <c r="P460" s="30">
        <v>5</v>
      </c>
      <c r="Q460" s="30">
        <v>14820</v>
      </c>
      <c r="R460" s="30">
        <v>2</v>
      </c>
      <c r="S460" s="30" t="s">
        <v>60</v>
      </c>
      <c r="T460" s="30" t="s">
        <v>32</v>
      </c>
      <c r="U460" s="30" t="s">
        <v>93</v>
      </c>
      <c r="V460" s="30">
        <v>9452540528</v>
      </c>
      <c r="W460" s="30" t="s">
        <v>53</v>
      </c>
    </row>
    <row r="461" spans="2:23" ht="15" thickBot="1" x14ac:dyDescent="0.4">
      <c r="B461" s="27" t="s">
        <v>559</v>
      </c>
      <c r="C461" s="27" t="s">
        <v>63</v>
      </c>
      <c r="D461" s="27" t="s">
        <v>105</v>
      </c>
      <c r="E461" s="28">
        <v>45986</v>
      </c>
      <c r="F461" s="28">
        <v>45991</v>
      </c>
      <c r="G461" s="27" t="s">
        <v>110</v>
      </c>
      <c r="H461" s="27" t="s">
        <v>58</v>
      </c>
      <c r="I461" s="28">
        <v>37602</v>
      </c>
      <c r="J461" s="27" t="s">
        <v>121</v>
      </c>
      <c r="K461" s="27" t="s">
        <v>38</v>
      </c>
      <c r="L461" s="27" t="s">
        <v>29</v>
      </c>
      <c r="M461" s="27" t="s">
        <v>107</v>
      </c>
      <c r="N461" s="27">
        <v>13</v>
      </c>
      <c r="O461" s="27">
        <v>8500</v>
      </c>
      <c r="P461" s="27">
        <v>20</v>
      </c>
      <c r="Q461" s="27">
        <v>88400</v>
      </c>
      <c r="R461" s="27">
        <v>5</v>
      </c>
      <c r="S461" s="27" t="s">
        <v>31</v>
      </c>
      <c r="T461" s="27" t="s">
        <v>42</v>
      </c>
      <c r="U461" s="27" t="s">
        <v>66</v>
      </c>
      <c r="V461" s="27">
        <v>9750918728</v>
      </c>
      <c r="W461" s="27" t="s">
        <v>52</v>
      </c>
    </row>
    <row r="462" spans="2:23" ht="15" thickBot="1" x14ac:dyDescent="0.4">
      <c r="B462" s="30" t="s">
        <v>560</v>
      </c>
      <c r="C462" s="30" t="s">
        <v>55</v>
      </c>
      <c r="D462" s="30" t="s">
        <v>82</v>
      </c>
      <c r="E462" s="31">
        <v>45692</v>
      </c>
      <c r="F462" s="31">
        <v>45703</v>
      </c>
      <c r="G462" s="30" t="s">
        <v>57</v>
      </c>
      <c r="H462" s="30" t="s">
        <v>58</v>
      </c>
      <c r="I462" s="31">
        <v>36053</v>
      </c>
      <c r="J462" s="30" t="s">
        <v>79</v>
      </c>
      <c r="K462" s="30" t="s">
        <v>75</v>
      </c>
      <c r="L462" s="30" t="s">
        <v>83</v>
      </c>
      <c r="M462" s="30" t="s">
        <v>84</v>
      </c>
      <c r="N462" s="30">
        <v>14</v>
      </c>
      <c r="O462" s="30">
        <v>60</v>
      </c>
      <c r="P462" s="30">
        <v>10</v>
      </c>
      <c r="Q462" s="30">
        <v>756</v>
      </c>
      <c r="R462" s="30">
        <v>1</v>
      </c>
      <c r="S462" s="30" t="s">
        <v>31</v>
      </c>
      <c r="T462" s="30" t="s">
        <v>50</v>
      </c>
      <c r="U462" s="30" t="s">
        <v>61</v>
      </c>
      <c r="V462" s="30">
        <v>9375975834</v>
      </c>
      <c r="W462" s="30" t="s">
        <v>53</v>
      </c>
    </row>
    <row r="463" spans="2:23" ht="15" thickBot="1" x14ac:dyDescent="0.4">
      <c r="B463" s="27" t="s">
        <v>561</v>
      </c>
      <c r="C463" s="27" t="s">
        <v>134</v>
      </c>
      <c r="D463" s="27" t="s">
        <v>24</v>
      </c>
      <c r="E463" s="28">
        <v>45775</v>
      </c>
      <c r="F463" s="28">
        <v>45776</v>
      </c>
      <c r="G463" s="27" t="s">
        <v>135</v>
      </c>
      <c r="H463" s="27" t="s">
        <v>26</v>
      </c>
      <c r="I463" s="28">
        <v>31337</v>
      </c>
      <c r="J463" s="27" t="s">
        <v>48</v>
      </c>
      <c r="K463" s="27" t="s">
        <v>28</v>
      </c>
      <c r="L463" s="27" t="s">
        <v>29</v>
      </c>
      <c r="M463" s="27" t="s">
        <v>30</v>
      </c>
      <c r="N463" s="27">
        <v>15</v>
      </c>
      <c r="O463" s="27">
        <v>2200</v>
      </c>
      <c r="P463" s="27">
        <v>0</v>
      </c>
      <c r="Q463" s="27">
        <v>33000</v>
      </c>
      <c r="R463" s="27">
        <v>1</v>
      </c>
      <c r="S463" s="27" t="s">
        <v>31</v>
      </c>
      <c r="T463" s="27" t="s">
        <v>50</v>
      </c>
      <c r="U463" s="27" t="s">
        <v>136</v>
      </c>
      <c r="V463" s="27">
        <v>9497321112</v>
      </c>
      <c r="W463" s="21" t="s">
        <v>34</v>
      </c>
    </row>
    <row r="464" spans="2:23" ht="15" thickBot="1" x14ac:dyDescent="0.4">
      <c r="B464" s="30" t="s">
        <v>562</v>
      </c>
      <c r="C464" s="30" t="s">
        <v>63</v>
      </c>
      <c r="D464" s="30" t="s">
        <v>82</v>
      </c>
      <c r="E464" s="31">
        <v>45896</v>
      </c>
      <c r="F464" s="31">
        <v>45898</v>
      </c>
      <c r="G464" s="30" t="s">
        <v>110</v>
      </c>
      <c r="H464" s="30" t="s">
        <v>58</v>
      </c>
      <c r="I464" s="31">
        <v>34926</v>
      </c>
      <c r="J464" s="30" t="s">
        <v>121</v>
      </c>
      <c r="K464" s="30" t="s">
        <v>38</v>
      </c>
      <c r="L464" s="30" t="s">
        <v>83</v>
      </c>
      <c r="M464" s="30" t="s">
        <v>84</v>
      </c>
      <c r="N464" s="30">
        <v>19</v>
      </c>
      <c r="O464" s="30">
        <v>60</v>
      </c>
      <c r="P464" s="30">
        <v>20</v>
      </c>
      <c r="Q464" s="30">
        <v>912</v>
      </c>
      <c r="R464" s="30">
        <v>3</v>
      </c>
      <c r="S464" s="30" t="s">
        <v>31</v>
      </c>
      <c r="T464" s="30" t="s">
        <v>96</v>
      </c>
      <c r="U464" s="30" t="s">
        <v>66</v>
      </c>
      <c r="V464" s="30">
        <v>9828749888</v>
      </c>
      <c r="W464" s="30" t="s">
        <v>52</v>
      </c>
    </row>
    <row r="465" spans="2:23" ht="15" thickBot="1" x14ac:dyDescent="0.4">
      <c r="B465" s="27" t="s">
        <v>563</v>
      </c>
      <c r="C465" s="27" t="s">
        <v>45</v>
      </c>
      <c r="D465" s="27" t="s">
        <v>138</v>
      </c>
      <c r="E465" s="28">
        <v>45942</v>
      </c>
      <c r="F465" s="28">
        <v>45953</v>
      </c>
      <c r="G465" s="27" t="s">
        <v>101</v>
      </c>
      <c r="H465" s="27" t="s">
        <v>26</v>
      </c>
      <c r="I465" s="28">
        <v>31286</v>
      </c>
      <c r="J465" s="27" t="s">
        <v>121</v>
      </c>
      <c r="K465" s="27" t="s">
        <v>38</v>
      </c>
      <c r="L465" s="27" t="s">
        <v>83</v>
      </c>
      <c r="M465" s="27" t="s">
        <v>139</v>
      </c>
      <c r="N465" s="27">
        <v>13</v>
      </c>
      <c r="O465" s="27">
        <v>45</v>
      </c>
      <c r="P465" s="27">
        <v>15</v>
      </c>
      <c r="Q465" s="27">
        <v>497.25</v>
      </c>
      <c r="R465" s="27">
        <v>2</v>
      </c>
      <c r="S465" s="27" t="s">
        <v>31</v>
      </c>
      <c r="T465" s="27" t="s">
        <v>42</v>
      </c>
      <c r="U465" s="27" t="s">
        <v>51</v>
      </c>
      <c r="V465" s="27">
        <v>9814267382</v>
      </c>
      <c r="W465" s="21" t="s">
        <v>34</v>
      </c>
    </row>
    <row r="466" spans="2:23" ht="15" thickBot="1" x14ac:dyDescent="0.4">
      <c r="B466" s="30" t="s">
        <v>564</v>
      </c>
      <c r="C466" s="30" t="s">
        <v>134</v>
      </c>
      <c r="D466" s="30" t="s">
        <v>36</v>
      </c>
      <c r="E466" s="31">
        <v>46036</v>
      </c>
      <c r="F466" s="31">
        <v>46046</v>
      </c>
      <c r="G466" s="30" t="s">
        <v>135</v>
      </c>
      <c r="H466" s="30" t="s">
        <v>26</v>
      </c>
      <c r="I466" s="31">
        <v>27550</v>
      </c>
      <c r="J466" s="30" t="s">
        <v>74</v>
      </c>
      <c r="K466" s="30" t="s">
        <v>75</v>
      </c>
      <c r="L466" s="30" t="s">
        <v>39</v>
      </c>
      <c r="M466" s="30" t="s">
        <v>40</v>
      </c>
      <c r="N466" s="30">
        <v>7</v>
      </c>
      <c r="O466" s="30">
        <v>12000</v>
      </c>
      <c r="P466" s="30">
        <v>5</v>
      </c>
      <c r="Q466" s="30">
        <v>79800</v>
      </c>
      <c r="R466" s="30">
        <v>4</v>
      </c>
      <c r="S466" s="30" t="s">
        <v>60</v>
      </c>
      <c r="T466" s="30" t="s">
        <v>96</v>
      </c>
      <c r="U466" s="30" t="s">
        <v>136</v>
      </c>
      <c r="V466" s="30">
        <v>9937007439</v>
      </c>
      <c r="W466" s="30" t="s">
        <v>53</v>
      </c>
    </row>
    <row r="467" spans="2:23" ht="15" thickBot="1" x14ac:dyDescent="0.4">
      <c r="B467" s="27" t="s">
        <v>565</v>
      </c>
      <c r="C467" s="27" t="s">
        <v>156</v>
      </c>
      <c r="D467" s="27" t="s">
        <v>125</v>
      </c>
      <c r="E467" s="23">
        <v>46152</v>
      </c>
      <c r="F467" s="27"/>
      <c r="G467" s="27" t="s">
        <v>106</v>
      </c>
      <c r="H467" s="27" t="s">
        <v>58</v>
      </c>
      <c r="I467" s="28">
        <v>35514</v>
      </c>
      <c r="J467" s="27" t="s">
        <v>147</v>
      </c>
      <c r="K467" s="27" t="s">
        <v>148</v>
      </c>
      <c r="L467" s="27" t="s">
        <v>83</v>
      </c>
      <c r="M467" s="27" t="s">
        <v>127</v>
      </c>
      <c r="N467" s="27">
        <v>8</v>
      </c>
      <c r="O467" s="27">
        <v>20</v>
      </c>
      <c r="P467" s="27">
        <v>0</v>
      </c>
      <c r="Q467" s="27">
        <v>160</v>
      </c>
      <c r="R467" s="27">
        <v>4</v>
      </c>
      <c r="S467" s="27" t="s">
        <v>60</v>
      </c>
      <c r="T467" s="27" t="s">
        <v>50</v>
      </c>
      <c r="U467" s="27" t="s">
        <v>158</v>
      </c>
      <c r="V467" s="27">
        <v>9657513435</v>
      </c>
      <c r="W467" s="27" t="s">
        <v>52</v>
      </c>
    </row>
    <row r="468" spans="2:23" ht="15" thickBot="1" x14ac:dyDescent="0.4">
      <c r="B468" s="30" t="s">
        <v>566</v>
      </c>
      <c r="C468" s="30" t="s">
        <v>23</v>
      </c>
      <c r="D468" s="30" t="s">
        <v>68</v>
      </c>
      <c r="E468" s="31">
        <v>45689</v>
      </c>
      <c r="F468" s="31">
        <v>45694</v>
      </c>
      <c r="G468" s="30" t="s">
        <v>25</v>
      </c>
      <c r="H468" s="30" t="s">
        <v>26</v>
      </c>
      <c r="I468" s="31">
        <v>35538</v>
      </c>
      <c r="J468" s="30" t="s">
        <v>147</v>
      </c>
      <c r="K468" s="30" t="s">
        <v>148</v>
      </c>
      <c r="L468" s="30" t="s">
        <v>29</v>
      </c>
      <c r="M468" s="30" t="s">
        <v>70</v>
      </c>
      <c r="N468" s="30">
        <v>16</v>
      </c>
      <c r="O468" s="30">
        <v>3500</v>
      </c>
      <c r="P468" s="30">
        <v>5</v>
      </c>
      <c r="Q468" s="30">
        <v>53200</v>
      </c>
      <c r="R468" s="30">
        <v>1</v>
      </c>
      <c r="S468" s="30" t="s">
        <v>60</v>
      </c>
      <c r="T468" s="30" t="s">
        <v>50</v>
      </c>
      <c r="U468" s="30" t="s">
        <v>43</v>
      </c>
      <c r="V468" s="30">
        <v>9999406260</v>
      </c>
      <c r="W468" s="30" t="s">
        <v>53</v>
      </c>
    </row>
    <row r="469" spans="2:23" ht="15" thickBot="1" x14ac:dyDescent="0.4">
      <c r="B469" s="27" t="s">
        <v>567</v>
      </c>
      <c r="C469" s="27" t="s">
        <v>156</v>
      </c>
      <c r="D469" s="27" t="s">
        <v>105</v>
      </c>
      <c r="E469" s="28">
        <v>45710</v>
      </c>
      <c r="F469" s="28">
        <v>45720</v>
      </c>
      <c r="G469" s="27" t="s">
        <v>106</v>
      </c>
      <c r="H469" s="27" t="s">
        <v>58</v>
      </c>
      <c r="I469" s="28">
        <v>36308</v>
      </c>
      <c r="J469" s="27" t="s">
        <v>74</v>
      </c>
      <c r="K469" s="27" t="s">
        <v>75</v>
      </c>
      <c r="L469" s="27" t="s">
        <v>29</v>
      </c>
      <c r="M469" s="27" t="s">
        <v>107</v>
      </c>
      <c r="N469" s="27">
        <v>12</v>
      </c>
      <c r="O469" s="27">
        <v>8500</v>
      </c>
      <c r="P469" s="27">
        <v>10</v>
      </c>
      <c r="Q469" s="27">
        <v>91800</v>
      </c>
      <c r="R469" s="27">
        <v>3</v>
      </c>
      <c r="S469" s="27" t="s">
        <v>60</v>
      </c>
      <c r="T469" s="27" t="s">
        <v>32</v>
      </c>
      <c r="U469" s="27" t="s">
        <v>158</v>
      </c>
      <c r="V469" s="27">
        <v>9233727886</v>
      </c>
      <c r="W469" s="21" t="s">
        <v>34</v>
      </c>
    </row>
    <row r="470" spans="2:23" ht="15" thickBot="1" x14ac:dyDescent="0.4">
      <c r="B470" s="30" t="s">
        <v>568</v>
      </c>
      <c r="C470" s="30" t="s">
        <v>23</v>
      </c>
      <c r="D470" s="30" t="s">
        <v>82</v>
      </c>
      <c r="E470" s="31">
        <v>45765</v>
      </c>
      <c r="F470" s="31">
        <v>45767</v>
      </c>
      <c r="G470" s="30" t="s">
        <v>25</v>
      </c>
      <c r="H470" s="30" t="s">
        <v>26</v>
      </c>
      <c r="I470" s="31">
        <v>30492</v>
      </c>
      <c r="J470" s="30" t="s">
        <v>91</v>
      </c>
      <c r="K470" s="30" t="s">
        <v>75</v>
      </c>
      <c r="L470" s="30" t="s">
        <v>83</v>
      </c>
      <c r="M470" s="30" t="s">
        <v>84</v>
      </c>
      <c r="N470" s="30">
        <v>1</v>
      </c>
      <c r="O470" s="30">
        <v>60</v>
      </c>
      <c r="P470" s="30">
        <v>20</v>
      </c>
      <c r="Q470" s="30">
        <v>48</v>
      </c>
      <c r="R470" s="30">
        <v>2</v>
      </c>
      <c r="S470" s="30" t="s">
        <v>60</v>
      </c>
      <c r="T470" s="30" t="s">
        <v>96</v>
      </c>
      <c r="U470" s="30" t="s">
        <v>43</v>
      </c>
      <c r="V470" s="30">
        <v>9831688801</v>
      </c>
      <c r="W470" s="22" t="s">
        <v>34</v>
      </c>
    </row>
    <row r="471" spans="2:23" ht="15" thickBot="1" x14ac:dyDescent="0.4">
      <c r="B471" s="27" t="s">
        <v>569</v>
      </c>
      <c r="C471" s="27" t="s">
        <v>87</v>
      </c>
      <c r="D471" s="27" t="s">
        <v>82</v>
      </c>
      <c r="E471" s="28">
        <v>45967</v>
      </c>
      <c r="F471" s="28">
        <v>45972</v>
      </c>
      <c r="G471" s="27" t="s">
        <v>88</v>
      </c>
      <c r="H471" s="27" t="s">
        <v>58</v>
      </c>
      <c r="I471" s="28">
        <v>33995</v>
      </c>
      <c r="J471" s="27" t="s">
        <v>27</v>
      </c>
      <c r="K471" s="27" t="s">
        <v>28</v>
      </c>
      <c r="L471" s="27" t="s">
        <v>83</v>
      </c>
      <c r="M471" s="27" t="s">
        <v>84</v>
      </c>
      <c r="N471" s="27">
        <v>3</v>
      </c>
      <c r="O471" s="27">
        <v>60</v>
      </c>
      <c r="P471" s="27">
        <v>15</v>
      </c>
      <c r="Q471" s="27">
        <v>153</v>
      </c>
      <c r="R471" s="27">
        <v>4</v>
      </c>
      <c r="S471" s="27" t="s">
        <v>60</v>
      </c>
      <c r="T471" s="27" t="s">
        <v>32</v>
      </c>
      <c r="U471" s="27" t="s">
        <v>89</v>
      </c>
      <c r="V471" s="27">
        <v>9982849508</v>
      </c>
      <c r="W471" s="21" t="s">
        <v>34</v>
      </c>
    </row>
    <row r="472" spans="2:23" ht="15" thickBot="1" x14ac:dyDescent="0.4">
      <c r="B472" s="30" t="s">
        <v>570</v>
      </c>
      <c r="C472" s="30" t="s">
        <v>72</v>
      </c>
      <c r="D472" s="30" t="s">
        <v>112</v>
      </c>
      <c r="E472" s="31">
        <v>45736</v>
      </c>
      <c r="F472" s="31">
        <v>45741</v>
      </c>
      <c r="G472" s="30" t="s">
        <v>73</v>
      </c>
      <c r="H472" s="30" t="s">
        <v>26</v>
      </c>
      <c r="I472" s="31">
        <v>28917</v>
      </c>
      <c r="J472" s="30" t="s">
        <v>147</v>
      </c>
      <c r="K472" s="30" t="s">
        <v>148</v>
      </c>
      <c r="L472" s="30" t="s">
        <v>39</v>
      </c>
      <c r="M472" s="30" t="s">
        <v>114</v>
      </c>
      <c r="N472" s="30">
        <v>10</v>
      </c>
      <c r="O472" s="30">
        <v>700</v>
      </c>
      <c r="P472" s="30">
        <v>15</v>
      </c>
      <c r="Q472" s="30">
        <v>5950</v>
      </c>
      <c r="R472" s="30">
        <v>3</v>
      </c>
      <c r="S472" s="30" t="s">
        <v>41</v>
      </c>
      <c r="T472" s="30" t="s">
        <v>32</v>
      </c>
      <c r="U472" s="30" t="s">
        <v>93</v>
      </c>
      <c r="V472" s="30">
        <v>9288309246</v>
      </c>
      <c r="W472" s="30" t="s">
        <v>52</v>
      </c>
    </row>
    <row r="473" spans="2:23" ht="15" thickBot="1" x14ac:dyDescent="0.4">
      <c r="B473" s="27" t="s">
        <v>571</v>
      </c>
      <c r="C473" s="27" t="s">
        <v>63</v>
      </c>
      <c r="D473" s="27" t="s">
        <v>125</v>
      </c>
      <c r="E473" s="28">
        <v>45952</v>
      </c>
      <c r="F473" s="28">
        <v>45955</v>
      </c>
      <c r="G473" s="27" t="s">
        <v>110</v>
      </c>
      <c r="H473" s="27" t="s">
        <v>58</v>
      </c>
      <c r="I473" s="28">
        <v>28016</v>
      </c>
      <c r="J473" s="27" t="s">
        <v>91</v>
      </c>
      <c r="K473" s="27" t="s">
        <v>75</v>
      </c>
      <c r="L473" s="27" t="s">
        <v>83</v>
      </c>
      <c r="M473" s="27" t="s">
        <v>127</v>
      </c>
      <c r="N473" s="27">
        <v>2</v>
      </c>
      <c r="O473" s="27">
        <v>20</v>
      </c>
      <c r="P473" s="27">
        <v>10</v>
      </c>
      <c r="Q473" s="27">
        <v>36</v>
      </c>
      <c r="R473" s="27">
        <v>2</v>
      </c>
      <c r="S473" s="27" t="s">
        <v>65</v>
      </c>
      <c r="T473" s="27" t="s">
        <v>50</v>
      </c>
      <c r="U473" s="27" t="s">
        <v>66</v>
      </c>
      <c r="V473" s="27">
        <v>9808476235</v>
      </c>
      <c r="W473" s="21" t="s">
        <v>34</v>
      </c>
    </row>
    <row r="474" spans="2:23" ht="15" thickBot="1" x14ac:dyDescent="0.4">
      <c r="B474" s="30" t="s">
        <v>572</v>
      </c>
      <c r="C474" s="30" t="s">
        <v>63</v>
      </c>
      <c r="D474" s="30" t="s">
        <v>125</v>
      </c>
      <c r="E474" s="31">
        <v>46022</v>
      </c>
      <c r="F474" s="31">
        <v>46027</v>
      </c>
      <c r="G474" s="30" t="s">
        <v>110</v>
      </c>
      <c r="H474" s="30" t="s">
        <v>58</v>
      </c>
      <c r="I474" s="31">
        <v>33446</v>
      </c>
      <c r="J474" s="30" t="s">
        <v>37</v>
      </c>
      <c r="K474" s="30" t="s">
        <v>38</v>
      </c>
      <c r="L474" s="30" t="s">
        <v>83</v>
      </c>
      <c r="M474" s="30" t="s">
        <v>127</v>
      </c>
      <c r="N474" s="30">
        <v>14</v>
      </c>
      <c r="O474" s="30">
        <v>20</v>
      </c>
      <c r="P474" s="30">
        <v>20</v>
      </c>
      <c r="Q474" s="30">
        <v>224</v>
      </c>
      <c r="R474" s="30">
        <v>5</v>
      </c>
      <c r="S474" s="30" t="s">
        <v>31</v>
      </c>
      <c r="T474" s="30" t="s">
        <v>96</v>
      </c>
      <c r="U474" s="30" t="s">
        <v>66</v>
      </c>
      <c r="V474" s="30">
        <v>9869056117</v>
      </c>
      <c r="W474" s="30" t="s">
        <v>52</v>
      </c>
    </row>
    <row r="475" spans="2:23" ht="15" thickBot="1" x14ac:dyDescent="0.4">
      <c r="B475" s="27" t="s">
        <v>573</v>
      </c>
      <c r="C475" s="27" t="s">
        <v>156</v>
      </c>
      <c r="D475" s="27" t="s">
        <v>68</v>
      </c>
      <c r="E475" s="28">
        <v>45829</v>
      </c>
      <c r="F475" s="28">
        <v>45833</v>
      </c>
      <c r="G475" s="27" t="s">
        <v>106</v>
      </c>
      <c r="H475" s="27" t="s">
        <v>58</v>
      </c>
      <c r="I475" s="28">
        <v>32075</v>
      </c>
      <c r="J475" s="27" t="s">
        <v>91</v>
      </c>
      <c r="K475" s="27" t="s">
        <v>75</v>
      </c>
      <c r="L475" s="27" t="s">
        <v>29</v>
      </c>
      <c r="M475" s="27" t="s">
        <v>70</v>
      </c>
      <c r="N475" s="27">
        <v>4</v>
      </c>
      <c r="O475" s="27">
        <v>3500</v>
      </c>
      <c r="P475" s="27">
        <v>0</v>
      </c>
      <c r="Q475" s="27">
        <v>14000</v>
      </c>
      <c r="R475" s="27">
        <v>2</v>
      </c>
      <c r="S475" s="27" t="s">
        <v>65</v>
      </c>
      <c r="T475" s="27" t="s">
        <v>32</v>
      </c>
      <c r="U475" s="27" t="s">
        <v>158</v>
      </c>
      <c r="V475" s="27">
        <v>9734229772</v>
      </c>
      <c r="W475" s="27" t="s">
        <v>53</v>
      </c>
    </row>
    <row r="476" spans="2:23" ht="15" thickBot="1" x14ac:dyDescent="0.4">
      <c r="B476" s="30" t="s">
        <v>574</v>
      </c>
      <c r="C476" s="30" t="s">
        <v>63</v>
      </c>
      <c r="D476" s="30" t="s">
        <v>68</v>
      </c>
      <c r="E476" s="31">
        <v>45812</v>
      </c>
      <c r="F476" s="31">
        <v>45813</v>
      </c>
      <c r="G476" s="30" t="s">
        <v>110</v>
      </c>
      <c r="H476" s="30" t="s">
        <v>58</v>
      </c>
      <c r="I476" s="31">
        <v>30629</v>
      </c>
      <c r="J476" s="30" t="s">
        <v>121</v>
      </c>
      <c r="K476" s="30" t="s">
        <v>38</v>
      </c>
      <c r="L476" s="30" t="s">
        <v>29</v>
      </c>
      <c r="M476" s="30" t="s">
        <v>70</v>
      </c>
      <c r="N476" s="30">
        <v>9</v>
      </c>
      <c r="O476" s="30">
        <v>3500</v>
      </c>
      <c r="P476" s="30">
        <v>5</v>
      </c>
      <c r="Q476" s="30">
        <v>29925</v>
      </c>
      <c r="R476" s="30">
        <v>3</v>
      </c>
      <c r="S476" s="30" t="s">
        <v>60</v>
      </c>
      <c r="T476" s="30" t="s">
        <v>50</v>
      </c>
      <c r="U476" s="30" t="s">
        <v>66</v>
      </c>
      <c r="V476" s="30">
        <v>9791617906</v>
      </c>
      <c r="W476" s="22" t="s">
        <v>34</v>
      </c>
    </row>
    <row r="477" spans="2:23" ht="15" thickBot="1" x14ac:dyDescent="0.4">
      <c r="B477" s="27" t="s">
        <v>575</v>
      </c>
      <c r="C477" s="27" t="s">
        <v>87</v>
      </c>
      <c r="D477" s="27" t="s">
        <v>82</v>
      </c>
      <c r="E477" s="28">
        <v>45807</v>
      </c>
      <c r="F477" s="28">
        <v>45811</v>
      </c>
      <c r="G477" s="27" t="s">
        <v>88</v>
      </c>
      <c r="H477" s="27" t="s">
        <v>58</v>
      </c>
      <c r="I477" s="28">
        <v>30678</v>
      </c>
      <c r="J477" s="27" t="s">
        <v>74</v>
      </c>
      <c r="K477" s="27" t="s">
        <v>75</v>
      </c>
      <c r="L477" s="27" t="s">
        <v>83</v>
      </c>
      <c r="M477" s="27" t="s">
        <v>84</v>
      </c>
      <c r="N477" s="27">
        <v>9</v>
      </c>
      <c r="O477" s="27">
        <v>60</v>
      </c>
      <c r="P477" s="27">
        <v>0</v>
      </c>
      <c r="Q477" s="27">
        <v>540</v>
      </c>
      <c r="R477" s="27">
        <v>3</v>
      </c>
      <c r="S477" s="27" t="s">
        <v>65</v>
      </c>
      <c r="T477" s="27" t="s">
        <v>32</v>
      </c>
      <c r="U477" s="27" t="s">
        <v>89</v>
      </c>
      <c r="V477" s="27">
        <v>9286316823</v>
      </c>
      <c r="W477" s="27" t="s">
        <v>52</v>
      </c>
    </row>
    <row r="478" spans="2:23" ht="15" thickBot="1" x14ac:dyDescent="0.4">
      <c r="B478" s="30" t="s">
        <v>576</v>
      </c>
      <c r="C478" s="30" t="s">
        <v>104</v>
      </c>
      <c r="D478" s="30" t="s">
        <v>56</v>
      </c>
      <c r="E478" s="31">
        <v>45779</v>
      </c>
      <c r="F478" s="31">
        <v>45780</v>
      </c>
      <c r="G478" s="30" t="s">
        <v>166</v>
      </c>
      <c r="H478" s="30" t="s">
        <v>26</v>
      </c>
      <c r="I478" s="31">
        <v>33862</v>
      </c>
      <c r="J478" s="30" t="s">
        <v>91</v>
      </c>
      <c r="K478" s="30" t="s">
        <v>75</v>
      </c>
      <c r="L478" s="30" t="s">
        <v>39</v>
      </c>
      <c r="M478" s="30" t="s">
        <v>59</v>
      </c>
      <c r="N478" s="30">
        <v>4</v>
      </c>
      <c r="O478" s="30">
        <v>1200</v>
      </c>
      <c r="P478" s="30">
        <v>0</v>
      </c>
      <c r="Q478" s="30">
        <v>4800</v>
      </c>
      <c r="R478" s="30">
        <v>1</v>
      </c>
      <c r="S478" s="30" t="s">
        <v>41</v>
      </c>
      <c r="T478" s="30" t="s">
        <v>50</v>
      </c>
      <c r="U478" s="30" t="s">
        <v>108</v>
      </c>
      <c r="V478" s="30">
        <v>9810569252</v>
      </c>
      <c r="W478" s="22" t="s">
        <v>34</v>
      </c>
    </row>
    <row r="479" spans="2:23" ht="15" thickBot="1" x14ac:dyDescent="0.4">
      <c r="B479" s="27" t="s">
        <v>577</v>
      </c>
      <c r="C479" s="27" t="s">
        <v>45</v>
      </c>
      <c r="D479" s="27" t="s">
        <v>46</v>
      </c>
      <c r="E479" s="28">
        <v>45691</v>
      </c>
      <c r="F479" s="28">
        <v>45701</v>
      </c>
      <c r="G479" s="27" t="s">
        <v>101</v>
      </c>
      <c r="H479" s="27" t="s">
        <v>26</v>
      </c>
      <c r="I479" s="28">
        <v>36381</v>
      </c>
      <c r="J479" s="27" t="s">
        <v>27</v>
      </c>
      <c r="K479" s="27" t="s">
        <v>28</v>
      </c>
      <c r="L479" s="27" t="s">
        <v>39</v>
      </c>
      <c r="M479" s="27" t="s">
        <v>49</v>
      </c>
      <c r="N479" s="27">
        <v>10</v>
      </c>
      <c r="O479" s="27">
        <v>55000</v>
      </c>
      <c r="P479" s="27">
        <v>5</v>
      </c>
      <c r="Q479" s="27">
        <v>522500</v>
      </c>
      <c r="R479" s="27">
        <v>5</v>
      </c>
      <c r="S479" s="27" t="s">
        <v>65</v>
      </c>
      <c r="T479" s="27" t="s">
        <v>80</v>
      </c>
      <c r="U479" s="27" t="s">
        <v>51</v>
      </c>
      <c r="V479" s="27">
        <v>9771745925</v>
      </c>
      <c r="W479" s="21" t="s">
        <v>34</v>
      </c>
    </row>
    <row r="480" spans="2:23" ht="15" thickBot="1" x14ac:dyDescent="0.4">
      <c r="B480" s="30" t="s">
        <v>578</v>
      </c>
      <c r="C480" s="30" t="s">
        <v>124</v>
      </c>
      <c r="D480" s="30" t="s">
        <v>138</v>
      </c>
      <c r="E480" s="31">
        <v>45837</v>
      </c>
      <c r="F480" s="31">
        <v>45844</v>
      </c>
      <c r="G480" s="30" t="s">
        <v>126</v>
      </c>
      <c r="H480" s="30" t="s">
        <v>58</v>
      </c>
      <c r="I480" s="31">
        <v>32931</v>
      </c>
      <c r="J480" s="30" t="s">
        <v>27</v>
      </c>
      <c r="K480" s="30" t="s">
        <v>28</v>
      </c>
      <c r="L480" s="30" t="s">
        <v>83</v>
      </c>
      <c r="M480" s="30" t="s">
        <v>139</v>
      </c>
      <c r="N480" s="30">
        <v>20</v>
      </c>
      <c r="O480" s="30">
        <v>45</v>
      </c>
      <c r="P480" s="30">
        <v>15</v>
      </c>
      <c r="Q480" s="30">
        <v>765</v>
      </c>
      <c r="R480" s="30">
        <v>2</v>
      </c>
      <c r="S480" s="30" t="s">
        <v>60</v>
      </c>
      <c r="T480" s="30" t="s">
        <v>32</v>
      </c>
      <c r="U480" s="30" t="s">
        <v>128</v>
      </c>
      <c r="V480" s="30">
        <v>9820683063</v>
      </c>
      <c r="W480" s="30" t="s">
        <v>53</v>
      </c>
    </row>
    <row r="481" spans="2:23" ht="15" thickBot="1" x14ac:dyDescent="0.4">
      <c r="B481" s="27" t="s">
        <v>579</v>
      </c>
      <c r="C481" s="27" t="s">
        <v>23</v>
      </c>
      <c r="D481" s="27" t="s">
        <v>125</v>
      </c>
      <c r="E481" s="28">
        <v>46065</v>
      </c>
      <c r="F481" s="28">
        <v>46075</v>
      </c>
      <c r="G481" s="27" t="s">
        <v>25</v>
      </c>
      <c r="H481" s="27" t="s">
        <v>26</v>
      </c>
      <c r="I481" s="28">
        <v>34420</v>
      </c>
      <c r="J481" s="27" t="s">
        <v>74</v>
      </c>
      <c r="K481" s="27" t="s">
        <v>75</v>
      </c>
      <c r="L481" s="27" t="s">
        <v>83</v>
      </c>
      <c r="M481" s="27" t="s">
        <v>127</v>
      </c>
      <c r="N481" s="27">
        <v>9</v>
      </c>
      <c r="O481" s="27">
        <v>20</v>
      </c>
      <c r="P481" s="27">
        <v>20</v>
      </c>
      <c r="Q481" s="27">
        <v>144</v>
      </c>
      <c r="R481" s="27">
        <v>3</v>
      </c>
      <c r="S481" s="27" t="s">
        <v>60</v>
      </c>
      <c r="T481" s="27" t="s">
        <v>50</v>
      </c>
      <c r="U481" s="27" t="s">
        <v>43</v>
      </c>
      <c r="V481" s="27">
        <v>9292891941</v>
      </c>
      <c r="W481" s="21" t="s">
        <v>34</v>
      </c>
    </row>
    <row r="482" spans="2:23" ht="15" thickBot="1" x14ac:dyDescent="0.4">
      <c r="B482" s="30" t="s">
        <v>581</v>
      </c>
      <c r="C482" s="30" t="s">
        <v>23</v>
      </c>
      <c r="D482" s="30" t="s">
        <v>46</v>
      </c>
      <c r="E482" s="31">
        <v>45719</v>
      </c>
      <c r="F482" s="31">
        <v>45730</v>
      </c>
      <c r="G482" s="30" t="s">
        <v>25</v>
      </c>
      <c r="H482" s="30" t="s">
        <v>26</v>
      </c>
      <c r="I482" s="31">
        <v>29383</v>
      </c>
      <c r="J482" s="30" t="s">
        <v>79</v>
      </c>
      <c r="K482" s="30" t="s">
        <v>75</v>
      </c>
      <c r="L482" s="30" t="s">
        <v>39</v>
      </c>
      <c r="M482" s="30" t="s">
        <v>49</v>
      </c>
      <c r="N482" s="30">
        <v>8</v>
      </c>
      <c r="O482" s="30">
        <v>55000</v>
      </c>
      <c r="P482" s="30">
        <v>0</v>
      </c>
      <c r="Q482" s="30">
        <v>440000</v>
      </c>
      <c r="R482" s="30">
        <v>4</v>
      </c>
      <c r="S482" s="30" t="s">
        <v>31</v>
      </c>
      <c r="T482" s="30" t="s">
        <v>80</v>
      </c>
      <c r="U482" s="30" t="s">
        <v>43</v>
      </c>
      <c r="V482" s="30">
        <v>9413789556</v>
      </c>
      <c r="W482" s="22" t="s">
        <v>34</v>
      </c>
    </row>
    <row r="483" spans="2:23" ht="29.5" thickBot="1" x14ac:dyDescent="0.4">
      <c r="B483" s="27" t="s">
        <v>582</v>
      </c>
      <c r="C483" s="27" t="s">
        <v>156</v>
      </c>
      <c r="D483" s="27" t="s">
        <v>56</v>
      </c>
      <c r="E483" s="28">
        <v>46136</v>
      </c>
      <c r="F483" s="28">
        <v>46140</v>
      </c>
      <c r="G483" s="27" t="s">
        <v>106</v>
      </c>
      <c r="H483" s="27" t="s">
        <v>58</v>
      </c>
      <c r="I483" s="28">
        <v>36687</v>
      </c>
      <c r="J483" s="27" t="s">
        <v>91</v>
      </c>
      <c r="K483" s="27" t="s">
        <v>75</v>
      </c>
      <c r="L483" s="27" t="s">
        <v>39</v>
      </c>
      <c r="M483" s="27" t="s">
        <v>59</v>
      </c>
      <c r="N483" s="27">
        <v>4</v>
      </c>
      <c r="O483" s="27">
        <v>1200</v>
      </c>
      <c r="P483" s="27">
        <v>10</v>
      </c>
      <c r="Q483" s="27">
        <v>4320</v>
      </c>
      <c r="R483" s="27">
        <v>4</v>
      </c>
      <c r="S483" s="27" t="s">
        <v>65</v>
      </c>
      <c r="T483" s="27" t="s">
        <v>32</v>
      </c>
      <c r="U483" s="29" t="s">
        <v>580</v>
      </c>
      <c r="V483" s="27">
        <v>98765</v>
      </c>
      <c r="W483" s="27" t="s">
        <v>53</v>
      </c>
    </row>
    <row r="484" spans="2:23" ht="15" thickBot="1" x14ac:dyDescent="0.4">
      <c r="B484" s="30" t="s">
        <v>583</v>
      </c>
      <c r="C484" s="30" t="s">
        <v>156</v>
      </c>
      <c r="D484" s="30" t="s">
        <v>105</v>
      </c>
      <c r="E484" s="31">
        <v>46145</v>
      </c>
      <c r="F484" s="31">
        <v>46155</v>
      </c>
      <c r="G484" s="30" t="s">
        <v>106</v>
      </c>
      <c r="H484" s="30" t="s">
        <v>58</v>
      </c>
      <c r="I484" s="31">
        <v>35906</v>
      </c>
      <c r="J484" s="30" t="s">
        <v>147</v>
      </c>
      <c r="K484" s="30" t="s">
        <v>148</v>
      </c>
      <c r="L484" s="30" t="s">
        <v>29</v>
      </c>
      <c r="M484" s="30" t="s">
        <v>107</v>
      </c>
      <c r="N484" s="30">
        <v>14</v>
      </c>
      <c r="O484" s="30">
        <v>8500</v>
      </c>
      <c r="P484" s="30">
        <v>10</v>
      </c>
      <c r="Q484" s="30">
        <v>107100</v>
      </c>
      <c r="R484" s="30">
        <v>4</v>
      </c>
      <c r="S484" s="30" t="s">
        <v>31</v>
      </c>
      <c r="T484" s="30" t="s">
        <v>32</v>
      </c>
      <c r="U484" s="30" t="s">
        <v>158</v>
      </c>
      <c r="V484" s="30">
        <v>9211936331</v>
      </c>
      <c r="W484" s="22" t="s">
        <v>34</v>
      </c>
    </row>
    <row r="485" spans="2:23" ht="15" thickBot="1" x14ac:dyDescent="0.4">
      <c r="B485" s="27" t="s">
        <v>584</v>
      </c>
      <c r="C485" s="27" t="s">
        <v>55</v>
      </c>
      <c r="D485" s="27" t="s">
        <v>138</v>
      </c>
      <c r="E485" s="28">
        <v>45807</v>
      </c>
      <c r="F485" s="28">
        <v>45815</v>
      </c>
      <c r="G485" s="27" t="s">
        <v>57</v>
      </c>
      <c r="H485" s="27" t="s">
        <v>58</v>
      </c>
      <c r="I485" s="28">
        <v>30812</v>
      </c>
      <c r="J485" s="27" t="s">
        <v>27</v>
      </c>
      <c r="K485" s="27" t="s">
        <v>28</v>
      </c>
      <c r="L485" s="27" t="s">
        <v>83</v>
      </c>
      <c r="M485" s="27" t="s">
        <v>139</v>
      </c>
      <c r="N485" s="27">
        <v>1</v>
      </c>
      <c r="O485" s="27">
        <v>45</v>
      </c>
      <c r="P485" s="27">
        <v>0</v>
      </c>
      <c r="Q485" s="27">
        <v>45</v>
      </c>
      <c r="R485" s="27">
        <v>3</v>
      </c>
      <c r="S485" s="27" t="s">
        <v>65</v>
      </c>
      <c r="T485" s="27" t="s">
        <v>96</v>
      </c>
      <c r="U485" s="27" t="s">
        <v>61</v>
      </c>
      <c r="V485" s="27">
        <v>9167291747</v>
      </c>
      <c r="W485" s="27" t="s">
        <v>53</v>
      </c>
    </row>
    <row r="486" spans="2:23" ht="15" thickBot="1" x14ac:dyDescent="0.4">
      <c r="B486" s="30" t="s">
        <v>585</v>
      </c>
      <c r="C486" s="30" t="s">
        <v>55</v>
      </c>
      <c r="D486" s="30" t="s">
        <v>46</v>
      </c>
      <c r="E486" s="31">
        <v>45705</v>
      </c>
      <c r="F486" s="31">
        <v>45716</v>
      </c>
      <c r="G486" s="30" t="s">
        <v>57</v>
      </c>
      <c r="H486" s="30" t="s">
        <v>58</v>
      </c>
      <c r="I486" s="31">
        <v>31692</v>
      </c>
      <c r="J486" s="30" t="s">
        <v>37</v>
      </c>
      <c r="K486" s="30" t="s">
        <v>38</v>
      </c>
      <c r="L486" s="30" t="s">
        <v>39</v>
      </c>
      <c r="M486" s="30" t="s">
        <v>49</v>
      </c>
      <c r="N486" s="30">
        <v>16</v>
      </c>
      <c r="O486" s="30">
        <v>55000</v>
      </c>
      <c r="P486" s="30">
        <v>15</v>
      </c>
      <c r="Q486" s="30">
        <v>748000</v>
      </c>
      <c r="R486" s="30">
        <v>1</v>
      </c>
      <c r="S486" s="30" t="s">
        <v>60</v>
      </c>
      <c r="T486" s="30" t="s">
        <v>96</v>
      </c>
      <c r="U486" s="30" t="s">
        <v>61</v>
      </c>
      <c r="V486" s="30">
        <v>9637283597</v>
      </c>
      <c r="W486" s="30" t="s">
        <v>53</v>
      </c>
    </row>
    <row r="487" spans="2:23" ht="15" thickBot="1" x14ac:dyDescent="0.4">
      <c r="B487" s="27" t="s">
        <v>586</v>
      </c>
      <c r="C487" s="27" t="s">
        <v>45</v>
      </c>
      <c r="D487" s="27" t="s">
        <v>112</v>
      </c>
      <c r="E487" s="28">
        <v>46103</v>
      </c>
      <c r="F487" s="28">
        <v>46110</v>
      </c>
      <c r="G487" s="27" t="s">
        <v>101</v>
      </c>
      <c r="H487" s="27" t="s">
        <v>26</v>
      </c>
      <c r="I487" s="28">
        <v>37926</v>
      </c>
      <c r="J487" s="27" t="s">
        <v>91</v>
      </c>
      <c r="K487" s="27" t="s">
        <v>75</v>
      </c>
      <c r="L487" s="27" t="s">
        <v>39</v>
      </c>
      <c r="M487" s="27" t="s">
        <v>114</v>
      </c>
      <c r="N487" s="27">
        <v>8</v>
      </c>
      <c r="O487" s="27">
        <v>700</v>
      </c>
      <c r="P487" s="27">
        <v>0</v>
      </c>
      <c r="Q487" s="27">
        <v>5600</v>
      </c>
      <c r="R487" s="27">
        <v>3</v>
      </c>
      <c r="S487" s="27" t="s">
        <v>31</v>
      </c>
      <c r="T487" s="27" t="s">
        <v>42</v>
      </c>
      <c r="U487" s="27" t="s">
        <v>51</v>
      </c>
      <c r="V487" s="27">
        <v>9514269002</v>
      </c>
      <c r="W487" s="21" t="s">
        <v>34</v>
      </c>
    </row>
    <row r="488" spans="2:23" ht="15" thickBot="1" x14ac:dyDescent="0.4">
      <c r="B488" s="30" t="s">
        <v>587</v>
      </c>
      <c r="C488" s="30" t="s">
        <v>134</v>
      </c>
      <c r="D488" s="30" t="s">
        <v>56</v>
      </c>
      <c r="E488" s="31">
        <v>46114</v>
      </c>
      <c r="F488" s="31">
        <v>46125</v>
      </c>
      <c r="G488" s="30" t="s">
        <v>135</v>
      </c>
      <c r="H488" s="30" t="s">
        <v>26</v>
      </c>
      <c r="I488" s="31">
        <v>37782</v>
      </c>
      <c r="J488" s="30" t="s">
        <v>91</v>
      </c>
      <c r="K488" s="30" t="s">
        <v>75</v>
      </c>
      <c r="L488" s="30" t="s">
        <v>39</v>
      </c>
      <c r="M488" s="30" t="s">
        <v>59</v>
      </c>
      <c r="N488" s="30">
        <v>3</v>
      </c>
      <c r="O488" s="30">
        <v>1200</v>
      </c>
      <c r="P488" s="30">
        <v>0</v>
      </c>
      <c r="Q488" s="30">
        <v>3600</v>
      </c>
      <c r="R488" s="30">
        <v>1</v>
      </c>
      <c r="S488" s="30" t="s">
        <v>60</v>
      </c>
      <c r="T488" s="30" t="s">
        <v>42</v>
      </c>
      <c r="U488" s="30" t="s">
        <v>136</v>
      </c>
      <c r="V488" s="30">
        <v>9778908233</v>
      </c>
      <c r="W488" s="30" t="s">
        <v>53</v>
      </c>
    </row>
    <row r="489" spans="2:23" ht="15" thickBot="1" x14ac:dyDescent="0.4">
      <c r="B489" s="27" t="s">
        <v>588</v>
      </c>
      <c r="C489" s="27" t="s">
        <v>55</v>
      </c>
      <c r="D489" s="27" t="s">
        <v>68</v>
      </c>
      <c r="E489" s="28">
        <v>45706</v>
      </c>
      <c r="F489" s="28">
        <v>45714</v>
      </c>
      <c r="G489" s="27" t="s">
        <v>57</v>
      </c>
      <c r="H489" s="27" t="s">
        <v>58</v>
      </c>
      <c r="I489" s="28">
        <v>32959</v>
      </c>
      <c r="J489" s="27" t="s">
        <v>147</v>
      </c>
      <c r="K489" s="27" t="s">
        <v>148</v>
      </c>
      <c r="L489" s="27" t="s">
        <v>29</v>
      </c>
      <c r="M489" s="27" t="s">
        <v>70</v>
      </c>
      <c r="N489" s="27">
        <v>7</v>
      </c>
      <c r="O489" s="27">
        <v>3500</v>
      </c>
      <c r="P489" s="27">
        <v>15</v>
      </c>
      <c r="Q489" s="27">
        <v>20825</v>
      </c>
      <c r="R489" s="27">
        <v>4</v>
      </c>
      <c r="S489" s="27" t="s">
        <v>60</v>
      </c>
      <c r="T489" s="27" t="s">
        <v>50</v>
      </c>
      <c r="U489" s="27" t="s">
        <v>61</v>
      </c>
      <c r="V489" s="27">
        <v>9981118755</v>
      </c>
      <c r="W489" s="27" t="s">
        <v>52</v>
      </c>
    </row>
    <row r="490" spans="2:23" ht="15" thickBot="1" x14ac:dyDescent="0.4">
      <c r="B490" s="30" t="s">
        <v>589</v>
      </c>
      <c r="C490" s="30" t="s">
        <v>45</v>
      </c>
      <c r="D490" s="30" t="s">
        <v>46</v>
      </c>
      <c r="E490" s="31">
        <v>46110</v>
      </c>
      <c r="F490" s="31">
        <v>46116</v>
      </c>
      <c r="G490" s="30" t="s">
        <v>101</v>
      </c>
      <c r="H490" s="30" t="s">
        <v>26</v>
      </c>
      <c r="I490" s="31">
        <v>37769</v>
      </c>
      <c r="J490" s="30" t="s">
        <v>79</v>
      </c>
      <c r="K490" s="30" t="s">
        <v>75</v>
      </c>
      <c r="L490" s="30" t="s">
        <v>39</v>
      </c>
      <c r="M490" s="30" t="s">
        <v>49</v>
      </c>
      <c r="N490" s="30">
        <v>9</v>
      </c>
      <c r="O490" s="30">
        <v>55000</v>
      </c>
      <c r="P490" s="30">
        <v>15</v>
      </c>
      <c r="Q490" s="30">
        <v>420750</v>
      </c>
      <c r="R490" s="30">
        <v>3</v>
      </c>
      <c r="S490" s="30" t="s">
        <v>65</v>
      </c>
      <c r="T490" s="30" t="s">
        <v>32</v>
      </c>
      <c r="U490" s="30" t="s">
        <v>51</v>
      </c>
      <c r="V490" s="30">
        <v>9887896743</v>
      </c>
      <c r="W490" s="30" t="s">
        <v>53</v>
      </c>
    </row>
    <row r="491" spans="2:23" ht="15" thickBot="1" x14ac:dyDescent="0.4">
      <c r="B491" s="27" t="s">
        <v>590</v>
      </c>
      <c r="C491" s="27" t="s">
        <v>156</v>
      </c>
      <c r="D491" s="27" t="s">
        <v>36</v>
      </c>
      <c r="E491" s="28">
        <v>45992</v>
      </c>
      <c r="F491" s="28">
        <v>45993</v>
      </c>
      <c r="G491" s="27" t="s">
        <v>106</v>
      </c>
      <c r="H491" s="27" t="s">
        <v>58</v>
      </c>
      <c r="I491" s="28">
        <v>34006</v>
      </c>
      <c r="J491" s="27" t="s">
        <v>48</v>
      </c>
      <c r="K491" s="27" t="s">
        <v>28</v>
      </c>
      <c r="L491" s="27" t="s">
        <v>39</v>
      </c>
      <c r="M491" s="27" t="s">
        <v>40</v>
      </c>
      <c r="N491" s="27">
        <v>12</v>
      </c>
      <c r="O491" s="27">
        <v>12000</v>
      </c>
      <c r="P491" s="27">
        <v>0</v>
      </c>
      <c r="Q491" s="27">
        <v>144000</v>
      </c>
      <c r="R491" s="27">
        <v>3</v>
      </c>
      <c r="S491" s="27" t="s">
        <v>60</v>
      </c>
      <c r="T491" s="27" t="s">
        <v>96</v>
      </c>
      <c r="U491" s="27" t="s">
        <v>158</v>
      </c>
      <c r="V491" s="27">
        <v>9585330043</v>
      </c>
      <c r="W491" s="27" t="s">
        <v>53</v>
      </c>
    </row>
    <row r="492" spans="2:23" ht="15" thickBot="1" x14ac:dyDescent="0.4">
      <c r="B492" s="30" t="s">
        <v>591</v>
      </c>
      <c r="C492" s="30" t="s">
        <v>72</v>
      </c>
      <c r="D492" s="30" t="s">
        <v>82</v>
      </c>
      <c r="E492" s="31">
        <v>45781</v>
      </c>
      <c r="F492" s="31">
        <v>45788</v>
      </c>
      <c r="G492" s="30" t="s">
        <v>73</v>
      </c>
      <c r="H492" s="30" t="s">
        <v>26</v>
      </c>
      <c r="I492" s="31">
        <v>27639</v>
      </c>
      <c r="J492" s="30" t="s">
        <v>91</v>
      </c>
      <c r="K492" s="30" t="s">
        <v>75</v>
      </c>
      <c r="L492" s="30" t="s">
        <v>83</v>
      </c>
      <c r="M492" s="30" t="s">
        <v>84</v>
      </c>
      <c r="N492" s="30">
        <v>7</v>
      </c>
      <c r="O492" s="30">
        <v>60</v>
      </c>
      <c r="P492" s="30">
        <v>10</v>
      </c>
      <c r="Q492" s="30">
        <v>378</v>
      </c>
      <c r="R492" s="30">
        <v>4</v>
      </c>
      <c r="S492" s="30" t="s">
        <v>31</v>
      </c>
      <c r="T492" s="30" t="s">
        <v>42</v>
      </c>
      <c r="U492" s="30" t="s">
        <v>93</v>
      </c>
      <c r="V492" s="30">
        <v>9423719975</v>
      </c>
      <c r="W492" s="30" t="s">
        <v>53</v>
      </c>
    </row>
    <row r="493" spans="2:23" ht="15" thickBot="1" x14ac:dyDescent="0.4">
      <c r="B493" s="27" t="s">
        <v>592</v>
      </c>
      <c r="C493" s="27" t="s">
        <v>124</v>
      </c>
      <c r="D493" s="27" t="s">
        <v>24</v>
      </c>
      <c r="E493" s="28">
        <v>45892</v>
      </c>
      <c r="F493" s="28">
        <v>45900</v>
      </c>
      <c r="G493" s="27" t="s">
        <v>126</v>
      </c>
      <c r="H493" s="27" t="s">
        <v>58</v>
      </c>
      <c r="I493" s="28">
        <v>34586</v>
      </c>
      <c r="J493" s="27" t="s">
        <v>74</v>
      </c>
      <c r="K493" s="27" t="s">
        <v>75</v>
      </c>
      <c r="L493" s="27" t="s">
        <v>29</v>
      </c>
      <c r="M493" s="27" t="s">
        <v>30</v>
      </c>
      <c r="N493" s="27">
        <v>17</v>
      </c>
      <c r="O493" s="27">
        <v>2200</v>
      </c>
      <c r="P493" s="27">
        <v>15</v>
      </c>
      <c r="Q493" s="27">
        <v>31790</v>
      </c>
      <c r="R493" s="27">
        <v>3</v>
      </c>
      <c r="S493" s="27" t="s">
        <v>65</v>
      </c>
      <c r="T493" s="27" t="s">
        <v>96</v>
      </c>
      <c r="U493" s="27" t="s">
        <v>128</v>
      </c>
      <c r="V493" s="27">
        <v>9270746961</v>
      </c>
      <c r="W493" s="27" t="s">
        <v>52</v>
      </c>
    </row>
    <row r="494" spans="2:23" ht="15" thickBot="1" x14ac:dyDescent="0.4">
      <c r="B494" s="30" t="s">
        <v>593</v>
      </c>
      <c r="C494" s="30" t="s">
        <v>156</v>
      </c>
      <c r="D494" s="30" t="s">
        <v>112</v>
      </c>
      <c r="E494" s="31">
        <v>45988</v>
      </c>
      <c r="F494" s="31">
        <v>45997</v>
      </c>
      <c r="G494" s="30" t="s">
        <v>106</v>
      </c>
      <c r="H494" s="30" t="s">
        <v>58</v>
      </c>
      <c r="I494" s="31">
        <v>33884</v>
      </c>
      <c r="J494" s="30" t="s">
        <v>48</v>
      </c>
      <c r="K494" s="30" t="s">
        <v>28</v>
      </c>
      <c r="L494" s="30" t="s">
        <v>39</v>
      </c>
      <c r="M494" s="30" t="s">
        <v>114</v>
      </c>
      <c r="N494" s="30">
        <v>17</v>
      </c>
      <c r="O494" s="30">
        <v>700</v>
      </c>
      <c r="P494" s="30">
        <v>10</v>
      </c>
      <c r="Q494" s="30">
        <v>10710</v>
      </c>
      <c r="R494" s="30">
        <v>2</v>
      </c>
      <c r="S494" s="30" t="s">
        <v>31</v>
      </c>
      <c r="T494" s="30" t="s">
        <v>50</v>
      </c>
      <c r="U494" s="30" t="s">
        <v>158</v>
      </c>
      <c r="V494" s="30">
        <v>9333162025</v>
      </c>
      <c r="W494" s="30" t="s">
        <v>52</v>
      </c>
    </row>
    <row r="495" spans="2:23" ht="15" thickBot="1" x14ac:dyDescent="0.4">
      <c r="B495" s="27" t="s">
        <v>595</v>
      </c>
      <c r="C495" s="27" t="s">
        <v>156</v>
      </c>
      <c r="D495" s="27" t="s">
        <v>46</v>
      </c>
      <c r="E495" s="28">
        <v>45806</v>
      </c>
      <c r="F495" s="28">
        <v>45809</v>
      </c>
      <c r="G495" s="27" t="s">
        <v>106</v>
      </c>
      <c r="H495" s="27" t="s">
        <v>58</v>
      </c>
      <c r="I495" s="28">
        <v>37454</v>
      </c>
      <c r="J495" s="27" t="s">
        <v>37</v>
      </c>
      <c r="K495" s="27" t="s">
        <v>38</v>
      </c>
      <c r="L495" s="27" t="s">
        <v>39</v>
      </c>
      <c r="M495" s="27" t="s">
        <v>49</v>
      </c>
      <c r="N495" s="27">
        <v>19</v>
      </c>
      <c r="O495" s="27">
        <v>55000</v>
      </c>
      <c r="P495" s="27">
        <v>20</v>
      </c>
      <c r="Q495" s="27">
        <v>836000</v>
      </c>
      <c r="R495" s="27">
        <v>5</v>
      </c>
      <c r="S495" s="27" t="s">
        <v>41</v>
      </c>
      <c r="T495" s="27" t="s">
        <v>50</v>
      </c>
      <c r="U495" s="27" t="s">
        <v>158</v>
      </c>
      <c r="V495" s="27">
        <v>9247023285</v>
      </c>
      <c r="W495" s="21" t="s">
        <v>34</v>
      </c>
    </row>
    <row r="496" spans="2:23" ht="15" thickBot="1" x14ac:dyDescent="0.4">
      <c r="B496" s="30" t="s">
        <v>596</v>
      </c>
      <c r="C496" s="30" t="s">
        <v>87</v>
      </c>
      <c r="D496" s="30" t="s">
        <v>82</v>
      </c>
      <c r="E496" s="31">
        <v>45912</v>
      </c>
      <c r="F496" s="31">
        <v>45919</v>
      </c>
      <c r="G496" s="30" t="s">
        <v>88</v>
      </c>
      <c r="H496" s="30" t="s">
        <v>58</v>
      </c>
      <c r="I496" s="31">
        <v>36925</v>
      </c>
      <c r="J496" s="30" t="s">
        <v>37</v>
      </c>
      <c r="K496" s="30" t="s">
        <v>38</v>
      </c>
      <c r="L496" s="30" t="s">
        <v>83</v>
      </c>
      <c r="M496" s="30" t="s">
        <v>84</v>
      </c>
      <c r="N496" s="30">
        <v>1</v>
      </c>
      <c r="O496" s="30">
        <v>60</v>
      </c>
      <c r="P496" s="30">
        <v>10</v>
      </c>
      <c r="Q496" s="30">
        <v>54</v>
      </c>
      <c r="R496" s="30">
        <v>4</v>
      </c>
      <c r="S496" s="22" t="s">
        <v>41</v>
      </c>
      <c r="T496" s="30"/>
      <c r="U496" s="32" t="s">
        <v>594</v>
      </c>
      <c r="V496" s="30">
        <v>9448658297</v>
      </c>
      <c r="W496" s="30" t="s">
        <v>53</v>
      </c>
    </row>
    <row r="497" spans="2:23" ht="15" thickBot="1" x14ac:dyDescent="0.4">
      <c r="B497" s="27" t="s">
        <v>597</v>
      </c>
      <c r="C497" s="27" t="s">
        <v>55</v>
      </c>
      <c r="D497" s="27" t="s">
        <v>68</v>
      </c>
      <c r="E497" s="28">
        <v>46085</v>
      </c>
      <c r="F497" s="28">
        <v>46092</v>
      </c>
      <c r="G497" s="27" t="s">
        <v>57</v>
      </c>
      <c r="H497" s="27" t="s">
        <v>58</v>
      </c>
      <c r="I497" s="28">
        <v>33047</v>
      </c>
      <c r="J497" s="27" t="s">
        <v>27</v>
      </c>
      <c r="K497" s="27" t="s">
        <v>28</v>
      </c>
      <c r="L497" s="27" t="s">
        <v>29</v>
      </c>
      <c r="M497" s="27" t="s">
        <v>70</v>
      </c>
      <c r="N497" s="27">
        <v>16</v>
      </c>
      <c r="O497" s="27">
        <v>3500</v>
      </c>
      <c r="P497" s="27">
        <v>0</v>
      </c>
      <c r="Q497" s="27">
        <v>56000</v>
      </c>
      <c r="R497" s="27">
        <v>4</v>
      </c>
      <c r="S497" s="27" t="s">
        <v>41</v>
      </c>
      <c r="T497" s="27" t="s">
        <v>32</v>
      </c>
      <c r="U497" s="27" t="s">
        <v>61</v>
      </c>
      <c r="V497" s="27">
        <v>9906748486</v>
      </c>
      <c r="W497" s="27" t="s">
        <v>52</v>
      </c>
    </row>
    <row r="498" spans="2:23" ht="15" thickBot="1" x14ac:dyDescent="0.4">
      <c r="B498" s="30" t="s">
        <v>598</v>
      </c>
      <c r="C498" s="30" t="s">
        <v>87</v>
      </c>
      <c r="D498" s="30" t="s">
        <v>125</v>
      </c>
      <c r="E498" s="31">
        <v>45681</v>
      </c>
      <c r="F498" s="31">
        <v>45693</v>
      </c>
      <c r="G498" s="30" t="s">
        <v>88</v>
      </c>
      <c r="H498" s="30" t="s">
        <v>58</v>
      </c>
      <c r="I498" s="31">
        <v>28623</v>
      </c>
      <c r="J498" s="30" t="s">
        <v>79</v>
      </c>
      <c r="K498" s="30" t="s">
        <v>75</v>
      </c>
      <c r="L498" s="30" t="s">
        <v>83</v>
      </c>
      <c r="M498" s="30" t="s">
        <v>127</v>
      </c>
      <c r="N498" s="30">
        <v>14</v>
      </c>
      <c r="O498" s="30">
        <v>20</v>
      </c>
      <c r="P498" s="30">
        <v>10</v>
      </c>
      <c r="Q498" s="30">
        <v>252</v>
      </c>
      <c r="R498" s="30">
        <v>1</v>
      </c>
      <c r="S498" s="30" t="s">
        <v>41</v>
      </c>
      <c r="T498" s="30" t="s">
        <v>50</v>
      </c>
      <c r="U498" s="30" t="s">
        <v>89</v>
      </c>
      <c r="V498" s="30">
        <v>9365182725</v>
      </c>
      <c r="W498" s="30" t="s">
        <v>52</v>
      </c>
    </row>
    <row r="499" spans="2:23" ht="15" thickBot="1" x14ac:dyDescent="0.4">
      <c r="B499" s="27" t="s">
        <v>599</v>
      </c>
      <c r="C499" s="27" t="s">
        <v>55</v>
      </c>
      <c r="D499" s="27" t="s">
        <v>24</v>
      </c>
      <c r="E499" s="28">
        <v>46004</v>
      </c>
      <c r="F499" s="28">
        <v>46005</v>
      </c>
      <c r="G499" s="27" t="s">
        <v>57</v>
      </c>
      <c r="H499" s="27" t="s">
        <v>58</v>
      </c>
      <c r="I499" s="28">
        <v>36729</v>
      </c>
      <c r="J499" s="27" t="s">
        <v>48</v>
      </c>
      <c r="K499" s="27" t="s">
        <v>28</v>
      </c>
      <c r="L499" s="27" t="s">
        <v>29</v>
      </c>
      <c r="M499" s="27" t="s">
        <v>30</v>
      </c>
      <c r="N499" s="27">
        <v>11</v>
      </c>
      <c r="O499" s="27">
        <v>2200</v>
      </c>
      <c r="P499" s="27">
        <v>15</v>
      </c>
      <c r="Q499" s="27">
        <v>20570</v>
      </c>
      <c r="R499" s="27">
        <v>4</v>
      </c>
      <c r="S499" s="27" t="s">
        <v>41</v>
      </c>
      <c r="T499" s="27" t="s">
        <v>42</v>
      </c>
      <c r="U499" s="27" t="s">
        <v>61</v>
      </c>
      <c r="V499" s="27">
        <v>9937119494</v>
      </c>
      <c r="W499" s="27" t="s">
        <v>53</v>
      </c>
    </row>
    <row r="500" spans="2:23" ht="15" thickBot="1" x14ac:dyDescent="0.4">
      <c r="B500" s="30" t="s">
        <v>600</v>
      </c>
      <c r="C500" s="30" t="s">
        <v>63</v>
      </c>
      <c r="D500" s="30" t="s">
        <v>46</v>
      </c>
      <c r="E500" s="31">
        <v>45870</v>
      </c>
      <c r="F500" s="31">
        <v>45878</v>
      </c>
      <c r="G500" s="30" t="s">
        <v>110</v>
      </c>
      <c r="H500" s="30" t="s">
        <v>58</v>
      </c>
      <c r="I500" s="31">
        <v>31126</v>
      </c>
      <c r="J500" s="30" t="s">
        <v>121</v>
      </c>
      <c r="K500" s="30" t="s">
        <v>38</v>
      </c>
      <c r="L500" s="30" t="s">
        <v>39</v>
      </c>
      <c r="M500" s="30" t="s">
        <v>49</v>
      </c>
      <c r="N500" s="30">
        <v>2</v>
      </c>
      <c r="O500" s="30">
        <v>55000</v>
      </c>
      <c r="P500" s="30">
        <v>0</v>
      </c>
      <c r="Q500" s="30">
        <v>110000</v>
      </c>
      <c r="R500" s="30">
        <v>4</v>
      </c>
      <c r="S500" s="30" t="s">
        <v>41</v>
      </c>
      <c r="T500" s="30" t="s">
        <v>42</v>
      </c>
      <c r="U500" s="30" t="s">
        <v>66</v>
      </c>
      <c r="V500" s="30">
        <v>9828015293</v>
      </c>
      <c r="W500" s="30" t="s">
        <v>53</v>
      </c>
    </row>
    <row r="501" spans="2:23" ht="15" thickBot="1" x14ac:dyDescent="0.4">
      <c r="B501" s="27" t="s">
        <v>601</v>
      </c>
      <c r="C501" s="27" t="s">
        <v>45</v>
      </c>
      <c r="D501" s="27" t="s">
        <v>24</v>
      </c>
      <c r="E501" s="28">
        <v>45658</v>
      </c>
      <c r="F501" s="28">
        <v>45664</v>
      </c>
      <c r="G501" s="27" t="s">
        <v>101</v>
      </c>
      <c r="H501" s="27" t="s">
        <v>26</v>
      </c>
      <c r="I501" s="28">
        <v>32181</v>
      </c>
      <c r="J501" s="27" t="s">
        <v>79</v>
      </c>
      <c r="K501" s="27" t="s">
        <v>75</v>
      </c>
      <c r="L501" s="27" t="s">
        <v>29</v>
      </c>
      <c r="M501" s="27" t="s">
        <v>30</v>
      </c>
      <c r="N501" s="27">
        <v>7</v>
      </c>
      <c r="O501" s="27">
        <v>2200</v>
      </c>
      <c r="P501" s="27">
        <v>5</v>
      </c>
      <c r="Q501" s="27">
        <v>14630</v>
      </c>
      <c r="R501" s="27">
        <v>4</v>
      </c>
      <c r="S501" s="27" t="s">
        <v>60</v>
      </c>
      <c r="T501" s="27" t="s">
        <v>80</v>
      </c>
      <c r="U501" s="27" t="s">
        <v>51</v>
      </c>
      <c r="V501" s="27">
        <v>9864206250</v>
      </c>
      <c r="W501" s="27" t="s">
        <v>53</v>
      </c>
    </row>
    <row r="502" spans="2:23" ht="15" thickBot="1" x14ac:dyDescent="0.4">
      <c r="B502" s="30" t="s">
        <v>602</v>
      </c>
      <c r="C502" s="30" t="s">
        <v>23</v>
      </c>
      <c r="D502" s="30" t="s">
        <v>138</v>
      </c>
      <c r="E502" s="31">
        <v>45755</v>
      </c>
      <c r="F502" s="31">
        <v>45759</v>
      </c>
      <c r="G502" s="30" t="s">
        <v>25</v>
      </c>
      <c r="H502" s="30" t="s">
        <v>26</v>
      </c>
      <c r="I502" s="31">
        <v>35546</v>
      </c>
      <c r="J502" s="30" t="s">
        <v>91</v>
      </c>
      <c r="K502" s="30" t="s">
        <v>75</v>
      </c>
      <c r="L502" s="30" t="s">
        <v>83</v>
      </c>
      <c r="M502" s="30" t="s">
        <v>139</v>
      </c>
      <c r="N502" s="30">
        <v>11</v>
      </c>
      <c r="O502" s="30">
        <v>45</v>
      </c>
      <c r="P502" s="30">
        <v>15</v>
      </c>
      <c r="Q502" s="30">
        <v>420.75</v>
      </c>
      <c r="R502" s="30">
        <v>4</v>
      </c>
      <c r="S502" s="30" t="s">
        <v>60</v>
      </c>
      <c r="T502" s="30" t="s">
        <v>50</v>
      </c>
      <c r="U502" s="30" t="s">
        <v>43</v>
      </c>
      <c r="V502" s="30">
        <v>9519293104</v>
      </c>
      <c r="W502" s="30" t="s">
        <v>52</v>
      </c>
    </row>
    <row r="503" spans="2:23" ht="15" thickBot="1" x14ac:dyDescent="0.4">
      <c r="B503" s="27" t="s">
        <v>603</v>
      </c>
      <c r="C503" s="27" t="s">
        <v>72</v>
      </c>
      <c r="D503" s="27" t="s">
        <v>82</v>
      </c>
      <c r="E503" s="28">
        <v>45767</v>
      </c>
      <c r="F503" s="28">
        <v>45777</v>
      </c>
      <c r="G503" s="27" t="s">
        <v>73</v>
      </c>
      <c r="H503" s="27" t="s">
        <v>26</v>
      </c>
      <c r="I503" s="28">
        <v>37033</v>
      </c>
      <c r="J503" s="27" t="s">
        <v>74</v>
      </c>
      <c r="K503" s="27" t="s">
        <v>75</v>
      </c>
      <c r="L503" s="27" t="s">
        <v>83</v>
      </c>
      <c r="M503" s="27" t="s">
        <v>84</v>
      </c>
      <c r="N503" s="27">
        <v>16</v>
      </c>
      <c r="O503" s="27">
        <v>60</v>
      </c>
      <c r="P503" s="27">
        <v>5</v>
      </c>
      <c r="Q503" s="27">
        <v>912</v>
      </c>
      <c r="R503" s="27">
        <v>2</v>
      </c>
      <c r="S503" s="27" t="s">
        <v>31</v>
      </c>
      <c r="T503" s="27" t="s">
        <v>80</v>
      </c>
      <c r="U503" s="27" t="s">
        <v>93</v>
      </c>
      <c r="V503" s="27">
        <v>9296075245</v>
      </c>
      <c r="W503" s="27" t="s">
        <v>53</v>
      </c>
    </row>
    <row r="504" spans="2:23" ht="15" thickBot="1" x14ac:dyDescent="0.4">
      <c r="B504" s="30" t="s">
        <v>604</v>
      </c>
      <c r="C504" s="30" t="s">
        <v>156</v>
      </c>
      <c r="D504" s="30" t="s">
        <v>46</v>
      </c>
      <c r="E504" s="31">
        <v>45963</v>
      </c>
      <c r="F504" s="31">
        <v>45965</v>
      </c>
      <c r="G504" s="30" t="s">
        <v>106</v>
      </c>
      <c r="H504" s="30" t="s">
        <v>58</v>
      </c>
      <c r="I504" s="31">
        <v>30121</v>
      </c>
      <c r="J504" s="30" t="s">
        <v>79</v>
      </c>
      <c r="K504" s="30" t="s">
        <v>75</v>
      </c>
      <c r="L504" s="30" t="s">
        <v>39</v>
      </c>
      <c r="M504" s="30" t="s">
        <v>49</v>
      </c>
      <c r="N504" s="30">
        <v>18</v>
      </c>
      <c r="O504" s="30">
        <v>55000</v>
      </c>
      <c r="P504" s="30">
        <v>0</v>
      </c>
      <c r="Q504" s="30">
        <v>990000</v>
      </c>
      <c r="R504" s="30">
        <v>5</v>
      </c>
      <c r="S504" s="30" t="s">
        <v>41</v>
      </c>
      <c r="T504" s="30" t="s">
        <v>42</v>
      </c>
      <c r="U504" s="30" t="s">
        <v>158</v>
      </c>
      <c r="V504" s="30">
        <v>9316770206</v>
      </c>
      <c r="W504" s="30" t="s">
        <v>52</v>
      </c>
    </row>
    <row r="505" spans="2:23" ht="15" thickBot="1" x14ac:dyDescent="0.4">
      <c r="B505" s="27" t="s">
        <v>605</v>
      </c>
      <c r="C505" s="27" t="s">
        <v>23</v>
      </c>
      <c r="D505" s="27" t="s">
        <v>56</v>
      </c>
      <c r="E505" s="28">
        <v>45948</v>
      </c>
      <c r="F505" s="28">
        <v>45952</v>
      </c>
      <c r="G505" s="27" t="s">
        <v>25</v>
      </c>
      <c r="H505" s="27" t="s">
        <v>26</v>
      </c>
      <c r="I505" s="28">
        <v>36334</v>
      </c>
      <c r="J505" s="27" t="s">
        <v>48</v>
      </c>
      <c r="K505" s="27" t="s">
        <v>28</v>
      </c>
      <c r="L505" s="27" t="s">
        <v>39</v>
      </c>
      <c r="M505" s="27" t="s">
        <v>59</v>
      </c>
      <c r="N505" s="27">
        <v>17</v>
      </c>
      <c r="O505" s="27">
        <v>1200</v>
      </c>
      <c r="P505" s="27">
        <v>5</v>
      </c>
      <c r="Q505" s="27">
        <v>19380</v>
      </c>
      <c r="R505" s="27">
        <v>1</v>
      </c>
      <c r="S505" s="27" t="s">
        <v>41</v>
      </c>
      <c r="T505" s="27" t="s">
        <v>32</v>
      </c>
      <c r="U505" s="27" t="s">
        <v>43</v>
      </c>
      <c r="V505" s="27">
        <v>9706553861</v>
      </c>
      <c r="W505" s="27" t="s">
        <v>52</v>
      </c>
    </row>
    <row r="506" spans="2:23" ht="15" thickBot="1" x14ac:dyDescent="0.4">
      <c r="B506" s="30" t="s">
        <v>606</v>
      </c>
      <c r="C506" s="30" t="s">
        <v>45</v>
      </c>
      <c r="D506" s="30" t="s">
        <v>46</v>
      </c>
      <c r="E506" s="31">
        <v>45774</v>
      </c>
      <c r="F506" s="31">
        <v>45782</v>
      </c>
      <c r="G506" s="30" t="s">
        <v>101</v>
      </c>
      <c r="H506" s="30" t="s">
        <v>26</v>
      </c>
      <c r="I506" s="31">
        <v>36924</v>
      </c>
      <c r="J506" s="30" t="s">
        <v>79</v>
      </c>
      <c r="K506" s="30" t="s">
        <v>75</v>
      </c>
      <c r="L506" s="30" t="s">
        <v>39</v>
      </c>
      <c r="M506" s="30" t="s">
        <v>49</v>
      </c>
      <c r="N506" s="30">
        <v>11</v>
      </c>
      <c r="O506" s="30">
        <v>55000</v>
      </c>
      <c r="P506" s="30">
        <v>0</v>
      </c>
      <c r="Q506" s="30">
        <v>605000</v>
      </c>
      <c r="R506" s="30">
        <v>2</v>
      </c>
      <c r="S506" s="30" t="s">
        <v>31</v>
      </c>
      <c r="T506" s="30" t="s">
        <v>50</v>
      </c>
      <c r="U506" s="30" t="s">
        <v>51</v>
      </c>
      <c r="V506" s="30">
        <v>9524904662</v>
      </c>
      <c r="W506" s="30" t="s">
        <v>52</v>
      </c>
    </row>
    <row r="507" spans="2:23" ht="15" thickBot="1" x14ac:dyDescent="0.4">
      <c r="B507" s="27" t="s">
        <v>607</v>
      </c>
      <c r="C507" s="27" t="s">
        <v>134</v>
      </c>
      <c r="D507" s="27" t="s">
        <v>112</v>
      </c>
      <c r="E507" s="28">
        <v>45799</v>
      </c>
      <c r="F507" s="28">
        <v>45808</v>
      </c>
      <c r="G507" s="27" t="s">
        <v>135</v>
      </c>
      <c r="H507" s="27" t="s">
        <v>26</v>
      </c>
      <c r="I507" s="28">
        <v>36200</v>
      </c>
      <c r="J507" s="27" t="s">
        <v>37</v>
      </c>
      <c r="K507" s="27" t="s">
        <v>38</v>
      </c>
      <c r="L507" s="27" t="s">
        <v>39</v>
      </c>
      <c r="M507" s="27" t="s">
        <v>114</v>
      </c>
      <c r="N507" s="27">
        <v>20</v>
      </c>
      <c r="O507" s="27">
        <v>700</v>
      </c>
      <c r="P507" s="27">
        <v>20</v>
      </c>
      <c r="Q507" s="27">
        <v>11200</v>
      </c>
      <c r="R507" s="27">
        <v>5</v>
      </c>
      <c r="S507" s="27" t="s">
        <v>41</v>
      </c>
      <c r="T507" s="27" t="s">
        <v>50</v>
      </c>
      <c r="U507" s="27" t="s">
        <v>136</v>
      </c>
      <c r="V507" s="27">
        <v>9577624596</v>
      </c>
      <c r="W507" s="21" t="s">
        <v>34</v>
      </c>
    </row>
    <row r="508" spans="2:23" ht="15" thickBot="1" x14ac:dyDescent="0.4">
      <c r="B508" s="30" t="s">
        <v>608</v>
      </c>
      <c r="C508" s="30" t="s">
        <v>55</v>
      </c>
      <c r="D508" s="30" t="s">
        <v>125</v>
      </c>
      <c r="E508" s="31">
        <v>46050</v>
      </c>
      <c r="F508" s="31">
        <v>46061</v>
      </c>
      <c r="G508" s="30" t="s">
        <v>57</v>
      </c>
      <c r="H508" s="30" t="s">
        <v>58</v>
      </c>
      <c r="I508" s="31">
        <v>32269</v>
      </c>
      <c r="J508" s="30" t="s">
        <v>37</v>
      </c>
      <c r="K508" s="30" t="s">
        <v>38</v>
      </c>
      <c r="L508" s="30" t="s">
        <v>83</v>
      </c>
      <c r="M508" s="30" t="s">
        <v>127</v>
      </c>
      <c r="N508" s="30">
        <v>5</v>
      </c>
      <c r="O508" s="30">
        <v>20</v>
      </c>
      <c r="P508" s="30">
        <v>5</v>
      </c>
      <c r="Q508" s="30">
        <v>95</v>
      </c>
      <c r="R508" s="30">
        <v>4</v>
      </c>
      <c r="S508" s="30" t="s">
        <v>31</v>
      </c>
      <c r="T508" s="30" t="s">
        <v>42</v>
      </c>
      <c r="U508" s="30" t="s">
        <v>61</v>
      </c>
      <c r="V508" s="30">
        <v>9898452436</v>
      </c>
      <c r="W508" s="30" t="s">
        <v>53</v>
      </c>
    </row>
    <row r="509" spans="2:23" ht="15" thickBot="1" x14ac:dyDescent="0.4">
      <c r="B509" s="27" t="s">
        <v>609</v>
      </c>
      <c r="C509" s="27" t="s">
        <v>156</v>
      </c>
      <c r="D509" s="27" t="s">
        <v>46</v>
      </c>
      <c r="E509" s="28">
        <v>45692</v>
      </c>
      <c r="F509" s="28">
        <v>45699</v>
      </c>
      <c r="G509" s="27" t="s">
        <v>106</v>
      </c>
      <c r="H509" s="27" t="s">
        <v>58</v>
      </c>
      <c r="I509" s="28">
        <v>27437</v>
      </c>
      <c r="J509" s="27" t="s">
        <v>74</v>
      </c>
      <c r="K509" s="27" t="s">
        <v>75</v>
      </c>
      <c r="L509" s="27" t="s">
        <v>39</v>
      </c>
      <c r="M509" s="27" t="s">
        <v>49</v>
      </c>
      <c r="N509" s="27">
        <v>13</v>
      </c>
      <c r="O509" s="27">
        <v>55000</v>
      </c>
      <c r="P509" s="27">
        <v>5</v>
      </c>
      <c r="Q509" s="27">
        <v>679250</v>
      </c>
      <c r="R509" s="27">
        <v>1</v>
      </c>
      <c r="S509" s="27" t="s">
        <v>41</v>
      </c>
      <c r="T509" s="27" t="s">
        <v>42</v>
      </c>
      <c r="U509" s="27" t="s">
        <v>158</v>
      </c>
      <c r="V509" s="27">
        <v>9960757012</v>
      </c>
      <c r="W509" s="27" t="s">
        <v>52</v>
      </c>
    </row>
    <row r="510" spans="2:23" ht="15" thickBot="1" x14ac:dyDescent="0.4">
      <c r="B510" s="30" t="s">
        <v>610</v>
      </c>
      <c r="C510" s="30" t="s">
        <v>87</v>
      </c>
      <c r="D510" s="30" t="s">
        <v>46</v>
      </c>
      <c r="E510" s="31">
        <v>45766</v>
      </c>
      <c r="F510" s="31">
        <v>45767</v>
      </c>
      <c r="G510" s="30" t="s">
        <v>88</v>
      </c>
      <c r="H510" s="30" t="s">
        <v>58</v>
      </c>
      <c r="I510" s="31">
        <v>37987</v>
      </c>
      <c r="J510" s="30" t="s">
        <v>147</v>
      </c>
      <c r="K510" s="30" t="s">
        <v>148</v>
      </c>
      <c r="L510" s="30" t="s">
        <v>39</v>
      </c>
      <c r="M510" s="30" t="s">
        <v>49</v>
      </c>
      <c r="N510" s="30">
        <v>12</v>
      </c>
      <c r="O510" s="30">
        <v>55000</v>
      </c>
      <c r="P510" s="30">
        <v>5</v>
      </c>
      <c r="Q510" s="30">
        <v>627000</v>
      </c>
      <c r="R510" s="30">
        <v>1</v>
      </c>
      <c r="S510" s="30" t="s">
        <v>41</v>
      </c>
      <c r="T510" s="30" t="s">
        <v>80</v>
      </c>
      <c r="U510" s="30" t="s">
        <v>89</v>
      </c>
      <c r="V510" s="30">
        <v>9331268182</v>
      </c>
      <c r="W510" s="30" t="s">
        <v>53</v>
      </c>
    </row>
    <row r="511" spans="2:23" ht="15" thickBot="1" x14ac:dyDescent="0.4">
      <c r="B511" s="27" t="s">
        <v>612</v>
      </c>
      <c r="C511" s="27" t="s">
        <v>45</v>
      </c>
      <c r="D511" s="27" t="s">
        <v>138</v>
      </c>
      <c r="E511" s="28">
        <v>45678</v>
      </c>
      <c r="F511" s="28">
        <v>45685</v>
      </c>
      <c r="G511" s="27" t="s">
        <v>101</v>
      </c>
      <c r="H511" s="27" t="s">
        <v>26</v>
      </c>
      <c r="I511" s="28">
        <v>37126</v>
      </c>
      <c r="J511" s="27" t="s">
        <v>74</v>
      </c>
      <c r="K511" s="27" t="s">
        <v>75</v>
      </c>
      <c r="L511" s="27" t="s">
        <v>83</v>
      </c>
      <c r="M511" s="27" t="s">
        <v>139</v>
      </c>
      <c r="N511" s="27">
        <v>16</v>
      </c>
      <c r="O511" s="27">
        <v>45</v>
      </c>
      <c r="P511" s="27">
        <v>20</v>
      </c>
      <c r="Q511" s="27">
        <v>576</v>
      </c>
      <c r="R511" s="27">
        <v>2</v>
      </c>
      <c r="S511" s="27" t="s">
        <v>31</v>
      </c>
      <c r="T511" s="27" t="s">
        <v>42</v>
      </c>
      <c r="U511" s="27" t="s">
        <v>51</v>
      </c>
      <c r="V511" s="27">
        <v>9135996862</v>
      </c>
      <c r="W511" s="27" t="s">
        <v>52</v>
      </c>
    </row>
    <row r="512" spans="2:23" ht="15" thickBot="1" x14ac:dyDescent="0.4">
      <c r="B512" s="30" t="s">
        <v>613</v>
      </c>
      <c r="C512" s="30" t="s">
        <v>23</v>
      </c>
      <c r="D512" s="30" t="s">
        <v>56</v>
      </c>
      <c r="E512" s="31">
        <v>45918</v>
      </c>
      <c r="F512" s="31">
        <v>45927</v>
      </c>
      <c r="G512" s="30" t="s">
        <v>25</v>
      </c>
      <c r="H512" s="30" t="s">
        <v>26</v>
      </c>
      <c r="I512" s="31">
        <v>35818</v>
      </c>
      <c r="J512" s="30" t="s">
        <v>48</v>
      </c>
      <c r="K512" s="30" t="s">
        <v>28</v>
      </c>
      <c r="L512" s="30" t="s">
        <v>39</v>
      </c>
      <c r="M512" s="30" t="s">
        <v>59</v>
      </c>
      <c r="N512" s="30">
        <v>5</v>
      </c>
      <c r="O512" s="30">
        <v>1200</v>
      </c>
      <c r="P512" s="30">
        <v>10</v>
      </c>
      <c r="Q512" s="30">
        <v>5400</v>
      </c>
      <c r="R512" s="30">
        <v>1</v>
      </c>
      <c r="S512" s="30" t="s">
        <v>31</v>
      </c>
      <c r="T512" s="30"/>
      <c r="U512" s="32" t="s">
        <v>611</v>
      </c>
      <c r="V512" s="30">
        <v>9540813143</v>
      </c>
      <c r="W512" s="22" t="s">
        <v>34</v>
      </c>
    </row>
    <row r="513" spans="2:23" ht="15" thickBot="1" x14ac:dyDescent="0.4">
      <c r="B513" s="27" t="s">
        <v>614</v>
      </c>
      <c r="C513" s="27" t="s">
        <v>104</v>
      </c>
      <c r="D513" s="27" t="s">
        <v>138</v>
      </c>
      <c r="E513" s="28">
        <v>45949</v>
      </c>
      <c r="F513" s="28">
        <v>45950</v>
      </c>
      <c r="G513" s="27" t="s">
        <v>166</v>
      </c>
      <c r="H513" s="27" t="s">
        <v>26</v>
      </c>
      <c r="I513" s="28">
        <v>38135</v>
      </c>
      <c r="J513" s="27" t="s">
        <v>147</v>
      </c>
      <c r="K513" s="27" t="s">
        <v>148</v>
      </c>
      <c r="L513" s="27" t="s">
        <v>83</v>
      </c>
      <c r="M513" s="27" t="s">
        <v>139</v>
      </c>
      <c r="N513" s="27">
        <v>2</v>
      </c>
      <c r="O513" s="27">
        <v>45</v>
      </c>
      <c r="P513" s="27">
        <v>10</v>
      </c>
      <c r="Q513" s="27">
        <v>81</v>
      </c>
      <c r="R513" s="27">
        <v>4</v>
      </c>
      <c r="S513" s="27" t="s">
        <v>65</v>
      </c>
      <c r="T513" s="27" t="s">
        <v>42</v>
      </c>
      <c r="U513" s="27" t="s">
        <v>108</v>
      </c>
      <c r="V513" s="27">
        <v>9910913552</v>
      </c>
      <c r="W513" s="27" t="s">
        <v>52</v>
      </c>
    </row>
    <row r="514" spans="2:23" ht="15" thickBot="1" x14ac:dyDescent="0.4">
      <c r="B514" s="30" t="s">
        <v>615</v>
      </c>
      <c r="C514" s="30" t="s">
        <v>87</v>
      </c>
      <c r="D514" s="30" t="s">
        <v>36</v>
      </c>
      <c r="E514" s="31">
        <v>46034</v>
      </c>
      <c r="F514" s="31">
        <v>46040</v>
      </c>
      <c r="G514" s="30" t="s">
        <v>88</v>
      </c>
      <c r="H514" s="30" t="s">
        <v>58</v>
      </c>
      <c r="I514" s="31">
        <v>31112</v>
      </c>
      <c r="J514" s="30" t="s">
        <v>91</v>
      </c>
      <c r="K514" s="30" t="s">
        <v>75</v>
      </c>
      <c r="L514" s="30" t="s">
        <v>39</v>
      </c>
      <c r="M514" s="30" t="s">
        <v>40</v>
      </c>
      <c r="N514" s="30">
        <v>3</v>
      </c>
      <c r="O514" s="30">
        <v>12000</v>
      </c>
      <c r="P514" s="30">
        <v>0</v>
      </c>
      <c r="Q514" s="30">
        <v>36000</v>
      </c>
      <c r="R514" s="30">
        <v>2</v>
      </c>
      <c r="S514" s="30" t="s">
        <v>65</v>
      </c>
      <c r="T514" s="30" t="s">
        <v>96</v>
      </c>
      <c r="U514" s="30" t="s">
        <v>89</v>
      </c>
      <c r="V514" s="30">
        <v>9282751683</v>
      </c>
      <c r="W514" s="30" t="s">
        <v>52</v>
      </c>
    </row>
    <row r="515" spans="2:23" ht="15" thickBot="1" x14ac:dyDescent="0.4">
      <c r="B515" s="27" t="s">
        <v>616</v>
      </c>
      <c r="C515" s="27" t="s">
        <v>23</v>
      </c>
      <c r="D515" s="27" t="s">
        <v>36</v>
      </c>
      <c r="E515" s="28">
        <v>45683</v>
      </c>
      <c r="F515" s="28">
        <v>45689</v>
      </c>
      <c r="G515" s="27" t="s">
        <v>25</v>
      </c>
      <c r="H515" s="27" t="s">
        <v>26</v>
      </c>
      <c r="I515" s="28">
        <v>31661</v>
      </c>
      <c r="J515" s="27" t="s">
        <v>48</v>
      </c>
      <c r="K515" s="27" t="s">
        <v>28</v>
      </c>
      <c r="L515" s="27" t="s">
        <v>39</v>
      </c>
      <c r="M515" s="27" t="s">
        <v>40</v>
      </c>
      <c r="N515" s="27">
        <v>3</v>
      </c>
      <c r="O515" s="27">
        <v>12000</v>
      </c>
      <c r="P515" s="27">
        <v>20</v>
      </c>
      <c r="Q515" s="27">
        <v>28800</v>
      </c>
      <c r="R515" s="27">
        <v>3</v>
      </c>
      <c r="S515" s="27" t="s">
        <v>65</v>
      </c>
      <c r="T515" s="27" t="s">
        <v>80</v>
      </c>
      <c r="U515" s="27" t="s">
        <v>43</v>
      </c>
      <c r="V515" s="27">
        <v>9939332058</v>
      </c>
      <c r="W515" s="21" t="s">
        <v>34</v>
      </c>
    </row>
    <row r="516" spans="2:23" ht="15" thickBot="1" x14ac:dyDescent="0.4">
      <c r="B516" s="30" t="s">
        <v>618</v>
      </c>
      <c r="C516" s="30" t="s">
        <v>87</v>
      </c>
      <c r="D516" s="30" t="s">
        <v>105</v>
      </c>
      <c r="E516" s="31">
        <v>46119</v>
      </c>
      <c r="F516" s="31">
        <v>46120</v>
      </c>
      <c r="G516" s="30" t="s">
        <v>88</v>
      </c>
      <c r="H516" s="30" t="s">
        <v>58</v>
      </c>
      <c r="I516" s="31">
        <v>29819</v>
      </c>
      <c r="J516" s="30" t="s">
        <v>147</v>
      </c>
      <c r="K516" s="30" t="s">
        <v>148</v>
      </c>
      <c r="L516" s="30" t="s">
        <v>29</v>
      </c>
      <c r="M516" s="30" t="s">
        <v>107</v>
      </c>
      <c r="N516" s="30">
        <v>9</v>
      </c>
      <c r="O516" s="30">
        <v>8500</v>
      </c>
      <c r="P516" s="30">
        <v>15</v>
      </c>
      <c r="Q516" s="30">
        <v>65025</v>
      </c>
      <c r="R516" s="30">
        <v>5</v>
      </c>
      <c r="S516" s="30" t="s">
        <v>31</v>
      </c>
      <c r="T516" s="30" t="s">
        <v>42</v>
      </c>
      <c r="U516" s="30" t="s">
        <v>89</v>
      </c>
      <c r="V516" s="30">
        <v>9780626473</v>
      </c>
      <c r="W516" s="30" t="s">
        <v>52</v>
      </c>
    </row>
    <row r="517" spans="2:23" ht="15" thickBot="1" x14ac:dyDescent="0.4">
      <c r="B517" s="27" t="s">
        <v>619</v>
      </c>
      <c r="C517" s="27" t="s">
        <v>55</v>
      </c>
      <c r="D517" s="27" t="s">
        <v>112</v>
      </c>
      <c r="E517" s="28">
        <v>45834</v>
      </c>
      <c r="F517" s="28">
        <v>45844</v>
      </c>
      <c r="G517" s="27" t="s">
        <v>617</v>
      </c>
      <c r="H517" s="27" t="s">
        <v>58</v>
      </c>
      <c r="I517" s="28">
        <v>33717</v>
      </c>
      <c r="J517" s="27" t="s">
        <v>147</v>
      </c>
      <c r="K517" s="27" t="s">
        <v>148</v>
      </c>
      <c r="L517" s="27" t="s">
        <v>39</v>
      </c>
      <c r="M517" s="27" t="s">
        <v>114</v>
      </c>
      <c r="N517" s="27">
        <v>17</v>
      </c>
      <c r="O517" s="27">
        <v>700</v>
      </c>
      <c r="P517" s="27">
        <v>0</v>
      </c>
      <c r="Q517" s="27">
        <v>11900</v>
      </c>
      <c r="R517" s="27">
        <v>2</v>
      </c>
      <c r="S517" s="27" t="s">
        <v>31</v>
      </c>
      <c r="T517" s="27" t="s">
        <v>50</v>
      </c>
      <c r="U517" s="27" t="s">
        <v>61</v>
      </c>
      <c r="V517" s="27">
        <v>9347298020</v>
      </c>
      <c r="W517" s="27" t="s">
        <v>53</v>
      </c>
    </row>
    <row r="518" spans="2:23" ht="15" thickBot="1" x14ac:dyDescent="0.4">
      <c r="B518" s="30" t="s">
        <v>620</v>
      </c>
      <c r="C518" s="30" t="s">
        <v>23</v>
      </c>
      <c r="D518" s="30" t="s">
        <v>112</v>
      </c>
      <c r="E518" s="31">
        <v>45846</v>
      </c>
      <c r="F518" s="31">
        <v>45856</v>
      </c>
      <c r="G518" s="30" t="s">
        <v>25</v>
      </c>
      <c r="H518" s="30" t="s">
        <v>26</v>
      </c>
      <c r="I518" s="31">
        <v>33422</v>
      </c>
      <c r="J518" s="30" t="s">
        <v>27</v>
      </c>
      <c r="K518" s="30" t="s">
        <v>28</v>
      </c>
      <c r="L518" s="30" t="s">
        <v>39</v>
      </c>
      <c r="M518" s="30" t="s">
        <v>114</v>
      </c>
      <c r="N518" s="30">
        <v>20</v>
      </c>
      <c r="O518" s="30">
        <v>700</v>
      </c>
      <c r="P518" s="30">
        <v>5</v>
      </c>
      <c r="Q518" s="30">
        <v>13300</v>
      </c>
      <c r="R518" s="30">
        <v>2</v>
      </c>
      <c r="S518" s="30" t="s">
        <v>65</v>
      </c>
      <c r="T518" s="30" t="s">
        <v>32</v>
      </c>
      <c r="U518" s="30" t="s">
        <v>43</v>
      </c>
      <c r="V518" s="30">
        <v>9345328522</v>
      </c>
      <c r="W518" s="22" t="s">
        <v>34</v>
      </c>
    </row>
    <row r="519" spans="2:23" ht="15" thickBot="1" x14ac:dyDescent="0.4">
      <c r="B519" s="27" t="s">
        <v>621</v>
      </c>
      <c r="C519" s="27" t="s">
        <v>156</v>
      </c>
      <c r="D519" s="27" t="s">
        <v>56</v>
      </c>
      <c r="E519" s="28">
        <v>46092</v>
      </c>
      <c r="F519" s="28">
        <v>46102</v>
      </c>
      <c r="G519" s="27" t="s">
        <v>106</v>
      </c>
      <c r="H519" s="27" t="s">
        <v>58</v>
      </c>
      <c r="I519" s="28">
        <v>28526</v>
      </c>
      <c r="J519" s="27" t="s">
        <v>91</v>
      </c>
      <c r="K519" s="27" t="s">
        <v>75</v>
      </c>
      <c r="L519" s="27" t="s">
        <v>39</v>
      </c>
      <c r="M519" s="27" t="s">
        <v>59</v>
      </c>
      <c r="N519" s="27">
        <v>13</v>
      </c>
      <c r="O519" s="27">
        <v>1200</v>
      </c>
      <c r="P519" s="27">
        <v>20</v>
      </c>
      <c r="Q519" s="27">
        <v>12480</v>
      </c>
      <c r="R519" s="27">
        <v>5</v>
      </c>
      <c r="S519" s="27" t="s">
        <v>60</v>
      </c>
      <c r="T519" s="27" t="s">
        <v>80</v>
      </c>
      <c r="U519" s="27" t="s">
        <v>158</v>
      </c>
      <c r="V519" s="27">
        <v>9160310438</v>
      </c>
      <c r="W519" s="21" t="s">
        <v>34</v>
      </c>
    </row>
    <row r="520" spans="2:23" ht="15" thickBot="1" x14ac:dyDescent="0.4">
      <c r="B520" s="30" t="s">
        <v>622</v>
      </c>
      <c r="C520" s="30" t="s">
        <v>72</v>
      </c>
      <c r="D520" s="30" t="s">
        <v>46</v>
      </c>
      <c r="E520" s="31">
        <v>46104</v>
      </c>
      <c r="F520" s="31">
        <v>46110</v>
      </c>
      <c r="G520" s="30" t="s">
        <v>73</v>
      </c>
      <c r="H520" s="30" t="s">
        <v>26</v>
      </c>
      <c r="I520" s="31">
        <v>36359</v>
      </c>
      <c r="J520" s="30" t="s">
        <v>121</v>
      </c>
      <c r="K520" s="30" t="s">
        <v>38</v>
      </c>
      <c r="L520" s="30" t="s">
        <v>39</v>
      </c>
      <c r="M520" s="30" t="s">
        <v>49</v>
      </c>
      <c r="N520" s="30">
        <v>20</v>
      </c>
      <c r="O520" s="30">
        <v>55000</v>
      </c>
      <c r="P520" s="30">
        <v>10</v>
      </c>
      <c r="Q520" s="30">
        <v>990000</v>
      </c>
      <c r="R520" s="30">
        <v>1</v>
      </c>
      <c r="S520" s="30" t="s">
        <v>65</v>
      </c>
      <c r="T520" s="30" t="s">
        <v>32</v>
      </c>
      <c r="U520" s="30" t="s">
        <v>93</v>
      </c>
      <c r="V520" s="30">
        <v>9343776153</v>
      </c>
      <c r="W520" s="30" t="s">
        <v>52</v>
      </c>
    </row>
    <row r="521" spans="2:23" ht="15" thickBot="1" x14ac:dyDescent="0.4">
      <c r="B521" s="27" t="s">
        <v>624</v>
      </c>
      <c r="C521" s="27" t="s">
        <v>134</v>
      </c>
      <c r="D521" s="27" t="s">
        <v>56</v>
      </c>
      <c r="E521" s="28">
        <v>45961</v>
      </c>
      <c r="F521" s="28">
        <v>45966</v>
      </c>
      <c r="G521" s="27" t="s">
        <v>135</v>
      </c>
      <c r="H521" s="27" t="s">
        <v>26</v>
      </c>
      <c r="I521" s="28">
        <v>32236</v>
      </c>
      <c r="J521" s="27" t="s">
        <v>147</v>
      </c>
      <c r="K521" s="27" t="s">
        <v>148</v>
      </c>
      <c r="L521" s="27" t="s">
        <v>39</v>
      </c>
      <c r="M521" s="27" t="s">
        <v>59</v>
      </c>
      <c r="N521" s="27">
        <v>8</v>
      </c>
      <c r="O521" s="27">
        <v>1200</v>
      </c>
      <c r="P521" s="27">
        <v>0</v>
      </c>
      <c r="Q521" s="27">
        <v>9600</v>
      </c>
      <c r="R521" s="27">
        <v>2</v>
      </c>
      <c r="S521" s="27" t="s">
        <v>41</v>
      </c>
      <c r="T521" s="27" t="s">
        <v>96</v>
      </c>
      <c r="U521" s="27" t="s">
        <v>136</v>
      </c>
      <c r="V521" s="27">
        <v>9458599727</v>
      </c>
      <c r="W521" s="21" t="s">
        <v>34</v>
      </c>
    </row>
    <row r="522" spans="2:23" ht="15" thickBot="1" x14ac:dyDescent="0.4">
      <c r="B522" s="30" t="s">
        <v>625</v>
      </c>
      <c r="C522" s="30" t="s">
        <v>45</v>
      </c>
      <c r="D522" s="30" t="s">
        <v>125</v>
      </c>
      <c r="E522" s="31">
        <v>46147</v>
      </c>
      <c r="F522" s="31">
        <v>46151</v>
      </c>
      <c r="G522" s="30" t="s">
        <v>101</v>
      </c>
      <c r="H522" s="30" t="s">
        <v>26</v>
      </c>
      <c r="I522" s="31">
        <v>28805</v>
      </c>
      <c r="J522" s="30" t="s">
        <v>147</v>
      </c>
      <c r="K522" s="30" t="s">
        <v>148</v>
      </c>
      <c r="L522" s="30" t="s">
        <v>83</v>
      </c>
      <c r="M522" s="30" t="s">
        <v>127</v>
      </c>
      <c r="N522" s="30">
        <v>18</v>
      </c>
      <c r="O522" s="30">
        <v>20</v>
      </c>
      <c r="P522" s="30">
        <v>10</v>
      </c>
      <c r="Q522" s="30">
        <v>324</v>
      </c>
      <c r="R522" s="30">
        <v>5</v>
      </c>
      <c r="S522" s="30" t="s">
        <v>60</v>
      </c>
      <c r="T522" s="30"/>
      <c r="U522" s="32" t="s">
        <v>623</v>
      </c>
      <c r="V522" s="30">
        <v>9218660140</v>
      </c>
      <c r="W522" s="30" t="s">
        <v>52</v>
      </c>
    </row>
    <row r="523" spans="2:23" ht="15" thickBot="1" x14ac:dyDescent="0.4">
      <c r="B523" s="27" t="s">
        <v>626</v>
      </c>
      <c r="C523" s="27" t="s">
        <v>104</v>
      </c>
      <c r="D523" s="27" t="s">
        <v>36</v>
      </c>
      <c r="E523" s="28">
        <v>45711</v>
      </c>
      <c r="F523" s="28">
        <v>45723</v>
      </c>
      <c r="G523" s="27" t="s">
        <v>166</v>
      </c>
      <c r="H523" s="27" t="s">
        <v>26</v>
      </c>
      <c r="I523" s="28">
        <v>34426</v>
      </c>
      <c r="J523" s="27" t="s">
        <v>79</v>
      </c>
      <c r="K523" s="27" t="s">
        <v>75</v>
      </c>
      <c r="L523" s="27" t="s">
        <v>39</v>
      </c>
      <c r="M523" s="27" t="s">
        <v>40</v>
      </c>
      <c r="N523" s="27">
        <v>11</v>
      </c>
      <c r="O523" s="27">
        <v>12000</v>
      </c>
      <c r="P523" s="27">
        <v>10</v>
      </c>
      <c r="Q523" s="27">
        <v>118800</v>
      </c>
      <c r="R523" s="27">
        <v>1</v>
      </c>
      <c r="S523" s="27" t="s">
        <v>60</v>
      </c>
      <c r="T523" s="27" t="s">
        <v>42</v>
      </c>
      <c r="U523" s="27" t="s">
        <v>108</v>
      </c>
      <c r="V523" s="27">
        <v>9341979199</v>
      </c>
      <c r="W523" s="27" t="s">
        <v>53</v>
      </c>
    </row>
    <row r="524" spans="2:23" ht="15" thickBot="1" x14ac:dyDescent="0.4">
      <c r="B524" s="30" t="s">
        <v>627</v>
      </c>
      <c r="C524" s="30" t="s">
        <v>156</v>
      </c>
      <c r="D524" s="30" t="s">
        <v>105</v>
      </c>
      <c r="E524" s="31">
        <v>45672</v>
      </c>
      <c r="F524" s="31">
        <v>45674</v>
      </c>
      <c r="G524" s="30" t="s">
        <v>106</v>
      </c>
      <c r="H524" s="30" t="s">
        <v>58</v>
      </c>
      <c r="I524" s="31">
        <v>34098</v>
      </c>
      <c r="J524" s="30" t="s">
        <v>27</v>
      </c>
      <c r="K524" s="30" t="s">
        <v>28</v>
      </c>
      <c r="L524" s="30" t="s">
        <v>29</v>
      </c>
      <c r="M524" s="30" t="s">
        <v>107</v>
      </c>
      <c r="N524" s="30">
        <v>2</v>
      </c>
      <c r="O524" s="30">
        <v>8500</v>
      </c>
      <c r="P524" s="30">
        <v>5</v>
      </c>
      <c r="Q524" s="30">
        <v>16150</v>
      </c>
      <c r="R524" s="30">
        <v>1</v>
      </c>
      <c r="S524" s="30" t="s">
        <v>60</v>
      </c>
      <c r="T524" s="30" t="s">
        <v>50</v>
      </c>
      <c r="U524" s="30" t="s">
        <v>158</v>
      </c>
      <c r="V524" s="30">
        <v>9823080381</v>
      </c>
      <c r="W524" s="22" t="s">
        <v>34</v>
      </c>
    </row>
    <row r="525" spans="2:23" ht="15" thickBot="1" x14ac:dyDescent="0.4">
      <c r="B525" s="27" t="s">
        <v>628</v>
      </c>
      <c r="C525" s="27" t="s">
        <v>72</v>
      </c>
      <c r="D525" s="27" t="s">
        <v>24</v>
      </c>
      <c r="E525" s="28">
        <v>45746</v>
      </c>
      <c r="F525" s="28">
        <v>45755</v>
      </c>
      <c r="G525" s="27" t="s">
        <v>73</v>
      </c>
      <c r="H525" s="27" t="s">
        <v>26</v>
      </c>
      <c r="I525" s="28">
        <v>34526</v>
      </c>
      <c r="J525" s="27" t="s">
        <v>79</v>
      </c>
      <c r="K525" s="27" t="s">
        <v>75</v>
      </c>
      <c r="L525" s="27" t="s">
        <v>29</v>
      </c>
      <c r="M525" s="27" t="s">
        <v>30</v>
      </c>
      <c r="N525" s="27">
        <v>7</v>
      </c>
      <c r="O525" s="27">
        <v>2200</v>
      </c>
      <c r="P525" s="27">
        <v>0</v>
      </c>
      <c r="Q525" s="27">
        <v>15400</v>
      </c>
      <c r="R525" s="27">
        <v>5</v>
      </c>
      <c r="S525" s="27" t="s">
        <v>41</v>
      </c>
      <c r="T525" s="27" t="s">
        <v>32</v>
      </c>
      <c r="U525" s="27" t="s">
        <v>93</v>
      </c>
      <c r="V525" s="27">
        <v>9981183477</v>
      </c>
      <c r="W525" s="27" t="s">
        <v>52</v>
      </c>
    </row>
    <row r="526" spans="2:23" ht="15" thickBot="1" x14ac:dyDescent="0.4">
      <c r="B526" s="30" t="s">
        <v>629</v>
      </c>
      <c r="C526" s="30" t="s">
        <v>63</v>
      </c>
      <c r="D526" s="30" t="s">
        <v>105</v>
      </c>
      <c r="E526" s="31">
        <v>46136</v>
      </c>
      <c r="F526" s="31">
        <v>46144</v>
      </c>
      <c r="G526" s="30" t="s">
        <v>110</v>
      </c>
      <c r="H526" s="30" t="s">
        <v>58</v>
      </c>
      <c r="I526" s="31">
        <v>30304</v>
      </c>
      <c r="J526" s="30" t="s">
        <v>37</v>
      </c>
      <c r="K526" s="30" t="s">
        <v>38</v>
      </c>
      <c r="L526" s="30" t="s">
        <v>29</v>
      </c>
      <c r="M526" s="30" t="s">
        <v>107</v>
      </c>
      <c r="N526" s="30">
        <v>20</v>
      </c>
      <c r="O526" s="30">
        <v>8500</v>
      </c>
      <c r="P526" s="30">
        <v>0</v>
      </c>
      <c r="Q526" s="30">
        <v>170000</v>
      </c>
      <c r="R526" s="30">
        <v>3</v>
      </c>
      <c r="S526" s="30" t="s">
        <v>41</v>
      </c>
      <c r="T526" s="30" t="s">
        <v>42</v>
      </c>
      <c r="U526" s="30" t="s">
        <v>66</v>
      </c>
      <c r="V526" s="30">
        <v>9281596011</v>
      </c>
      <c r="W526" s="22" t="s">
        <v>34</v>
      </c>
    </row>
    <row r="527" spans="2:23" ht="15" thickBot="1" x14ac:dyDescent="0.4">
      <c r="B527" s="27" t="s">
        <v>630</v>
      </c>
      <c r="C527" s="27" t="s">
        <v>87</v>
      </c>
      <c r="D527" s="27" t="s">
        <v>56</v>
      </c>
      <c r="E527" s="28">
        <v>45858</v>
      </c>
      <c r="F527" s="28">
        <v>45867</v>
      </c>
      <c r="G527" s="27" t="s">
        <v>88</v>
      </c>
      <c r="H527" s="27" t="s">
        <v>58</v>
      </c>
      <c r="I527" s="28">
        <v>37197</v>
      </c>
      <c r="J527" s="27" t="s">
        <v>27</v>
      </c>
      <c r="K527" s="27" t="s">
        <v>28</v>
      </c>
      <c r="L527" s="27" t="s">
        <v>39</v>
      </c>
      <c r="M527" s="27" t="s">
        <v>59</v>
      </c>
      <c r="N527" s="27">
        <v>11</v>
      </c>
      <c r="O527" s="27">
        <v>1200</v>
      </c>
      <c r="P527" s="27">
        <v>5</v>
      </c>
      <c r="Q527" s="27">
        <v>12540</v>
      </c>
      <c r="R527" s="27">
        <v>2</v>
      </c>
      <c r="S527" s="27" t="s">
        <v>31</v>
      </c>
      <c r="T527" s="27" t="s">
        <v>32</v>
      </c>
      <c r="U527" s="27" t="s">
        <v>89</v>
      </c>
      <c r="V527" s="27">
        <v>9211734022</v>
      </c>
      <c r="W527" s="27" t="s">
        <v>52</v>
      </c>
    </row>
    <row r="528" spans="2:23" ht="15" thickBot="1" x14ac:dyDescent="0.4">
      <c r="B528" s="30" t="s">
        <v>631</v>
      </c>
      <c r="C528" s="30" t="s">
        <v>63</v>
      </c>
      <c r="D528" s="30" t="s">
        <v>112</v>
      </c>
      <c r="E528" s="31">
        <v>45867</v>
      </c>
      <c r="F528" s="31">
        <v>45870</v>
      </c>
      <c r="G528" s="30" t="s">
        <v>110</v>
      </c>
      <c r="H528" s="30" t="s">
        <v>58</v>
      </c>
      <c r="I528" s="31">
        <v>37182</v>
      </c>
      <c r="J528" s="30" t="s">
        <v>91</v>
      </c>
      <c r="K528" s="30" t="s">
        <v>75</v>
      </c>
      <c r="L528" s="30" t="s">
        <v>39</v>
      </c>
      <c r="M528" s="30" t="s">
        <v>114</v>
      </c>
      <c r="N528" s="30">
        <v>14</v>
      </c>
      <c r="O528" s="30">
        <v>700</v>
      </c>
      <c r="P528" s="30">
        <v>0</v>
      </c>
      <c r="Q528" s="30">
        <v>9800</v>
      </c>
      <c r="R528" s="30">
        <v>2</v>
      </c>
      <c r="S528" s="30" t="s">
        <v>60</v>
      </c>
      <c r="T528" s="30" t="s">
        <v>96</v>
      </c>
      <c r="U528" s="30" t="s">
        <v>66</v>
      </c>
      <c r="V528" s="30">
        <v>9447151666</v>
      </c>
      <c r="W528" s="30" t="s">
        <v>53</v>
      </c>
    </row>
    <row r="529" spans="2:23" ht="15" thickBot="1" x14ac:dyDescent="0.4">
      <c r="B529" s="27" t="s">
        <v>632</v>
      </c>
      <c r="C529" s="27" t="s">
        <v>55</v>
      </c>
      <c r="D529" s="27" t="s">
        <v>56</v>
      </c>
      <c r="E529" s="28">
        <v>45951</v>
      </c>
      <c r="F529" s="28">
        <v>45962</v>
      </c>
      <c r="G529" s="27" t="s">
        <v>57</v>
      </c>
      <c r="H529" s="27" t="s">
        <v>58</v>
      </c>
      <c r="I529" s="28">
        <v>36881</v>
      </c>
      <c r="J529" s="27" t="s">
        <v>79</v>
      </c>
      <c r="K529" s="27" t="s">
        <v>75</v>
      </c>
      <c r="L529" s="27" t="s">
        <v>39</v>
      </c>
      <c r="M529" s="27" t="s">
        <v>59</v>
      </c>
      <c r="N529" s="27">
        <v>16</v>
      </c>
      <c r="O529" s="27">
        <v>1200</v>
      </c>
      <c r="P529" s="27">
        <v>15</v>
      </c>
      <c r="Q529" s="27">
        <v>16320</v>
      </c>
      <c r="R529" s="27">
        <v>4</v>
      </c>
      <c r="S529" s="27" t="s">
        <v>31</v>
      </c>
      <c r="T529" s="27" t="s">
        <v>96</v>
      </c>
      <c r="U529" s="27" t="s">
        <v>61</v>
      </c>
      <c r="V529" s="27">
        <v>9345342793</v>
      </c>
      <c r="W529" s="27" t="s">
        <v>52</v>
      </c>
    </row>
    <row r="530" spans="2:23" ht="15" thickBot="1" x14ac:dyDescent="0.4">
      <c r="B530" s="30" t="s">
        <v>633</v>
      </c>
      <c r="C530" s="30" t="s">
        <v>104</v>
      </c>
      <c r="D530" s="30" t="s">
        <v>24</v>
      </c>
      <c r="E530" s="31">
        <v>46098</v>
      </c>
      <c r="F530" s="31">
        <v>46110</v>
      </c>
      <c r="G530" s="30" t="s">
        <v>166</v>
      </c>
      <c r="H530" s="30" t="s">
        <v>26</v>
      </c>
      <c r="I530" s="31">
        <v>30367</v>
      </c>
      <c r="J530" s="30" t="s">
        <v>121</v>
      </c>
      <c r="K530" s="30" t="s">
        <v>38</v>
      </c>
      <c r="L530" s="30" t="s">
        <v>29</v>
      </c>
      <c r="M530" s="30" t="s">
        <v>30</v>
      </c>
      <c r="N530" s="30">
        <v>20</v>
      </c>
      <c r="O530" s="30">
        <v>2200</v>
      </c>
      <c r="P530" s="30">
        <v>0</v>
      </c>
      <c r="Q530" s="30">
        <v>44000</v>
      </c>
      <c r="R530" s="30">
        <v>5</v>
      </c>
      <c r="S530" s="30" t="s">
        <v>31</v>
      </c>
      <c r="T530" s="30" t="s">
        <v>32</v>
      </c>
      <c r="U530" s="30" t="s">
        <v>108</v>
      </c>
      <c r="V530" s="30">
        <v>9329668173</v>
      </c>
      <c r="W530" s="30" t="s">
        <v>53</v>
      </c>
    </row>
    <row r="531" spans="2:23" ht="15" thickBot="1" x14ac:dyDescent="0.4">
      <c r="B531" s="27" t="s">
        <v>634</v>
      </c>
      <c r="C531" s="27" t="s">
        <v>63</v>
      </c>
      <c r="D531" s="27" t="s">
        <v>36</v>
      </c>
      <c r="E531" s="28">
        <v>45711</v>
      </c>
      <c r="F531" s="28">
        <v>45723</v>
      </c>
      <c r="G531" s="27" t="s">
        <v>110</v>
      </c>
      <c r="H531" s="27" t="s">
        <v>58</v>
      </c>
      <c r="I531" s="28">
        <v>32307</v>
      </c>
      <c r="J531" s="27" t="s">
        <v>121</v>
      </c>
      <c r="K531" s="27" t="s">
        <v>38</v>
      </c>
      <c r="L531" s="27" t="s">
        <v>39</v>
      </c>
      <c r="M531" s="27" t="s">
        <v>40</v>
      </c>
      <c r="N531" s="27">
        <v>12</v>
      </c>
      <c r="O531" s="27">
        <v>12000</v>
      </c>
      <c r="P531" s="27">
        <v>15</v>
      </c>
      <c r="Q531" s="27">
        <v>122400</v>
      </c>
      <c r="R531" s="27">
        <v>5</v>
      </c>
      <c r="S531" s="27" t="s">
        <v>31</v>
      </c>
      <c r="T531" s="27" t="s">
        <v>96</v>
      </c>
      <c r="U531" s="27" t="s">
        <v>66</v>
      </c>
      <c r="V531" s="27">
        <v>9294740227</v>
      </c>
      <c r="W531" s="21" t="s">
        <v>34</v>
      </c>
    </row>
    <row r="532" spans="2:23" ht="15" thickBot="1" x14ac:dyDescent="0.4">
      <c r="B532" s="30" t="s">
        <v>636</v>
      </c>
      <c r="C532" s="30" t="s">
        <v>124</v>
      </c>
      <c r="D532" s="30" t="s">
        <v>56</v>
      </c>
      <c r="E532" s="31">
        <v>46002</v>
      </c>
      <c r="F532" s="31">
        <v>46011</v>
      </c>
      <c r="G532" s="30" t="s">
        <v>126</v>
      </c>
      <c r="H532" s="30" t="s">
        <v>58</v>
      </c>
      <c r="I532" s="31">
        <v>33807</v>
      </c>
      <c r="J532" s="30" t="s">
        <v>37</v>
      </c>
      <c r="K532" s="30" t="s">
        <v>38</v>
      </c>
      <c r="L532" s="30" t="s">
        <v>39</v>
      </c>
      <c r="M532" s="30" t="s">
        <v>59</v>
      </c>
      <c r="N532" s="30">
        <v>3</v>
      </c>
      <c r="O532" s="30">
        <v>1200</v>
      </c>
      <c r="P532" s="30">
        <v>20</v>
      </c>
      <c r="Q532" s="30">
        <v>2880</v>
      </c>
      <c r="R532" s="30">
        <v>2</v>
      </c>
      <c r="S532" s="30" t="s">
        <v>41</v>
      </c>
      <c r="T532" s="30" t="s">
        <v>80</v>
      </c>
      <c r="U532" s="30" t="s">
        <v>298</v>
      </c>
      <c r="V532" s="30">
        <v>9549426303</v>
      </c>
      <c r="W532" s="30" t="s">
        <v>52</v>
      </c>
    </row>
    <row r="533" spans="2:23" ht="15" thickBot="1" x14ac:dyDescent="0.4">
      <c r="C533" s="27" t="s">
        <v>72</v>
      </c>
      <c r="D533" s="27" t="s">
        <v>46</v>
      </c>
      <c r="E533" s="28">
        <v>45842</v>
      </c>
      <c r="F533" s="28">
        <v>45843</v>
      </c>
      <c r="G533" s="27" t="s">
        <v>73</v>
      </c>
      <c r="H533" s="27" t="s">
        <v>26</v>
      </c>
      <c r="I533" s="28">
        <v>29079</v>
      </c>
      <c r="J533" s="27" t="s">
        <v>74</v>
      </c>
      <c r="K533" s="27" t="s">
        <v>75</v>
      </c>
      <c r="L533" s="27" t="s">
        <v>39</v>
      </c>
      <c r="M533" s="27" t="s">
        <v>635</v>
      </c>
      <c r="N533" s="27">
        <v>6</v>
      </c>
      <c r="O533" s="27">
        <v>55000</v>
      </c>
      <c r="P533" s="27">
        <v>20</v>
      </c>
      <c r="Q533" s="27">
        <v>264000</v>
      </c>
      <c r="R533" s="27">
        <v>3</v>
      </c>
      <c r="S533" s="27" t="s">
        <v>31</v>
      </c>
      <c r="T533" s="27" t="s">
        <v>96</v>
      </c>
      <c r="U533" s="27" t="s">
        <v>93</v>
      </c>
      <c r="V533" s="27">
        <v>9374249303</v>
      </c>
      <c r="W533" s="21" t="s">
        <v>34</v>
      </c>
    </row>
    <row r="534" spans="2:23" ht="15" thickBot="1" x14ac:dyDescent="0.4">
      <c r="C534" s="33" t="s">
        <v>72</v>
      </c>
      <c r="D534" s="33" t="s">
        <v>68</v>
      </c>
      <c r="E534" s="34">
        <v>45916</v>
      </c>
      <c r="F534" s="34">
        <v>45923</v>
      </c>
      <c r="G534" s="33" t="s">
        <v>73</v>
      </c>
      <c r="H534" s="33" t="s">
        <v>26</v>
      </c>
      <c r="I534" s="34">
        <v>28088</v>
      </c>
      <c r="J534" s="33" t="s">
        <v>48</v>
      </c>
      <c r="K534" s="33" t="s">
        <v>28</v>
      </c>
      <c r="L534" s="33" t="s">
        <v>29</v>
      </c>
      <c r="M534" s="33" t="s">
        <v>70</v>
      </c>
      <c r="N534" s="33">
        <v>20</v>
      </c>
      <c r="O534" s="33">
        <v>3500</v>
      </c>
      <c r="P534" s="33">
        <v>0</v>
      </c>
      <c r="Q534" s="100">
        <v>70000</v>
      </c>
      <c r="R534" s="33">
        <v>1</v>
      </c>
      <c r="S534" s="33" t="s">
        <v>41</v>
      </c>
      <c r="T534" s="33" t="s">
        <v>96</v>
      </c>
      <c r="U534" s="33" t="s">
        <v>93</v>
      </c>
      <c r="V534" s="33">
        <v>9810334941</v>
      </c>
      <c r="W534" s="33" t="s">
        <v>52</v>
      </c>
    </row>
    <row r="535" spans="2:23" ht="15" thickBot="1" x14ac:dyDescent="0.4">
      <c r="B535" s="102">
        <f>COUNTA(B35:B532)</f>
        <v>498</v>
      </c>
      <c r="Q535" s="101">
        <f>SUM($Q$35:$Q$534)</f>
        <v>34765937.5</v>
      </c>
    </row>
    <row r="536" spans="2:23" ht="15" thickBot="1" x14ac:dyDescent="0.4">
      <c r="E536" s="102">
        <f>AVERAGE(Q35,B35)</f>
        <v>7920</v>
      </c>
    </row>
  </sheetData>
  <mergeCells count="1">
    <mergeCell ref="B2:R2"/>
  </mergeCells>
  <hyperlinks>
    <hyperlink ref="U35" r:id="rId5" display="mailto:KAvya.nair@company.com" xr:uid="{6A1EE595-30B0-439F-8842-C7DF2B034941}"/>
    <hyperlink ref="U38" r:id="rId6" display="mailto:kavya.nair@company.com" xr:uid="{5B5C5845-5549-4354-BD67-3375B95095C7}"/>
    <hyperlink ref="U42" r:id="rId7" display="mailto:priYa.patel@company.com" xr:uid="{7D1044A9-02ED-484D-A459-5F2A9DB83093}"/>
    <hyperlink ref="U44" r:id="rId8" display="mailto:PRiya.patel@company.com" xr:uid="{7D4035A1-3BA9-4342-A640-9A591B422BBE}"/>
    <hyperlink ref="U48" r:id="rId9" display="mailto:rOhit.singh@company.com" xr:uid="{86E35BA0-FFB9-4CE6-9546-94B1CE4D34AF}"/>
    <hyperlink ref="U49" r:id="rId10" display="mailto:kavya.nair@company.com" xr:uid="{6FB5BEDF-A5F5-4B54-BE21-F9BEA85B2964}"/>
    <hyperlink ref="U53" r:id="rId11" display="mailto:arjun.Rao@company.com" xr:uid="{C8FA85BA-5238-46E8-807C-5CC6D2783892}"/>
    <hyperlink ref="U94" r:id="rId12" display="mailto:Vikas.mehta@company.com" xr:uid="{9B127B3B-D79E-49BA-8383-FAF65B4B5A81}"/>
    <hyperlink ref="U105" r:id="rId13" display="mailto:Anita.gupta@company.com" xr:uid="{4E5A1AF0-E943-46EB-8DFD-BAB166084F00}"/>
    <hyperlink ref="U327" r:id="rId14" display="mailto:Pooja.shah@company.com" xr:uid="{1E95D471-A4E8-4D5C-AEB3-5FB30CA05400}"/>
    <hyperlink ref="U483" r:id="rId15" display="mailto:amit.SHarma@company.com" xr:uid="{761A4DE6-A300-4386-AF87-8037FBC46A97}"/>
    <hyperlink ref="U496" r:id="rId16" display="mailto:rohit.sinGh@company.com" xr:uid="{A74736CF-457B-4004-B2A2-50BE0D5808FA}"/>
    <hyperlink ref="U512" r:id="rId17" display="mailto:kavya.Nair@company.com" xr:uid="{F41B7790-0EC6-4036-B5F3-C19EE5750D38}"/>
    <hyperlink ref="U522" r:id="rId18" display="mailto:pOOja.shah@company.com" xr:uid="{09292236-496E-4F4B-9995-8FC8B7B60D60}"/>
  </hyperlinks>
  <pageMargins left="0.7" right="0.7" top="0.75" bottom="0.75" header="0.3" footer="0.3"/>
  <drawing r:id="rId19"/>
  <tableParts count="1">
    <tablePart r:id="rId20"/>
  </tableParts>
  <extLst>
    <ext xmlns:x15="http://schemas.microsoft.com/office/spreadsheetml/2010/11/main" uri="{3A4CF648-6AED-40f4-86FF-DC5316D8AED3}">
      <x14:slicerList xmlns:x14="http://schemas.microsoft.com/office/spreadsheetml/2009/9/main">
        <x14:slicer r:id="rId21"/>
      </x14:slicerList>
    </ext>
    <ext xmlns:x15="http://schemas.microsoft.com/office/spreadsheetml/2010/11/main" uri="{7E03D99C-DC04-49d9-9315-930204A7B6E9}">
      <x15:timelineRefs>
        <x15:timelineRef r:id="rId2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Sales_Data</vt:lpstr>
      <vt:lpstr>Product_master</vt:lpstr>
      <vt:lpstr>Customer_Master</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 Singh</cp:lastModifiedBy>
  <dcterms:created xsi:type="dcterms:W3CDTF">2026-10-23T05:22:48Z</dcterms:created>
  <dcterms:modified xsi:type="dcterms:W3CDTF">2026-10-27T18:38:09Z</dcterms:modified>
</cp:coreProperties>
</file>